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BEQUIP\Shared drives\Bequip FINAC\5_CLIENTS\4_Ongoing\Lakeshore\5_FY 2026-27\AOP\DECK V2\FIRST CUT AOP AND BUDGET_28-04-2026\"/>
    </mc:Choice>
  </mc:AlternateContent>
  <xr:revisionPtr revIDLastSave="0" documentId="13_ncr:1_{3B8AE7EF-87AB-4E2B-BE6D-5E8B668844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 P&amp;L" sheetId="2" r:id="rId1"/>
    <sheet name="Initiative Register" sheetId="1" r:id="rId2"/>
    <sheet name="23DEP BUD RE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9" i="2" l="1"/>
  <c r="D3" i="3"/>
  <c r="E3" i="3"/>
  <c r="C63" i="3"/>
  <c r="C62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Q42" i="2" l="1"/>
  <c r="Q41" i="2"/>
  <c r="P27" i="2"/>
  <c r="Q27" i="2" s="1"/>
  <c r="F37" i="2"/>
  <c r="M14" i="2"/>
  <c r="L14" i="2"/>
  <c r="E14" i="2"/>
  <c r="D14" i="2"/>
  <c r="N37" i="2"/>
  <c r="C37" i="2"/>
  <c r="I14" i="2"/>
  <c r="H14" i="2"/>
  <c r="C14" i="2"/>
  <c r="C9" i="2"/>
  <c r="H37" i="2" l="1"/>
  <c r="P22" i="2"/>
  <c r="Q22" i="2" s="1"/>
  <c r="P25" i="2"/>
  <c r="Q25" i="2" s="1"/>
  <c r="P31" i="2"/>
  <c r="Q31" i="2" s="1"/>
  <c r="K37" i="2"/>
  <c r="P23" i="2"/>
  <c r="Q23" i="2" s="1"/>
  <c r="P35" i="2"/>
  <c r="Q35" i="2" s="1"/>
  <c r="P21" i="2"/>
  <c r="Q21" i="2" s="1"/>
  <c r="O37" i="2"/>
  <c r="B9" i="2"/>
  <c r="C15" i="2"/>
  <c r="N14" i="2"/>
  <c r="J9" i="2"/>
  <c r="G9" i="2"/>
  <c r="P33" i="2"/>
  <c r="Q33" i="2" s="1"/>
  <c r="P34" i="2"/>
  <c r="Q34" i="2" s="1"/>
  <c r="B37" i="2"/>
  <c r="L9" i="2"/>
  <c r="L15" i="2" s="1"/>
  <c r="H9" i="2"/>
  <c r="L37" i="2"/>
  <c r="I37" i="2"/>
  <c r="B14" i="2"/>
  <c r="I9" i="2"/>
  <c r="I15" i="2" s="1"/>
  <c r="O9" i="2"/>
  <c r="O15" i="2" s="1"/>
  <c r="P12" i="2"/>
  <c r="Q12" i="2" s="1"/>
  <c r="G14" i="2"/>
  <c r="O14" i="2"/>
  <c r="C39" i="2"/>
  <c r="C16" i="2"/>
  <c r="B15" i="2"/>
  <c r="P8" i="2"/>
  <c r="Q8" i="2" s="1"/>
  <c r="E9" i="2"/>
  <c r="E15" i="2" s="1"/>
  <c r="E16" i="2" s="1"/>
  <c r="P6" i="2"/>
  <c r="Q6" i="2" s="1"/>
  <c r="P26" i="2"/>
  <c r="Q26" i="2" s="1"/>
  <c r="P28" i="2"/>
  <c r="Q28" i="2" s="1"/>
  <c r="P36" i="2"/>
  <c r="Q36" i="2" s="1"/>
  <c r="K9" i="2"/>
  <c r="P7" i="2"/>
  <c r="Q7" i="2" s="1"/>
  <c r="M9" i="2"/>
  <c r="M15" i="2" s="1"/>
  <c r="E37" i="2"/>
  <c r="M37" i="2"/>
  <c r="J37" i="2"/>
  <c r="P29" i="2"/>
  <c r="Q29" i="2" s="1"/>
  <c r="P30" i="2"/>
  <c r="Q30" i="2" s="1"/>
  <c r="G37" i="2"/>
  <c r="P20" i="2"/>
  <c r="Q20" i="2" s="1"/>
  <c r="P19" i="2"/>
  <c r="P24" i="2"/>
  <c r="Q24" i="2" s="1"/>
  <c r="P32" i="2"/>
  <c r="Q32" i="2" s="1"/>
  <c r="D37" i="2"/>
  <c r="J14" i="2"/>
  <c r="K14" i="2"/>
  <c r="P13" i="2"/>
  <c r="F14" i="2"/>
  <c r="H15" i="2"/>
  <c r="H16" i="2" s="1"/>
  <c r="G15" i="2"/>
  <c r="G16" i="2" s="1"/>
  <c r="F9" i="2"/>
  <c r="N9" i="2"/>
  <c r="P5" i="2"/>
  <c r="Q5" i="2" s="1"/>
  <c r="D9" i="2"/>
  <c r="D15" i="2" s="1"/>
  <c r="C95" i="2"/>
  <c r="C94" i="2"/>
  <c r="C96" i="2" s="1"/>
  <c r="O104" i="2"/>
  <c r="M104" i="2"/>
  <c r="L104" i="2"/>
  <c r="K104" i="2"/>
  <c r="J104" i="2"/>
  <c r="I104" i="2"/>
  <c r="G104" i="2"/>
  <c r="E104" i="2"/>
  <c r="K15" i="2" l="1"/>
  <c r="F104" i="2"/>
  <c r="N104" i="2"/>
  <c r="J15" i="2"/>
  <c r="H104" i="2"/>
  <c r="P99" i="2"/>
  <c r="P101" i="2"/>
  <c r="P103" i="2"/>
  <c r="N15" i="2"/>
  <c r="N39" i="2" s="1"/>
  <c r="L39" i="2"/>
  <c r="L40" i="2" s="1"/>
  <c r="O16" i="2"/>
  <c r="O39" i="2"/>
  <c r="I16" i="2"/>
  <c r="I39" i="2"/>
  <c r="I43" i="2" s="1"/>
  <c r="I44" i="2" s="1"/>
  <c r="I45" i="2" s="1"/>
  <c r="I46" i="2" s="1"/>
  <c r="P98" i="2"/>
  <c r="P100" i="2"/>
  <c r="P102" i="2"/>
  <c r="M16" i="2"/>
  <c r="M39" i="2"/>
  <c r="M43" i="2" s="1"/>
  <c r="K39" i="2"/>
  <c r="K43" i="2" s="1"/>
  <c r="K44" i="2" s="1"/>
  <c r="K45" i="2" s="1"/>
  <c r="K46" i="2" s="1"/>
  <c r="K16" i="2"/>
  <c r="E39" i="2"/>
  <c r="E43" i="2" s="1"/>
  <c r="P9" i="2"/>
  <c r="P15" i="2" s="1"/>
  <c r="Q15" i="2" s="1"/>
  <c r="P37" i="2"/>
  <c r="Q19" i="2"/>
  <c r="H39" i="2"/>
  <c r="H40" i="2" s="1"/>
  <c r="B39" i="2"/>
  <c r="B16" i="2"/>
  <c r="D104" i="2"/>
  <c r="P14" i="2"/>
  <c r="Q13" i="2"/>
  <c r="C43" i="2"/>
  <c r="C44" i="2" s="1"/>
  <c r="C45" i="2" s="1"/>
  <c r="C46" i="2" s="1"/>
  <c r="C40" i="2"/>
  <c r="J16" i="2"/>
  <c r="J39" i="2"/>
  <c r="J43" i="2" s="1"/>
  <c r="L16" i="2"/>
  <c r="F15" i="2"/>
  <c r="G39" i="2"/>
  <c r="G43" i="2" s="1"/>
  <c r="N16" i="2"/>
  <c r="L43" i="2"/>
  <c r="O43" i="2"/>
  <c r="O40" i="2"/>
  <c r="N43" i="2"/>
  <c r="N44" i="2" s="1"/>
  <c r="N45" i="2" s="1"/>
  <c r="N46" i="2" s="1"/>
  <c r="N40" i="2"/>
  <c r="J40" i="2"/>
  <c r="M40" i="2"/>
  <c r="D39" i="2"/>
  <c r="D16" i="2"/>
  <c r="E40" i="2" l="1"/>
  <c r="I40" i="2"/>
  <c r="H43" i="2"/>
  <c r="H44" i="2" s="1"/>
  <c r="H45" i="2" s="1"/>
  <c r="H46" i="2" s="1"/>
  <c r="P104" i="2"/>
  <c r="P39" i="2"/>
  <c r="P16" i="2"/>
  <c r="B40" i="2"/>
  <c r="B43" i="2"/>
  <c r="B45" i="2" s="1"/>
  <c r="B46" i="2" s="1"/>
  <c r="K40" i="2"/>
  <c r="G40" i="2"/>
  <c r="F39" i="2"/>
  <c r="F16" i="2"/>
  <c r="O44" i="2"/>
  <c r="O45" i="2" s="1"/>
  <c r="O46" i="2" s="1"/>
  <c r="J44" i="2"/>
  <c r="J45" i="2" s="1"/>
  <c r="J46" i="2" s="1"/>
  <c r="E44" i="2"/>
  <c r="E45" i="2" s="1"/>
  <c r="E46" i="2" s="1"/>
  <c r="G44" i="2"/>
  <c r="G45" i="2" s="1"/>
  <c r="G46" i="2" s="1"/>
  <c r="M44" i="2"/>
  <c r="M45" i="2" s="1"/>
  <c r="M46" i="2" s="1"/>
  <c r="L44" i="2"/>
  <c r="L45" i="2" s="1"/>
  <c r="L46" i="2" s="1"/>
  <c r="D40" i="2"/>
  <c r="D43" i="2"/>
  <c r="P43" i="2"/>
  <c r="P44" i="2" s="1"/>
  <c r="P45" i="2" s="1"/>
  <c r="P46" i="2" s="1"/>
  <c r="P40" i="2"/>
  <c r="F43" i="2" l="1"/>
  <c r="F44" i="2" s="1"/>
  <c r="F45" i="2" s="1"/>
  <c r="F46" i="2" s="1"/>
  <c r="F40" i="2"/>
  <c r="D44" i="2"/>
  <c r="D45" i="2" s="1"/>
  <c r="D46" i="2" s="1"/>
  <c r="P87" i="2" l="1"/>
  <c r="P79" i="2"/>
  <c r="P66" i="2"/>
  <c r="P63" i="2"/>
  <c r="P62" i="2"/>
  <c r="P61" i="2"/>
  <c r="P52" i="2"/>
  <c r="P54" i="2"/>
  <c r="P56" i="2"/>
  <c r="P57" i="2"/>
  <c r="P67" i="2"/>
  <c r="P53" i="2"/>
  <c r="P58" i="2"/>
  <c r="P60" i="2"/>
  <c r="P86" i="2"/>
  <c r="P81" i="2"/>
  <c r="P82" i="2"/>
  <c r="P84" i="2"/>
  <c r="P83" i="2"/>
  <c r="P78" i="2"/>
  <c r="M94" i="2" l="1"/>
  <c r="F94" i="2" l="1"/>
  <c r="G94" i="2"/>
  <c r="I94" i="2"/>
  <c r="L94" i="2"/>
  <c r="E94" i="2"/>
  <c r="J94" i="2"/>
  <c r="H94" i="2"/>
  <c r="N94" i="2"/>
  <c r="P69" i="2"/>
  <c r="P70" i="2"/>
  <c r="O94" i="2"/>
  <c r="K94" i="2"/>
  <c r="P65" i="2" l="1"/>
  <c r="P94" i="2" s="1"/>
  <c r="D94" i="2"/>
  <c r="E95" i="2" l="1"/>
  <c r="E96" i="2" s="1"/>
  <c r="N95" i="2"/>
  <c r="N96" i="2" s="1"/>
  <c r="I95" i="2"/>
  <c r="I96" i="2" s="1"/>
  <c r="K95" i="2"/>
  <c r="K96" i="2" s="1"/>
  <c r="M95" i="2"/>
  <c r="M96" i="2" s="1"/>
  <c r="L95" i="2"/>
  <c r="L96" i="2" s="1"/>
  <c r="G95" i="2"/>
  <c r="G96" i="2" s="1"/>
  <c r="O95" i="2"/>
  <c r="O96" i="2" s="1"/>
  <c r="H95" i="2"/>
  <c r="H96" i="2" s="1"/>
  <c r="J95" i="2"/>
  <c r="J96" i="2" s="1"/>
  <c r="F95" i="2"/>
  <c r="F96" i="2" s="1"/>
  <c r="P76" i="2" l="1"/>
  <c r="P75" i="2" l="1"/>
  <c r="P74" i="2"/>
  <c r="P73" i="2"/>
  <c r="P72" i="2" l="1"/>
  <c r="P95" i="2" s="1"/>
  <c r="P96" i="2" s="1"/>
  <c r="D95" i="2"/>
  <c r="D96" i="2" s="1"/>
</calcChain>
</file>

<file path=xl/sharedStrings.xml><?xml version="1.0" encoding="utf-8"?>
<sst xmlns="http://schemas.openxmlformats.org/spreadsheetml/2006/main" count="503" uniqueCount="295">
  <si>
    <t>VPS LAKESHORE HOSPITAL  —  AOP INITIATIVE REGISTER  |  FY 2026–27  |  33 Initiatives</t>
  </si>
  <si>
    <t>One Growth Plan. Revenue ₹57,521L  |  EBITDA ₹14,879L  |  EBITDA Margin 25.9%  |  Growth vs FY26: +27.1%  |  Amounts in ₹ Lakhs</t>
  </si>
  <si>
    <t>#</t>
  </si>
  <si>
    <t>ID</t>
  </si>
  <si>
    <t>Initiative Name</t>
  </si>
  <si>
    <t>Category</t>
  </si>
  <si>
    <t>Start Month</t>
  </si>
  <si>
    <t>Opex ₹L/yr</t>
  </si>
  <si>
    <t>Capex ₹L</t>
  </si>
  <si>
    <t>Annual Impact</t>
  </si>
  <si>
    <t>REVENUE — PRICING &amp; YIELD</t>
  </si>
  <si>
    <t>R-01</t>
  </si>
  <si>
    <t>Annual Rate Revision Policy</t>
  </si>
  <si>
    <t>Revenue — Pricing &amp; Yield</t>
  </si>
  <si>
    <t>Apr-26</t>
  </si>
  <si>
    <t>—</t>
  </si>
  <si>
    <t>₹9.6 Cr</t>
  </si>
  <si>
    <t>R-02</t>
  </si>
  <si>
    <t>Procedure Contribution Framework</t>
  </si>
  <si>
    <t>₹2.5 Cr</t>
  </si>
  <si>
    <t>R-03</t>
  </si>
  <si>
    <t>Insurance Renegotiation &amp; Empanelment</t>
  </si>
  <si>
    <t>₹9.0 Cr</t>
  </si>
  <si>
    <t>REVENUE — NETWORK EXPANSION</t>
  </si>
  <si>
    <t>R-04</t>
  </si>
  <si>
    <t>Distributed Healthcare Network</t>
  </si>
  <si>
    <t>Revenue — Network Expansion</t>
  </si>
  <si>
    <t>May-26</t>
  </si>
  <si>
    <t>₹13.0 Cr</t>
  </si>
  <si>
    <t>R-05</t>
  </si>
  <si>
    <t>Corporate Health Programme</t>
  </si>
  <si>
    <t>₹5.0 Cr</t>
  </si>
  <si>
    <t>R-06</t>
  </si>
  <si>
    <t>Residential &amp; Community Outreach</t>
  </si>
  <si>
    <t>₹3.0 Cr</t>
  </si>
  <si>
    <t>REVENUE — REFERRAL DEVELOPMENT</t>
  </si>
  <si>
    <t>R-07</t>
  </si>
  <si>
    <t>International Medical Value Travel</t>
  </si>
  <si>
    <t>Revenue — Referral Development</t>
  </si>
  <si>
    <t>₹6.0 Cr</t>
  </si>
  <si>
    <t>R-08</t>
  </si>
  <si>
    <t>Govt Scheme Empanelment</t>
  </si>
  <si>
    <t>R-09</t>
  </si>
  <si>
    <t>Scaled BD Organisation &amp; Referral</t>
  </si>
  <si>
    <t>₹25.0 Cr</t>
  </si>
  <si>
    <t>R-10</t>
  </si>
  <si>
    <t>OP-IP Conversion &amp; Follow-Up</t>
  </si>
  <si>
    <t>₹4.0 Cr</t>
  </si>
  <si>
    <t>REVENUE — HIGH-VALUE SERVICES</t>
  </si>
  <si>
    <t>R-11</t>
  </si>
  <si>
    <t>Dept Organic Growth Initiative</t>
  </si>
  <si>
    <t>Revenue — High-Value Services</t>
  </si>
  <si>
    <t>₹8.0 Cr</t>
  </si>
  <si>
    <t>R-12</t>
  </si>
  <si>
    <t>New Specialties &amp; Packages</t>
  </si>
  <si>
    <t>₹11.0 Cr</t>
  </si>
  <si>
    <t>R-13</t>
  </si>
  <si>
    <t>Clinician Recruitment</t>
  </si>
  <si>
    <t>₹20.0 Cr</t>
  </si>
  <si>
    <t>REVENUE — MARKETING &amp; ACQUISITION</t>
  </si>
  <si>
    <t>R-14</t>
  </si>
  <si>
    <t>Quarterly Health Events</t>
  </si>
  <si>
    <t>Revenue — Marketing</t>
  </si>
  <si>
    <t>Sep-26</t>
  </si>
  <si>
    <t>₹1.5 Cr</t>
  </si>
  <si>
    <t>R-15</t>
  </si>
  <si>
    <t>Patient Acquisition &amp; Digital</t>
  </si>
  <si>
    <t>COST — MATERIALS / COGS</t>
  </si>
  <si>
    <t>C-01</t>
  </si>
  <si>
    <t>Drug Brand Substitution</t>
  </si>
  <si>
    <t>Cost — Materials/COGS</t>
  </si>
  <si>
    <t>₹3.00 Cr saving</t>
  </si>
  <si>
    <t>C-02</t>
  </si>
  <si>
    <t>Manufacturer Rate Contract</t>
  </si>
  <si>
    <t>₹1.30 Cr saving</t>
  </si>
  <si>
    <t>C-03</t>
  </si>
  <si>
    <t>Distributor Consolidation</t>
  </si>
  <si>
    <t>₹0.80 Cr saving</t>
  </si>
  <si>
    <t>C-04</t>
  </si>
  <si>
    <t>Surgical BOQ Standardisation</t>
  </si>
  <si>
    <t>Jun-26</t>
  </si>
  <si>
    <t>₹0.57 Cr saving</t>
  </si>
  <si>
    <t>C-05</t>
  </si>
  <si>
    <t>Inventory &amp; Wastage Control</t>
  </si>
  <si>
    <t>₹0.70 Cr saving</t>
  </si>
  <si>
    <t>C-06</t>
  </si>
  <si>
    <t>Laundry Cost Reduction</t>
  </si>
  <si>
    <t>Cost — Miscellaneous</t>
  </si>
  <si>
    <t>₹0.14 Cr saving</t>
  </si>
  <si>
    <t>C-07</t>
  </si>
  <si>
    <t>AMC Renegotiation</t>
  </si>
  <si>
    <t>₹0.28 Cr saving</t>
  </si>
  <si>
    <t>COST — PAYROLL</t>
  </si>
  <si>
    <t>C-08</t>
  </si>
  <si>
    <t>Nursing Headcount Norm</t>
  </si>
  <si>
    <t>Cost — Payroll</t>
  </si>
  <si>
    <t>₹1.50 Cr saving</t>
  </si>
  <si>
    <t>C-09</t>
  </si>
  <si>
    <t>Pharmacy Headcount Auto</t>
  </si>
  <si>
    <t>₹1.00 Cr saving</t>
  </si>
  <si>
    <t>C-10</t>
  </si>
  <si>
    <t>PCS Reduction via EMR</t>
  </si>
  <si>
    <t>₹0.50 Cr saving</t>
  </si>
  <si>
    <t>C-11</t>
  </si>
  <si>
    <t>Contract Staff Rebid</t>
  </si>
  <si>
    <t>₹0.38 Cr saving</t>
  </si>
  <si>
    <t>COST — MISCELLANEOUS</t>
  </si>
  <si>
    <t>C-12</t>
  </si>
  <si>
    <t>Creditor Days Extension</t>
  </si>
  <si>
    <t>₹0.20 Cr saving</t>
  </si>
  <si>
    <t>C-13</t>
  </si>
  <si>
    <t>Expense Analysis &amp; Discipline</t>
  </si>
  <si>
    <t>₹0.15 Cr saving</t>
  </si>
  <si>
    <t>CLINICAL EXCELLENCE</t>
  </si>
  <si>
    <t>CL-01</t>
  </si>
  <si>
    <t>Research &amp; Publications</t>
  </si>
  <si>
    <t>Clinical Excellence</t>
  </si>
  <si>
    <t>Reputational / referral</t>
  </si>
  <si>
    <t>CL-02</t>
  </si>
  <si>
    <t>Patient Care &amp; Experience</t>
  </si>
  <si>
    <t>CL-03</t>
  </si>
  <si>
    <t>Academic Excellence &amp; Med Ed</t>
  </si>
  <si>
    <t>CL-04</t>
  </si>
  <si>
    <t>Rare &amp; Complex Care</t>
  </si>
  <si>
    <t>CL-05</t>
  </si>
  <si>
    <t>Awards &amp; Accreditations</t>
  </si>
  <si>
    <t>VPS LAKESHORE HOSPITAL  —  MONTHLY PROFIT &amp; LOSS  |  FY 2026–27  (Annual Operating Plan — Single Growth Plan)</t>
  </si>
  <si>
    <t>P&amp;L Line</t>
  </si>
  <si>
    <t>FY26 Actual</t>
  </si>
  <si>
    <t>FY27 Plan</t>
  </si>
  <si>
    <t>Jul-26</t>
  </si>
  <si>
    <t>Aug-26</t>
  </si>
  <si>
    <t>Oct-26</t>
  </si>
  <si>
    <t>Nov-26</t>
  </si>
  <si>
    <t>Dec-26</t>
  </si>
  <si>
    <t>Jan-27</t>
  </si>
  <si>
    <t>Feb-27</t>
  </si>
  <si>
    <t>Mar-27</t>
  </si>
  <si>
    <t>FY27 Total</t>
  </si>
  <si>
    <t>REVENUE</t>
  </si>
  <si>
    <t>IP Revenue</t>
  </si>
  <si>
    <t>OP Revenue</t>
  </si>
  <si>
    <t>F&amp;B / VPS Gourmet</t>
  </si>
  <si>
    <t>Other Income</t>
  </si>
  <si>
    <t>Total Revenue</t>
  </si>
  <si>
    <t>VARIABLE COSTS</t>
  </si>
  <si>
    <t xml:space="preserve">  (-) Consumption / Drug &amp; Consumables</t>
  </si>
  <si>
    <t xml:space="preserve">  (-) Doctor Cost</t>
  </si>
  <si>
    <t>Total Variable Cost</t>
  </si>
  <si>
    <t>Contribution</t>
  </si>
  <si>
    <t xml:space="preserve">    Contribution Margin %</t>
  </si>
  <si>
    <t>FIXED COSTS</t>
  </si>
  <si>
    <t xml:space="preserve">  Employee Cost</t>
  </si>
  <si>
    <t xml:space="preserve">  Utilities &amp; Power</t>
  </si>
  <si>
    <t xml:space="preserve">  Lab Test Charges</t>
  </si>
  <si>
    <t xml:space="preserve">  Rent Paid</t>
  </si>
  <si>
    <t xml:space="preserve">  Repair &amp; Maintenance</t>
  </si>
  <si>
    <t xml:space="preserve">  Housekeeping</t>
  </si>
  <si>
    <t xml:space="preserve">  Security</t>
  </si>
  <si>
    <t xml:space="preserve">  Printing &amp; Stationery</t>
  </si>
  <si>
    <t xml:space="preserve">  Insurance</t>
  </si>
  <si>
    <t xml:space="preserve">  Rates &amp; Taxes</t>
  </si>
  <si>
    <t xml:space="preserve">  Professional Fee</t>
  </si>
  <si>
    <t xml:space="preserve">  Quality &amp; Infection</t>
  </si>
  <si>
    <t xml:space="preserve">  Bad Debts Provision</t>
  </si>
  <si>
    <t xml:space="preserve">  Marketing</t>
  </si>
  <si>
    <t xml:space="preserve">  Communication</t>
  </si>
  <si>
    <t xml:space="preserve">  Business Travel</t>
  </si>
  <si>
    <t xml:space="preserve">  Miscellaneous</t>
  </si>
  <si>
    <t xml:space="preserve">  CSR</t>
  </si>
  <si>
    <t>Total Fixed Cost</t>
  </si>
  <si>
    <t>EBITDA</t>
  </si>
  <si>
    <t xml:space="preserve">    EBITDA Margin %</t>
  </si>
  <si>
    <t xml:space="preserve">  (-) Depreciation</t>
  </si>
  <si>
    <t xml:space="preserve">  (-) Finance Cost</t>
  </si>
  <si>
    <t>PBT</t>
  </si>
  <si>
    <t xml:space="preserve">  (-) Tax @ 25.89%</t>
  </si>
  <si>
    <t>PAT</t>
  </si>
  <si>
    <t xml:space="preserve">    PAT Margin %</t>
  </si>
  <si>
    <t>INITIATIVE CONTRIBUTION — Monthly Phased Impact (₹L)  |  How ₹12,243L revenue growth and ₹1,051L cost savings are built up month-by-month</t>
  </si>
  <si>
    <t>Initiative</t>
  </si>
  <si>
    <t>Type</t>
  </si>
  <si>
    <t>Full-Year ₹L</t>
  </si>
  <si>
    <t>Total ₹L</t>
  </si>
  <si>
    <t>R-01 — Annual Rate Revision Policy</t>
  </si>
  <si>
    <t>Revenue uplift</t>
  </si>
  <si>
    <t>R-02 — Procedure Contribution Framework</t>
  </si>
  <si>
    <t>R-03 — Insurance Renegotiation &amp; Empanelment</t>
  </si>
  <si>
    <t>R-04 — Distributed Healthcare Network</t>
  </si>
  <si>
    <t>R-05 — Corporate Health Programme</t>
  </si>
  <si>
    <t>R-06 — Residential &amp; Community Outreach</t>
  </si>
  <si>
    <t>R-07 — International Medical Value Travel</t>
  </si>
  <si>
    <t>R-08 — Govt Scheme Empanelment</t>
  </si>
  <si>
    <t>R-09 — Scaled BD Organisation &amp; Referral</t>
  </si>
  <si>
    <t>R-10 — OP-IP Conversion &amp; Follow-Up</t>
  </si>
  <si>
    <t>R-11 — Dept Organic Growth Initiative</t>
  </si>
  <si>
    <t>R-12 — New Specialties &amp; Packages</t>
  </si>
  <si>
    <t>R-13 — Clinician Recruitment</t>
  </si>
  <si>
    <t>REVENUE — MARKETING</t>
  </si>
  <si>
    <t>R-14 — Quarterly Health Events</t>
  </si>
  <si>
    <t>R-15 — Patient Acquisition &amp; Digital</t>
  </si>
  <si>
    <t>COST — MATERIALS/COGS</t>
  </si>
  <si>
    <t>C-01 — Drug Brand Substitution</t>
  </si>
  <si>
    <t>Cost saving</t>
  </si>
  <si>
    <t>C-02 — Manufacturer Rate Contract</t>
  </si>
  <si>
    <t>C-03 — Distributor Consolidation</t>
  </si>
  <si>
    <t>C-04 — Surgical BOQ Standardisation</t>
  </si>
  <si>
    <t>C-05 — Inventory &amp; Wastage Control</t>
  </si>
  <si>
    <t>C-06 — Laundry Cost Reduction</t>
  </si>
  <si>
    <t>C-07 — AMC Renegotiation</t>
  </si>
  <si>
    <t>C-08 — Nursing Headcount Norm</t>
  </si>
  <si>
    <t>C-09 — Pharmacy Headcount Auto</t>
  </si>
  <si>
    <t>C-10 — PCS Reduction via EMR</t>
  </si>
  <si>
    <t>C-11 — Contract Staff Rebid</t>
  </si>
  <si>
    <t>C-12 — Creditor Days Extension</t>
  </si>
  <si>
    <t>C-13 — Expense Analysis &amp; Discipline</t>
  </si>
  <si>
    <t>CL-01 — Research &amp; Publications</t>
  </si>
  <si>
    <t>Clinical/Brand</t>
  </si>
  <si>
    <t>CL-02 — Patient Care &amp; Experience</t>
  </si>
  <si>
    <t>CL-03 — Academic Excellence &amp; Med Ed</t>
  </si>
  <si>
    <t>CL-04 — Rare &amp; Complex Care</t>
  </si>
  <si>
    <t>CL-05 — Awards &amp; Accreditations</t>
  </si>
  <si>
    <t>TOTAL REVENUE INITIATIVE IMPACT (₹L)</t>
  </si>
  <si>
    <t>TOTAL COST SAVING IMPACT (₹L)</t>
  </si>
  <si>
    <t>COMBINED EBITDA INITIATIVE IMPACT (₹L)</t>
  </si>
  <si>
    <t>All figures ₹ Lakhs</t>
  </si>
  <si>
    <t>Marketing Cost</t>
  </si>
  <si>
    <t>Professional Fee</t>
  </si>
  <si>
    <t>Employee Cost</t>
  </si>
  <si>
    <t>Doctor Cost</t>
  </si>
  <si>
    <t>Repair &amp; Maintenance</t>
  </si>
  <si>
    <t>Additional Cost to create Revenue Impact</t>
  </si>
  <si>
    <t>Department</t>
  </si>
  <si>
    <t>trim</t>
  </si>
  <si>
    <t>FY 2026-27</t>
  </si>
  <si>
    <t>ANESTHESIOLOGY</t>
  </si>
  <si>
    <t>AYURVEDA</t>
  </si>
  <si>
    <t>CARDIAC ANAESTHESIOLOGY</t>
  </si>
  <si>
    <t>CARDIO THORACIC SURGERY</t>
  </si>
  <si>
    <t>CARDIOLOGY</t>
  </si>
  <si>
    <t>CLINICAL NUTRITION</t>
  </si>
  <si>
    <t>COMPREHENSIVE LIVER CARE</t>
  </si>
  <si>
    <t xml:space="preserve">COMPREHENSIVE LIVER CARE - SUR </t>
  </si>
  <si>
    <t>CRITICAL CARE MEDICINE</t>
  </si>
  <si>
    <t>DENTAL</t>
  </si>
  <si>
    <t>DERMATOLOGY &amp; V D</t>
  </si>
  <si>
    <t>DIABETOLOGY</t>
  </si>
  <si>
    <t>DYSPHAGIA CLINIC</t>
  </si>
  <si>
    <t>EMERGENCY DEPARTMENT</t>
  </si>
  <si>
    <t>ENDOCRINOLOGY</t>
  </si>
  <si>
    <t>ENT</t>
  </si>
  <si>
    <t>EXTERNAL DOCTOR</t>
  </si>
  <si>
    <t>FAMILY MEDICINE</t>
  </si>
  <si>
    <t>GASTROENTEROLOGY</t>
  </si>
  <si>
    <t>GENERAL MEDICINE</t>
  </si>
  <si>
    <t>GI SURGERY</t>
  </si>
  <si>
    <t>GYNAECOLOGY</t>
  </si>
  <si>
    <t>HEAD AND NECK ONCOLOGY</t>
  </si>
  <si>
    <t>INFECTIOUS DISEASES</t>
  </si>
  <si>
    <t>JOINT REPLACEMENT &amp; SPORTS MED</t>
  </si>
  <si>
    <t>LABORATORY</t>
  </si>
  <si>
    <t>MEDICAL ONCOLOGY</t>
  </si>
  <si>
    <t>MINIMALLY INVASIVE SURGERY</t>
  </si>
  <si>
    <t>NEONATAL ICU</t>
  </si>
  <si>
    <t>NEPHROLOGY</t>
  </si>
  <si>
    <t>NEURO &amp; VASCULAR INTERVENTIONAL RADIOLOGY</t>
  </si>
  <si>
    <t>NEURO SURGERY</t>
  </si>
  <si>
    <t>NEUROLOGY</t>
  </si>
  <si>
    <t>NUCLEAR MEDICINE</t>
  </si>
  <si>
    <t>OB &amp; GYNEC.</t>
  </si>
  <si>
    <t>OPHTHALMOLOGY</t>
  </si>
  <si>
    <t>ORTHOPEDICS</t>
  </si>
  <si>
    <t>ORTHOPEDICS - DIVISION OF FOOT ANKLE &amp; PODIATRY</t>
  </si>
  <si>
    <t>ORTHOPEDICS - DIVISION OF ORTHOPEDIC ONCOLOGY</t>
  </si>
  <si>
    <t>PALLIATIVE &amp; PAIN MANAGEMENT</t>
  </si>
  <si>
    <t>PEDIATRICS</t>
  </si>
  <si>
    <t>PHYSIOTHERAPY</t>
  </si>
  <si>
    <t>PLASTIC SURGERY</t>
  </si>
  <si>
    <t>PSYCHIATRY</t>
  </si>
  <si>
    <t>PULMONARY CRITICAL CARE AND SLEEP MEDICINE</t>
  </si>
  <si>
    <t>PULMONOLOGY</t>
  </si>
  <si>
    <t>RADIATION ONCOLOGY</t>
  </si>
  <si>
    <t>RADIOLOGY</t>
  </si>
  <si>
    <t>RHEUMATOLOGY &amp; GEN. MEDICINE</t>
  </si>
  <si>
    <t>SPINE SURGERY</t>
  </si>
  <si>
    <t>SURGICAL ONCOLOGY</t>
  </si>
  <si>
    <t>UROLOGY</t>
  </si>
  <si>
    <t>General</t>
  </si>
  <si>
    <t>Microbiology</t>
  </si>
  <si>
    <t>critical care</t>
  </si>
  <si>
    <t>Sponsorship Revenue</t>
  </si>
  <si>
    <t>OVERALL IMPACT</t>
  </si>
  <si>
    <t>PALLIATIVE MEDICINE</t>
  </si>
  <si>
    <t>INTERVENTIONAL RADIOLOGY</t>
  </si>
  <si>
    <t>Toral Clinical Department Revenue (Kochi+ Calicut)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</si>
</sst>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,##0.0"/>
    <numFmt numFmtId="165" formatCode="0.0%"/>
  </numFmts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8"/>
      <color rgb="FFFFFFFF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9"/>
      <color rgb="FF595959"/>
      <name val="Calibri"/>
    </font>
    <font>
      <b/>
      <sz val="9"/>
      <color rgb="FF1F3864"/>
      <name val="Calibri"/>
    </font>
    <font>
      <b/>
      <sz val="9"/>
      <color rgb="FF007820"/>
      <name val="Calibri"/>
    </font>
    <font>
      <b/>
      <sz val="10"/>
      <color rgb="FFFFFFFF"/>
      <name val="Calibri"/>
    </font>
    <font>
      <sz val="8"/>
      <color rgb="FF595959"/>
      <name val="Calibri"/>
    </font>
    <font>
      <sz val="9"/>
      <color rgb="FF1F3864"/>
      <name val="Calibri"/>
    </font>
    <font>
      <sz val="9"/>
      <color rgb="FF007820"/>
      <name val="Calibri"/>
    </font>
    <font>
      <b/>
      <sz val="9"/>
      <color rgb="FF595959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8A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2E7A2E"/>
      </patternFill>
    </fill>
    <fill>
      <patternFill patternType="solid">
        <fgColor rgb="FFD9EAD3"/>
      </patternFill>
    </fill>
    <fill>
      <patternFill patternType="solid">
        <fgColor rgb="FF967220"/>
      </patternFill>
    </fill>
    <fill>
      <patternFill patternType="solid">
        <fgColor rgb="FFFFF8DC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8FC"/>
      </patternFill>
    </fill>
    <fill>
      <patternFill patternType="solid">
        <fgColor rgb="FFF2F2F2"/>
      </patternFill>
    </fill>
    <fill>
      <patternFill patternType="solid">
        <fgColor rgb="FFD5ED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76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 wrapText="1"/>
    </xf>
    <xf numFmtId="0" fontId="7" fillId="9" borderId="0" xfId="0" applyFont="1" applyFill="1" applyAlignment="1">
      <alignment horizontal="left" vertical="center"/>
    </xf>
    <xf numFmtId="0" fontId="5" fillId="9" borderId="0" xfId="0" applyFont="1" applyFill="1" applyAlignment="1">
      <alignment horizontal="right" vertical="center"/>
    </xf>
    <xf numFmtId="0" fontId="8" fillId="9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right" vertical="center"/>
    </xf>
    <xf numFmtId="0" fontId="8" fillId="10" borderId="0" xfId="0" applyFont="1" applyFill="1" applyAlignment="1">
      <alignment horizontal="left" vertical="center"/>
    </xf>
    <xf numFmtId="164" fontId="8" fillId="10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right" vertical="center"/>
    </xf>
    <xf numFmtId="0" fontId="5" fillId="12" borderId="0" xfId="0" applyFont="1" applyFill="1" applyAlignment="1">
      <alignment horizontal="left" vertical="center"/>
    </xf>
    <xf numFmtId="164" fontId="5" fillId="12" borderId="0" xfId="0" applyNumberFormat="1" applyFont="1" applyFill="1" applyAlignment="1">
      <alignment horizontal="right" vertical="center"/>
    </xf>
    <xf numFmtId="0" fontId="6" fillId="13" borderId="0" xfId="0" applyFont="1" applyFill="1" applyAlignment="1">
      <alignment horizontal="left" vertical="center"/>
    </xf>
    <xf numFmtId="164" fontId="6" fillId="13" borderId="0" xfId="0" applyNumberFormat="1" applyFont="1" applyFill="1" applyAlignment="1">
      <alignment horizontal="right" vertical="center"/>
    </xf>
    <xf numFmtId="165" fontId="5" fillId="5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11" fillId="5" borderId="0" xfId="0" applyFont="1" applyFill="1" applyAlignment="1">
      <alignment horizontal="left" vertical="center"/>
    </xf>
    <xf numFmtId="164" fontId="8" fillId="5" borderId="0" xfId="0" applyNumberFormat="1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0" fontId="11" fillId="4" borderId="0" xfId="0" applyFont="1" applyFill="1" applyAlignment="1">
      <alignment horizontal="left" vertical="center"/>
    </xf>
    <xf numFmtId="164" fontId="8" fillId="4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164" fontId="9" fillId="7" borderId="0" xfId="0" applyNumberFormat="1" applyFont="1" applyFill="1" applyAlignment="1">
      <alignment horizontal="right" vertical="center"/>
    </xf>
    <xf numFmtId="164" fontId="13" fillId="7" borderId="0" xfId="0" applyNumberFormat="1" applyFont="1" applyFill="1" applyAlignment="1">
      <alignment horizontal="right" vertical="center"/>
    </xf>
    <xf numFmtId="164" fontId="9" fillId="4" borderId="0" xfId="0" applyNumberFormat="1" applyFont="1" applyFill="1" applyAlignment="1">
      <alignment horizontal="right" vertical="center"/>
    </xf>
    <xf numFmtId="164" fontId="14" fillId="4" borderId="0" xfId="0" applyNumberFormat="1" applyFont="1" applyFill="1" applyAlignment="1">
      <alignment horizontal="right" vertical="center"/>
    </xf>
    <xf numFmtId="164" fontId="7" fillId="4" borderId="0" xfId="0" applyNumberFormat="1" applyFont="1" applyFill="1" applyAlignment="1">
      <alignment horizontal="right" vertical="center"/>
    </xf>
    <xf numFmtId="0" fontId="5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164" fontId="14" fillId="9" borderId="0" xfId="0" applyNumberFormat="1" applyFont="1" applyFill="1" applyAlignment="1">
      <alignment horizontal="right" vertical="center"/>
    </xf>
    <xf numFmtId="164" fontId="7" fillId="9" borderId="0" xfId="0" applyNumberFormat="1" applyFont="1" applyFill="1" applyAlignment="1">
      <alignment horizontal="right" vertical="center"/>
    </xf>
    <xf numFmtId="0" fontId="0" fillId="10" borderId="0" xfId="0" applyFill="1"/>
    <xf numFmtId="0" fontId="9" fillId="14" borderId="0" xfId="0" applyFont="1" applyFill="1" applyAlignment="1">
      <alignment horizontal="left" vertical="center"/>
    </xf>
    <xf numFmtId="0" fontId="0" fillId="14" borderId="0" xfId="0" applyFill="1"/>
    <xf numFmtId="164" fontId="9" fillId="14" borderId="0" xfId="0" applyNumberFormat="1" applyFont="1" applyFill="1" applyAlignment="1">
      <alignment horizontal="right" vertical="center"/>
    </xf>
    <xf numFmtId="0" fontId="0" fillId="2" borderId="0" xfId="0" applyFill="1"/>
    <xf numFmtId="164" fontId="3" fillId="2" borderId="0" xfId="0" applyNumberFormat="1" applyFont="1" applyFill="1" applyAlignment="1">
      <alignment horizontal="right" vertical="center"/>
    </xf>
    <xf numFmtId="0" fontId="4" fillId="11" borderId="0" xfId="0" applyFont="1" applyFill="1" applyAlignment="1">
      <alignment vertical="center"/>
    </xf>
    <xf numFmtId="0" fontId="15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4"/>
  <sheetViews>
    <sheetView tabSelected="1" zoomScale="80" workbookViewId="0">
      <selection activeCell="Q36" sqref="Q36"/>
    </sheetView>
  </sheetViews>
  <sheetFormatPr defaultRowHeight="14.5" x14ac:dyDescent="0.35"/>
  <cols>
    <col min="1" max="1" width="33" customWidth="1"/>
    <col min="2" max="3" width="11" customWidth="1"/>
    <col min="4" max="15" width="9" customWidth="1"/>
    <col min="16" max="16" width="11" customWidth="1"/>
  </cols>
  <sheetData>
    <row r="1" spans="1:17" ht="22" customHeight="1" x14ac:dyDescent="0.35">
      <c r="A1" s="67" t="s">
        <v>126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17" ht="14" customHeight="1" x14ac:dyDescent="0.35">
      <c r="A2" s="70" t="s">
        <v>225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</row>
    <row r="3" spans="1:17" ht="16" customHeight="1" x14ac:dyDescent="0.35">
      <c r="A3" s="2" t="s">
        <v>127</v>
      </c>
      <c r="B3" s="28" t="s">
        <v>128</v>
      </c>
      <c r="C3" s="28" t="s">
        <v>129</v>
      </c>
      <c r="D3" s="28" t="s">
        <v>14</v>
      </c>
      <c r="E3" s="28" t="s">
        <v>27</v>
      </c>
      <c r="F3" s="28" t="s">
        <v>80</v>
      </c>
      <c r="G3" s="28" t="s">
        <v>130</v>
      </c>
      <c r="H3" s="28" t="s">
        <v>131</v>
      </c>
      <c r="I3" s="28" t="s">
        <v>63</v>
      </c>
      <c r="J3" s="28" t="s">
        <v>132</v>
      </c>
      <c r="K3" s="28" t="s">
        <v>133</v>
      </c>
      <c r="L3" s="28" t="s">
        <v>134</v>
      </c>
      <c r="M3" s="28" t="s">
        <v>135</v>
      </c>
      <c r="N3" s="28" t="s">
        <v>136</v>
      </c>
      <c r="O3" s="28" t="s">
        <v>137</v>
      </c>
      <c r="P3" s="28" t="s">
        <v>138</v>
      </c>
    </row>
    <row r="4" spans="1:17" ht="12" customHeight="1" x14ac:dyDescent="0.35">
      <c r="A4" s="72" t="s">
        <v>139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7" ht="14" customHeight="1" x14ac:dyDescent="0.35">
      <c r="A5" s="29" t="s">
        <v>140</v>
      </c>
      <c r="B5" s="30">
        <v>31154.530348400003</v>
      </c>
      <c r="C5" s="30">
        <v>39854.1</v>
      </c>
      <c r="D5" s="30">
        <v>2508.8199115451516</v>
      </c>
      <c r="E5" s="30">
        <v>2940.1269244425634</v>
      </c>
      <c r="F5" s="30">
        <v>2677.0407899202664</v>
      </c>
      <c r="G5" s="30">
        <v>3202.5014450640138</v>
      </c>
      <c r="H5" s="30">
        <v>3380.3134879562626</v>
      </c>
      <c r="I5" s="30">
        <v>3426.7723126714623</v>
      </c>
      <c r="J5" s="30">
        <v>3458.3772034798253</v>
      </c>
      <c r="K5" s="30">
        <v>3149.7677644256078</v>
      </c>
      <c r="L5" s="30">
        <v>3464.4308837477242</v>
      </c>
      <c r="M5" s="30">
        <v>3463.4666753946449</v>
      </c>
      <c r="N5" s="30">
        <v>3691.2592846572807</v>
      </c>
      <c r="O5" s="30">
        <v>3680.4322485932989</v>
      </c>
      <c r="P5" s="30">
        <f>SUM(D5:O5)</f>
        <v>39043.3089318981</v>
      </c>
      <c r="Q5" s="66">
        <f>+C5-P5</f>
        <v>810.79106810189842</v>
      </c>
    </row>
    <row r="6" spans="1:17" ht="14" customHeight="1" x14ac:dyDescent="0.35">
      <c r="A6" s="29" t="s">
        <v>141</v>
      </c>
      <c r="B6" s="30">
        <v>12160.815632200001</v>
      </c>
      <c r="C6" s="30">
        <v>14519.5</v>
      </c>
      <c r="D6" s="30">
        <v>1040.5410634553268</v>
      </c>
      <c r="E6" s="30">
        <v>1147.4031236679996</v>
      </c>
      <c r="F6" s="30">
        <v>1139.3424043118303</v>
      </c>
      <c r="G6" s="30">
        <v>1334.2451975053</v>
      </c>
      <c r="H6" s="30">
        <v>1390.9932492515647</v>
      </c>
      <c r="I6" s="30">
        <v>1401.8373557634159</v>
      </c>
      <c r="J6" s="30">
        <v>1332.2288296158588</v>
      </c>
      <c r="K6" s="30">
        <v>1257.119777217031</v>
      </c>
      <c r="L6" s="30">
        <v>1387.2951210377248</v>
      </c>
      <c r="M6" s="30">
        <v>1619.0390243381269</v>
      </c>
      <c r="N6" s="30">
        <v>1498.0958159405898</v>
      </c>
      <c r="O6" s="30">
        <v>1552.956350937352</v>
      </c>
      <c r="P6" s="30">
        <f t="shared" ref="P6:P8" si="0">SUM(D6:O6)</f>
        <v>16101.097313042119</v>
      </c>
      <c r="Q6" s="66">
        <f t="shared" ref="Q6:Q8" si="1">+C6-P6</f>
        <v>-1581.5973130421189</v>
      </c>
    </row>
    <row r="7" spans="1:17" ht="14" customHeight="1" x14ac:dyDescent="0.35">
      <c r="A7" s="29" t="s">
        <v>142</v>
      </c>
      <c r="B7" s="30">
        <v>1718.1766884000003</v>
      </c>
      <c r="C7" s="30">
        <v>2222.6999999999998</v>
      </c>
      <c r="D7" s="30">
        <v>173.49165626000001</v>
      </c>
      <c r="E7" s="30">
        <v>184.16743137000003</v>
      </c>
      <c r="F7" s="30">
        <v>170.62750432000004</v>
      </c>
      <c r="G7" s="30">
        <v>199.40403405000001</v>
      </c>
      <c r="H7" s="30">
        <v>198.85525166000002</v>
      </c>
      <c r="I7" s="30">
        <v>192.31309305000002</v>
      </c>
      <c r="J7" s="30">
        <v>190.94182835000001</v>
      </c>
      <c r="K7" s="30">
        <v>178.97943465999998</v>
      </c>
      <c r="L7" s="30">
        <v>184.33561548999998</v>
      </c>
      <c r="M7" s="30">
        <v>202.24479054000003</v>
      </c>
      <c r="N7" s="30">
        <v>184.73099255000002</v>
      </c>
      <c r="O7" s="30">
        <v>174.34980862</v>
      </c>
      <c r="P7" s="30">
        <f t="shared" si="0"/>
        <v>2234.4414409199999</v>
      </c>
      <c r="Q7" s="66">
        <f t="shared" si="1"/>
        <v>-11.741440920000059</v>
      </c>
    </row>
    <row r="8" spans="1:17" ht="14" customHeight="1" x14ac:dyDescent="0.35">
      <c r="A8" s="29" t="s">
        <v>143</v>
      </c>
      <c r="B8" s="30">
        <v>875.59769820000008</v>
      </c>
      <c r="C8" s="30">
        <v>925.1</v>
      </c>
      <c r="D8" s="30">
        <v>67.825233066645808</v>
      </c>
      <c r="E8" s="30">
        <v>75.632337233312469</v>
      </c>
      <c r="F8" s="30">
        <v>76.13533723331247</v>
      </c>
      <c r="G8" s="30">
        <v>77.196337233312477</v>
      </c>
      <c r="H8" s="30">
        <v>76.885837233312472</v>
      </c>
      <c r="I8" s="30">
        <v>78.208837233312479</v>
      </c>
      <c r="J8" s="30">
        <v>77.970337233312478</v>
      </c>
      <c r="K8" s="30">
        <v>78.930337233312471</v>
      </c>
      <c r="L8" s="30">
        <v>79.060337233312481</v>
      </c>
      <c r="M8" s="30">
        <v>78.376337233312469</v>
      </c>
      <c r="N8" s="30">
        <v>79.639837233312477</v>
      </c>
      <c r="O8" s="30">
        <v>79.182837233312469</v>
      </c>
      <c r="P8" s="30">
        <f t="shared" si="0"/>
        <v>925.04394263308302</v>
      </c>
      <c r="Q8" s="66">
        <f t="shared" si="1"/>
        <v>5.6057366917002582E-2</v>
      </c>
    </row>
    <row r="9" spans="1:17" ht="14" customHeight="1" x14ac:dyDescent="0.35">
      <c r="A9" s="31" t="s">
        <v>144</v>
      </c>
      <c r="B9" s="32">
        <f>SUM(B5:B8)</f>
        <v>45909.120367200005</v>
      </c>
      <c r="C9" s="32">
        <f t="shared" ref="C9:P9" si="2">SUM(C5:C8)</f>
        <v>57521.399999999994</v>
      </c>
      <c r="D9" s="32">
        <f t="shared" si="2"/>
        <v>3790.6778643271246</v>
      </c>
      <c r="E9" s="32">
        <f t="shared" si="2"/>
        <v>4347.3298167138755</v>
      </c>
      <c r="F9" s="32">
        <f t="shared" si="2"/>
        <v>4063.1460357854089</v>
      </c>
      <c r="G9" s="32">
        <f t="shared" si="2"/>
        <v>4813.3470138526254</v>
      </c>
      <c r="H9" s="32">
        <f t="shared" si="2"/>
        <v>5047.0478261011403</v>
      </c>
      <c r="I9" s="32">
        <f t="shared" si="2"/>
        <v>5099.1315987181906</v>
      </c>
      <c r="J9" s="32">
        <f t="shared" si="2"/>
        <v>5059.5181986789967</v>
      </c>
      <c r="K9" s="32">
        <f t="shared" si="2"/>
        <v>4664.7973135359516</v>
      </c>
      <c r="L9" s="32">
        <f t="shared" si="2"/>
        <v>5115.1219575087616</v>
      </c>
      <c r="M9" s="32">
        <f t="shared" si="2"/>
        <v>5363.1268275060847</v>
      </c>
      <c r="N9" s="32">
        <f t="shared" si="2"/>
        <v>5453.7259303811834</v>
      </c>
      <c r="O9" s="32">
        <f t="shared" si="2"/>
        <v>5486.9212453839627</v>
      </c>
      <c r="P9" s="32">
        <f t="shared" si="2"/>
        <v>58303.891628493308</v>
      </c>
    </row>
    <row r="11" spans="1:17" ht="12" customHeight="1" x14ac:dyDescent="0.35">
      <c r="A11" s="64" t="s">
        <v>145</v>
      </c>
    </row>
    <row r="12" spans="1:17" ht="14" customHeight="1" x14ac:dyDescent="0.35">
      <c r="A12" s="33" t="s">
        <v>146</v>
      </c>
      <c r="B12" s="34">
        <v>13709.978129072511</v>
      </c>
      <c r="C12" s="34">
        <v>15525</v>
      </c>
      <c r="D12" s="34">
        <v>984.32338192960219</v>
      </c>
      <c r="E12" s="34">
        <v>1304.5698619062296</v>
      </c>
      <c r="F12" s="34">
        <v>1273.1125314652522</v>
      </c>
      <c r="G12" s="34">
        <v>1455.0424745383657</v>
      </c>
      <c r="H12" s="34">
        <v>1389.1119889932711</v>
      </c>
      <c r="I12" s="34">
        <v>1318.3604913998504</v>
      </c>
      <c r="J12" s="34">
        <v>1397.2937088018552</v>
      </c>
      <c r="K12" s="34">
        <v>1227.8823222923011</v>
      </c>
      <c r="L12" s="34">
        <v>1312.38666519546</v>
      </c>
      <c r="M12" s="34">
        <v>1411.6707706978418</v>
      </c>
      <c r="N12" s="34">
        <v>1333.099705558167</v>
      </c>
      <c r="O12" s="34">
        <v>1187.5003509806279</v>
      </c>
      <c r="P12" s="30">
        <f t="shared" ref="P12:P13" si="3">SUM(D12:O12)</f>
        <v>15594.354253758826</v>
      </c>
      <c r="Q12" s="66">
        <f t="shared" ref="Q12:Q15" si="4">+C12-P12</f>
        <v>-69.354253758825507</v>
      </c>
    </row>
    <row r="13" spans="1:17" ht="14" customHeight="1" x14ac:dyDescent="0.35">
      <c r="A13" s="35" t="s">
        <v>147</v>
      </c>
      <c r="B13" s="36">
        <v>7978.2619825000002</v>
      </c>
      <c r="C13" s="36">
        <v>9908</v>
      </c>
      <c r="D13" s="36">
        <v>775.87939835557006</v>
      </c>
      <c r="E13" s="36">
        <v>785.55608271855908</v>
      </c>
      <c r="F13" s="36">
        <v>763.70089295797277</v>
      </c>
      <c r="G13" s="36">
        <v>833.61879008998631</v>
      </c>
      <c r="H13" s="36">
        <v>834.81225763890768</v>
      </c>
      <c r="I13" s="36">
        <v>839.9255821849938</v>
      </c>
      <c r="J13" s="36">
        <v>812.50894938926513</v>
      </c>
      <c r="K13" s="36">
        <v>821.79425657171407</v>
      </c>
      <c r="L13" s="36">
        <v>855.43760530633017</v>
      </c>
      <c r="M13" s="36">
        <v>868.20104665761994</v>
      </c>
      <c r="N13" s="36">
        <v>848.62279147359664</v>
      </c>
      <c r="O13" s="36">
        <v>867.95339003292918</v>
      </c>
      <c r="P13" s="30">
        <f t="shared" si="3"/>
        <v>9908.0110433774462</v>
      </c>
      <c r="Q13" s="66">
        <f t="shared" si="4"/>
        <v>-1.1043377446185332E-2</v>
      </c>
    </row>
    <row r="14" spans="1:17" ht="14" customHeight="1" x14ac:dyDescent="0.35">
      <c r="A14" s="37" t="s">
        <v>148</v>
      </c>
      <c r="B14" s="38">
        <f>+B12+B13</f>
        <v>21688.240111572512</v>
      </c>
      <c r="C14" s="38">
        <f t="shared" ref="C14:P14" si="5">+C12+C13</f>
        <v>25433</v>
      </c>
      <c r="D14" s="38">
        <f t="shared" si="5"/>
        <v>1760.2027802851721</v>
      </c>
      <c r="E14" s="38">
        <f t="shared" si="5"/>
        <v>2090.1259446247886</v>
      </c>
      <c r="F14" s="38">
        <f t="shared" si="5"/>
        <v>2036.8134244232251</v>
      </c>
      <c r="G14" s="38">
        <f t="shared" si="5"/>
        <v>2288.661264628352</v>
      </c>
      <c r="H14" s="38">
        <f t="shared" si="5"/>
        <v>2223.9242466321789</v>
      </c>
      <c r="I14" s="38">
        <f t="shared" si="5"/>
        <v>2158.2860735848444</v>
      </c>
      <c r="J14" s="38">
        <f t="shared" si="5"/>
        <v>2209.8026581911204</v>
      </c>
      <c r="K14" s="38">
        <f t="shared" si="5"/>
        <v>2049.676578864015</v>
      </c>
      <c r="L14" s="38">
        <f t="shared" si="5"/>
        <v>2167.8242705017901</v>
      </c>
      <c r="M14" s="38">
        <f t="shared" si="5"/>
        <v>2279.8718173554616</v>
      </c>
      <c r="N14" s="38">
        <f t="shared" si="5"/>
        <v>2181.7224970317639</v>
      </c>
      <c r="O14" s="38">
        <f t="shared" si="5"/>
        <v>2055.4537410135572</v>
      </c>
      <c r="P14" s="38">
        <f t="shared" si="5"/>
        <v>25502.365297136272</v>
      </c>
    </row>
    <row r="15" spans="1:17" ht="14" customHeight="1" x14ac:dyDescent="0.35">
      <c r="A15" s="31" t="s">
        <v>149</v>
      </c>
      <c r="B15" s="32">
        <f>+B9-B14</f>
        <v>24220.880255627493</v>
      </c>
      <c r="C15" s="32">
        <f t="shared" ref="C15:P15" si="6">+C9-C14</f>
        <v>32088.399999999994</v>
      </c>
      <c r="D15" s="32">
        <f t="shared" si="6"/>
        <v>2030.4750840419524</v>
      </c>
      <c r="E15" s="32">
        <f t="shared" si="6"/>
        <v>2257.2038720890869</v>
      </c>
      <c r="F15" s="32">
        <f t="shared" si="6"/>
        <v>2026.3326113621838</v>
      </c>
      <c r="G15" s="32">
        <f t="shared" si="6"/>
        <v>2524.6857492242734</v>
      </c>
      <c r="H15" s="32">
        <f t="shared" si="6"/>
        <v>2823.1235794689615</v>
      </c>
      <c r="I15" s="32">
        <f t="shared" si="6"/>
        <v>2940.8455251333462</v>
      </c>
      <c r="J15" s="32">
        <f t="shared" si="6"/>
        <v>2849.7155404878763</v>
      </c>
      <c r="K15" s="32">
        <f t="shared" si="6"/>
        <v>2615.1207346719366</v>
      </c>
      <c r="L15" s="32">
        <f t="shared" si="6"/>
        <v>2947.2976870069715</v>
      </c>
      <c r="M15" s="32">
        <f t="shared" si="6"/>
        <v>3083.2550101506231</v>
      </c>
      <c r="N15" s="32">
        <f t="shared" si="6"/>
        <v>3272.0034333494195</v>
      </c>
      <c r="O15" s="32">
        <f t="shared" si="6"/>
        <v>3431.4675043704055</v>
      </c>
      <c r="P15" s="32">
        <f t="shared" si="6"/>
        <v>32801.526331357032</v>
      </c>
      <c r="Q15" s="66">
        <f t="shared" si="4"/>
        <v>-713.126331357038</v>
      </c>
    </row>
    <row r="16" spans="1:17" ht="14" customHeight="1" x14ac:dyDescent="0.35">
      <c r="A16" s="29" t="s">
        <v>150</v>
      </c>
      <c r="B16" s="39">
        <f>+B15/B9</f>
        <v>0.52758319179062774</v>
      </c>
      <c r="C16" s="39">
        <f t="shared" ref="C16:P16" si="7">+C15/C9</f>
        <v>0.55785151265442079</v>
      </c>
      <c r="D16" s="39">
        <f t="shared" si="7"/>
        <v>0.5356496006031306</v>
      </c>
      <c r="E16" s="39">
        <f t="shared" si="7"/>
        <v>0.519216155031756</v>
      </c>
      <c r="F16" s="39">
        <f t="shared" si="7"/>
        <v>0.49871025887714426</v>
      </c>
      <c r="G16" s="39">
        <f t="shared" si="7"/>
        <v>0.52451770918621199</v>
      </c>
      <c r="H16" s="39">
        <f t="shared" si="7"/>
        <v>0.55936136861414154</v>
      </c>
      <c r="I16" s="39">
        <f t="shared" si="7"/>
        <v>0.57673458082011653</v>
      </c>
      <c r="J16" s="39">
        <f t="shared" si="7"/>
        <v>0.56323851967405048</v>
      </c>
      <c r="K16" s="39">
        <f t="shared" si="7"/>
        <v>0.56060758033014202</v>
      </c>
      <c r="L16" s="39">
        <f t="shared" si="7"/>
        <v>0.57619304319430253</v>
      </c>
      <c r="M16" s="39">
        <f t="shared" si="7"/>
        <v>0.57489876881848267</v>
      </c>
      <c r="N16" s="39">
        <f t="shared" si="7"/>
        <v>0.59995743737726215</v>
      </c>
      <c r="O16" s="39">
        <f t="shared" si="7"/>
        <v>0.62539033292253476</v>
      </c>
      <c r="P16" s="39">
        <f t="shared" si="7"/>
        <v>0.56259583048701356</v>
      </c>
    </row>
    <row r="18" spans="1:17" ht="12" customHeight="1" x14ac:dyDescent="0.35">
      <c r="A18" s="64" t="s">
        <v>151</v>
      </c>
    </row>
    <row r="19" spans="1:17" ht="14" customHeight="1" x14ac:dyDescent="0.35">
      <c r="A19" s="35" t="s">
        <v>152</v>
      </c>
      <c r="B19" s="36">
        <v>7510.1356062307414</v>
      </c>
      <c r="C19" s="36">
        <v>8900.5</v>
      </c>
      <c r="D19" s="36">
        <v>604.65967477054585</v>
      </c>
      <c r="E19" s="36">
        <v>684.71744838619793</v>
      </c>
      <c r="F19" s="36">
        <v>672.98386201645974</v>
      </c>
      <c r="G19" s="36">
        <v>686.16605023485533</v>
      </c>
      <c r="H19" s="36">
        <v>678.62659929785718</v>
      </c>
      <c r="I19" s="36">
        <v>742.92866905275537</v>
      </c>
      <c r="J19" s="36">
        <v>702.41711223971276</v>
      </c>
      <c r="K19" s="36">
        <v>649.70163657020919</v>
      </c>
      <c r="L19" s="36">
        <v>677.25696732986864</v>
      </c>
      <c r="M19" s="36">
        <v>664.0711910046773</v>
      </c>
      <c r="N19" s="36">
        <v>700.82979894768891</v>
      </c>
      <c r="O19" s="36">
        <v>728.01067954231235</v>
      </c>
      <c r="P19" s="30">
        <f t="shared" ref="P19:P36" si="8">SUM(D19:O19)</f>
        <v>8192.369689393141</v>
      </c>
      <c r="Q19" s="66">
        <f t="shared" ref="Q19:Q36" si="9">+C19-P19</f>
        <v>708.13031060685898</v>
      </c>
    </row>
    <row r="20" spans="1:17" ht="14" customHeight="1" x14ac:dyDescent="0.35">
      <c r="A20" s="33" t="s">
        <v>153</v>
      </c>
      <c r="B20" s="34">
        <v>1190.7440199999999</v>
      </c>
      <c r="C20" s="34">
        <v>1445.9</v>
      </c>
      <c r="D20" s="34">
        <v>111.9791625</v>
      </c>
      <c r="E20" s="34">
        <v>120.71051287499999</v>
      </c>
      <c r="F20" s="34">
        <v>130.04613750000001</v>
      </c>
      <c r="G20" s="34">
        <v>122.673023125</v>
      </c>
      <c r="H20" s="34">
        <v>113.41351250000001</v>
      </c>
      <c r="I20" s="34">
        <v>122.8913625</v>
      </c>
      <c r="J20" s="34">
        <v>136.0537625</v>
      </c>
      <c r="K20" s="34">
        <v>111.1059875</v>
      </c>
      <c r="L20" s="34">
        <v>123.16018999999999</v>
      </c>
      <c r="M20" s="34">
        <v>132.28163275</v>
      </c>
      <c r="N20" s="34">
        <v>113.3776625</v>
      </c>
      <c r="O20" s="34">
        <v>146.70928749999999</v>
      </c>
      <c r="P20" s="30">
        <f t="shared" si="8"/>
        <v>1484.4022337500001</v>
      </c>
      <c r="Q20" s="66">
        <f t="shared" si="9"/>
        <v>-38.502233749999959</v>
      </c>
    </row>
    <row r="21" spans="1:17" ht="14" customHeight="1" x14ac:dyDescent="0.35">
      <c r="A21" s="35" t="s">
        <v>154</v>
      </c>
      <c r="B21" s="36">
        <v>267.69114920000004</v>
      </c>
      <c r="C21" s="36">
        <v>281</v>
      </c>
      <c r="D21" s="36">
        <v>0</v>
      </c>
      <c r="E21" s="36">
        <v>20.975462499999999</v>
      </c>
      <c r="F21" s="36">
        <v>45.426012499999999</v>
      </c>
      <c r="G21" s="36">
        <v>22.9643625</v>
      </c>
      <c r="H21" s="36">
        <v>33.178600000000003</v>
      </c>
      <c r="I21" s="36">
        <v>20.961575</v>
      </c>
      <c r="J21" s="36">
        <v>28.480387499999999</v>
      </c>
      <c r="K21" s="36">
        <v>11.5236</v>
      </c>
      <c r="L21" s="36">
        <v>47.021412499999997</v>
      </c>
      <c r="M21" s="36">
        <v>37.592386499999996</v>
      </c>
      <c r="N21" s="36">
        <v>34.23095</v>
      </c>
      <c r="O21" s="36">
        <v>27.6323875</v>
      </c>
      <c r="P21" s="30">
        <f t="shared" si="8"/>
        <v>329.98713649999996</v>
      </c>
      <c r="Q21" s="66">
        <f t="shared" si="9"/>
        <v>-48.987136499999963</v>
      </c>
    </row>
    <row r="22" spans="1:17" ht="14" customHeight="1" x14ac:dyDescent="0.35">
      <c r="A22" s="33" t="s">
        <v>155</v>
      </c>
      <c r="B22" s="34">
        <v>279.2730492</v>
      </c>
      <c r="C22" s="34">
        <v>208.3</v>
      </c>
      <c r="D22" s="34">
        <v>12.7490875</v>
      </c>
      <c r="E22" s="34">
        <v>26.740300000000001</v>
      </c>
      <c r="F22" s="34">
        <v>49.731425000000002</v>
      </c>
      <c r="G22" s="34">
        <v>22.811362500000001</v>
      </c>
      <c r="H22" s="34">
        <v>33.837937500000002</v>
      </c>
      <c r="I22" s="34">
        <v>35.944200000000002</v>
      </c>
      <c r="J22" s="34">
        <v>27.690848374999998</v>
      </c>
      <c r="K22" s="34">
        <v>27.8910205</v>
      </c>
      <c r="L22" s="34">
        <v>32.030570500000003</v>
      </c>
      <c r="M22" s="34">
        <v>30.79204725</v>
      </c>
      <c r="N22" s="34">
        <v>31.141838125</v>
      </c>
      <c r="O22" s="34">
        <v>39.699495999999996</v>
      </c>
      <c r="P22" s="30">
        <f t="shared" si="8"/>
        <v>371.06013324999998</v>
      </c>
      <c r="Q22" s="66">
        <f t="shared" si="9"/>
        <v>-162.76013324999997</v>
      </c>
    </row>
    <row r="23" spans="1:17" ht="14" customHeight="1" x14ac:dyDescent="0.35">
      <c r="A23" s="35" t="s">
        <v>156</v>
      </c>
      <c r="B23" s="36">
        <v>1559.2231366999999</v>
      </c>
      <c r="C23" s="36">
        <v>1635.4</v>
      </c>
      <c r="D23" s="36">
        <v>90.614953374999999</v>
      </c>
      <c r="E23" s="36">
        <v>111.13769300000001</v>
      </c>
      <c r="F23" s="36">
        <v>156.62146075000001</v>
      </c>
      <c r="G23" s="36">
        <v>157.26773662500003</v>
      </c>
      <c r="H23" s="36">
        <v>165.81685524999997</v>
      </c>
      <c r="I23" s="36">
        <v>192.18360362500007</v>
      </c>
      <c r="J23" s="36">
        <v>200.537065375</v>
      </c>
      <c r="K23" s="36">
        <v>163.03109737500003</v>
      </c>
      <c r="L23" s="36">
        <v>126.90638049999998</v>
      </c>
      <c r="M23" s="36">
        <v>112.88197050000001</v>
      </c>
      <c r="N23" s="36">
        <v>238.21656675000011</v>
      </c>
      <c r="O23" s="36">
        <v>223.45915962500004</v>
      </c>
      <c r="P23" s="30">
        <f t="shared" si="8"/>
        <v>1938.6745427500002</v>
      </c>
      <c r="Q23" s="66">
        <f t="shared" si="9"/>
        <v>-303.27454275000014</v>
      </c>
    </row>
    <row r="24" spans="1:17" ht="14" customHeight="1" x14ac:dyDescent="0.35">
      <c r="A24" s="33" t="s">
        <v>157</v>
      </c>
      <c r="B24" s="34">
        <v>1011.1752704</v>
      </c>
      <c r="C24" s="34">
        <v>1184</v>
      </c>
      <c r="D24" s="34">
        <v>7.6887601249999999</v>
      </c>
      <c r="E24" s="34">
        <v>89.785437874999985</v>
      </c>
      <c r="F24" s="34">
        <v>182.260998</v>
      </c>
      <c r="G24" s="34">
        <v>94.051814624999992</v>
      </c>
      <c r="H24" s="34">
        <v>84.754088249999995</v>
      </c>
      <c r="I24" s="34">
        <v>93.726877500000001</v>
      </c>
      <c r="J24" s="34">
        <v>110.10054000000001</v>
      </c>
      <c r="K24" s="34">
        <v>78.325247500000003</v>
      </c>
      <c r="L24" s="34">
        <v>85.343727625</v>
      </c>
      <c r="M24" s="34">
        <v>62.105225000000004</v>
      </c>
      <c r="N24" s="34">
        <v>151.10406287499998</v>
      </c>
      <c r="O24" s="34">
        <v>227.03933687499995</v>
      </c>
      <c r="P24" s="30">
        <f t="shared" si="8"/>
        <v>1266.2861162500001</v>
      </c>
      <c r="Q24" s="66">
        <f t="shared" si="9"/>
        <v>-82.286116250000077</v>
      </c>
    </row>
    <row r="25" spans="1:17" ht="14" customHeight="1" x14ac:dyDescent="0.35">
      <c r="A25" s="35" t="s">
        <v>158</v>
      </c>
      <c r="B25" s="36">
        <v>265.11630049999997</v>
      </c>
      <c r="C25" s="36">
        <v>368.9</v>
      </c>
      <c r="D25" s="36">
        <v>0</v>
      </c>
      <c r="E25" s="36">
        <v>25.974899999999998</v>
      </c>
      <c r="F25" s="36">
        <v>58.581825000000002</v>
      </c>
      <c r="G25" s="36">
        <v>29.608537500000001</v>
      </c>
      <c r="H25" s="36">
        <v>24.967724999999998</v>
      </c>
      <c r="I25" s="36">
        <v>23.600741874999997</v>
      </c>
      <c r="J25" s="36">
        <v>31.891302499999998</v>
      </c>
      <c r="K25" s="36">
        <v>25.84975</v>
      </c>
      <c r="L25" s="36">
        <v>26.722024999999999</v>
      </c>
      <c r="M25" s="36">
        <v>29.051187500000001</v>
      </c>
      <c r="N25" s="36">
        <v>26.052921749999999</v>
      </c>
      <c r="O25" s="36">
        <v>73.923438125000004</v>
      </c>
      <c r="P25" s="30">
        <f t="shared" si="8"/>
        <v>376.22435425000003</v>
      </c>
      <c r="Q25" s="66">
        <f t="shared" si="9"/>
        <v>-7.3243542500000558</v>
      </c>
    </row>
    <row r="26" spans="1:17" ht="14" customHeight="1" x14ac:dyDescent="0.35">
      <c r="A26" s="33" t="s">
        <v>159</v>
      </c>
      <c r="B26" s="34">
        <v>182.70991889999999</v>
      </c>
      <c r="C26" s="34">
        <v>206.3</v>
      </c>
      <c r="D26" s="34">
        <v>14.353954625</v>
      </c>
      <c r="E26" s="34">
        <v>21.731303500000003</v>
      </c>
      <c r="F26" s="34">
        <v>16.890170375</v>
      </c>
      <c r="G26" s="34">
        <v>20.863247499999996</v>
      </c>
      <c r="H26" s="34">
        <v>17.406792749999997</v>
      </c>
      <c r="I26" s="34">
        <v>17.992383</v>
      </c>
      <c r="J26" s="34">
        <v>22.596565500000001</v>
      </c>
      <c r="K26" s="34">
        <v>14.547227750000001</v>
      </c>
      <c r="L26" s="34">
        <v>17.476576375</v>
      </c>
      <c r="M26" s="34">
        <v>17.773400875</v>
      </c>
      <c r="N26" s="34">
        <v>19.102822874999998</v>
      </c>
      <c r="O26" s="34">
        <v>24.302663875000004</v>
      </c>
      <c r="P26" s="30">
        <f t="shared" si="8"/>
        <v>225.03710899999999</v>
      </c>
      <c r="Q26" s="66">
        <f t="shared" si="9"/>
        <v>-18.737108999999975</v>
      </c>
    </row>
    <row r="27" spans="1:17" ht="14" customHeight="1" x14ac:dyDescent="0.35">
      <c r="A27" s="35" t="s">
        <v>160</v>
      </c>
      <c r="B27" s="36">
        <v>31.991355399999996</v>
      </c>
      <c r="C27" s="36">
        <v>35.9</v>
      </c>
      <c r="D27" s="36">
        <v>2.8498207499999997</v>
      </c>
      <c r="E27" s="36">
        <v>2.9796018750000006</v>
      </c>
      <c r="F27" s="36">
        <v>2.4280530000000002</v>
      </c>
      <c r="G27" s="36">
        <v>2.3057625000000002</v>
      </c>
      <c r="H27" s="36">
        <v>3.2885249999999999</v>
      </c>
      <c r="I27" s="36">
        <v>4.2426578749999999</v>
      </c>
      <c r="J27" s="36">
        <v>3.3529662500000001</v>
      </c>
      <c r="K27" s="36">
        <v>3.6356431250000001</v>
      </c>
      <c r="L27" s="36">
        <v>3.9086841250000006</v>
      </c>
      <c r="M27" s="36">
        <v>3.3902984999999992</v>
      </c>
      <c r="N27" s="36">
        <v>3.6115424999999997</v>
      </c>
      <c r="O27" s="36">
        <v>3.995263749999999</v>
      </c>
      <c r="P27" s="30">
        <f t="shared" si="8"/>
        <v>39.988819249999999</v>
      </c>
      <c r="Q27" s="66">
        <f t="shared" si="9"/>
        <v>-4.0888192500000002</v>
      </c>
    </row>
    <row r="28" spans="1:17" ht="14" customHeight="1" x14ac:dyDescent="0.35">
      <c r="A28" s="33" t="s">
        <v>161</v>
      </c>
      <c r="B28" s="34">
        <v>58.321303800000003</v>
      </c>
      <c r="C28" s="34">
        <v>65.5</v>
      </c>
      <c r="D28" s="34">
        <v>4.2687965000000005</v>
      </c>
      <c r="E28" s="34">
        <v>7.3184825</v>
      </c>
      <c r="F28" s="34">
        <v>5.4311043750000003</v>
      </c>
      <c r="G28" s="34">
        <v>7.5727000000000002</v>
      </c>
      <c r="H28" s="34">
        <v>3.7301812499999998</v>
      </c>
      <c r="I28" s="34">
        <v>2.0156043750000001</v>
      </c>
      <c r="J28" s="34">
        <v>11.750851375</v>
      </c>
      <c r="K28" s="34">
        <v>2.0667512499999998</v>
      </c>
      <c r="L28" s="34">
        <v>2.7424762499999997</v>
      </c>
      <c r="M28" s="34">
        <v>5.5561012500000002</v>
      </c>
      <c r="N28" s="34">
        <v>3.2889006249999997</v>
      </c>
      <c r="O28" s="34">
        <v>13.749532625000001</v>
      </c>
      <c r="P28" s="30">
        <f t="shared" si="8"/>
        <v>69.491482375000004</v>
      </c>
      <c r="Q28" s="66">
        <f t="shared" si="9"/>
        <v>-3.9914823750000039</v>
      </c>
    </row>
    <row r="29" spans="1:17" ht="14" customHeight="1" x14ac:dyDescent="0.35">
      <c r="A29" s="35" t="s">
        <v>162</v>
      </c>
      <c r="B29" s="36">
        <v>201.10741319999997</v>
      </c>
      <c r="C29" s="36">
        <v>174.9</v>
      </c>
      <c r="D29" s="36">
        <v>3.9187500000000002</v>
      </c>
      <c r="E29" s="36">
        <v>13.63805</v>
      </c>
      <c r="F29" s="36">
        <v>13.699362499999999</v>
      </c>
      <c r="G29" s="36">
        <v>26.108162499999999</v>
      </c>
      <c r="H29" s="36">
        <v>10.580442750000001</v>
      </c>
      <c r="I29" s="36">
        <v>8.5063675000000014</v>
      </c>
      <c r="J29" s="36">
        <v>20.478801499999999</v>
      </c>
      <c r="K29" s="36">
        <v>21.3867075</v>
      </c>
      <c r="L29" s="36">
        <v>11.547651499999999</v>
      </c>
      <c r="M29" s="36">
        <v>24.714663999999996</v>
      </c>
      <c r="N29" s="36">
        <v>15.1344195</v>
      </c>
      <c r="O29" s="36">
        <v>81.600524749999991</v>
      </c>
      <c r="P29" s="30">
        <f t="shared" si="8"/>
        <v>251.31390399999998</v>
      </c>
      <c r="Q29" s="66">
        <f t="shared" si="9"/>
        <v>-76.413903999999974</v>
      </c>
    </row>
    <row r="30" spans="1:17" ht="14" customHeight="1" x14ac:dyDescent="0.35">
      <c r="A30" s="33" t="s">
        <v>163</v>
      </c>
      <c r="B30" s="34">
        <v>5.6756879999999992</v>
      </c>
      <c r="C30" s="34">
        <v>6.3</v>
      </c>
      <c r="D30" s="34">
        <v>0</v>
      </c>
      <c r="E30" s="34">
        <v>0</v>
      </c>
      <c r="F30" s="34">
        <v>0</v>
      </c>
      <c r="G30" s="34">
        <v>0</v>
      </c>
      <c r="H30" s="34">
        <v>0.105</v>
      </c>
      <c r="I30" s="34">
        <v>0.74375000000000002</v>
      </c>
      <c r="J30" s="34">
        <v>0.52200000000000002</v>
      </c>
      <c r="K30" s="34">
        <v>0.53</v>
      </c>
      <c r="L30" s="34">
        <v>1.1016999999999999</v>
      </c>
      <c r="M30" s="34">
        <v>0.79249999999999998</v>
      </c>
      <c r="N30" s="34">
        <v>6.2E-2</v>
      </c>
      <c r="O30" s="34">
        <v>3.23766</v>
      </c>
      <c r="P30" s="30">
        <f t="shared" si="8"/>
        <v>7.0946099999999994</v>
      </c>
      <c r="Q30" s="66">
        <f t="shared" si="9"/>
        <v>-0.79460999999999959</v>
      </c>
    </row>
    <row r="31" spans="1:17" ht="14" customHeight="1" x14ac:dyDescent="0.35">
      <c r="A31" s="35" t="s">
        <v>164</v>
      </c>
      <c r="B31" s="36">
        <v>224.4976719747406</v>
      </c>
      <c r="C31" s="36">
        <v>1164.2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273.29087724999999</v>
      </c>
      <c r="O31" s="36">
        <v>24.84462525</v>
      </c>
      <c r="P31" s="30">
        <f t="shared" si="8"/>
        <v>298.13550249999997</v>
      </c>
      <c r="Q31" s="66">
        <f t="shared" si="9"/>
        <v>866.06449750000002</v>
      </c>
    </row>
    <row r="32" spans="1:17" ht="14" customHeight="1" x14ac:dyDescent="0.35">
      <c r="A32" s="33" t="s">
        <v>165</v>
      </c>
      <c r="B32" s="34">
        <v>879.8891734</v>
      </c>
      <c r="C32" s="34">
        <v>1020.4</v>
      </c>
      <c r="D32" s="34">
        <v>99.721803000000008</v>
      </c>
      <c r="E32" s="34">
        <v>72.250789874999995</v>
      </c>
      <c r="F32" s="34">
        <v>74.503287624999999</v>
      </c>
      <c r="G32" s="34">
        <v>64.0150565</v>
      </c>
      <c r="H32" s="34">
        <v>82.518452499999995</v>
      </c>
      <c r="I32" s="34">
        <v>106.044155375</v>
      </c>
      <c r="J32" s="34">
        <v>102.29841175000001</v>
      </c>
      <c r="K32" s="34">
        <v>89.687570624999992</v>
      </c>
      <c r="L32" s="34">
        <v>97.052611374999998</v>
      </c>
      <c r="M32" s="34">
        <v>92.699956499999999</v>
      </c>
      <c r="N32" s="34">
        <v>83.687238124999993</v>
      </c>
      <c r="O32" s="34">
        <v>135.38213349999998</v>
      </c>
      <c r="P32" s="30">
        <f t="shared" si="8"/>
        <v>1099.8614667499999</v>
      </c>
      <c r="Q32" s="66">
        <f t="shared" si="9"/>
        <v>-79.461466749999886</v>
      </c>
    </row>
    <row r="33" spans="1:17" ht="14" customHeight="1" x14ac:dyDescent="0.35">
      <c r="A33" s="35" t="s">
        <v>166</v>
      </c>
      <c r="B33" s="36">
        <v>37.475203199999996</v>
      </c>
      <c r="C33" s="36">
        <v>46.7</v>
      </c>
      <c r="D33" s="36">
        <v>0.72400100000000001</v>
      </c>
      <c r="E33" s="36">
        <v>4.2671762500000003</v>
      </c>
      <c r="F33" s="36">
        <v>2.6162803750000001</v>
      </c>
      <c r="G33" s="36">
        <v>4.0005375000000001</v>
      </c>
      <c r="H33" s="36">
        <v>3.2210375</v>
      </c>
      <c r="I33" s="36">
        <v>3.7861928750000002</v>
      </c>
      <c r="J33" s="36">
        <v>3.0177375</v>
      </c>
      <c r="K33" s="36">
        <v>5.6952245000000001</v>
      </c>
      <c r="L33" s="36">
        <v>3.0999772500000002</v>
      </c>
      <c r="M33" s="36">
        <v>3.2431615000000003</v>
      </c>
      <c r="N33" s="36">
        <v>2.9687652500000001</v>
      </c>
      <c r="O33" s="36">
        <v>5.3565177500000001</v>
      </c>
      <c r="P33" s="30">
        <f t="shared" si="8"/>
        <v>41.996609249999999</v>
      </c>
      <c r="Q33" s="66">
        <f t="shared" si="9"/>
        <v>4.7033907500000041</v>
      </c>
    </row>
    <row r="34" spans="1:17" ht="14" customHeight="1" x14ac:dyDescent="0.35">
      <c r="A34" s="33" t="s">
        <v>167</v>
      </c>
      <c r="B34" s="34">
        <v>180.74140990000001</v>
      </c>
      <c r="C34" s="34">
        <v>198.4</v>
      </c>
      <c r="D34" s="34">
        <v>13.016350000000001</v>
      </c>
      <c r="E34" s="34">
        <v>15.242655000000001</v>
      </c>
      <c r="F34" s="34">
        <v>15.1218</v>
      </c>
      <c r="G34" s="34">
        <v>18.728013874999998</v>
      </c>
      <c r="H34" s="34">
        <v>23.138892500000001</v>
      </c>
      <c r="I34" s="34">
        <v>19.0246</v>
      </c>
      <c r="J34" s="34">
        <v>19.343126250000001</v>
      </c>
      <c r="K34" s="34">
        <v>16.096612499999999</v>
      </c>
      <c r="L34" s="34">
        <v>18.186742499999998</v>
      </c>
      <c r="M34" s="34">
        <v>17.892175124999998</v>
      </c>
      <c r="N34" s="34">
        <v>20.774791749999999</v>
      </c>
      <c r="O34" s="34">
        <v>12.440434125000001</v>
      </c>
      <c r="P34" s="30">
        <f t="shared" si="8"/>
        <v>209.00619362499998</v>
      </c>
      <c r="Q34" s="66">
        <f t="shared" si="9"/>
        <v>-10.606193624999975</v>
      </c>
    </row>
    <row r="35" spans="1:17" ht="14" customHeight="1" x14ac:dyDescent="0.35">
      <c r="A35" s="35" t="s">
        <v>168</v>
      </c>
      <c r="B35" s="36">
        <v>118.03878990000001</v>
      </c>
      <c r="C35" s="36">
        <v>139</v>
      </c>
      <c r="D35" s="36">
        <v>2.9817015000000002</v>
      </c>
      <c r="E35" s="36">
        <v>3.4680078749999996</v>
      </c>
      <c r="F35" s="36">
        <v>4.2426106250000002</v>
      </c>
      <c r="G35" s="36">
        <v>9.5258467500000013</v>
      </c>
      <c r="H35" s="36">
        <v>15.702375875</v>
      </c>
      <c r="I35" s="36">
        <v>8.7628116249999994</v>
      </c>
      <c r="J35" s="36">
        <v>10.5922625</v>
      </c>
      <c r="K35" s="36">
        <v>32.831825750000007</v>
      </c>
      <c r="L35" s="36">
        <v>14.598594500000003</v>
      </c>
      <c r="M35" s="36">
        <v>12.288046374999999</v>
      </c>
      <c r="N35" s="36">
        <v>7.5652105000000001</v>
      </c>
      <c r="O35" s="36">
        <v>29.349772124999998</v>
      </c>
      <c r="P35" s="30">
        <f t="shared" si="8"/>
        <v>151.909066</v>
      </c>
      <c r="Q35" s="66">
        <f t="shared" si="9"/>
        <v>-12.909065999999996</v>
      </c>
    </row>
    <row r="36" spans="1:17" ht="14" customHeight="1" x14ac:dyDescent="0.35">
      <c r="A36" s="33" t="s">
        <v>169</v>
      </c>
      <c r="B36" s="34">
        <v>147.22187</v>
      </c>
      <c r="C36" s="34">
        <v>127.8</v>
      </c>
      <c r="D36" s="34">
        <v>0</v>
      </c>
      <c r="E36" s="34">
        <v>0.99561250000000001</v>
      </c>
      <c r="F36" s="34">
        <v>3.6977875</v>
      </c>
      <c r="G36" s="34">
        <v>3.0625</v>
      </c>
      <c r="H36" s="34">
        <v>1.5562499999999999</v>
      </c>
      <c r="I36" s="34">
        <v>3.18445</v>
      </c>
      <c r="J36" s="34">
        <v>1.751425</v>
      </c>
      <c r="K36" s="34">
        <v>0</v>
      </c>
      <c r="L36" s="34">
        <v>24.67625</v>
      </c>
      <c r="M36" s="34">
        <v>0</v>
      </c>
      <c r="N36" s="34">
        <v>2.5</v>
      </c>
      <c r="O36" s="34">
        <v>24.715800000000002</v>
      </c>
      <c r="P36" s="30">
        <f t="shared" si="8"/>
        <v>66.140074999999996</v>
      </c>
      <c r="Q36" s="66">
        <f t="shared" si="9"/>
        <v>61.659925000000001</v>
      </c>
    </row>
    <row r="37" spans="1:17" ht="14" customHeight="1" x14ac:dyDescent="0.35">
      <c r="A37" s="37" t="s">
        <v>170</v>
      </c>
      <c r="B37" s="38">
        <f>SUM(B19:B36)</f>
        <v>14151.028329905477</v>
      </c>
      <c r="C37" s="38">
        <f t="shared" ref="C37:P37" si="10">SUM(C19:C36)</f>
        <v>17209.399999999998</v>
      </c>
      <c r="D37" s="38">
        <f t="shared" si="10"/>
        <v>969.52681564554609</v>
      </c>
      <c r="E37" s="38">
        <f t="shared" si="10"/>
        <v>1221.9334340111982</v>
      </c>
      <c r="F37" s="38">
        <f t="shared" si="10"/>
        <v>1434.2821771414597</v>
      </c>
      <c r="G37" s="38">
        <f t="shared" si="10"/>
        <v>1291.7247142348549</v>
      </c>
      <c r="H37" s="38">
        <f t="shared" si="10"/>
        <v>1295.843267922857</v>
      </c>
      <c r="I37" s="38">
        <f t="shared" si="10"/>
        <v>1406.5400021777557</v>
      </c>
      <c r="J37" s="38">
        <f t="shared" si="10"/>
        <v>1432.8751661147126</v>
      </c>
      <c r="K37" s="38">
        <f t="shared" si="10"/>
        <v>1253.9059024452092</v>
      </c>
      <c r="L37" s="38">
        <f t="shared" si="10"/>
        <v>1312.8325373298683</v>
      </c>
      <c r="M37" s="38">
        <f t="shared" si="10"/>
        <v>1247.1259446296774</v>
      </c>
      <c r="N37" s="38">
        <f t="shared" si="10"/>
        <v>1726.9403693226889</v>
      </c>
      <c r="O37" s="38">
        <f t="shared" si="10"/>
        <v>1825.4487129173124</v>
      </c>
      <c r="P37" s="38">
        <f t="shared" si="10"/>
        <v>16418.979043893141</v>
      </c>
    </row>
    <row r="39" spans="1:17" ht="14" customHeight="1" x14ac:dyDescent="0.35">
      <c r="A39" s="31" t="s">
        <v>171</v>
      </c>
      <c r="B39" s="32">
        <f>+B15-B37</f>
        <v>10069.851925722016</v>
      </c>
      <c r="C39" s="32">
        <f t="shared" ref="C39:P39" si="11">+C15-C37</f>
        <v>14878.999999999996</v>
      </c>
      <c r="D39" s="32">
        <f t="shared" si="11"/>
        <v>1060.9482683964063</v>
      </c>
      <c r="E39" s="32">
        <f t="shared" si="11"/>
        <v>1035.2704380778887</v>
      </c>
      <c r="F39" s="32">
        <f t="shared" si="11"/>
        <v>592.05043422072413</v>
      </c>
      <c r="G39" s="32">
        <f t="shared" si="11"/>
        <v>1232.9610349894185</v>
      </c>
      <c r="H39" s="32">
        <f t="shared" si="11"/>
        <v>1527.2803115461045</v>
      </c>
      <c r="I39" s="32">
        <f t="shared" si="11"/>
        <v>1534.3055229555905</v>
      </c>
      <c r="J39" s="32">
        <f t="shared" si="11"/>
        <v>1416.8403743731637</v>
      </c>
      <c r="K39" s="32">
        <f t="shared" si="11"/>
        <v>1361.2148322267274</v>
      </c>
      <c r="L39" s="32">
        <f t="shared" si="11"/>
        <v>1634.4651496771032</v>
      </c>
      <c r="M39" s="32">
        <f t="shared" si="11"/>
        <v>1836.1290655209457</v>
      </c>
      <c r="N39" s="32">
        <f t="shared" si="11"/>
        <v>1545.0630640267307</v>
      </c>
      <c r="O39" s="32">
        <f t="shared" si="11"/>
        <v>1606.0187914530932</v>
      </c>
      <c r="P39" s="32">
        <f t="shared" si="11"/>
        <v>16382.547287463891</v>
      </c>
      <c r="Q39" s="66">
        <f t="shared" ref="Q39" si="12">+C39-P39</f>
        <v>-1503.5472874638945</v>
      </c>
    </row>
    <row r="40" spans="1:17" ht="14" customHeight="1" x14ac:dyDescent="0.35">
      <c r="A40" s="29" t="s">
        <v>172</v>
      </c>
      <c r="B40" s="39">
        <f>+B39/B9</f>
        <v>0.21934316852902438</v>
      </c>
      <c r="C40" s="39">
        <f t="shared" ref="C40:P40" si="13">+C39/C9</f>
        <v>0.25866894755690922</v>
      </c>
      <c r="D40" s="39">
        <f t="shared" si="13"/>
        <v>0.27988352119832083</v>
      </c>
      <c r="E40" s="39">
        <f t="shared" si="13"/>
        <v>0.23813938250041594</v>
      </c>
      <c r="F40" s="39">
        <f t="shared" si="13"/>
        <v>0.1457123197163846</v>
      </c>
      <c r="G40" s="39">
        <f t="shared" si="13"/>
        <v>0.25615461163323661</v>
      </c>
      <c r="H40" s="39">
        <f t="shared" si="13"/>
        <v>0.30260864651364583</v>
      </c>
      <c r="I40" s="39">
        <f t="shared" si="13"/>
        <v>0.30089545508911381</v>
      </c>
      <c r="J40" s="39">
        <f t="shared" si="13"/>
        <v>0.28003464336645539</v>
      </c>
      <c r="K40" s="39">
        <f t="shared" si="13"/>
        <v>0.29180578291726811</v>
      </c>
      <c r="L40" s="39">
        <f t="shared" si="13"/>
        <v>0.31953591004370563</v>
      </c>
      <c r="M40" s="39">
        <f t="shared" si="13"/>
        <v>0.34236167157261999</v>
      </c>
      <c r="N40" s="39">
        <f t="shared" si="13"/>
        <v>0.28330412707752989</v>
      </c>
      <c r="O40" s="39">
        <f t="shared" si="13"/>
        <v>0.2926994428440548</v>
      </c>
      <c r="P40" s="39">
        <f t="shared" si="13"/>
        <v>0.28098548535751061</v>
      </c>
    </row>
    <row r="41" spans="1:17" ht="14" customHeight="1" x14ac:dyDescent="0.35">
      <c r="A41" s="33" t="s">
        <v>173</v>
      </c>
      <c r="B41" s="34">
        <v>2728.2069088081785</v>
      </c>
      <c r="C41" s="34">
        <v>3493</v>
      </c>
      <c r="D41" s="34">
        <v>246.5</v>
      </c>
      <c r="E41" s="34">
        <v>250</v>
      </c>
      <c r="F41" s="34">
        <v>257.2</v>
      </c>
      <c r="G41" s="34">
        <v>263</v>
      </c>
      <c r="H41" s="34">
        <v>281.89999999999998</v>
      </c>
      <c r="I41" s="34">
        <v>294.60000000000002</v>
      </c>
      <c r="J41" s="34">
        <v>303.39999999999998</v>
      </c>
      <c r="K41" s="34">
        <v>314.39999999999998</v>
      </c>
      <c r="L41" s="34">
        <v>316.39999999999998</v>
      </c>
      <c r="M41" s="34">
        <v>320</v>
      </c>
      <c r="N41" s="34">
        <v>321.2</v>
      </c>
      <c r="O41" s="34">
        <v>324.2</v>
      </c>
      <c r="P41" s="34">
        <v>3493</v>
      </c>
      <c r="Q41" s="66">
        <f t="shared" ref="Q41:Q42" si="14">+C41-P41</f>
        <v>0</v>
      </c>
    </row>
    <row r="42" spans="1:17" ht="14" customHeight="1" x14ac:dyDescent="0.35">
      <c r="A42" s="33" t="s">
        <v>174</v>
      </c>
      <c r="B42" s="34">
        <v>62.065183999999995</v>
      </c>
      <c r="C42" s="34">
        <v>93.8</v>
      </c>
      <c r="D42" s="34">
        <v>7.8</v>
      </c>
      <c r="E42" s="34">
        <v>7.8</v>
      </c>
      <c r="F42" s="34">
        <v>7.8</v>
      </c>
      <c r="G42" s="34">
        <v>7.8</v>
      </c>
      <c r="H42" s="34">
        <v>7.8</v>
      </c>
      <c r="I42" s="34">
        <v>7.8</v>
      </c>
      <c r="J42" s="34">
        <v>7.8</v>
      </c>
      <c r="K42" s="34">
        <v>7.8</v>
      </c>
      <c r="L42" s="34">
        <v>7.8</v>
      </c>
      <c r="M42" s="34">
        <v>7.8</v>
      </c>
      <c r="N42" s="34">
        <v>7.8</v>
      </c>
      <c r="O42" s="34">
        <v>7.8</v>
      </c>
      <c r="P42" s="34">
        <v>93.8</v>
      </c>
      <c r="Q42" s="66">
        <f t="shared" si="14"/>
        <v>0</v>
      </c>
    </row>
    <row r="43" spans="1:17" ht="14" customHeight="1" x14ac:dyDescent="0.35">
      <c r="A43" s="37" t="s">
        <v>175</v>
      </c>
      <c r="B43" s="38">
        <f>+B39-B41-B42</f>
        <v>7279.579832913837</v>
      </c>
      <c r="C43" s="38">
        <f t="shared" ref="C43:P43" si="15">+C39-C41-C42</f>
        <v>11292.199999999997</v>
      </c>
      <c r="D43" s="38">
        <f t="shared" si="15"/>
        <v>806.64826839640637</v>
      </c>
      <c r="E43" s="38">
        <f t="shared" si="15"/>
        <v>777.47043807788873</v>
      </c>
      <c r="F43" s="38">
        <f t="shared" si="15"/>
        <v>327.05043422072413</v>
      </c>
      <c r="G43" s="38">
        <f t="shared" si="15"/>
        <v>962.16103498941857</v>
      </c>
      <c r="H43" s="38">
        <f t="shared" si="15"/>
        <v>1237.5803115461047</v>
      </c>
      <c r="I43" s="38">
        <f t="shared" si="15"/>
        <v>1231.9055229555904</v>
      </c>
      <c r="J43" s="38">
        <f t="shared" si="15"/>
        <v>1105.6403743731637</v>
      </c>
      <c r="K43" s="38">
        <f t="shared" si="15"/>
        <v>1039.0148322267275</v>
      </c>
      <c r="L43" s="38">
        <f t="shared" si="15"/>
        <v>1310.2651496771034</v>
      </c>
      <c r="M43" s="38">
        <f t="shared" si="15"/>
        <v>1508.3290655209457</v>
      </c>
      <c r="N43" s="38">
        <f t="shared" si="15"/>
        <v>1216.0630640267307</v>
      </c>
      <c r="O43" s="38">
        <f t="shared" si="15"/>
        <v>1274.0187914530932</v>
      </c>
      <c r="P43" s="38">
        <f t="shared" si="15"/>
        <v>12795.747287463892</v>
      </c>
    </row>
    <row r="44" spans="1:17" ht="14" customHeight="1" x14ac:dyDescent="0.35">
      <c r="A44" s="33" t="s">
        <v>176</v>
      </c>
      <c r="B44" s="34">
        <v>1938.0156413376453</v>
      </c>
      <c r="C44" s="34">
        <f>+IF(C43&gt;0,C43*25.89%)</f>
        <v>2923.5505799999996</v>
      </c>
      <c r="D44" s="34">
        <f t="shared" ref="D44:P44" si="16">+IF(D43&gt;0,D43*25.89%)</f>
        <v>208.84123668782962</v>
      </c>
      <c r="E44" s="34">
        <f t="shared" si="16"/>
        <v>201.28709641836539</v>
      </c>
      <c r="F44" s="34">
        <f t="shared" si="16"/>
        <v>84.673357419745486</v>
      </c>
      <c r="G44" s="34">
        <f t="shared" si="16"/>
        <v>249.10349195876049</v>
      </c>
      <c r="H44" s="34">
        <f t="shared" si="16"/>
        <v>320.4095426592865</v>
      </c>
      <c r="I44" s="34">
        <f t="shared" si="16"/>
        <v>318.94033989320241</v>
      </c>
      <c r="J44" s="34">
        <f t="shared" si="16"/>
        <v>286.25029292521208</v>
      </c>
      <c r="K44" s="34">
        <f t="shared" si="16"/>
        <v>269.0009400634998</v>
      </c>
      <c r="L44" s="34">
        <f t="shared" si="16"/>
        <v>339.22764725140212</v>
      </c>
      <c r="M44" s="34">
        <f t="shared" si="16"/>
        <v>390.50639506337291</v>
      </c>
      <c r="N44" s="34">
        <f t="shared" si="16"/>
        <v>314.83872727652061</v>
      </c>
      <c r="O44" s="34">
        <f t="shared" si="16"/>
        <v>329.84346510720587</v>
      </c>
      <c r="P44" s="34">
        <f t="shared" si="16"/>
        <v>3312.8189727244016</v>
      </c>
    </row>
    <row r="45" spans="1:17" ht="14" customHeight="1" x14ac:dyDescent="0.35">
      <c r="A45" s="31" t="s">
        <v>177</v>
      </c>
      <c r="B45" s="32">
        <f>+B43-B44</f>
        <v>5341.5641915761917</v>
      </c>
      <c r="C45" s="32">
        <f t="shared" ref="C45:P45" si="17">+C43-C44</f>
        <v>8368.6494199999979</v>
      </c>
      <c r="D45" s="32">
        <f t="shared" si="17"/>
        <v>597.80703170857669</v>
      </c>
      <c r="E45" s="32">
        <f t="shared" si="17"/>
        <v>576.18334165952331</v>
      </c>
      <c r="F45" s="32">
        <f t="shared" si="17"/>
        <v>242.37707680097864</v>
      </c>
      <c r="G45" s="32">
        <f t="shared" si="17"/>
        <v>713.05754303065805</v>
      </c>
      <c r="H45" s="32">
        <f t="shared" si="17"/>
        <v>917.17076888681822</v>
      </c>
      <c r="I45" s="32">
        <f t="shared" si="17"/>
        <v>912.96518306238795</v>
      </c>
      <c r="J45" s="32">
        <f t="shared" si="17"/>
        <v>819.39008144795162</v>
      </c>
      <c r="K45" s="32">
        <f t="shared" si="17"/>
        <v>770.01389216322775</v>
      </c>
      <c r="L45" s="32">
        <f t="shared" si="17"/>
        <v>971.03750242570129</v>
      </c>
      <c r="M45" s="32">
        <f t="shared" si="17"/>
        <v>1117.8226704575727</v>
      </c>
      <c r="N45" s="32">
        <f t="shared" si="17"/>
        <v>901.22433675021011</v>
      </c>
      <c r="O45" s="32">
        <f t="shared" si="17"/>
        <v>944.17532634588724</v>
      </c>
      <c r="P45" s="32">
        <f t="shared" si="17"/>
        <v>9482.928314739489</v>
      </c>
    </row>
    <row r="46" spans="1:17" ht="14" customHeight="1" x14ac:dyDescent="0.35">
      <c r="A46" s="29" t="s">
        <v>178</v>
      </c>
      <c r="B46" s="39">
        <f>+B45/B9</f>
        <v>0.11635082852496774</v>
      </c>
      <c r="C46" s="39">
        <f t="shared" ref="C46:P46" si="18">+C45/C9</f>
        <v>0.14548758236065185</v>
      </c>
      <c r="D46" s="39">
        <f t="shared" si="18"/>
        <v>0.15770451964128906</v>
      </c>
      <c r="E46" s="39">
        <f t="shared" si="18"/>
        <v>0.13253729667445782</v>
      </c>
      <c r="F46" s="39">
        <f t="shared" si="18"/>
        <v>5.9652563473300557E-2</v>
      </c>
      <c r="G46" s="39">
        <f t="shared" si="18"/>
        <v>0.14814172777871742</v>
      </c>
      <c r="H46" s="39">
        <f t="shared" si="18"/>
        <v>0.18172420799018571</v>
      </c>
      <c r="I46" s="39">
        <f t="shared" si="18"/>
        <v>0.1790432675422394</v>
      </c>
      <c r="J46" s="39">
        <f t="shared" si="18"/>
        <v>0.16195021922480451</v>
      </c>
      <c r="K46" s="39">
        <f t="shared" si="18"/>
        <v>0.16506909955741494</v>
      </c>
      <c r="L46" s="39">
        <f t="shared" si="18"/>
        <v>0.18983662764878231</v>
      </c>
      <c r="M46" s="39">
        <f t="shared" si="18"/>
        <v>0.20842741676824619</v>
      </c>
      <c r="N46" s="39">
        <f t="shared" si="18"/>
        <v>0.1652492897983269</v>
      </c>
      <c r="O46" s="39">
        <f t="shared" si="18"/>
        <v>0.17207743361365047</v>
      </c>
      <c r="P46" s="39">
        <f t="shared" si="18"/>
        <v>0.16264657555217377</v>
      </c>
    </row>
    <row r="49" spans="1:17" ht="16" customHeight="1" x14ac:dyDescent="0.35">
      <c r="A49" s="73" t="s">
        <v>179</v>
      </c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</row>
    <row r="50" spans="1:17" ht="14" customHeight="1" x14ac:dyDescent="0.35">
      <c r="A50" s="40" t="s">
        <v>180</v>
      </c>
      <c r="B50" s="40" t="s">
        <v>181</v>
      </c>
      <c r="C50" s="41" t="s">
        <v>182</v>
      </c>
      <c r="D50" s="41" t="s">
        <v>14</v>
      </c>
      <c r="E50" s="41" t="s">
        <v>27</v>
      </c>
      <c r="F50" s="41" t="s">
        <v>80</v>
      </c>
      <c r="G50" s="41" t="s">
        <v>130</v>
      </c>
      <c r="H50" s="41" t="s">
        <v>131</v>
      </c>
      <c r="I50" s="41" t="s">
        <v>63</v>
      </c>
      <c r="J50" s="41" t="s">
        <v>132</v>
      </c>
      <c r="K50" s="41" t="s">
        <v>133</v>
      </c>
      <c r="L50" s="41" t="s">
        <v>134</v>
      </c>
      <c r="M50" s="41" t="s">
        <v>135</v>
      </c>
      <c r="N50" s="41" t="s">
        <v>136</v>
      </c>
      <c r="O50" s="41" t="s">
        <v>137</v>
      </c>
      <c r="P50" s="41" t="s">
        <v>183</v>
      </c>
    </row>
    <row r="51" spans="1:17" ht="12" customHeight="1" x14ac:dyDescent="0.35">
      <c r="A51" s="72" t="s">
        <v>10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</row>
    <row r="52" spans="1:17" ht="14" customHeight="1" x14ac:dyDescent="0.35">
      <c r="A52" s="29" t="s">
        <v>184</v>
      </c>
      <c r="B52" s="42" t="s">
        <v>185</v>
      </c>
      <c r="C52" s="43">
        <v>960</v>
      </c>
      <c r="D52" s="44">
        <v>0</v>
      </c>
      <c r="E52" s="44">
        <v>80.203977171697304</v>
      </c>
      <c r="F52" s="44">
        <v>71.754291588707076</v>
      </c>
      <c r="G52" s="44">
        <v>86.306094400395381</v>
      </c>
      <c r="H52" s="44">
        <v>84.294262589422146</v>
      </c>
      <c r="I52" s="44">
        <v>81.970071535439843</v>
      </c>
      <c r="J52" s="44">
        <v>86.34070403719069</v>
      </c>
      <c r="K52" s="44">
        <v>77.992911792316661</v>
      </c>
      <c r="L52" s="44">
        <v>80.061968346133639</v>
      </c>
      <c r="M52" s="44">
        <v>91.160589882864599</v>
      </c>
      <c r="N52" s="44">
        <v>85.397087483709754</v>
      </c>
      <c r="O52" s="44">
        <v>79.494534776190477</v>
      </c>
      <c r="P52" s="43">
        <f>SUM(D52:O52)</f>
        <v>904.97649360406763</v>
      </c>
      <c r="Q52" t="s">
        <v>11</v>
      </c>
    </row>
    <row r="53" spans="1:17" ht="14" customHeight="1" x14ac:dyDescent="0.35">
      <c r="A53" s="33" t="s">
        <v>186</v>
      </c>
      <c r="B53" s="45" t="s">
        <v>185</v>
      </c>
      <c r="C53" s="46">
        <v>250</v>
      </c>
      <c r="D53" s="44">
        <v>0</v>
      </c>
      <c r="E53" s="44">
        <v>0</v>
      </c>
      <c r="F53" s="44">
        <v>0</v>
      </c>
      <c r="G53" s="44">
        <v>7.5</v>
      </c>
      <c r="H53" s="44">
        <v>12.5</v>
      </c>
      <c r="I53" s="44">
        <v>17.500000000000004</v>
      </c>
      <c r="J53" s="44">
        <v>22.5</v>
      </c>
      <c r="K53" s="44">
        <v>27.5</v>
      </c>
      <c r="L53" s="44">
        <v>32.5</v>
      </c>
      <c r="M53" s="44">
        <v>37.5</v>
      </c>
      <c r="N53" s="44">
        <v>42.5</v>
      </c>
      <c r="O53" s="44">
        <v>50</v>
      </c>
      <c r="P53" s="43">
        <f t="shared" ref="P53:P67" si="19">SUM(D53:O53)</f>
        <v>250</v>
      </c>
      <c r="Q53" t="s">
        <v>17</v>
      </c>
    </row>
    <row r="54" spans="1:17" ht="14" customHeight="1" x14ac:dyDescent="0.35">
      <c r="A54" s="29" t="s">
        <v>187</v>
      </c>
      <c r="B54" s="42" t="s">
        <v>185</v>
      </c>
      <c r="C54" s="43">
        <v>900</v>
      </c>
      <c r="D54" s="44">
        <v>66.41929198934362</v>
      </c>
      <c r="E54" s="44">
        <v>75.21692798744516</v>
      </c>
      <c r="F54" s="44">
        <v>73.976829749768456</v>
      </c>
      <c r="G54" s="44">
        <v>75.272762967262594</v>
      </c>
      <c r="H54" s="44">
        <v>74.547357011146403</v>
      </c>
      <c r="I54" s="44">
        <v>81.604123393105098</v>
      </c>
      <c r="J54" s="44">
        <v>77.345103692653453</v>
      </c>
      <c r="K54" s="44">
        <v>71.37307448151779</v>
      </c>
      <c r="L54" s="44">
        <v>74.294749344724792</v>
      </c>
      <c r="M54" s="44">
        <v>73.007570224819162</v>
      </c>
      <c r="N54" s="44">
        <v>76.948663343756195</v>
      </c>
      <c r="O54" s="44">
        <v>79.993545814457264</v>
      </c>
      <c r="P54" s="43">
        <f t="shared" si="19"/>
        <v>900</v>
      </c>
      <c r="Q54" t="s">
        <v>20</v>
      </c>
    </row>
    <row r="55" spans="1:17" ht="12" customHeight="1" x14ac:dyDescent="0.35">
      <c r="A55" s="72" t="s">
        <v>23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</row>
    <row r="56" spans="1:17" ht="14" customHeight="1" x14ac:dyDescent="0.35">
      <c r="A56" s="29" t="s">
        <v>188</v>
      </c>
      <c r="B56" s="42" t="s">
        <v>185</v>
      </c>
      <c r="C56" s="43">
        <v>1300</v>
      </c>
      <c r="D56" s="44">
        <v>0</v>
      </c>
      <c r="E56" s="44">
        <v>12</v>
      </c>
      <c r="F56" s="44">
        <v>20</v>
      </c>
      <c r="G56" s="44">
        <v>36</v>
      </c>
      <c r="H56" s="44">
        <v>36</v>
      </c>
      <c r="I56" s="44">
        <v>36</v>
      </c>
      <c r="J56" s="44">
        <v>7.04</v>
      </c>
      <c r="K56" s="44">
        <v>7.04</v>
      </c>
      <c r="L56" s="44">
        <v>7.04</v>
      </c>
      <c r="M56" s="44">
        <v>96</v>
      </c>
      <c r="N56" s="44">
        <v>96</v>
      </c>
      <c r="O56" s="44">
        <v>96</v>
      </c>
      <c r="P56" s="43">
        <f t="shared" si="19"/>
        <v>449.12</v>
      </c>
      <c r="Q56" t="s">
        <v>24</v>
      </c>
    </row>
    <row r="57" spans="1:17" ht="14" customHeight="1" x14ac:dyDescent="0.35">
      <c r="A57" s="33" t="s">
        <v>189</v>
      </c>
      <c r="B57" s="45" t="s">
        <v>185</v>
      </c>
      <c r="C57" s="46">
        <v>500</v>
      </c>
      <c r="D57" s="44">
        <v>0</v>
      </c>
      <c r="E57" s="44">
        <v>0</v>
      </c>
      <c r="F57" s="44">
        <v>0</v>
      </c>
      <c r="G57" s="44">
        <v>16.053804662089426</v>
      </c>
      <c r="H57" s="44">
        <v>26.756341103482384</v>
      </c>
      <c r="I57" s="44">
        <v>37.458877544875342</v>
      </c>
      <c r="J57" s="44">
        <v>53.512682206964769</v>
      </c>
      <c r="K57" s="44">
        <v>58.863950427661237</v>
      </c>
      <c r="L57" s="44">
        <v>64.215218648357705</v>
      </c>
      <c r="M57" s="44">
        <v>80.269023310447139</v>
      </c>
      <c r="N57" s="44">
        <v>90.971559751840104</v>
      </c>
      <c r="O57" s="44">
        <v>107.02536441392954</v>
      </c>
      <c r="P57" s="43">
        <f t="shared" si="19"/>
        <v>535.12682206964769</v>
      </c>
      <c r="Q57" t="s">
        <v>29</v>
      </c>
    </row>
    <row r="58" spans="1:17" ht="14" customHeight="1" x14ac:dyDescent="0.35">
      <c r="A58" s="29" t="s">
        <v>190</v>
      </c>
      <c r="B58" s="42" t="s">
        <v>185</v>
      </c>
      <c r="C58" s="43">
        <v>300</v>
      </c>
      <c r="D58" s="44">
        <v>0</v>
      </c>
      <c r="E58" s="44">
        <v>0</v>
      </c>
      <c r="F58" s="44">
        <v>60</v>
      </c>
      <c r="G58" s="44">
        <v>0</v>
      </c>
      <c r="H58" s="44">
        <v>0</v>
      </c>
      <c r="I58" s="44">
        <v>60</v>
      </c>
      <c r="J58" s="44">
        <v>0</v>
      </c>
      <c r="K58" s="44">
        <v>0</v>
      </c>
      <c r="L58" s="44">
        <v>60</v>
      </c>
      <c r="M58" s="44">
        <v>0</v>
      </c>
      <c r="N58" s="44">
        <v>0</v>
      </c>
      <c r="O58" s="44">
        <v>60</v>
      </c>
      <c r="P58" s="43">
        <f t="shared" si="19"/>
        <v>240</v>
      </c>
      <c r="Q58" t="s">
        <v>32</v>
      </c>
    </row>
    <row r="59" spans="1:17" ht="12" customHeight="1" x14ac:dyDescent="0.35">
      <c r="A59" s="72" t="s">
        <v>35</v>
      </c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</row>
    <row r="60" spans="1:17" ht="14" customHeight="1" x14ac:dyDescent="0.35">
      <c r="A60" s="29" t="s">
        <v>191</v>
      </c>
      <c r="B60" s="42" t="s">
        <v>185</v>
      </c>
      <c r="C60" s="43">
        <v>600</v>
      </c>
      <c r="D60" s="44">
        <v>48.514256120168085</v>
      </c>
      <c r="E60" s="44">
        <v>50.195491239579638</v>
      </c>
      <c r="F60" s="44">
        <v>39.696351226621914</v>
      </c>
      <c r="G60" s="44">
        <v>73.126805070484551</v>
      </c>
      <c r="H60" s="44">
        <v>101.92516665008152</v>
      </c>
      <c r="I60" s="44">
        <v>73.146713338767128</v>
      </c>
      <c r="J60" s="44">
        <v>55.389579293161574</v>
      </c>
      <c r="K60" s="44">
        <v>52.764142621445941</v>
      </c>
      <c r="L60" s="44">
        <v>45.298899082498913</v>
      </c>
      <c r="M60" s="44">
        <v>77.350623512594638</v>
      </c>
      <c r="N60" s="44">
        <v>48.025132841499364</v>
      </c>
      <c r="O60" s="44">
        <v>16.487815066871445</v>
      </c>
      <c r="P60" s="43">
        <f t="shared" si="19"/>
        <v>681.9209760637749</v>
      </c>
      <c r="Q60" t="s">
        <v>36</v>
      </c>
    </row>
    <row r="61" spans="1:17" ht="14" customHeight="1" x14ac:dyDescent="0.35">
      <c r="A61" s="33" t="s">
        <v>192</v>
      </c>
      <c r="B61" s="45" t="s">
        <v>185</v>
      </c>
      <c r="C61" s="46">
        <v>300</v>
      </c>
      <c r="D61" s="44">
        <v>9.7524857275747543</v>
      </c>
      <c r="E61" s="44">
        <v>11.011735184296207</v>
      </c>
      <c r="F61" s="44">
        <v>7.6351362710781085</v>
      </c>
      <c r="G61" s="44">
        <v>14.182577507254649</v>
      </c>
      <c r="H61" s="44">
        <v>21.713584462956955</v>
      </c>
      <c r="I61" s="44">
        <v>16.794095525223412</v>
      </c>
      <c r="J61" s="44">
        <v>12.316723263193122</v>
      </c>
      <c r="K61" s="44">
        <v>11.732141724610573</v>
      </c>
      <c r="L61" s="44">
        <v>11.455043762096334</v>
      </c>
      <c r="M61" s="44">
        <v>17.240553069794728</v>
      </c>
      <c r="N61" s="44">
        <v>11.752297499536008</v>
      </c>
      <c r="O61" s="44">
        <v>4.4136260023851692</v>
      </c>
      <c r="P61" s="43">
        <f t="shared" si="19"/>
        <v>150.00000000000003</v>
      </c>
      <c r="Q61" t="s">
        <v>40</v>
      </c>
    </row>
    <row r="62" spans="1:17" ht="14" customHeight="1" x14ac:dyDescent="0.35">
      <c r="A62" s="29" t="s">
        <v>193</v>
      </c>
      <c r="B62" s="42" t="s">
        <v>185</v>
      </c>
      <c r="C62" s="43">
        <v>2500</v>
      </c>
      <c r="D62" s="44">
        <v>184.49803330373223</v>
      </c>
      <c r="E62" s="44">
        <v>208.93591107623655</v>
      </c>
      <c r="F62" s="44">
        <v>205.4911937493568</v>
      </c>
      <c r="G62" s="44">
        <v>209.09100824239613</v>
      </c>
      <c r="H62" s="44">
        <v>207.07599169762892</v>
      </c>
      <c r="I62" s="44">
        <v>226.6781205364031</v>
      </c>
      <c r="J62" s="44">
        <v>214.84751025737074</v>
      </c>
      <c r="K62" s="44">
        <v>198.25854022643836</v>
      </c>
      <c r="L62" s="44">
        <v>206.37430373534664</v>
      </c>
      <c r="M62" s="44">
        <v>202.79880618005319</v>
      </c>
      <c r="N62" s="44">
        <v>213.74628706598941</v>
      </c>
      <c r="O62" s="44">
        <v>222.20429392904796</v>
      </c>
      <c r="P62" s="43">
        <f t="shared" si="19"/>
        <v>2500.0000000000005</v>
      </c>
      <c r="Q62" t="s">
        <v>42</v>
      </c>
    </row>
    <row r="63" spans="1:17" ht="14" customHeight="1" x14ac:dyDescent="0.35">
      <c r="A63" s="33" t="s">
        <v>194</v>
      </c>
      <c r="B63" s="45" t="s">
        <v>185</v>
      </c>
      <c r="C63" s="46">
        <v>400</v>
      </c>
      <c r="D63" s="44">
        <v>0</v>
      </c>
      <c r="E63" s="44">
        <v>32.437147696171053</v>
      </c>
      <c r="F63" s="44">
        <v>32.240848147818831</v>
      </c>
      <c r="G63" s="44">
        <v>38.367324525886204</v>
      </c>
      <c r="H63" s="44">
        <v>36.651286382531914</v>
      </c>
      <c r="I63" s="44">
        <v>36.651286382531914</v>
      </c>
      <c r="J63" s="44">
        <v>36.827255102740153</v>
      </c>
      <c r="K63" s="44">
        <v>33.596442613593808</v>
      </c>
      <c r="L63" s="44">
        <v>35.835970145678658</v>
      </c>
      <c r="M63" s="44">
        <v>39.476665960990836</v>
      </c>
      <c r="N63" s="44">
        <v>34.608663808429718</v>
      </c>
      <c r="O63" s="44">
        <v>36.129072815158679</v>
      </c>
      <c r="P63" s="43">
        <f t="shared" si="19"/>
        <v>392.82196358153175</v>
      </c>
      <c r="Q63" t="s">
        <v>45</v>
      </c>
    </row>
    <row r="64" spans="1:17" ht="12" customHeight="1" x14ac:dyDescent="0.35">
      <c r="A64" s="72" t="s">
        <v>48</v>
      </c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</row>
    <row r="65" spans="1:17" ht="14" customHeight="1" x14ac:dyDescent="0.35">
      <c r="A65" s="33" t="s">
        <v>195</v>
      </c>
      <c r="B65" s="45" t="s">
        <v>185</v>
      </c>
      <c r="C65" s="46">
        <v>800</v>
      </c>
      <c r="D65" s="44">
        <v>0</v>
      </c>
      <c r="E65" s="44">
        <v>8.2512933520484477</v>
      </c>
      <c r="F65" s="44">
        <v>25.017564371836535</v>
      </c>
      <c r="G65" s="44">
        <v>48.232456542433546</v>
      </c>
      <c r="H65" s="44">
        <v>62.371813710964119</v>
      </c>
      <c r="I65" s="44">
        <v>81.261610621654341</v>
      </c>
      <c r="J65" s="44">
        <v>101.17847969541069</v>
      </c>
      <c r="K65" s="44">
        <v>108.65263147595944</v>
      </c>
      <c r="L65" s="44">
        <v>135.97992658710945</v>
      </c>
      <c r="M65" s="44">
        <v>170.27426227726235</v>
      </c>
      <c r="N65" s="44">
        <v>168.77335313673947</v>
      </c>
      <c r="O65" s="44">
        <v>188.7583639780176</v>
      </c>
      <c r="P65" s="43">
        <f t="shared" si="19"/>
        <v>1098.7517557494359</v>
      </c>
      <c r="Q65" t="s">
        <v>49</v>
      </c>
    </row>
    <row r="66" spans="1:17" ht="14" customHeight="1" x14ac:dyDescent="0.35">
      <c r="A66" s="29" t="s">
        <v>196</v>
      </c>
      <c r="B66" s="42" t="s">
        <v>185</v>
      </c>
      <c r="C66" s="43">
        <v>1100</v>
      </c>
      <c r="D66" s="44">
        <v>0</v>
      </c>
      <c r="E66" s="44">
        <v>8.0918943824560934</v>
      </c>
      <c r="F66" s="44">
        <v>26.415777866496541</v>
      </c>
      <c r="G66" s="44">
        <v>47.623311721654197</v>
      </c>
      <c r="H66" s="44">
        <v>63.530161133872504</v>
      </c>
      <c r="I66" s="44">
        <v>83.017025582715078</v>
      </c>
      <c r="J66" s="44">
        <v>102.03502896956719</v>
      </c>
      <c r="K66" s="44">
        <v>110.26344647309436</v>
      </c>
      <c r="L66" s="44">
        <v>138.66161296278915</v>
      </c>
      <c r="M66" s="44">
        <v>174.99411982824395</v>
      </c>
      <c r="N66" s="44">
        <v>170.09664191347406</v>
      </c>
      <c r="O66" s="44">
        <v>192.33396333253924</v>
      </c>
      <c r="P66" s="43">
        <f t="shared" si="19"/>
        <v>1117.0629841669022</v>
      </c>
      <c r="Q66" t="s">
        <v>53</v>
      </c>
    </row>
    <row r="67" spans="1:17" ht="14" customHeight="1" x14ac:dyDescent="0.35">
      <c r="A67" s="33" t="s">
        <v>197</v>
      </c>
      <c r="B67" s="45" t="s">
        <v>185</v>
      </c>
      <c r="C67" s="46">
        <v>2000</v>
      </c>
      <c r="D67" s="44">
        <v>0</v>
      </c>
      <c r="E67" s="44">
        <v>14.712535240829261</v>
      </c>
      <c r="F67" s="44">
        <v>48.028687029993705</v>
      </c>
      <c r="G67" s="44">
        <v>86.587839493916704</v>
      </c>
      <c r="H67" s="44">
        <v>115.50938387976812</v>
      </c>
      <c r="I67" s="44">
        <v>150.94004651402733</v>
      </c>
      <c r="J67" s="44">
        <v>185.5182344901221</v>
      </c>
      <c r="K67" s="44">
        <v>200.47899358744439</v>
      </c>
      <c r="L67" s="44">
        <v>252.1120235687076</v>
      </c>
      <c r="M67" s="44">
        <v>318.17112696044353</v>
      </c>
      <c r="N67" s="44">
        <v>309.26662166086174</v>
      </c>
      <c r="O67" s="44">
        <v>349.69811515007137</v>
      </c>
      <c r="P67" s="43">
        <f t="shared" si="19"/>
        <v>2031.0236075761859</v>
      </c>
      <c r="Q67" t="s">
        <v>56</v>
      </c>
    </row>
    <row r="68" spans="1:17" ht="12" customHeight="1" x14ac:dyDescent="0.35">
      <c r="A68" s="72" t="s">
        <v>198</v>
      </c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</row>
    <row r="69" spans="1:17" ht="14" customHeight="1" x14ac:dyDescent="0.35">
      <c r="A69" s="33" t="s">
        <v>199</v>
      </c>
      <c r="B69" s="45" t="s">
        <v>185</v>
      </c>
      <c r="C69" s="46">
        <v>150</v>
      </c>
      <c r="D69" s="44">
        <v>0</v>
      </c>
      <c r="E69" s="44">
        <v>0.22985774552141927</v>
      </c>
      <c r="F69" s="44">
        <v>17.743058609495634</v>
      </c>
      <c r="G69" s="44">
        <v>0.99605023059281683</v>
      </c>
      <c r="H69" s="44">
        <v>25.43059422501674</v>
      </c>
      <c r="I69" s="44">
        <v>1.7622427156642144</v>
      </c>
      <c r="J69" s="44">
        <v>2.6333828531159593</v>
      </c>
      <c r="K69" s="44">
        <v>29.56726270181986</v>
      </c>
      <c r="L69" s="44">
        <v>3.6993981852956743</v>
      </c>
      <c r="M69" s="44">
        <v>24.819586933443276</v>
      </c>
      <c r="N69" s="44">
        <v>3.7014731258018072</v>
      </c>
      <c r="O69" s="44">
        <v>18.430480312371493</v>
      </c>
      <c r="P69" s="43">
        <f t="shared" ref="P69:P70" si="20">SUM(C69:O69)</f>
        <v>279.01338763813891</v>
      </c>
      <c r="Q69" t="s">
        <v>60</v>
      </c>
    </row>
    <row r="70" spans="1:17" ht="14" customHeight="1" x14ac:dyDescent="0.35">
      <c r="A70" s="29" t="s">
        <v>200</v>
      </c>
      <c r="B70" s="42" t="s">
        <v>185</v>
      </c>
      <c r="C70" s="43">
        <v>500</v>
      </c>
      <c r="D70" s="44">
        <v>0</v>
      </c>
      <c r="E70" s="44">
        <v>1.0161080574458128</v>
      </c>
      <c r="F70" s="44">
        <v>1.8753425861188253</v>
      </c>
      <c r="G70" s="44">
        <v>5.1313339895929708</v>
      </c>
      <c r="H70" s="44">
        <v>21.845165016135592</v>
      </c>
      <c r="I70" s="44">
        <v>31.455406786453846</v>
      </c>
      <c r="J70" s="44">
        <v>46.722936432799848</v>
      </c>
      <c r="K70" s="44">
        <v>54.101650110436211</v>
      </c>
      <c r="L70" s="44">
        <v>71.60173685446405</v>
      </c>
      <c r="M70" s="44">
        <v>83.12655370453092</v>
      </c>
      <c r="N70" s="44">
        <v>86.188672795224747</v>
      </c>
      <c r="O70" s="44">
        <v>98.989333162339648</v>
      </c>
      <c r="P70" s="43">
        <f t="shared" si="20"/>
        <v>1002.0542394955427</v>
      </c>
      <c r="Q70" t="s">
        <v>65</v>
      </c>
    </row>
    <row r="71" spans="1:17" ht="12" customHeight="1" x14ac:dyDescent="0.35">
      <c r="A71" s="69" t="s">
        <v>201</v>
      </c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</row>
    <row r="72" spans="1:17" ht="14" customHeight="1" x14ac:dyDescent="0.35">
      <c r="A72" s="47" t="s">
        <v>202</v>
      </c>
      <c r="B72" s="48" t="s">
        <v>203</v>
      </c>
      <c r="C72" s="49">
        <v>300</v>
      </c>
      <c r="D72" s="50">
        <v>18.714137745811936</v>
      </c>
      <c r="E72" s="50">
        <v>25.397285438485103</v>
      </c>
      <c r="F72" s="50">
        <v>24.845956469587723</v>
      </c>
      <c r="G72" s="50">
        <v>28.395703960145447</v>
      </c>
      <c r="H72" s="50">
        <v>26.940211089954804</v>
      </c>
      <c r="I72" s="50">
        <v>25.68281494734072</v>
      </c>
      <c r="J72" s="50">
        <v>27.178222937135043</v>
      </c>
      <c r="K72" s="50">
        <v>23.745316942956666</v>
      </c>
      <c r="L72" s="50">
        <v>25.242728958828504</v>
      </c>
      <c r="M72" s="50">
        <v>27.417721908210162</v>
      </c>
      <c r="N72" s="50">
        <v>25.815749856226397</v>
      </c>
      <c r="O72" s="50">
        <v>22.963407362178561</v>
      </c>
      <c r="P72" s="49">
        <f>SUM(D72:O72)</f>
        <v>302.339257616861</v>
      </c>
      <c r="Q72" t="s">
        <v>68</v>
      </c>
    </row>
    <row r="73" spans="1:17" ht="14" customHeight="1" x14ac:dyDescent="0.35">
      <c r="A73" s="33" t="s">
        <v>204</v>
      </c>
      <c r="B73" s="45" t="s">
        <v>203</v>
      </c>
      <c r="C73" s="51">
        <v>130</v>
      </c>
      <c r="D73" s="50">
        <v>8.1094596898518407</v>
      </c>
      <c r="E73" s="50">
        <v>11.005490356676878</v>
      </c>
      <c r="F73" s="50">
        <v>10.766581136821348</v>
      </c>
      <c r="G73" s="50">
        <v>12.304805049396363</v>
      </c>
      <c r="H73" s="50">
        <v>11.674091472313751</v>
      </c>
      <c r="I73" s="50">
        <v>11.129219810514314</v>
      </c>
      <c r="J73" s="50">
        <v>11.77722993942519</v>
      </c>
      <c r="K73" s="50">
        <v>10.289637341947891</v>
      </c>
      <c r="L73" s="50">
        <v>10.93851588215902</v>
      </c>
      <c r="M73" s="50">
        <v>11.881012826891073</v>
      </c>
      <c r="N73" s="50">
        <v>11.186824937698107</v>
      </c>
      <c r="O73" s="50">
        <v>9.9508098569440442</v>
      </c>
      <c r="P73" s="49">
        <f t="shared" ref="P73:P76" si="21">SUM(D73:O73)</f>
        <v>131.01367830063981</v>
      </c>
      <c r="Q73" t="s">
        <v>72</v>
      </c>
    </row>
    <row r="74" spans="1:17" ht="14" customHeight="1" x14ac:dyDescent="0.35">
      <c r="A74" s="47" t="s">
        <v>205</v>
      </c>
      <c r="B74" s="48" t="s">
        <v>203</v>
      </c>
      <c r="C74" s="49">
        <v>80</v>
      </c>
      <c r="D74" s="50">
        <v>4.9904367322165175</v>
      </c>
      <c r="E74" s="50">
        <v>6.7726094502626957</v>
      </c>
      <c r="F74" s="50">
        <v>6.6255883918900604</v>
      </c>
      <c r="G74" s="50">
        <v>7.5721877227054533</v>
      </c>
      <c r="H74" s="50">
        <v>7.1840562906546159</v>
      </c>
      <c r="I74" s="50">
        <v>6.8487506526241937</v>
      </c>
      <c r="J74" s="50">
        <v>7.2475261165693459</v>
      </c>
      <c r="K74" s="50">
        <v>6.3320845181217793</v>
      </c>
      <c r="L74" s="50">
        <v>6.7313943890209353</v>
      </c>
      <c r="M74" s="50">
        <v>7.3113925088560441</v>
      </c>
      <c r="N74" s="50">
        <v>6.8841999616603742</v>
      </c>
      <c r="O74" s="50">
        <v>6.1235752965809498</v>
      </c>
      <c r="P74" s="49">
        <f t="shared" si="21"/>
        <v>80.623802031162967</v>
      </c>
      <c r="Q74" t="s">
        <v>75</v>
      </c>
    </row>
    <row r="75" spans="1:17" ht="14" customHeight="1" x14ac:dyDescent="0.35">
      <c r="A75" s="33" t="s">
        <v>206</v>
      </c>
      <c r="B75" s="45" t="s">
        <v>203</v>
      </c>
      <c r="C75" s="51">
        <v>57.5</v>
      </c>
      <c r="D75" s="50">
        <v>3.5868764012806209</v>
      </c>
      <c r="E75" s="50">
        <v>4.8678130423763113</v>
      </c>
      <c r="F75" s="50">
        <v>4.7621416566709796</v>
      </c>
      <c r="G75" s="50">
        <v>5.4425099256945435</v>
      </c>
      <c r="H75" s="50">
        <v>5.1635404589080034</v>
      </c>
      <c r="I75" s="50">
        <v>4.922539531573638</v>
      </c>
      <c r="J75" s="50">
        <v>5.2091593962842166</v>
      </c>
      <c r="K75" s="50">
        <v>4.5511857474000275</v>
      </c>
      <c r="L75" s="50">
        <v>4.8381897171087962</v>
      </c>
      <c r="M75" s="50">
        <v>5.2550633657402805</v>
      </c>
      <c r="N75" s="50">
        <v>4.9480187224433925</v>
      </c>
      <c r="O75" s="50">
        <v>4.4013197444175569</v>
      </c>
      <c r="P75" s="49">
        <f t="shared" si="21"/>
        <v>57.948357709898367</v>
      </c>
      <c r="Q75" t="s">
        <v>78</v>
      </c>
    </row>
    <row r="76" spans="1:17" ht="14" customHeight="1" x14ac:dyDescent="0.35">
      <c r="A76" s="47" t="s">
        <v>207</v>
      </c>
      <c r="B76" s="48" t="s">
        <v>203</v>
      </c>
      <c r="C76" s="49">
        <v>70</v>
      </c>
      <c r="D76" s="50">
        <v>4.3666321406894522</v>
      </c>
      <c r="E76" s="50">
        <v>5.9260332689798574</v>
      </c>
      <c r="F76" s="50">
        <v>5.7973898429038018</v>
      </c>
      <c r="G76" s="50">
        <v>6.625664257367271</v>
      </c>
      <c r="H76" s="50">
        <v>6.2860492543227879</v>
      </c>
      <c r="I76" s="50">
        <v>5.992656821046169</v>
      </c>
      <c r="J76" s="50">
        <v>6.3415853519981775</v>
      </c>
      <c r="K76" s="50">
        <v>5.5405739533565557</v>
      </c>
      <c r="L76" s="50">
        <v>5.8899700903933168</v>
      </c>
      <c r="M76" s="50">
        <v>6.3974684452490385</v>
      </c>
      <c r="N76" s="50">
        <v>6.023674966452826</v>
      </c>
      <c r="O76" s="50">
        <v>5.3581283845083307</v>
      </c>
      <c r="P76" s="49">
        <f t="shared" si="21"/>
        <v>70.545826777267592</v>
      </c>
      <c r="Q76" t="s">
        <v>82</v>
      </c>
    </row>
    <row r="77" spans="1:17" ht="12" customHeight="1" x14ac:dyDescent="0.35">
      <c r="A77" s="69" t="s">
        <v>106</v>
      </c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</row>
    <row r="78" spans="1:17" ht="14" customHeight="1" x14ac:dyDescent="0.35">
      <c r="A78" s="47" t="s">
        <v>208</v>
      </c>
      <c r="B78" s="48" t="s">
        <v>203</v>
      </c>
      <c r="C78" s="49">
        <v>13.5</v>
      </c>
      <c r="D78" s="50">
        <v>1.0778138240345037</v>
      </c>
      <c r="E78" s="50">
        <v>1.0778138240345037</v>
      </c>
      <c r="F78" s="50">
        <v>1.0778138240345037</v>
      </c>
      <c r="G78" s="50">
        <v>1.0778138240345037</v>
      </c>
      <c r="H78" s="50">
        <v>1.0778138240345037</v>
      </c>
      <c r="I78" s="50">
        <v>1.0778138240345037</v>
      </c>
      <c r="J78" s="50">
        <v>1.0778138240345037</v>
      </c>
      <c r="K78" s="50">
        <v>1.0778138240345037</v>
      </c>
      <c r="L78" s="50">
        <v>1.0778138240345037</v>
      </c>
      <c r="M78" s="50">
        <v>1.0778138240345037</v>
      </c>
      <c r="N78" s="50">
        <v>1.0778138240345037</v>
      </c>
      <c r="O78" s="50">
        <v>1.0778138240345037</v>
      </c>
      <c r="P78" s="49">
        <f t="shared" ref="P78:P79" si="22">SUM(D78:O78)</f>
        <v>12.933765888414044</v>
      </c>
      <c r="Q78" t="s">
        <v>85</v>
      </c>
    </row>
    <row r="79" spans="1:17" ht="14" customHeight="1" x14ac:dyDescent="0.35">
      <c r="A79" s="33" t="s">
        <v>209</v>
      </c>
      <c r="B79" s="45" t="s">
        <v>203</v>
      </c>
      <c r="C79" s="51">
        <v>27.5</v>
      </c>
      <c r="D79" s="50">
        <v>-6.6868792999999966</v>
      </c>
      <c r="E79" s="50">
        <v>32.729928299999997</v>
      </c>
      <c r="F79" s="50">
        <v>-2.0288968999999946</v>
      </c>
      <c r="G79" s="50">
        <v>74.145540300000008</v>
      </c>
      <c r="H79" s="50">
        <v>68.174846500000001</v>
      </c>
      <c r="I79" s="50">
        <v>111.4835173</v>
      </c>
      <c r="J79" s="50">
        <v>-76.294880500000005</v>
      </c>
      <c r="K79" s="50">
        <v>-160.3932647</v>
      </c>
      <c r="L79" s="50">
        <v>48.216881500000007</v>
      </c>
      <c r="M79" s="50">
        <v>-41.67514289999999</v>
      </c>
      <c r="N79" s="50">
        <v>139.6325501</v>
      </c>
      <c r="O79" s="50">
        <v>-79.849146899999994</v>
      </c>
      <c r="P79" s="49">
        <f t="shared" si="22"/>
        <v>107.4550528</v>
      </c>
      <c r="Q79" t="s">
        <v>89</v>
      </c>
    </row>
    <row r="80" spans="1:17" ht="12" customHeight="1" x14ac:dyDescent="0.35">
      <c r="A80" s="69" t="s">
        <v>92</v>
      </c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</row>
    <row r="81" spans="1:17" ht="14" customHeight="1" x14ac:dyDescent="0.35">
      <c r="A81" s="33" t="s">
        <v>210</v>
      </c>
      <c r="B81" s="45" t="s">
        <v>203</v>
      </c>
      <c r="C81" s="51">
        <v>150</v>
      </c>
      <c r="D81" s="50">
        <v>11.069881998223934</v>
      </c>
      <c r="E81" s="50">
        <v>12.536154664574193</v>
      </c>
      <c r="F81" s="50">
        <v>12.329471624961409</v>
      </c>
      <c r="G81" s="50">
        <v>12.545460494543766</v>
      </c>
      <c r="H81" s="50">
        <v>12.424559501857734</v>
      </c>
      <c r="I81" s="50">
        <v>13.600687232184184</v>
      </c>
      <c r="J81" s="50">
        <v>12.890850615442243</v>
      </c>
      <c r="K81" s="50">
        <v>11.8955124135863</v>
      </c>
      <c r="L81" s="50">
        <v>12.382458224120798</v>
      </c>
      <c r="M81" s="50">
        <v>12.167928370803192</v>
      </c>
      <c r="N81" s="50">
        <v>12.824777223959366</v>
      </c>
      <c r="O81" s="50">
        <v>13.332257635742877</v>
      </c>
      <c r="P81" s="49">
        <f t="shared" ref="P81:P84" si="23">SUM(D81:O81)</f>
        <v>150</v>
      </c>
      <c r="Q81" t="s">
        <v>93</v>
      </c>
    </row>
    <row r="82" spans="1:17" ht="14" customHeight="1" x14ac:dyDescent="0.35">
      <c r="A82" s="47" t="s">
        <v>211</v>
      </c>
      <c r="B82" s="48" t="s">
        <v>203</v>
      </c>
      <c r="C82" s="49">
        <v>100</v>
      </c>
      <c r="D82" s="50">
        <v>7.3799213321492898</v>
      </c>
      <c r="E82" s="50">
        <v>8.3574364430494636</v>
      </c>
      <c r="F82" s="50">
        <v>8.2196477499742731</v>
      </c>
      <c r="G82" s="50">
        <v>8.3636403296958441</v>
      </c>
      <c r="H82" s="50">
        <v>8.2830396679051574</v>
      </c>
      <c r="I82" s="50">
        <v>9.0671248214561224</v>
      </c>
      <c r="J82" s="50">
        <v>8.5939004102948289</v>
      </c>
      <c r="K82" s="50">
        <v>7.9303416090575327</v>
      </c>
      <c r="L82" s="50">
        <v>8.2549721494138648</v>
      </c>
      <c r="M82" s="50">
        <v>8.1119522472021295</v>
      </c>
      <c r="N82" s="50">
        <v>8.5498514826395766</v>
      </c>
      <c r="O82" s="50">
        <v>8.888171757161917</v>
      </c>
      <c r="P82" s="49">
        <f t="shared" si="23"/>
        <v>99.999999999999986</v>
      </c>
      <c r="Q82" t="s">
        <v>97</v>
      </c>
    </row>
    <row r="83" spans="1:17" ht="14" customHeight="1" x14ac:dyDescent="0.35">
      <c r="A83" s="33" t="s">
        <v>212</v>
      </c>
      <c r="B83" s="45" t="s">
        <v>203</v>
      </c>
      <c r="C83" s="51">
        <v>50</v>
      </c>
      <c r="D83" s="50">
        <v>3.6899606660746449</v>
      </c>
      <c r="E83" s="50">
        <v>4.1787182215247318</v>
      </c>
      <c r="F83" s="50">
        <v>4.1098238749871365</v>
      </c>
      <c r="G83" s="50">
        <v>4.1818201648479221</v>
      </c>
      <c r="H83" s="50">
        <v>4.1415198339525787</v>
      </c>
      <c r="I83" s="50">
        <v>4.5335624107280612</v>
      </c>
      <c r="J83" s="50">
        <v>4.2969502051474144</v>
      </c>
      <c r="K83" s="50">
        <v>3.9651708045287664</v>
      </c>
      <c r="L83" s="50">
        <v>4.1274860747069324</v>
      </c>
      <c r="M83" s="50">
        <v>4.0559761236010647</v>
      </c>
      <c r="N83" s="50">
        <v>4.2749257413197883</v>
      </c>
      <c r="O83" s="50">
        <v>4.4440858785809585</v>
      </c>
      <c r="P83" s="49">
        <f t="shared" si="23"/>
        <v>49.999999999999993</v>
      </c>
      <c r="Q83" t="s">
        <v>100</v>
      </c>
    </row>
    <row r="84" spans="1:17" ht="14" customHeight="1" x14ac:dyDescent="0.35">
      <c r="A84" s="47" t="s">
        <v>213</v>
      </c>
      <c r="B84" s="48" t="s">
        <v>203</v>
      </c>
      <c r="C84" s="49">
        <v>37.5</v>
      </c>
      <c r="D84" s="50">
        <v>0</v>
      </c>
      <c r="E84" s="50">
        <v>0</v>
      </c>
      <c r="F84" s="50">
        <v>0</v>
      </c>
      <c r="G84" s="50">
        <v>1.2</v>
      </c>
      <c r="H84" s="50">
        <v>2</v>
      </c>
      <c r="I84" s="50">
        <v>2.8</v>
      </c>
      <c r="J84" s="50">
        <v>3.6</v>
      </c>
      <c r="K84" s="50">
        <v>4.4000000000000004</v>
      </c>
      <c r="L84" s="50">
        <v>5.2</v>
      </c>
      <c r="M84" s="50">
        <v>6</v>
      </c>
      <c r="N84" s="50">
        <v>6.8</v>
      </c>
      <c r="O84" s="50">
        <v>8</v>
      </c>
      <c r="P84" s="49">
        <f t="shared" si="23"/>
        <v>40</v>
      </c>
      <c r="Q84" t="s">
        <v>103</v>
      </c>
    </row>
    <row r="85" spans="1:17" ht="12" customHeight="1" x14ac:dyDescent="0.35">
      <c r="A85" s="69" t="s">
        <v>106</v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</row>
    <row r="86" spans="1:17" ht="14" customHeight="1" x14ac:dyDescent="0.35">
      <c r="A86" s="47" t="s">
        <v>214</v>
      </c>
      <c r="B86" s="48" t="s">
        <v>203</v>
      </c>
      <c r="C86" s="49">
        <v>20</v>
      </c>
      <c r="D86" s="50">
        <v>0</v>
      </c>
      <c r="E86" s="50">
        <v>0</v>
      </c>
      <c r="F86" s="50">
        <v>0</v>
      </c>
      <c r="G86" s="50">
        <v>0.6</v>
      </c>
      <c r="H86" s="50">
        <v>1</v>
      </c>
      <c r="I86" s="50">
        <v>1.4</v>
      </c>
      <c r="J86" s="50">
        <v>1.8</v>
      </c>
      <c r="K86" s="50">
        <v>2.2000000000000002</v>
      </c>
      <c r="L86" s="50">
        <v>2.6</v>
      </c>
      <c r="M86" s="50">
        <v>3</v>
      </c>
      <c r="N86" s="50">
        <v>3.4</v>
      </c>
      <c r="O86" s="50">
        <v>4</v>
      </c>
      <c r="P86" s="49">
        <f t="shared" ref="P86:P87" si="24">SUM(D86:O86)</f>
        <v>20</v>
      </c>
      <c r="Q86" t="s">
        <v>107</v>
      </c>
    </row>
    <row r="87" spans="1:17" ht="14" customHeight="1" x14ac:dyDescent="0.35">
      <c r="A87" s="33" t="s">
        <v>215</v>
      </c>
      <c r="B87" s="45" t="s">
        <v>203</v>
      </c>
      <c r="C87" s="51">
        <v>15</v>
      </c>
      <c r="D87" s="50">
        <v>0</v>
      </c>
      <c r="E87" s="50">
        <v>0</v>
      </c>
      <c r="F87" s="50">
        <v>0</v>
      </c>
      <c r="G87" s="50">
        <v>-0.45</v>
      </c>
      <c r="H87" s="50">
        <v>-0.75</v>
      </c>
      <c r="I87" s="50">
        <v>-1.05</v>
      </c>
      <c r="J87" s="50">
        <v>-1.35</v>
      </c>
      <c r="K87" s="50">
        <v>-1.65</v>
      </c>
      <c r="L87" s="50">
        <v>-1.95</v>
      </c>
      <c r="M87" s="50">
        <v>-2.25</v>
      </c>
      <c r="N87" s="50">
        <v>-2.5500000000000003</v>
      </c>
      <c r="O87" s="50">
        <v>-3</v>
      </c>
      <c r="P87" s="49">
        <f t="shared" si="24"/>
        <v>-15</v>
      </c>
      <c r="Q87" t="s">
        <v>110</v>
      </c>
    </row>
    <row r="88" spans="1:17" ht="12" customHeight="1" x14ac:dyDescent="0.35">
      <c r="A88" s="71" t="s">
        <v>113</v>
      </c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</row>
    <row r="89" spans="1:17" ht="14" customHeight="1" x14ac:dyDescent="0.35">
      <c r="A89" s="33" t="s">
        <v>216</v>
      </c>
      <c r="B89" s="45" t="s">
        <v>217</v>
      </c>
      <c r="C89" s="52" t="s">
        <v>15</v>
      </c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2" t="s">
        <v>15</v>
      </c>
      <c r="Q89" t="s">
        <v>114</v>
      </c>
    </row>
    <row r="90" spans="1:17" ht="14" customHeight="1" x14ac:dyDescent="0.35">
      <c r="A90" s="54" t="s">
        <v>218</v>
      </c>
      <c r="B90" s="55" t="s">
        <v>217</v>
      </c>
      <c r="C90" s="56" t="s">
        <v>15</v>
      </c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6" t="s">
        <v>15</v>
      </c>
      <c r="Q90" t="s">
        <v>118</v>
      </c>
    </row>
    <row r="91" spans="1:17" ht="14" customHeight="1" x14ac:dyDescent="0.35">
      <c r="A91" s="33" t="s">
        <v>219</v>
      </c>
      <c r="B91" s="45" t="s">
        <v>217</v>
      </c>
      <c r="C91" s="52" t="s">
        <v>15</v>
      </c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2" t="s">
        <v>15</v>
      </c>
      <c r="Q91" t="s">
        <v>120</v>
      </c>
    </row>
    <row r="92" spans="1:17" ht="14" customHeight="1" x14ac:dyDescent="0.35">
      <c r="A92" s="54" t="s">
        <v>220</v>
      </c>
      <c r="B92" s="55" t="s">
        <v>217</v>
      </c>
      <c r="C92" s="56" t="s">
        <v>15</v>
      </c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6" t="s">
        <v>15</v>
      </c>
      <c r="Q92" t="s">
        <v>122</v>
      </c>
    </row>
    <row r="93" spans="1:17" ht="14" customHeight="1" x14ac:dyDescent="0.35">
      <c r="A93" s="33" t="s">
        <v>221</v>
      </c>
      <c r="B93" s="45" t="s">
        <v>217</v>
      </c>
      <c r="C93" s="52" t="s">
        <v>15</v>
      </c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2" t="s">
        <v>15</v>
      </c>
      <c r="Q93" t="s">
        <v>124</v>
      </c>
    </row>
    <row r="94" spans="1:17" ht="15" customHeight="1" x14ac:dyDescent="0.35">
      <c r="A94" s="31" t="s">
        <v>222</v>
      </c>
      <c r="B94" s="58"/>
      <c r="C94" s="32">
        <f>+SUM(C52:C54,C56:C58,C60:C63,C65:C67,C69:C70)</f>
        <v>12560</v>
      </c>
      <c r="D94" s="32">
        <f>+SUM(D52:D54,D56:D58,D60:D63,D65:D67,D69:D70)</f>
        <v>309.18406714081868</v>
      </c>
      <c r="E94" s="32">
        <f t="shared" ref="E94:P94" si="25">+SUM(E52:E54,E56:E58,E60:E63,E65:E67,E69:E70)</f>
        <v>502.30287913372695</v>
      </c>
      <c r="F94" s="32">
        <f t="shared" si="25"/>
        <v>629.87508119729239</v>
      </c>
      <c r="G94" s="32">
        <f t="shared" si="25"/>
        <v>744.47136935395918</v>
      </c>
      <c r="H94" s="32">
        <f t="shared" si="25"/>
        <v>890.1511078630075</v>
      </c>
      <c r="I94" s="32">
        <f t="shared" si="25"/>
        <v>1016.2396204768606</v>
      </c>
      <c r="J94" s="32">
        <f t="shared" si="25"/>
        <v>1004.2076202942903</v>
      </c>
      <c r="K94" s="32">
        <f t="shared" si="25"/>
        <v>1042.1851882363387</v>
      </c>
      <c r="L94" s="32">
        <f t="shared" si="25"/>
        <v>1219.1308512232026</v>
      </c>
      <c r="M94" s="32">
        <f t="shared" si="25"/>
        <v>1486.1894818454884</v>
      </c>
      <c r="N94" s="32">
        <f t="shared" si="25"/>
        <v>1437.9764544268623</v>
      </c>
      <c r="O94" s="32">
        <f t="shared" si="25"/>
        <v>1599.9585087533796</v>
      </c>
      <c r="P94" s="32">
        <f t="shared" si="25"/>
        <v>12531.872229945227</v>
      </c>
    </row>
    <row r="95" spans="1:17" ht="15" customHeight="1" x14ac:dyDescent="0.35">
      <c r="A95" s="59" t="s">
        <v>223</v>
      </c>
      <c r="B95" s="60"/>
      <c r="C95" s="61">
        <f>+SUM(C86:C87,C81:C84,C78:C79,C72:C76)</f>
        <v>1051</v>
      </c>
      <c r="D95" s="61">
        <f>+SUM(D86:D87,D81:D84,D78:D79,D72:D76)</f>
        <v>56.298241230332742</v>
      </c>
      <c r="E95" s="61">
        <f t="shared" ref="E95:P95" si="26">+SUM(E86:E87,E81:E84,E78:E79,E72:E76)</f>
        <v>112.84928300996373</v>
      </c>
      <c r="F95" s="61">
        <f t="shared" si="26"/>
        <v>76.505517671831228</v>
      </c>
      <c r="G95" s="61">
        <f t="shared" si="26"/>
        <v>162.00514602843111</v>
      </c>
      <c r="H95" s="61">
        <f t="shared" si="26"/>
        <v>153.59972789390395</v>
      </c>
      <c r="I95" s="61">
        <f t="shared" si="26"/>
        <v>197.48868735150194</v>
      </c>
      <c r="J95" s="61">
        <f t="shared" si="26"/>
        <v>12.36835829633096</v>
      </c>
      <c r="K95" s="61">
        <f t="shared" si="26"/>
        <v>-80.115627545009986</v>
      </c>
      <c r="L95" s="61">
        <f t="shared" si="26"/>
        <v>133.55041080978668</v>
      </c>
      <c r="M95" s="61">
        <f t="shared" si="26"/>
        <v>48.751186720587491</v>
      </c>
      <c r="N95" s="61">
        <f t="shared" si="26"/>
        <v>228.86838681643434</v>
      </c>
      <c r="O95" s="61">
        <f t="shared" si="26"/>
        <v>5.6904228401497106</v>
      </c>
      <c r="P95" s="61">
        <f t="shared" si="26"/>
        <v>1107.8597411242438</v>
      </c>
    </row>
    <row r="96" spans="1:17" ht="15" customHeight="1" x14ac:dyDescent="0.35">
      <c r="A96" s="2" t="s">
        <v>224</v>
      </c>
      <c r="B96" s="62"/>
      <c r="C96" s="63">
        <f>+C94+C95</f>
        <v>13611</v>
      </c>
      <c r="D96" s="63">
        <f t="shared" ref="D96:P96" si="27">+D94+D95</f>
        <v>365.48230837115142</v>
      </c>
      <c r="E96" s="63">
        <f t="shared" si="27"/>
        <v>615.1521621436907</v>
      </c>
      <c r="F96" s="63">
        <f t="shared" si="27"/>
        <v>706.38059886912356</v>
      </c>
      <c r="G96" s="63">
        <f t="shared" si="27"/>
        <v>906.47651538239029</v>
      </c>
      <c r="H96" s="63">
        <f t="shared" si="27"/>
        <v>1043.7508357569113</v>
      </c>
      <c r="I96" s="63">
        <f t="shared" si="27"/>
        <v>1213.7283078283626</v>
      </c>
      <c r="J96" s="63">
        <f t="shared" si="27"/>
        <v>1016.5759785906213</v>
      </c>
      <c r="K96" s="63">
        <f t="shared" si="27"/>
        <v>962.06956069132877</v>
      </c>
      <c r="L96" s="63">
        <f t="shared" si="27"/>
        <v>1352.6812620329893</v>
      </c>
      <c r="M96" s="63">
        <f t="shared" si="27"/>
        <v>1534.9406685660758</v>
      </c>
      <c r="N96" s="63">
        <f t="shared" si="27"/>
        <v>1666.8448412432967</v>
      </c>
      <c r="O96" s="63">
        <f t="shared" si="27"/>
        <v>1605.6489315935294</v>
      </c>
      <c r="P96" s="63">
        <f t="shared" si="27"/>
        <v>13639.731971069472</v>
      </c>
    </row>
    <row r="98" spans="1:16" x14ac:dyDescent="0.35">
      <c r="A98" s="65" t="s">
        <v>231</v>
      </c>
      <c r="D98">
        <v>0</v>
      </c>
      <c r="E98">
        <v>14.05</v>
      </c>
      <c r="F98">
        <v>80.05</v>
      </c>
      <c r="G98">
        <v>42.05</v>
      </c>
      <c r="H98">
        <v>72.55</v>
      </c>
      <c r="I98">
        <v>49.55</v>
      </c>
      <c r="J98">
        <v>42.05</v>
      </c>
      <c r="K98">
        <v>72.55</v>
      </c>
      <c r="L98">
        <v>49.55</v>
      </c>
      <c r="M98">
        <v>72.55</v>
      </c>
      <c r="N98">
        <v>42.05</v>
      </c>
      <c r="O98">
        <v>80.05</v>
      </c>
      <c r="P98">
        <f>SUM(D98:O98)</f>
        <v>617.04999999999995</v>
      </c>
    </row>
    <row r="99" spans="1:16" x14ac:dyDescent="0.35">
      <c r="A99" t="s">
        <v>226</v>
      </c>
      <c r="D99">
        <v>0</v>
      </c>
      <c r="E99">
        <v>5.5</v>
      </c>
      <c r="F99">
        <v>1.5</v>
      </c>
      <c r="G99">
        <v>1.5</v>
      </c>
      <c r="H99">
        <v>1.5</v>
      </c>
      <c r="I99">
        <v>1.5</v>
      </c>
      <c r="J99">
        <v>1.5</v>
      </c>
      <c r="K99">
        <v>1.5</v>
      </c>
      <c r="L99">
        <v>1.5</v>
      </c>
      <c r="M99">
        <v>1.5</v>
      </c>
      <c r="N99">
        <v>1.5</v>
      </c>
      <c r="O99">
        <v>1.5</v>
      </c>
      <c r="P99">
        <f t="shared" ref="P99:P103" si="28">SUM(D99:O99)</f>
        <v>20.5</v>
      </c>
    </row>
    <row r="100" spans="1:16" x14ac:dyDescent="0.35">
      <c r="A100" t="s">
        <v>227</v>
      </c>
      <c r="D100">
        <v>0</v>
      </c>
      <c r="E100">
        <v>4.4000000000000004</v>
      </c>
      <c r="F100">
        <v>3.4</v>
      </c>
      <c r="G100">
        <v>3.4</v>
      </c>
      <c r="H100">
        <v>3.4</v>
      </c>
      <c r="I100">
        <v>3.4</v>
      </c>
      <c r="J100">
        <v>3.4</v>
      </c>
      <c r="K100">
        <v>3.4</v>
      </c>
      <c r="L100">
        <v>3.4</v>
      </c>
      <c r="M100">
        <v>3.4</v>
      </c>
      <c r="N100">
        <v>3.4</v>
      </c>
      <c r="O100">
        <v>3.4</v>
      </c>
      <c r="P100">
        <f t="shared" si="28"/>
        <v>38.399999999999991</v>
      </c>
    </row>
    <row r="101" spans="1:16" x14ac:dyDescent="0.35">
      <c r="A101" t="s">
        <v>228</v>
      </c>
      <c r="D101">
        <v>0</v>
      </c>
      <c r="E101">
        <v>29.25</v>
      </c>
      <c r="F101">
        <v>29.25</v>
      </c>
      <c r="G101">
        <v>29.25</v>
      </c>
      <c r="H101">
        <v>29.25</v>
      </c>
      <c r="I101">
        <v>29.25</v>
      </c>
      <c r="J101">
        <v>29.25</v>
      </c>
      <c r="K101">
        <v>29.25</v>
      </c>
      <c r="L101">
        <v>29.25</v>
      </c>
      <c r="M101">
        <v>29.25</v>
      </c>
      <c r="N101">
        <v>29.25</v>
      </c>
      <c r="O101">
        <v>29.25</v>
      </c>
      <c r="P101">
        <f t="shared" si="28"/>
        <v>321.75</v>
      </c>
    </row>
    <row r="102" spans="1:16" x14ac:dyDescent="0.35">
      <c r="A102" t="s">
        <v>229</v>
      </c>
      <c r="D102">
        <v>0</v>
      </c>
      <c r="E102">
        <v>13</v>
      </c>
      <c r="F102">
        <v>0</v>
      </c>
      <c r="G102">
        <v>19.5</v>
      </c>
      <c r="H102">
        <v>0</v>
      </c>
      <c r="I102">
        <v>0</v>
      </c>
      <c r="J102">
        <v>19.5</v>
      </c>
      <c r="K102">
        <v>0</v>
      </c>
      <c r="L102">
        <v>0</v>
      </c>
      <c r="M102">
        <v>13</v>
      </c>
      <c r="N102">
        <v>0</v>
      </c>
      <c r="O102">
        <v>0</v>
      </c>
      <c r="P102">
        <f t="shared" si="28"/>
        <v>65</v>
      </c>
    </row>
    <row r="103" spans="1:16" x14ac:dyDescent="0.35">
      <c r="A103" t="s">
        <v>230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f t="shared" si="28"/>
        <v>0</v>
      </c>
    </row>
    <row r="104" spans="1:16" x14ac:dyDescent="0.35">
      <c r="D104" s="65">
        <f t="shared" ref="D104:O104" si="29">SUM(D98:D103)</f>
        <v>0</v>
      </c>
      <c r="E104" s="65">
        <f t="shared" si="29"/>
        <v>66.2</v>
      </c>
      <c r="F104" s="65">
        <f t="shared" si="29"/>
        <v>114.2</v>
      </c>
      <c r="G104" s="65">
        <f t="shared" si="29"/>
        <v>95.699999999999989</v>
      </c>
      <c r="H104" s="65">
        <f t="shared" si="29"/>
        <v>106.7</v>
      </c>
      <c r="I104" s="65">
        <f t="shared" si="29"/>
        <v>83.699999999999989</v>
      </c>
      <c r="J104" s="65">
        <f t="shared" si="29"/>
        <v>95.699999999999989</v>
      </c>
      <c r="K104" s="65">
        <f t="shared" si="29"/>
        <v>106.7</v>
      </c>
      <c r="L104" s="65">
        <f t="shared" si="29"/>
        <v>83.699999999999989</v>
      </c>
      <c r="M104" s="65">
        <f t="shared" si="29"/>
        <v>119.7</v>
      </c>
      <c r="N104" s="65">
        <f t="shared" si="29"/>
        <v>76.199999999999989</v>
      </c>
      <c r="O104" s="65">
        <f t="shared" si="29"/>
        <v>114.2</v>
      </c>
      <c r="P104" s="65">
        <f>SUM(P98:P103)</f>
        <v>1062.6999999999998</v>
      </c>
    </row>
  </sheetData>
  <mergeCells count="14">
    <mergeCell ref="A1:P1"/>
    <mergeCell ref="A80:P80"/>
    <mergeCell ref="A2:P2"/>
    <mergeCell ref="A88:P88"/>
    <mergeCell ref="A71:P71"/>
    <mergeCell ref="A77:P77"/>
    <mergeCell ref="A55:P55"/>
    <mergeCell ref="A4:P4"/>
    <mergeCell ref="A64:P64"/>
    <mergeCell ref="A59:P59"/>
    <mergeCell ref="A68:P68"/>
    <mergeCell ref="A49:P49"/>
    <mergeCell ref="A51:P51"/>
    <mergeCell ref="A85:P8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zoomScale="85" workbookViewId="0">
      <pane ySplit="3" topLeftCell="A4" activePane="bottomLeft" state="frozen"/>
      <selection pane="bottomLeft" activeCell="A12" sqref="A12:H12"/>
    </sheetView>
  </sheetViews>
  <sheetFormatPr defaultRowHeight="14.5" x14ac:dyDescent="0.35"/>
  <cols>
    <col min="1" max="1" width="5" customWidth="1"/>
    <col min="2" max="2" width="8" customWidth="1"/>
    <col min="3" max="3" width="40" customWidth="1"/>
    <col min="4" max="4" width="30" customWidth="1"/>
    <col min="5" max="5" width="12" customWidth="1"/>
    <col min="6" max="6" width="11" customWidth="1"/>
    <col min="7" max="7" width="10" customWidth="1"/>
    <col min="8" max="8" width="18" customWidth="1"/>
  </cols>
  <sheetData>
    <row r="1" spans="1:8" ht="22" customHeight="1" x14ac:dyDescent="0.35">
      <c r="A1" s="67" t="s">
        <v>0</v>
      </c>
      <c r="B1" s="68"/>
      <c r="C1" s="68"/>
      <c r="D1" s="68"/>
      <c r="E1" s="68"/>
      <c r="F1" s="68"/>
      <c r="G1" s="68"/>
      <c r="H1" s="68"/>
    </row>
    <row r="2" spans="1:8" ht="14" customHeight="1" x14ac:dyDescent="0.35">
      <c r="A2" s="70" t="s">
        <v>1</v>
      </c>
      <c r="B2" s="68"/>
      <c r="C2" s="68"/>
      <c r="D2" s="68"/>
      <c r="E2" s="68"/>
      <c r="F2" s="68"/>
      <c r="G2" s="68"/>
      <c r="H2" s="68"/>
    </row>
    <row r="3" spans="1:8" ht="16" customHeight="1" x14ac:dyDescent="0.35">
      <c r="A3" s="1" t="s">
        <v>2</v>
      </c>
      <c r="B3" s="1" t="s">
        <v>3</v>
      </c>
      <c r="C3" s="2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3" customHeight="1" x14ac:dyDescent="0.35">
      <c r="A4" s="72" t="s">
        <v>10</v>
      </c>
      <c r="B4" s="68"/>
      <c r="C4" s="68"/>
      <c r="D4" s="68"/>
      <c r="E4" s="68"/>
      <c r="F4" s="68"/>
      <c r="G4" s="68"/>
      <c r="H4" s="68"/>
    </row>
    <row r="5" spans="1:8" ht="15" customHeight="1" x14ac:dyDescent="0.35">
      <c r="A5" s="3">
        <v>1</v>
      </c>
      <c r="B5" s="4" t="s">
        <v>11</v>
      </c>
      <c r="C5" s="5" t="s">
        <v>12</v>
      </c>
      <c r="D5" s="6" t="s">
        <v>13</v>
      </c>
      <c r="E5" s="3" t="s">
        <v>14</v>
      </c>
      <c r="F5" s="7" t="s">
        <v>15</v>
      </c>
      <c r="G5" s="7" t="s">
        <v>15</v>
      </c>
      <c r="H5" s="8" t="s">
        <v>16</v>
      </c>
    </row>
    <row r="6" spans="1:8" ht="15" customHeight="1" x14ac:dyDescent="0.35">
      <c r="A6" s="9">
        <v>2</v>
      </c>
      <c r="B6" s="10" t="s">
        <v>17</v>
      </c>
      <c r="C6" s="11" t="s">
        <v>18</v>
      </c>
      <c r="D6" s="12" t="s">
        <v>13</v>
      </c>
      <c r="E6" s="9" t="s">
        <v>14</v>
      </c>
      <c r="F6" s="13">
        <v>1.5</v>
      </c>
      <c r="G6" s="13" t="s">
        <v>15</v>
      </c>
      <c r="H6" s="14" t="s">
        <v>19</v>
      </c>
    </row>
    <row r="7" spans="1:8" ht="15" customHeight="1" x14ac:dyDescent="0.35">
      <c r="A7" s="3">
        <v>3</v>
      </c>
      <c r="B7" s="4" t="s">
        <v>20</v>
      </c>
      <c r="C7" s="5" t="s">
        <v>21</v>
      </c>
      <c r="D7" s="6" t="s">
        <v>13</v>
      </c>
      <c r="E7" s="3" t="s">
        <v>14</v>
      </c>
      <c r="F7" s="7">
        <v>4</v>
      </c>
      <c r="G7" s="7" t="s">
        <v>15</v>
      </c>
      <c r="H7" s="8" t="s">
        <v>22</v>
      </c>
    </row>
    <row r="8" spans="1:8" ht="13" customHeight="1" x14ac:dyDescent="0.35">
      <c r="A8" s="72" t="s">
        <v>23</v>
      </c>
      <c r="B8" s="68"/>
      <c r="C8" s="68"/>
      <c r="D8" s="68"/>
      <c r="E8" s="68"/>
      <c r="F8" s="68"/>
      <c r="G8" s="68"/>
      <c r="H8" s="68"/>
    </row>
    <row r="9" spans="1:8" ht="15" customHeight="1" x14ac:dyDescent="0.35">
      <c r="A9" s="9">
        <v>4</v>
      </c>
      <c r="B9" s="10" t="s">
        <v>24</v>
      </c>
      <c r="C9" s="11" t="s">
        <v>25</v>
      </c>
      <c r="D9" s="12" t="s">
        <v>26</v>
      </c>
      <c r="E9" s="9" t="s">
        <v>27</v>
      </c>
      <c r="F9" s="13">
        <v>65</v>
      </c>
      <c r="G9" s="13" t="s">
        <v>15</v>
      </c>
      <c r="H9" s="14" t="s">
        <v>28</v>
      </c>
    </row>
    <row r="10" spans="1:8" ht="15" customHeight="1" x14ac:dyDescent="0.35">
      <c r="A10" s="3">
        <v>5</v>
      </c>
      <c r="B10" s="4" t="s">
        <v>29</v>
      </c>
      <c r="C10" s="5" t="s">
        <v>30</v>
      </c>
      <c r="D10" s="6" t="s">
        <v>26</v>
      </c>
      <c r="E10" s="3" t="s">
        <v>27</v>
      </c>
      <c r="F10" s="7">
        <v>17</v>
      </c>
      <c r="G10" s="7" t="s">
        <v>15</v>
      </c>
      <c r="H10" s="8" t="s">
        <v>31</v>
      </c>
    </row>
    <row r="11" spans="1:8" ht="15" customHeight="1" x14ac:dyDescent="0.35">
      <c r="A11" s="9">
        <v>6</v>
      </c>
      <c r="B11" s="10" t="s">
        <v>32</v>
      </c>
      <c r="C11" s="11" t="s">
        <v>33</v>
      </c>
      <c r="D11" s="12" t="s">
        <v>26</v>
      </c>
      <c r="E11" s="9" t="s">
        <v>27</v>
      </c>
      <c r="F11" s="13">
        <v>30</v>
      </c>
      <c r="G11" s="13" t="s">
        <v>15</v>
      </c>
      <c r="H11" s="14" t="s">
        <v>34</v>
      </c>
    </row>
    <row r="12" spans="1:8" ht="13" customHeight="1" x14ac:dyDescent="0.35">
      <c r="A12" s="72" t="s">
        <v>35</v>
      </c>
      <c r="B12" s="68"/>
      <c r="C12" s="68"/>
      <c r="D12" s="68"/>
      <c r="E12" s="68"/>
      <c r="F12" s="68"/>
      <c r="G12" s="68"/>
      <c r="H12" s="68"/>
    </row>
    <row r="13" spans="1:8" ht="15" customHeight="1" x14ac:dyDescent="0.35">
      <c r="A13" s="3">
        <v>7</v>
      </c>
      <c r="B13" s="4" t="s">
        <v>36</v>
      </c>
      <c r="C13" s="5" t="s">
        <v>37</v>
      </c>
      <c r="D13" s="6" t="s">
        <v>38</v>
      </c>
      <c r="E13" s="3" t="s">
        <v>27</v>
      </c>
      <c r="F13" s="7">
        <v>25</v>
      </c>
      <c r="G13" s="7" t="s">
        <v>15</v>
      </c>
      <c r="H13" s="8" t="s">
        <v>39</v>
      </c>
    </row>
    <row r="14" spans="1:8" ht="15" customHeight="1" x14ac:dyDescent="0.35">
      <c r="A14" s="9">
        <v>8</v>
      </c>
      <c r="B14" s="10" t="s">
        <v>40</v>
      </c>
      <c r="C14" s="11" t="s">
        <v>41</v>
      </c>
      <c r="D14" s="12" t="s">
        <v>38</v>
      </c>
      <c r="E14" s="9" t="s">
        <v>27</v>
      </c>
      <c r="F14" s="13">
        <v>6</v>
      </c>
      <c r="G14" s="13" t="s">
        <v>15</v>
      </c>
      <c r="H14" s="14" t="s">
        <v>34</v>
      </c>
    </row>
    <row r="15" spans="1:8" ht="15" customHeight="1" x14ac:dyDescent="0.35">
      <c r="A15" s="3">
        <v>9</v>
      </c>
      <c r="B15" s="4" t="s">
        <v>42</v>
      </c>
      <c r="C15" s="5" t="s">
        <v>43</v>
      </c>
      <c r="D15" s="6" t="s">
        <v>38</v>
      </c>
      <c r="E15" s="3" t="s">
        <v>14</v>
      </c>
      <c r="F15" s="7">
        <v>350</v>
      </c>
      <c r="G15" s="7" t="s">
        <v>15</v>
      </c>
      <c r="H15" s="8" t="s">
        <v>44</v>
      </c>
    </row>
    <row r="16" spans="1:8" ht="15" customHeight="1" x14ac:dyDescent="0.35">
      <c r="A16" s="9">
        <v>10</v>
      </c>
      <c r="B16" s="10" t="s">
        <v>45</v>
      </c>
      <c r="C16" s="11" t="s">
        <v>46</v>
      </c>
      <c r="D16" s="12" t="s">
        <v>38</v>
      </c>
      <c r="E16" s="9" t="s">
        <v>27</v>
      </c>
      <c r="F16" s="13">
        <v>17</v>
      </c>
      <c r="G16" s="13" t="s">
        <v>15</v>
      </c>
      <c r="H16" s="14" t="s">
        <v>47</v>
      </c>
    </row>
    <row r="17" spans="1:8" ht="13" customHeight="1" x14ac:dyDescent="0.35">
      <c r="A17" s="72" t="s">
        <v>48</v>
      </c>
      <c r="B17" s="68"/>
      <c r="C17" s="68"/>
      <c r="D17" s="68"/>
      <c r="E17" s="68"/>
      <c r="F17" s="68"/>
      <c r="G17" s="68"/>
      <c r="H17" s="68"/>
    </row>
    <row r="18" spans="1:8" ht="15" customHeight="1" x14ac:dyDescent="0.35">
      <c r="A18" s="3">
        <v>11</v>
      </c>
      <c r="B18" s="4" t="s">
        <v>49</v>
      </c>
      <c r="C18" s="5" t="s">
        <v>50</v>
      </c>
      <c r="D18" s="6" t="s">
        <v>51</v>
      </c>
      <c r="E18" s="3" t="s">
        <v>27</v>
      </c>
      <c r="F18" s="7" t="s">
        <v>15</v>
      </c>
      <c r="G18" s="7" t="s">
        <v>15</v>
      </c>
      <c r="H18" s="8" t="s">
        <v>52</v>
      </c>
    </row>
    <row r="19" spans="1:8" ht="15" customHeight="1" x14ac:dyDescent="0.35">
      <c r="A19" s="9">
        <v>12</v>
      </c>
      <c r="B19" s="10" t="s">
        <v>53</v>
      </c>
      <c r="C19" s="11" t="s">
        <v>54</v>
      </c>
      <c r="D19" s="12" t="s">
        <v>51</v>
      </c>
      <c r="E19" s="9" t="s">
        <v>27</v>
      </c>
      <c r="F19" s="13" t="s">
        <v>15</v>
      </c>
      <c r="G19" s="13">
        <v>19</v>
      </c>
      <c r="H19" s="14" t="s">
        <v>55</v>
      </c>
    </row>
    <row r="20" spans="1:8" ht="15" customHeight="1" x14ac:dyDescent="0.35">
      <c r="A20" s="3">
        <v>13</v>
      </c>
      <c r="B20" s="4" t="s">
        <v>56</v>
      </c>
      <c r="C20" s="5" t="s">
        <v>57</v>
      </c>
      <c r="D20" s="6" t="s">
        <v>51</v>
      </c>
      <c r="E20" s="3" t="s">
        <v>27</v>
      </c>
      <c r="F20" s="7">
        <v>400</v>
      </c>
      <c r="G20" s="7">
        <v>90</v>
      </c>
      <c r="H20" s="8" t="s">
        <v>58</v>
      </c>
    </row>
    <row r="21" spans="1:8" ht="13" customHeight="1" x14ac:dyDescent="0.35">
      <c r="A21" s="72" t="s">
        <v>59</v>
      </c>
      <c r="B21" s="68"/>
      <c r="C21" s="68"/>
      <c r="D21" s="68"/>
      <c r="E21" s="68"/>
      <c r="F21" s="68"/>
      <c r="G21" s="68"/>
      <c r="H21" s="68"/>
    </row>
    <row r="22" spans="1:8" ht="15" customHeight="1" x14ac:dyDescent="0.35">
      <c r="A22" s="9">
        <v>14</v>
      </c>
      <c r="B22" s="10" t="s">
        <v>60</v>
      </c>
      <c r="C22" s="11" t="s">
        <v>61</v>
      </c>
      <c r="D22" s="12" t="s">
        <v>62</v>
      </c>
      <c r="E22" s="9" t="s">
        <v>63</v>
      </c>
      <c r="F22" s="13">
        <v>110</v>
      </c>
      <c r="G22" s="13" t="s">
        <v>15</v>
      </c>
      <c r="H22" s="14" t="s">
        <v>64</v>
      </c>
    </row>
    <row r="23" spans="1:8" ht="15" customHeight="1" x14ac:dyDescent="0.35">
      <c r="A23" s="3">
        <v>15</v>
      </c>
      <c r="B23" s="4" t="s">
        <v>65</v>
      </c>
      <c r="C23" s="5" t="s">
        <v>66</v>
      </c>
      <c r="D23" s="6" t="s">
        <v>62</v>
      </c>
      <c r="E23" s="3" t="s">
        <v>14</v>
      </c>
      <c r="F23" s="7">
        <v>62</v>
      </c>
      <c r="G23" s="7" t="s">
        <v>15</v>
      </c>
      <c r="H23" s="8" t="s">
        <v>31</v>
      </c>
    </row>
    <row r="24" spans="1:8" ht="13" customHeight="1" x14ac:dyDescent="0.35">
      <c r="A24" s="69" t="s">
        <v>67</v>
      </c>
      <c r="B24" s="68"/>
      <c r="C24" s="68"/>
      <c r="D24" s="68"/>
      <c r="E24" s="68"/>
      <c r="F24" s="68"/>
      <c r="G24" s="68"/>
      <c r="H24" s="68"/>
    </row>
    <row r="25" spans="1:8" ht="15" customHeight="1" x14ac:dyDescent="0.35">
      <c r="A25" s="15">
        <v>16</v>
      </c>
      <c r="B25" s="16" t="s">
        <v>68</v>
      </c>
      <c r="C25" s="17" t="s">
        <v>69</v>
      </c>
      <c r="D25" s="18" t="s">
        <v>70</v>
      </c>
      <c r="E25" s="15" t="s">
        <v>14</v>
      </c>
      <c r="F25" s="19" t="s">
        <v>15</v>
      </c>
      <c r="G25" s="19" t="s">
        <v>15</v>
      </c>
      <c r="H25" s="20" t="s">
        <v>71</v>
      </c>
    </row>
    <row r="26" spans="1:8" ht="15" customHeight="1" x14ac:dyDescent="0.35">
      <c r="A26" s="3">
        <v>17</v>
      </c>
      <c r="B26" s="4" t="s">
        <v>72</v>
      </c>
      <c r="C26" s="5" t="s">
        <v>73</v>
      </c>
      <c r="D26" s="6" t="s">
        <v>70</v>
      </c>
      <c r="E26" s="3" t="s">
        <v>14</v>
      </c>
      <c r="F26" s="7" t="s">
        <v>15</v>
      </c>
      <c r="G26" s="7" t="s">
        <v>15</v>
      </c>
      <c r="H26" s="21" t="s">
        <v>74</v>
      </c>
    </row>
    <row r="27" spans="1:8" ht="15" customHeight="1" x14ac:dyDescent="0.35">
      <c r="A27" s="15">
        <v>18</v>
      </c>
      <c r="B27" s="16" t="s">
        <v>75</v>
      </c>
      <c r="C27" s="17" t="s">
        <v>76</v>
      </c>
      <c r="D27" s="18" t="s">
        <v>70</v>
      </c>
      <c r="E27" s="15" t="s">
        <v>14</v>
      </c>
      <c r="F27" s="19" t="s">
        <v>15</v>
      </c>
      <c r="G27" s="19" t="s">
        <v>15</v>
      </c>
      <c r="H27" s="20" t="s">
        <v>77</v>
      </c>
    </row>
    <row r="28" spans="1:8" ht="15" customHeight="1" x14ac:dyDescent="0.35">
      <c r="A28" s="3">
        <v>19</v>
      </c>
      <c r="B28" s="4" t="s">
        <v>78</v>
      </c>
      <c r="C28" s="5" t="s">
        <v>79</v>
      </c>
      <c r="D28" s="6" t="s">
        <v>70</v>
      </c>
      <c r="E28" s="3" t="s">
        <v>80</v>
      </c>
      <c r="F28" s="7" t="s">
        <v>15</v>
      </c>
      <c r="G28" s="7" t="s">
        <v>15</v>
      </c>
      <c r="H28" s="21" t="s">
        <v>81</v>
      </c>
    </row>
    <row r="29" spans="1:8" ht="15" customHeight="1" x14ac:dyDescent="0.35">
      <c r="A29" s="15">
        <v>20</v>
      </c>
      <c r="B29" s="16" t="s">
        <v>82</v>
      </c>
      <c r="C29" s="17" t="s">
        <v>83</v>
      </c>
      <c r="D29" s="18" t="s">
        <v>70</v>
      </c>
      <c r="E29" s="15" t="s">
        <v>14</v>
      </c>
      <c r="F29" s="19" t="s">
        <v>15</v>
      </c>
      <c r="G29" s="19" t="s">
        <v>15</v>
      </c>
      <c r="H29" s="20" t="s">
        <v>84</v>
      </c>
    </row>
    <row r="30" spans="1:8" ht="15" customHeight="1" x14ac:dyDescent="0.35">
      <c r="A30" s="3">
        <v>21</v>
      </c>
      <c r="B30" s="4" t="s">
        <v>85</v>
      </c>
      <c r="C30" s="5" t="s">
        <v>86</v>
      </c>
      <c r="D30" s="6" t="s">
        <v>87</v>
      </c>
      <c r="E30" s="3" t="s">
        <v>14</v>
      </c>
      <c r="F30" s="7" t="s">
        <v>15</v>
      </c>
      <c r="G30" s="7" t="s">
        <v>15</v>
      </c>
      <c r="H30" s="21" t="s">
        <v>88</v>
      </c>
    </row>
    <row r="31" spans="1:8" ht="15" customHeight="1" x14ac:dyDescent="0.35">
      <c r="A31" s="15">
        <v>22</v>
      </c>
      <c r="B31" s="16" t="s">
        <v>89</v>
      </c>
      <c r="C31" s="17" t="s">
        <v>90</v>
      </c>
      <c r="D31" s="18" t="s">
        <v>87</v>
      </c>
      <c r="E31" s="15" t="s">
        <v>27</v>
      </c>
      <c r="F31" s="19" t="s">
        <v>15</v>
      </c>
      <c r="G31" s="19" t="s">
        <v>15</v>
      </c>
      <c r="H31" s="20" t="s">
        <v>91</v>
      </c>
    </row>
    <row r="32" spans="1:8" ht="13" customHeight="1" x14ac:dyDescent="0.35">
      <c r="A32" s="69" t="s">
        <v>92</v>
      </c>
      <c r="B32" s="68"/>
      <c r="C32" s="68"/>
      <c r="D32" s="68"/>
      <c r="E32" s="68"/>
      <c r="F32" s="68"/>
      <c r="G32" s="68"/>
      <c r="H32" s="68"/>
    </row>
    <row r="33" spans="1:8" ht="15" customHeight="1" x14ac:dyDescent="0.35">
      <c r="A33" s="3">
        <v>23</v>
      </c>
      <c r="B33" s="4" t="s">
        <v>93</v>
      </c>
      <c r="C33" s="5" t="s">
        <v>94</v>
      </c>
      <c r="D33" s="6" t="s">
        <v>95</v>
      </c>
      <c r="E33" s="3" t="s">
        <v>14</v>
      </c>
      <c r="F33" s="7" t="s">
        <v>15</v>
      </c>
      <c r="G33" s="7" t="s">
        <v>15</v>
      </c>
      <c r="H33" s="21" t="s">
        <v>96</v>
      </c>
    </row>
    <row r="34" spans="1:8" ht="15" customHeight="1" x14ac:dyDescent="0.35">
      <c r="A34" s="15">
        <v>24</v>
      </c>
      <c r="B34" s="16" t="s">
        <v>97</v>
      </c>
      <c r="C34" s="17" t="s">
        <v>98</v>
      </c>
      <c r="D34" s="18" t="s">
        <v>95</v>
      </c>
      <c r="E34" s="15" t="s">
        <v>80</v>
      </c>
      <c r="F34" s="19" t="s">
        <v>15</v>
      </c>
      <c r="G34" s="19">
        <v>100</v>
      </c>
      <c r="H34" s="20" t="s">
        <v>99</v>
      </c>
    </row>
    <row r="35" spans="1:8" ht="15" customHeight="1" x14ac:dyDescent="0.35">
      <c r="A35" s="3">
        <v>25</v>
      </c>
      <c r="B35" s="4" t="s">
        <v>100</v>
      </c>
      <c r="C35" s="5" t="s">
        <v>101</v>
      </c>
      <c r="D35" s="6" t="s">
        <v>95</v>
      </c>
      <c r="E35" s="3" t="s">
        <v>80</v>
      </c>
      <c r="F35" s="7" t="s">
        <v>15</v>
      </c>
      <c r="G35" s="7" t="s">
        <v>15</v>
      </c>
      <c r="H35" s="21" t="s">
        <v>102</v>
      </c>
    </row>
    <row r="36" spans="1:8" ht="15" customHeight="1" x14ac:dyDescent="0.35">
      <c r="A36" s="15">
        <v>26</v>
      </c>
      <c r="B36" s="16" t="s">
        <v>103</v>
      </c>
      <c r="C36" s="17" t="s">
        <v>104</v>
      </c>
      <c r="D36" s="18" t="s">
        <v>95</v>
      </c>
      <c r="E36" s="15" t="s">
        <v>27</v>
      </c>
      <c r="F36" s="19" t="s">
        <v>15</v>
      </c>
      <c r="G36" s="19" t="s">
        <v>15</v>
      </c>
      <c r="H36" s="20" t="s">
        <v>105</v>
      </c>
    </row>
    <row r="37" spans="1:8" ht="13" customHeight="1" x14ac:dyDescent="0.35">
      <c r="A37" s="69" t="s">
        <v>106</v>
      </c>
      <c r="B37" s="68"/>
      <c r="C37" s="68"/>
      <c r="D37" s="68"/>
      <c r="E37" s="68"/>
      <c r="F37" s="68"/>
      <c r="G37" s="68"/>
      <c r="H37" s="68"/>
    </row>
    <row r="38" spans="1:8" ht="15" customHeight="1" x14ac:dyDescent="0.35">
      <c r="A38" s="3">
        <v>27</v>
      </c>
      <c r="B38" s="4" t="s">
        <v>107</v>
      </c>
      <c r="C38" s="5" t="s">
        <v>108</v>
      </c>
      <c r="D38" s="6" t="s">
        <v>87</v>
      </c>
      <c r="E38" s="3" t="s">
        <v>27</v>
      </c>
      <c r="F38" s="7" t="s">
        <v>15</v>
      </c>
      <c r="G38" s="7" t="s">
        <v>15</v>
      </c>
      <c r="H38" s="21" t="s">
        <v>109</v>
      </c>
    </row>
    <row r="39" spans="1:8" ht="15" customHeight="1" x14ac:dyDescent="0.35">
      <c r="A39" s="15">
        <v>28</v>
      </c>
      <c r="B39" s="16" t="s">
        <v>110</v>
      </c>
      <c r="C39" s="17" t="s">
        <v>111</v>
      </c>
      <c r="D39" s="18" t="s">
        <v>87</v>
      </c>
      <c r="E39" s="15" t="s">
        <v>14</v>
      </c>
      <c r="F39" s="19" t="s">
        <v>15</v>
      </c>
      <c r="G39" s="19" t="s">
        <v>15</v>
      </c>
      <c r="H39" s="20" t="s">
        <v>112</v>
      </c>
    </row>
    <row r="40" spans="1:8" ht="13" customHeight="1" x14ac:dyDescent="0.35">
      <c r="A40" s="71" t="s">
        <v>113</v>
      </c>
      <c r="B40" s="68"/>
      <c r="C40" s="68"/>
      <c r="D40" s="68"/>
      <c r="E40" s="68"/>
      <c r="F40" s="68"/>
      <c r="G40" s="68"/>
      <c r="H40" s="68"/>
    </row>
    <row r="41" spans="1:8" ht="15" customHeight="1" x14ac:dyDescent="0.35">
      <c r="A41" s="3">
        <v>29</v>
      </c>
      <c r="B41" s="4" t="s">
        <v>114</v>
      </c>
      <c r="C41" s="5" t="s">
        <v>115</v>
      </c>
      <c r="D41" s="6" t="s">
        <v>116</v>
      </c>
      <c r="E41" s="3" t="s">
        <v>27</v>
      </c>
      <c r="F41" s="7" t="s">
        <v>15</v>
      </c>
      <c r="G41" s="7" t="s">
        <v>15</v>
      </c>
      <c r="H41" s="8" t="s">
        <v>117</v>
      </c>
    </row>
    <row r="42" spans="1:8" ht="15" customHeight="1" x14ac:dyDescent="0.35">
      <c r="A42" s="22">
        <v>30</v>
      </c>
      <c r="B42" s="23" t="s">
        <v>118</v>
      </c>
      <c r="C42" s="24" t="s">
        <v>119</v>
      </c>
      <c r="D42" s="25" t="s">
        <v>116</v>
      </c>
      <c r="E42" s="22" t="s">
        <v>27</v>
      </c>
      <c r="F42" s="26" t="s">
        <v>15</v>
      </c>
      <c r="G42" s="26" t="s">
        <v>15</v>
      </c>
      <c r="H42" s="27" t="s">
        <v>117</v>
      </c>
    </row>
    <row r="43" spans="1:8" ht="15" customHeight="1" x14ac:dyDescent="0.35">
      <c r="A43" s="3">
        <v>31</v>
      </c>
      <c r="B43" s="4" t="s">
        <v>120</v>
      </c>
      <c r="C43" s="5" t="s">
        <v>121</v>
      </c>
      <c r="D43" s="6" t="s">
        <v>116</v>
      </c>
      <c r="E43" s="3" t="s">
        <v>27</v>
      </c>
      <c r="F43" s="7" t="s">
        <v>15</v>
      </c>
      <c r="G43" s="7" t="s">
        <v>15</v>
      </c>
      <c r="H43" s="8" t="s">
        <v>117</v>
      </c>
    </row>
    <row r="44" spans="1:8" ht="15" customHeight="1" x14ac:dyDescent="0.35">
      <c r="A44" s="22">
        <v>32</v>
      </c>
      <c r="B44" s="23" t="s">
        <v>122</v>
      </c>
      <c r="C44" s="24" t="s">
        <v>123</v>
      </c>
      <c r="D44" s="25" t="s">
        <v>116</v>
      </c>
      <c r="E44" s="22" t="s">
        <v>27</v>
      </c>
      <c r="F44" s="26" t="s">
        <v>15</v>
      </c>
      <c r="G44" s="26" t="s">
        <v>15</v>
      </c>
      <c r="H44" s="27" t="s">
        <v>117</v>
      </c>
    </row>
    <row r="45" spans="1:8" ht="15" customHeight="1" x14ac:dyDescent="0.35">
      <c r="A45" s="3">
        <v>33</v>
      </c>
      <c r="B45" s="4" t="s">
        <v>124</v>
      </c>
      <c r="C45" s="5" t="s">
        <v>125</v>
      </c>
      <c r="D45" s="6" t="s">
        <v>116</v>
      </c>
      <c r="E45" s="3" t="s">
        <v>27</v>
      </c>
      <c r="F45" s="7" t="s">
        <v>15</v>
      </c>
      <c r="G45" s="7">
        <v>20</v>
      </c>
      <c r="H45" s="8" t="s">
        <v>117</v>
      </c>
    </row>
  </sheetData>
  <mergeCells count="11">
    <mergeCell ref="A40:H40"/>
    <mergeCell ref="A1:H1"/>
    <mergeCell ref="A37:H37"/>
    <mergeCell ref="A32:H32"/>
    <mergeCell ref="A8:H8"/>
    <mergeCell ref="A17:H17"/>
    <mergeCell ref="A12:H12"/>
    <mergeCell ref="A4:H4"/>
    <mergeCell ref="A21:H21"/>
    <mergeCell ref="A24:H24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8797-2521-4412-A871-FEDAFCA722BA}">
  <dimension ref="B1:E63"/>
  <sheetViews>
    <sheetView workbookViewId="0">
      <selection activeCell="D17" sqref="D17"/>
    </sheetView>
  </sheetViews>
  <sheetFormatPr defaultRowHeight="14.5" x14ac:dyDescent="0.35"/>
  <cols>
    <col min="2" max="2" width="30.453125" customWidth="1"/>
    <col min="3" max="3" width="46.81640625" hidden="1" customWidth="1"/>
    <col min="4" max="4" width="16.36328125" bestFit="1" customWidth="1"/>
    <col min="5" max="5" width="17.08984375" bestFit="1" customWidth="1"/>
  </cols>
  <sheetData>
    <row r="1" spans="2:5" x14ac:dyDescent="0.35">
      <c r="B1" s="65" t="s">
        <v>294</v>
      </c>
    </row>
    <row r="2" spans="2:5" x14ac:dyDescent="0.35">
      <c r="D2" s="65" t="s">
        <v>141</v>
      </c>
      <c r="E2" s="65" t="s">
        <v>140</v>
      </c>
    </row>
    <row r="3" spans="2:5" x14ac:dyDescent="0.35">
      <c r="D3" s="74">
        <f>SUM(D5:D1048576)</f>
        <v>1522063309.2847128</v>
      </c>
      <c r="E3" s="74">
        <f>SUM(E5:E1048576)</f>
        <v>3904330893.1898112</v>
      </c>
    </row>
    <row r="4" spans="2:5" s="65" customFormat="1" x14ac:dyDescent="0.35">
      <c r="B4" s="65" t="s">
        <v>232</v>
      </c>
      <c r="C4" s="65" t="s">
        <v>233</v>
      </c>
      <c r="D4" s="65" t="s">
        <v>234</v>
      </c>
      <c r="E4" s="65" t="s">
        <v>234</v>
      </c>
    </row>
    <row r="5" spans="2:5" x14ac:dyDescent="0.35">
      <c r="B5" t="s">
        <v>235</v>
      </c>
      <c r="C5" t="str">
        <f>+TRIM(B5)</f>
        <v>ANESTHESIOLOGY</v>
      </c>
      <c r="D5" s="75">
        <v>4476221.9320733668</v>
      </c>
      <c r="E5" s="75">
        <v>192328784.75000003</v>
      </c>
    </row>
    <row r="6" spans="2:5" x14ac:dyDescent="0.35">
      <c r="B6" t="s">
        <v>236</v>
      </c>
      <c r="C6" t="str">
        <f t="shared" ref="C6:C59" si="0">+TRIM(B6)</f>
        <v>AYURVEDA</v>
      </c>
      <c r="D6" s="75">
        <v>390523.97386204184</v>
      </c>
      <c r="E6" s="75">
        <v>242078.1165075337</v>
      </c>
    </row>
    <row r="7" spans="2:5" x14ac:dyDescent="0.35">
      <c r="B7" t="s">
        <v>237</v>
      </c>
      <c r="C7" t="str">
        <f t="shared" si="0"/>
        <v>CARDIAC ANAESTHESIOLOGY</v>
      </c>
      <c r="D7" s="75">
        <v>75162.755121640759</v>
      </c>
      <c r="E7" s="75">
        <v>0</v>
      </c>
    </row>
    <row r="8" spans="2:5" x14ac:dyDescent="0.35">
      <c r="B8" t="s">
        <v>238</v>
      </c>
      <c r="C8" t="str">
        <f t="shared" si="0"/>
        <v>CARDIO THORACIC SURGERY</v>
      </c>
      <c r="D8" s="75">
        <v>6321955.6563683655</v>
      </c>
      <c r="E8" s="75">
        <v>66980072.575447515</v>
      </c>
    </row>
    <row r="9" spans="2:5" x14ac:dyDescent="0.35">
      <c r="B9" t="s">
        <v>239</v>
      </c>
      <c r="C9" t="str">
        <f t="shared" si="0"/>
        <v>CARDIOLOGY</v>
      </c>
      <c r="D9" s="75">
        <v>59841619.807636775</v>
      </c>
      <c r="E9" s="75">
        <v>227541163.68437725</v>
      </c>
    </row>
    <row r="10" spans="2:5" x14ac:dyDescent="0.35">
      <c r="B10" t="s">
        <v>240</v>
      </c>
      <c r="C10" t="str">
        <f t="shared" si="0"/>
        <v>CLINICAL NUTRITION</v>
      </c>
      <c r="D10" s="75">
        <v>649787.27653350064</v>
      </c>
      <c r="E10" s="75">
        <v>3150518.12</v>
      </c>
    </row>
    <row r="11" spans="2:5" x14ac:dyDescent="0.35">
      <c r="B11" t="s">
        <v>241</v>
      </c>
      <c r="C11" t="str">
        <f t="shared" si="0"/>
        <v>COMPREHENSIVE LIVER CARE</v>
      </c>
      <c r="D11" s="75">
        <v>2027165.6281975613</v>
      </c>
      <c r="E11" s="75">
        <v>3768231.3180098883</v>
      </c>
    </row>
    <row r="12" spans="2:5" x14ac:dyDescent="0.35">
      <c r="B12" t="s">
        <v>242</v>
      </c>
      <c r="C12" t="str">
        <f t="shared" si="0"/>
        <v>COMPREHENSIVE LIVER CARE - SUR</v>
      </c>
      <c r="D12" s="75">
        <v>12975015.486646365</v>
      </c>
      <c r="E12" s="75">
        <v>99178241.317346096</v>
      </c>
    </row>
    <row r="13" spans="2:5" x14ac:dyDescent="0.35">
      <c r="B13" t="s">
        <v>243</v>
      </c>
      <c r="C13" t="str">
        <f t="shared" si="0"/>
        <v>CRITICAL CARE MEDICINE</v>
      </c>
      <c r="D13" s="75">
        <v>27991.58</v>
      </c>
      <c r="E13" s="75">
        <v>0</v>
      </c>
    </row>
    <row r="14" spans="2:5" x14ac:dyDescent="0.35">
      <c r="B14" t="s">
        <v>244</v>
      </c>
      <c r="C14" t="str">
        <f t="shared" si="0"/>
        <v>DENTAL</v>
      </c>
      <c r="D14" s="75">
        <v>19182949.320221342</v>
      </c>
      <c r="E14" s="75">
        <v>2538600.2500985041</v>
      </c>
    </row>
    <row r="15" spans="2:5" x14ac:dyDescent="0.35">
      <c r="B15" t="s">
        <v>245</v>
      </c>
      <c r="C15" t="str">
        <f t="shared" si="0"/>
        <v>DERMATOLOGY &amp; V D</v>
      </c>
      <c r="D15" s="75">
        <v>31283568.454313479</v>
      </c>
      <c r="E15" s="75">
        <v>5327740.2796753636</v>
      </c>
    </row>
    <row r="16" spans="2:5" x14ac:dyDescent="0.35">
      <c r="B16" t="s">
        <v>246</v>
      </c>
      <c r="C16" t="str">
        <f t="shared" si="0"/>
        <v>DIABETOLOGY</v>
      </c>
      <c r="D16" s="75">
        <v>1784429.2841982106</v>
      </c>
      <c r="E16" s="75">
        <v>2549642.2389925467</v>
      </c>
    </row>
    <row r="17" spans="2:5" x14ac:dyDescent="0.35">
      <c r="B17" t="s">
        <v>247</v>
      </c>
      <c r="C17" t="str">
        <f t="shared" si="0"/>
        <v>DYSPHAGIA CLINIC</v>
      </c>
      <c r="D17" s="75">
        <v>1973717.6793341853</v>
      </c>
      <c r="E17" s="75">
        <v>454909.46</v>
      </c>
    </row>
    <row r="18" spans="2:5" x14ac:dyDescent="0.35">
      <c r="B18" t="s">
        <v>248</v>
      </c>
      <c r="C18" t="str">
        <f t="shared" si="0"/>
        <v>EMERGENCY DEPARTMENT</v>
      </c>
      <c r="D18" s="75">
        <v>31725999.181315597</v>
      </c>
      <c r="E18" s="75">
        <v>53835015.208252214</v>
      </c>
    </row>
    <row r="19" spans="2:5" x14ac:dyDescent="0.35">
      <c r="B19" t="s">
        <v>249</v>
      </c>
      <c r="C19" t="str">
        <f t="shared" si="0"/>
        <v>ENDOCRINOLOGY</v>
      </c>
      <c r="D19" s="75">
        <v>32578900.748298392</v>
      </c>
      <c r="E19" s="75">
        <v>6636820.9661424877</v>
      </c>
    </row>
    <row r="20" spans="2:5" x14ac:dyDescent="0.35">
      <c r="B20" t="s">
        <v>250</v>
      </c>
      <c r="C20" t="str">
        <f t="shared" si="0"/>
        <v>ENT</v>
      </c>
      <c r="D20" s="75">
        <v>11895393.154626323</v>
      </c>
      <c r="E20" s="75">
        <v>21318743.558713559</v>
      </c>
    </row>
    <row r="21" spans="2:5" x14ac:dyDescent="0.35">
      <c r="B21" t="s">
        <v>251</v>
      </c>
      <c r="C21" t="str">
        <f t="shared" si="0"/>
        <v>EXTERNAL DOCTOR</v>
      </c>
      <c r="D21" s="75">
        <v>18648380.646739155</v>
      </c>
      <c r="E21" s="75">
        <v>286877.87065320229</v>
      </c>
    </row>
    <row r="22" spans="2:5" x14ac:dyDescent="0.35">
      <c r="B22" t="s">
        <v>252</v>
      </c>
      <c r="C22" t="str">
        <f t="shared" si="0"/>
        <v>FAMILY MEDICINE</v>
      </c>
      <c r="D22" s="75">
        <v>64645884.130020417</v>
      </c>
      <c r="E22" s="75">
        <v>644164.26472084911</v>
      </c>
    </row>
    <row r="23" spans="2:5" x14ac:dyDescent="0.35">
      <c r="B23" t="s">
        <v>253</v>
      </c>
      <c r="C23" t="str">
        <f t="shared" si="0"/>
        <v>GASTROENTEROLOGY</v>
      </c>
      <c r="D23" s="75">
        <v>106795084.2861952</v>
      </c>
      <c r="E23" s="75">
        <v>145315926.99986848</v>
      </c>
    </row>
    <row r="24" spans="2:5" x14ac:dyDescent="0.35">
      <c r="B24" t="s">
        <v>254</v>
      </c>
      <c r="C24" t="str">
        <f t="shared" si="0"/>
        <v>GENERAL MEDICINE</v>
      </c>
      <c r="D24" s="75">
        <v>81321343.100339055</v>
      </c>
      <c r="E24" s="75">
        <v>55168092.833994493</v>
      </c>
    </row>
    <row r="25" spans="2:5" x14ac:dyDescent="0.35">
      <c r="B25" t="s">
        <v>255</v>
      </c>
      <c r="C25" t="str">
        <f t="shared" si="0"/>
        <v>GI SURGERY</v>
      </c>
      <c r="D25" s="75">
        <v>31183075.840207264</v>
      </c>
      <c r="E25" s="75">
        <v>222225259.92496783</v>
      </c>
    </row>
    <row r="26" spans="2:5" x14ac:dyDescent="0.35">
      <c r="B26" t="s">
        <v>256</v>
      </c>
      <c r="C26" t="str">
        <f t="shared" si="0"/>
        <v>GYNAECOLOGY</v>
      </c>
      <c r="D26" s="75">
        <v>1592624.9771472004</v>
      </c>
      <c r="E26" s="75">
        <v>660497.79610268387</v>
      </c>
    </row>
    <row r="27" spans="2:5" x14ac:dyDescent="0.35">
      <c r="B27" t="s">
        <v>257</v>
      </c>
      <c r="C27" t="str">
        <f t="shared" si="0"/>
        <v>HEAD AND NECK ONCOLOGY</v>
      </c>
      <c r="D27" s="75">
        <v>3492218.450434519</v>
      </c>
      <c r="E27" s="75">
        <v>6907164.7514966866</v>
      </c>
    </row>
    <row r="28" spans="2:5" x14ac:dyDescent="0.35">
      <c r="B28" t="s">
        <v>258</v>
      </c>
      <c r="C28" t="str">
        <f t="shared" si="0"/>
        <v>INFECTIOUS DISEASES</v>
      </c>
      <c r="D28" s="75">
        <v>143130.30208915661</v>
      </c>
      <c r="E28" s="75">
        <v>218900</v>
      </c>
    </row>
    <row r="29" spans="2:5" x14ac:dyDescent="0.35">
      <c r="B29" t="s">
        <v>259</v>
      </c>
      <c r="C29" t="str">
        <f t="shared" si="0"/>
        <v>JOINT REPLACEMENT &amp; SPORTS MED</v>
      </c>
      <c r="D29" s="75">
        <v>30117743.071788322</v>
      </c>
      <c r="E29" s="75">
        <v>77235097.914370954</v>
      </c>
    </row>
    <row r="30" spans="2:5" x14ac:dyDescent="0.35">
      <c r="B30" t="s">
        <v>260</v>
      </c>
      <c r="C30" t="str">
        <f t="shared" si="0"/>
        <v>LABORATORY</v>
      </c>
      <c r="D30" s="75">
        <v>2362530.56</v>
      </c>
      <c r="E30" s="75">
        <v>0</v>
      </c>
    </row>
    <row r="31" spans="2:5" x14ac:dyDescent="0.35">
      <c r="B31" t="s">
        <v>261</v>
      </c>
      <c r="C31" t="str">
        <f t="shared" si="0"/>
        <v>MEDICAL ONCOLOGY</v>
      </c>
      <c r="D31" s="75">
        <v>274969826.35928291</v>
      </c>
      <c r="E31" s="75">
        <v>420556412.61539221</v>
      </c>
    </row>
    <row r="32" spans="2:5" x14ac:dyDescent="0.35">
      <c r="B32" t="s">
        <v>262</v>
      </c>
      <c r="C32" t="str">
        <f t="shared" si="0"/>
        <v>MINIMALLY INVASIVE SURGERY</v>
      </c>
      <c r="D32" s="75">
        <v>11278641.412630592</v>
      </c>
      <c r="E32" s="75">
        <v>119729552.85254815</v>
      </c>
    </row>
    <row r="33" spans="2:5" x14ac:dyDescent="0.35">
      <c r="B33" t="s">
        <v>263</v>
      </c>
      <c r="C33" t="str">
        <f t="shared" si="0"/>
        <v>NEONATAL ICU</v>
      </c>
      <c r="D33" s="75">
        <v>268978.92040000006</v>
      </c>
      <c r="E33" s="75">
        <v>1040632.3609494688</v>
      </c>
    </row>
    <row r="34" spans="2:5" x14ac:dyDescent="0.35">
      <c r="B34" t="s">
        <v>264</v>
      </c>
      <c r="C34" t="str">
        <f t="shared" si="0"/>
        <v>NEPHROLOGY</v>
      </c>
      <c r="D34" s="75">
        <v>190861515.88929945</v>
      </c>
      <c r="E34" s="75">
        <v>362269009.14389217</v>
      </c>
    </row>
    <row r="35" spans="2:5" x14ac:dyDescent="0.35">
      <c r="B35" t="s">
        <v>265</v>
      </c>
      <c r="C35" t="str">
        <f t="shared" si="0"/>
        <v>NEURO &amp; VASCULAR INTERVENTIONAL RADIOLOGY</v>
      </c>
      <c r="D35" s="75">
        <v>1041653.5218889741</v>
      </c>
      <c r="E35" s="75">
        <v>144300.19679089056</v>
      </c>
    </row>
    <row r="36" spans="2:5" x14ac:dyDescent="0.35">
      <c r="B36" t="s">
        <v>266</v>
      </c>
      <c r="C36" t="str">
        <f t="shared" si="0"/>
        <v>NEURO SURGERY</v>
      </c>
      <c r="D36" s="75">
        <v>40473117.656932652</v>
      </c>
      <c r="E36" s="75">
        <v>262370946.12813902</v>
      </c>
    </row>
    <row r="37" spans="2:5" x14ac:dyDescent="0.35">
      <c r="B37" t="s">
        <v>267</v>
      </c>
      <c r="C37" t="str">
        <f t="shared" si="0"/>
        <v>NEUROLOGY</v>
      </c>
      <c r="D37" s="75">
        <v>40700414.367202431</v>
      </c>
      <c r="E37" s="75">
        <v>97073113.573812649</v>
      </c>
    </row>
    <row r="38" spans="2:5" x14ac:dyDescent="0.35">
      <c r="B38" t="s">
        <v>268</v>
      </c>
      <c r="C38" t="str">
        <f t="shared" si="0"/>
        <v>NUCLEAR MEDICINE</v>
      </c>
      <c r="D38" s="75">
        <v>9130751.5802041572</v>
      </c>
      <c r="E38" s="75">
        <v>13370417.073933864</v>
      </c>
    </row>
    <row r="39" spans="2:5" x14ac:dyDescent="0.35">
      <c r="B39" t="s">
        <v>269</v>
      </c>
      <c r="C39" t="str">
        <f t="shared" si="0"/>
        <v>OB &amp; GYNEC.</v>
      </c>
      <c r="D39" s="75">
        <v>25446703.358849585</v>
      </c>
      <c r="E39" s="75">
        <v>44219648.647995636</v>
      </c>
    </row>
    <row r="40" spans="2:5" x14ac:dyDescent="0.35">
      <c r="B40" t="s">
        <v>270</v>
      </c>
      <c r="C40" t="str">
        <f t="shared" si="0"/>
        <v>OPHTHALMOLOGY</v>
      </c>
      <c r="D40" s="75">
        <v>3361268.8507605083</v>
      </c>
      <c r="E40" s="75">
        <v>2676827.6528520491</v>
      </c>
    </row>
    <row r="41" spans="2:5" x14ac:dyDescent="0.35">
      <c r="B41" t="s">
        <v>271</v>
      </c>
      <c r="C41" t="str">
        <f t="shared" si="0"/>
        <v>ORTHOPEDICS</v>
      </c>
      <c r="D41" s="75">
        <v>10356706.225197438</v>
      </c>
      <c r="E41" s="75">
        <v>247185937.8397983</v>
      </c>
    </row>
    <row r="42" spans="2:5" x14ac:dyDescent="0.35">
      <c r="B42" t="s">
        <v>272</v>
      </c>
      <c r="C42" t="str">
        <f t="shared" si="0"/>
        <v>ORTHOPEDICS - DIVISION OF FOOT ANKLE &amp; PODIATRY</v>
      </c>
      <c r="D42" s="75">
        <v>16681870.457068548</v>
      </c>
      <c r="E42" s="75">
        <v>17924081.686857685</v>
      </c>
    </row>
    <row r="43" spans="2:5" x14ac:dyDescent="0.35">
      <c r="B43" t="s">
        <v>273</v>
      </c>
      <c r="C43" t="str">
        <f t="shared" si="0"/>
        <v>ORTHOPEDICS - DIVISION OF ORTHOPEDIC ONCOLOGY</v>
      </c>
      <c r="D43" s="75">
        <v>1747582.4223016035</v>
      </c>
      <c r="E43" s="75">
        <v>2070438.567129842</v>
      </c>
    </row>
    <row r="44" spans="2:5" x14ac:dyDescent="0.35">
      <c r="B44" t="s">
        <v>274</v>
      </c>
      <c r="C44" t="str">
        <f t="shared" si="0"/>
        <v>PALLIATIVE &amp; PAIN MANAGEMENT</v>
      </c>
      <c r="D44" s="75">
        <v>1342822.9397845175</v>
      </c>
      <c r="E44" s="75">
        <v>36733.391491279734</v>
      </c>
    </row>
    <row r="45" spans="2:5" x14ac:dyDescent="0.35">
      <c r="B45" t="s">
        <v>275</v>
      </c>
      <c r="C45" t="str">
        <f t="shared" si="0"/>
        <v>PEDIATRICS</v>
      </c>
      <c r="D45" s="75">
        <v>28349625.086879458</v>
      </c>
      <c r="E45" s="75">
        <v>50585435.401994601</v>
      </c>
    </row>
    <row r="46" spans="2:5" x14ac:dyDescent="0.35">
      <c r="B46" t="s">
        <v>276</v>
      </c>
      <c r="C46" t="str">
        <f t="shared" si="0"/>
        <v>PHYSIOTHERAPY</v>
      </c>
      <c r="D46" s="75">
        <v>2854051.6236647805</v>
      </c>
      <c r="E46" s="75">
        <v>9041599.5</v>
      </c>
    </row>
    <row r="47" spans="2:5" x14ac:dyDescent="0.35">
      <c r="B47" t="s">
        <v>277</v>
      </c>
      <c r="C47" t="str">
        <f t="shared" si="0"/>
        <v>PLASTIC SURGERY</v>
      </c>
      <c r="D47" s="75">
        <v>6231604.122950796</v>
      </c>
      <c r="E47" s="75">
        <v>34887238.359170713</v>
      </c>
    </row>
    <row r="48" spans="2:5" x14ac:dyDescent="0.35">
      <c r="B48" t="s">
        <v>278</v>
      </c>
      <c r="C48" t="str">
        <f t="shared" si="0"/>
        <v>PSYCHIATRY</v>
      </c>
      <c r="D48" s="75">
        <v>11915664.989821581</v>
      </c>
      <c r="E48" s="75">
        <v>12659700.557589127</v>
      </c>
    </row>
    <row r="49" spans="2:5" x14ac:dyDescent="0.35">
      <c r="B49" t="s">
        <v>279</v>
      </c>
      <c r="C49" t="str">
        <f t="shared" si="0"/>
        <v>PULMONARY CRITICAL CARE AND SLEEP MEDICINE</v>
      </c>
      <c r="D49" s="75">
        <v>8907080.8494536914</v>
      </c>
      <c r="E49" s="75">
        <v>3419063.8983553885</v>
      </c>
    </row>
    <row r="50" spans="2:5" x14ac:dyDescent="0.35">
      <c r="B50" t="s">
        <v>280</v>
      </c>
      <c r="C50" t="str">
        <f t="shared" si="0"/>
        <v>PULMONOLOGY</v>
      </c>
      <c r="D50" s="75">
        <v>6577922.8109896304</v>
      </c>
      <c r="E50" s="75">
        <v>48206656.449996874</v>
      </c>
    </row>
    <row r="51" spans="2:5" x14ac:dyDescent="0.35">
      <c r="B51" t="s">
        <v>281</v>
      </c>
      <c r="C51" t="str">
        <f t="shared" si="0"/>
        <v>RADIATION ONCOLOGY</v>
      </c>
      <c r="D51" s="75">
        <v>69235079.64311713</v>
      </c>
      <c r="E51" s="75">
        <v>6329376.8790168958</v>
      </c>
    </row>
    <row r="52" spans="2:5" x14ac:dyDescent="0.35">
      <c r="B52" t="s">
        <v>282</v>
      </c>
      <c r="C52" t="str">
        <f t="shared" si="0"/>
        <v>RADIOLOGY</v>
      </c>
      <c r="D52" s="75">
        <v>3986905.1798481341</v>
      </c>
      <c r="E52" s="75">
        <v>187825.16999999998</v>
      </c>
    </row>
    <row r="53" spans="2:5" x14ac:dyDescent="0.35">
      <c r="B53" t="s">
        <v>283</v>
      </c>
      <c r="C53" t="str">
        <f t="shared" si="0"/>
        <v>RHEUMATOLOGY &amp; GEN. MEDICINE</v>
      </c>
      <c r="D53" s="75">
        <v>16235328.192500673</v>
      </c>
      <c r="E53" s="75">
        <v>1078554.775624939</v>
      </c>
    </row>
    <row r="54" spans="2:5" x14ac:dyDescent="0.35">
      <c r="B54" t="s">
        <v>284</v>
      </c>
      <c r="C54" t="str">
        <f t="shared" si="0"/>
        <v>SPINE SURGERY</v>
      </c>
      <c r="D54" s="75">
        <v>14802391.953167584</v>
      </c>
      <c r="E54" s="75">
        <v>31371476.474681493</v>
      </c>
    </row>
    <row r="55" spans="2:5" x14ac:dyDescent="0.35">
      <c r="B55" t="s">
        <v>285</v>
      </c>
      <c r="C55" t="str">
        <f t="shared" si="0"/>
        <v>SURGICAL ONCOLOGY</v>
      </c>
      <c r="D55" s="75">
        <v>64989650.644082665</v>
      </c>
      <c r="E55" s="75">
        <v>140420853.9198004</v>
      </c>
    </row>
    <row r="56" spans="2:5" x14ac:dyDescent="0.35">
      <c r="B56" t="s">
        <v>286</v>
      </c>
      <c r="C56" t="str">
        <f t="shared" si="0"/>
        <v>UROLOGY</v>
      </c>
      <c r="D56" s="75">
        <v>44591589.472725622</v>
      </c>
      <c r="E56" s="75">
        <v>153539184.50072193</v>
      </c>
    </row>
    <row r="57" spans="2:5" x14ac:dyDescent="0.35">
      <c r="B57" t="s">
        <v>287</v>
      </c>
      <c r="C57" t="str">
        <f t="shared" si="0"/>
        <v>General</v>
      </c>
      <c r="D57" s="75">
        <v>6537989.8600000013</v>
      </c>
      <c r="E57" s="75">
        <v>378609473.30000001</v>
      </c>
    </row>
    <row r="58" spans="2:5" x14ac:dyDescent="0.35">
      <c r="B58" t="s">
        <v>288</v>
      </c>
      <c r="C58" t="str">
        <f t="shared" si="0"/>
        <v>Microbiology</v>
      </c>
      <c r="D58" s="75">
        <v>24574.670000000002</v>
      </c>
      <c r="E58" s="75">
        <v>0</v>
      </c>
    </row>
    <row r="59" spans="2:5" x14ac:dyDescent="0.35">
      <c r="B59" t="s">
        <v>289</v>
      </c>
      <c r="C59" t="str">
        <f t="shared" si="0"/>
        <v>critical care</v>
      </c>
      <c r="D59" s="75">
        <v>7039.6399999999994</v>
      </c>
      <c r="E59" s="75">
        <v>7333022.5040278807</v>
      </c>
    </row>
    <row r="60" spans="2:5" x14ac:dyDescent="0.35">
      <c r="C60" t="s">
        <v>290</v>
      </c>
      <c r="D60" s="75">
        <v>0</v>
      </c>
      <c r="E60" s="75">
        <v>0</v>
      </c>
    </row>
    <row r="61" spans="2:5" x14ac:dyDescent="0.35">
      <c r="C61" t="s">
        <v>291</v>
      </c>
      <c r="D61" s="75">
        <v>51642539.300000012</v>
      </c>
      <c r="E61" s="75">
        <v>217281301.46000001</v>
      </c>
    </row>
    <row r="62" spans="2:5" x14ac:dyDescent="0.35">
      <c r="B62" t="s">
        <v>292</v>
      </c>
      <c r="C62" t="str">
        <f>+TRIM(B62)</f>
        <v>PALLIATIVE MEDICINE</v>
      </c>
      <c r="E62" s="75">
        <v>552197.98</v>
      </c>
    </row>
    <row r="63" spans="2:5" x14ac:dyDescent="0.35">
      <c r="B63" t="s">
        <v>293</v>
      </c>
      <c r="C63" t="str">
        <f>+TRIM(B63)</f>
        <v>INTERVENTIONAL RADIOLOGY</v>
      </c>
      <c r="E63" s="75">
        <v>23647336.127508551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P&amp;L</vt:lpstr>
      <vt:lpstr>Initiative Register</vt:lpstr>
      <vt:lpstr>23DEP BUD 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Sreevidhya V Pai FCA</cp:lastModifiedBy>
  <dcterms:created xsi:type="dcterms:W3CDTF">2026-04-20T05:00:34Z</dcterms:created>
  <dcterms:modified xsi:type="dcterms:W3CDTF">2026-04-29T06:46:11Z</dcterms:modified>
</cp:coreProperties>
</file>
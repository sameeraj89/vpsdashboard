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BEQUIP\Shared drives\Bequip FINAC\5_CLIENTS\4_Ongoing\Lakeshore\5_FY 2026-27\AOP\DECK V2\23-04-2026\"/>
    </mc:Choice>
  </mc:AlternateContent>
  <xr:revisionPtr revIDLastSave="0" documentId="13_ncr:1_{11A112F6-F289-464D-803E-64BDFE6907CC}" xr6:coauthVersionLast="47" xr6:coauthVersionMax="47" xr10:uidLastSave="{00000000-0000-0000-0000-000000000000}"/>
  <bookViews>
    <workbookView xWindow="-110" yWindow="-110" windowWidth="19420" windowHeight="10300" tabRatio="992" activeTab="14" xr2:uid="{00000000-000D-0000-FFFF-FFFF00000000}"/>
  </bookViews>
  <sheets>
    <sheet name="Assumptions" sheetId="1" r:id="rId1"/>
    <sheet name="Initiative Register" sheetId="2" r:id="rId2"/>
    <sheet name="R-01" sheetId="3" r:id="rId3"/>
    <sheet name="R-02" sheetId="4" state="hidden" r:id="rId4"/>
    <sheet name="R-03" sheetId="5" r:id="rId5"/>
    <sheet name="R-04" sheetId="6" r:id="rId6"/>
    <sheet name="R-05" sheetId="7" r:id="rId7"/>
    <sheet name="R-06" sheetId="8" r:id="rId8"/>
    <sheet name="R-07" sheetId="9" r:id="rId9"/>
    <sheet name="R-08" sheetId="10" r:id="rId10"/>
    <sheet name="R-09" sheetId="11" r:id="rId11"/>
    <sheet name="R-10" sheetId="12" state="hidden" r:id="rId12"/>
    <sheet name="R-11" sheetId="13" state="hidden" r:id="rId13"/>
    <sheet name="R-12" sheetId="14" r:id="rId14"/>
    <sheet name="R-13" sheetId="15" r:id="rId15"/>
    <sheet name="R-14" sheetId="16" state="hidden" r:id="rId16"/>
    <sheet name="R-15" sheetId="17" state="hidden" r:id="rId17"/>
    <sheet name="C-01" sheetId="18" state="hidden" r:id="rId18"/>
    <sheet name="C-02" sheetId="19" state="hidden" r:id="rId19"/>
    <sheet name="C-03" sheetId="20" state="hidden" r:id="rId20"/>
    <sheet name="C-04" sheetId="21" state="hidden" r:id="rId21"/>
    <sheet name="C-05" sheetId="22" state="hidden" r:id="rId22"/>
    <sheet name="C-06" sheetId="23" state="hidden" r:id="rId23"/>
    <sheet name="C-07" sheetId="24" state="hidden" r:id="rId24"/>
    <sheet name="C-08" sheetId="25" state="hidden" r:id="rId25"/>
    <sheet name="C-09" sheetId="26" state="hidden" r:id="rId26"/>
    <sheet name="C-10" sheetId="27" state="hidden" r:id="rId27"/>
    <sheet name="AMC" sheetId="36" state="hidden" r:id="rId28"/>
    <sheet name="C-11" sheetId="28" state="hidden" r:id="rId29"/>
    <sheet name="C-12" sheetId="29" state="hidden" r:id="rId30"/>
    <sheet name="C-13" sheetId="30" state="hidden" r:id="rId31"/>
    <sheet name="CL-01" sheetId="31" state="hidden" r:id="rId32"/>
    <sheet name="CL-02" sheetId="32" state="hidden" r:id="rId33"/>
    <sheet name="CL-03" sheetId="33" state="hidden" r:id="rId34"/>
    <sheet name="CL-04" sheetId="34" state="hidden" r:id="rId35"/>
    <sheet name="CL-05" sheetId="35" state="hidden" r:id="rId36"/>
  </sheets>
  <definedNames>
    <definedName name="_xlnm._FilterDatabase" localSheetId="1" hidden="1">'Initiative Register'!$A$7:$AA$67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9" roundtripDataChecksum="zxGwsvX2GpPtGXI6WhwDgt4ml2upmY+UEXC/la8+YQQ="/>
    </ext>
  </extLst>
</workbook>
</file>

<file path=xl/calcChain.xml><?xml version="1.0" encoding="utf-8"?>
<calcChain xmlns="http://schemas.openxmlformats.org/spreadsheetml/2006/main">
  <c r="Z34" i="2" l="1"/>
  <c r="Y34" i="2"/>
  <c r="X34" i="2"/>
  <c r="W34" i="2"/>
  <c r="V34" i="2"/>
  <c r="U34" i="2"/>
  <c r="T34" i="2"/>
  <c r="S34" i="2"/>
  <c r="R34" i="2"/>
  <c r="Q34" i="2"/>
  <c r="P34" i="2"/>
  <c r="O34" i="2"/>
  <c r="S6" i="24"/>
  <c r="R6" i="24"/>
  <c r="Q6" i="24"/>
  <c r="P6" i="24"/>
  <c r="O6" i="24"/>
  <c r="N6" i="24"/>
  <c r="M6" i="24"/>
  <c r="L6" i="24"/>
  <c r="K6" i="24"/>
  <c r="J6" i="24"/>
  <c r="I6" i="24"/>
  <c r="H6" i="24"/>
  <c r="G6" i="24"/>
  <c r="F6" i="24"/>
  <c r="R5" i="24"/>
  <c r="Q5" i="24"/>
  <c r="P5" i="24"/>
  <c r="O5" i="24"/>
  <c r="N5" i="24"/>
  <c r="M5" i="24"/>
  <c r="L5" i="24"/>
  <c r="K5" i="24"/>
  <c r="J5" i="24"/>
  <c r="I5" i="24"/>
  <c r="H5" i="24"/>
  <c r="G5" i="24"/>
  <c r="F5" i="24"/>
  <c r="L64" i="36"/>
  <c r="J64" i="36"/>
  <c r="I64" i="36"/>
  <c r="D64" i="36"/>
  <c r="P60" i="36"/>
  <c r="O60" i="36"/>
  <c r="O64" i="36" s="1"/>
  <c r="N60" i="36"/>
  <c r="N64" i="36" s="1"/>
  <c r="M60" i="36"/>
  <c r="M64" i="36" s="1"/>
  <c r="L60" i="36"/>
  <c r="K60" i="36"/>
  <c r="K64" i="36" s="1"/>
  <c r="J60" i="36"/>
  <c r="I60" i="36"/>
  <c r="H60" i="36"/>
  <c r="H64" i="36" s="1"/>
  <c r="G60" i="36"/>
  <c r="G64" i="36" s="1"/>
  <c r="F60" i="36"/>
  <c r="F64" i="36" s="1"/>
  <c r="E60" i="36"/>
  <c r="E64" i="36" s="1"/>
  <c r="D60" i="36"/>
  <c r="R4" i="24"/>
  <c r="AA49" i="2"/>
  <c r="Z33" i="2"/>
  <c r="Y33" i="2"/>
  <c r="X33" i="2"/>
  <c r="W33" i="2"/>
  <c r="V33" i="2"/>
  <c r="U33" i="2"/>
  <c r="T33" i="2"/>
  <c r="S33" i="2"/>
  <c r="R33" i="2"/>
  <c r="Q33" i="2"/>
  <c r="P33" i="2"/>
  <c r="O33" i="2"/>
  <c r="S5" i="23"/>
  <c r="R5" i="23"/>
  <c r="Q5" i="23"/>
  <c r="P5" i="23"/>
  <c r="O5" i="23"/>
  <c r="N5" i="23"/>
  <c r="M5" i="23"/>
  <c r="L5" i="23"/>
  <c r="K5" i="23"/>
  <c r="J5" i="23"/>
  <c r="I5" i="23"/>
  <c r="H5" i="23"/>
  <c r="AA18" i="2"/>
  <c r="Z18" i="2"/>
  <c r="Y18" i="2"/>
  <c r="X18" i="2"/>
  <c r="W18" i="2"/>
  <c r="V18" i="2"/>
  <c r="U18" i="2"/>
  <c r="T18" i="2"/>
  <c r="S18" i="2"/>
  <c r="R18" i="2"/>
  <c r="Q18" i="2"/>
  <c r="P18" i="2"/>
  <c r="O18" i="2"/>
  <c r="G25" i="12" l="1"/>
  <c r="H25" i="12"/>
  <c r="G24" i="12"/>
  <c r="H24" i="12" s="1"/>
  <c r="G29" i="12"/>
  <c r="H29" i="12" s="1"/>
  <c r="G28" i="12"/>
  <c r="H28" i="12" s="1"/>
  <c r="G26" i="12"/>
  <c r="H26" i="12" s="1"/>
  <c r="U5" i="12"/>
  <c r="T5" i="12"/>
  <c r="S5" i="12"/>
  <c r="R5" i="12"/>
  <c r="Q5" i="12"/>
  <c r="P5" i="12"/>
  <c r="O5" i="12"/>
  <c r="N5" i="12"/>
  <c r="M5" i="12"/>
  <c r="L5" i="12"/>
  <c r="K5" i="12"/>
  <c r="J5" i="12"/>
  <c r="V26" i="12"/>
  <c r="Z26" i="2"/>
  <c r="Y26" i="2"/>
  <c r="X26" i="2"/>
  <c r="W26" i="2"/>
  <c r="V26" i="2"/>
  <c r="U26" i="2"/>
  <c r="T26" i="2"/>
  <c r="S26" i="2"/>
  <c r="R26" i="2"/>
  <c r="Q26" i="2"/>
  <c r="P26" i="2"/>
  <c r="O26" i="2"/>
  <c r="Z40" i="2"/>
  <c r="Y40" i="2"/>
  <c r="X40" i="2"/>
  <c r="W40" i="2"/>
  <c r="V40" i="2"/>
  <c r="U40" i="2"/>
  <c r="T40" i="2"/>
  <c r="S40" i="2"/>
  <c r="R40" i="2"/>
  <c r="Q40" i="2"/>
  <c r="P40" i="2"/>
  <c r="O40" i="2"/>
  <c r="Z10" i="2"/>
  <c r="Y10" i="2"/>
  <c r="X10" i="2"/>
  <c r="W10" i="2"/>
  <c r="V10" i="2"/>
  <c r="U10" i="2"/>
  <c r="T10" i="2"/>
  <c r="S10" i="2"/>
  <c r="R10" i="2"/>
  <c r="Q10" i="2"/>
  <c r="P10" i="2"/>
  <c r="V28" i="12" l="1"/>
  <c r="M28" i="12" s="1"/>
  <c r="V29" i="12"/>
  <c r="O29" i="12" s="1"/>
  <c r="V25" i="12"/>
  <c r="Q25" i="12" s="1"/>
  <c r="N28" i="12"/>
  <c r="T28" i="12"/>
  <c r="L28" i="12"/>
  <c r="S28" i="12"/>
  <c r="K28" i="12"/>
  <c r="R28" i="12"/>
  <c r="J28" i="12"/>
  <c r="O28" i="12"/>
  <c r="Q28" i="12"/>
  <c r="P28" i="12"/>
  <c r="I6" i="12"/>
  <c r="V24" i="12"/>
  <c r="P24" i="12" s="1"/>
  <c r="S29" i="12"/>
  <c r="J29" i="12"/>
  <c r="P29" i="12"/>
  <c r="L29" i="12"/>
  <c r="Q26" i="12"/>
  <c r="O26" i="12"/>
  <c r="P26" i="12"/>
  <c r="N26" i="12"/>
  <c r="M26" i="12"/>
  <c r="R26" i="12"/>
  <c r="J26" i="12"/>
  <c r="T26" i="12"/>
  <c r="L26" i="12"/>
  <c r="S26" i="12"/>
  <c r="K26" i="12"/>
  <c r="S25" i="12"/>
  <c r="L25" i="12"/>
  <c r="O25" i="12"/>
  <c r="R25" i="12"/>
  <c r="K25" i="12"/>
  <c r="P25" i="12"/>
  <c r="J25" i="12"/>
  <c r="T25" i="12"/>
  <c r="M25" i="12"/>
  <c r="N25" i="12"/>
  <c r="T24" i="12"/>
  <c r="L24" i="12"/>
  <c r="S24" i="12"/>
  <c r="K24" i="12"/>
  <c r="R24" i="12"/>
  <c r="J24" i="12"/>
  <c r="Q24" i="12"/>
  <c r="O24" i="12"/>
  <c r="N24" i="12"/>
  <c r="M24" i="12"/>
  <c r="R29" i="12" l="1"/>
  <c r="M29" i="12"/>
  <c r="Q29" i="12"/>
  <c r="N29" i="12"/>
  <c r="K29" i="12"/>
  <c r="U29" i="12" s="1"/>
  <c r="U28" i="12"/>
  <c r="U26" i="12"/>
  <c r="T29" i="12"/>
  <c r="U24" i="12"/>
  <c r="U25" i="12"/>
  <c r="G18" i="12" l="1"/>
  <c r="H18" i="12" s="1"/>
  <c r="V18" i="12" s="1"/>
  <c r="M18" i="12" l="1"/>
  <c r="S18" i="12"/>
  <c r="K18" i="12"/>
  <c r="T18" i="12"/>
  <c r="L18" i="12"/>
  <c r="R18" i="12"/>
  <c r="J18" i="12"/>
  <c r="Q18" i="12"/>
  <c r="N18" i="12"/>
  <c r="P18" i="12"/>
  <c r="O18" i="12"/>
  <c r="U18" i="12" l="1"/>
  <c r="P4" i="30" l="1"/>
  <c r="O4" i="30"/>
  <c r="N4" i="30"/>
  <c r="M4" i="30"/>
  <c r="L4" i="30"/>
  <c r="K4" i="30"/>
  <c r="J4" i="30"/>
  <c r="I4" i="30"/>
  <c r="H4" i="30"/>
  <c r="G4" i="30"/>
  <c r="F4" i="30"/>
  <c r="E4" i="30"/>
  <c r="O10" i="2"/>
  <c r="Z9" i="2"/>
  <c r="Y9" i="2"/>
  <c r="X9" i="2"/>
  <c r="W9" i="2"/>
  <c r="V9" i="2"/>
  <c r="U9" i="2"/>
  <c r="T9" i="2"/>
  <c r="S9" i="2"/>
  <c r="R9" i="2"/>
  <c r="Q9" i="2"/>
  <c r="P9" i="2"/>
  <c r="O9" i="2"/>
  <c r="P4" i="4"/>
  <c r="O4" i="4"/>
  <c r="N4" i="4"/>
  <c r="M4" i="4"/>
  <c r="L4" i="4"/>
  <c r="K4" i="4"/>
  <c r="J4" i="4"/>
  <c r="I4" i="4"/>
  <c r="H4" i="4"/>
  <c r="Q2" i="4"/>
  <c r="AA10" i="2" l="1"/>
  <c r="G34" i="18" l="1"/>
  <c r="F34" i="18"/>
  <c r="S56" i="17"/>
  <c r="R56" i="17"/>
  <c r="Q56" i="17"/>
  <c r="P56" i="17"/>
  <c r="O56" i="17"/>
  <c r="N56" i="17"/>
  <c r="M56" i="17"/>
  <c r="L56" i="17"/>
  <c r="K56" i="17"/>
  <c r="J56" i="17"/>
  <c r="I56" i="17"/>
  <c r="H56" i="17"/>
  <c r="S55" i="17"/>
  <c r="R55" i="17"/>
  <c r="Q55" i="17"/>
  <c r="P55" i="17"/>
  <c r="O55" i="17"/>
  <c r="N55" i="17"/>
  <c r="M55" i="17"/>
  <c r="L55" i="17"/>
  <c r="K55" i="17"/>
  <c r="J55" i="17"/>
  <c r="I55" i="17"/>
  <c r="H55" i="17"/>
  <c r="S54" i="17"/>
  <c r="R54" i="17"/>
  <c r="Q54" i="17"/>
  <c r="P54" i="17"/>
  <c r="O54" i="17"/>
  <c r="N54" i="17"/>
  <c r="M54" i="17"/>
  <c r="L54" i="17"/>
  <c r="K54" i="17"/>
  <c r="J54" i="17"/>
  <c r="I54" i="17"/>
  <c r="H54" i="17"/>
  <c r="S53" i="17"/>
  <c r="R53" i="17"/>
  <c r="Q53" i="17"/>
  <c r="P53" i="17"/>
  <c r="O53" i="17"/>
  <c r="N53" i="17"/>
  <c r="M53" i="17"/>
  <c r="L53" i="17"/>
  <c r="K53" i="17"/>
  <c r="J53" i="17"/>
  <c r="I53" i="17"/>
  <c r="H53" i="17"/>
  <c r="S52" i="17"/>
  <c r="R52" i="17"/>
  <c r="Q52" i="17"/>
  <c r="P52" i="17"/>
  <c r="O52" i="17"/>
  <c r="N52" i="17"/>
  <c r="M52" i="17"/>
  <c r="L52" i="17"/>
  <c r="K52" i="17"/>
  <c r="J52" i="17"/>
  <c r="I52" i="17"/>
  <c r="H52" i="17"/>
  <c r="S51" i="17"/>
  <c r="R51" i="17"/>
  <c r="Q51" i="17"/>
  <c r="P51" i="17"/>
  <c r="O51" i="17"/>
  <c r="N51" i="17"/>
  <c r="M51" i="17"/>
  <c r="L51" i="17"/>
  <c r="K51" i="17"/>
  <c r="J51" i="17"/>
  <c r="I51" i="17"/>
  <c r="H51" i="17"/>
  <c r="S50" i="17"/>
  <c r="R50" i="17"/>
  <c r="Q50" i="17"/>
  <c r="P50" i="17"/>
  <c r="O50" i="17"/>
  <c r="N50" i="17"/>
  <c r="M50" i="17"/>
  <c r="L50" i="17"/>
  <c r="K50" i="17"/>
  <c r="J50" i="17"/>
  <c r="I50" i="17"/>
  <c r="H50" i="17"/>
  <c r="S49" i="17"/>
  <c r="R49" i="17"/>
  <c r="Q49" i="17"/>
  <c r="P49" i="17"/>
  <c r="O49" i="17"/>
  <c r="N49" i="17"/>
  <c r="M49" i="17"/>
  <c r="L49" i="17"/>
  <c r="K49" i="17"/>
  <c r="J49" i="17"/>
  <c r="I49" i="17"/>
  <c r="H49" i="17"/>
  <c r="S48" i="17"/>
  <c r="R48" i="17"/>
  <c r="Q48" i="17"/>
  <c r="P48" i="17"/>
  <c r="O48" i="17"/>
  <c r="N48" i="17"/>
  <c r="M48" i="17"/>
  <c r="L48" i="17"/>
  <c r="K48" i="17"/>
  <c r="J48" i="17"/>
  <c r="I48" i="17"/>
  <c r="H48" i="17"/>
  <c r="S47" i="17"/>
  <c r="R47" i="17"/>
  <c r="Q47" i="17"/>
  <c r="P47" i="17"/>
  <c r="O47" i="17"/>
  <c r="N47" i="17"/>
  <c r="M47" i="17"/>
  <c r="L47" i="17"/>
  <c r="K47" i="17"/>
  <c r="J47" i="17"/>
  <c r="I47" i="17"/>
  <c r="H47" i="17"/>
  <c r="S46" i="17"/>
  <c r="R46" i="17"/>
  <c r="Q46" i="17"/>
  <c r="P46" i="17"/>
  <c r="O46" i="17"/>
  <c r="N46" i="17"/>
  <c r="M46" i="17"/>
  <c r="L46" i="17"/>
  <c r="K46" i="17"/>
  <c r="J46" i="17"/>
  <c r="I46" i="17"/>
  <c r="H46" i="17"/>
  <c r="S45" i="17"/>
  <c r="R45" i="17"/>
  <c r="Q45" i="17"/>
  <c r="P45" i="17"/>
  <c r="O45" i="17"/>
  <c r="N45" i="17"/>
  <c r="M45" i="17"/>
  <c r="L45" i="17"/>
  <c r="K45" i="17"/>
  <c r="J45" i="17"/>
  <c r="I45" i="17"/>
  <c r="H45" i="17"/>
  <c r="S44" i="17"/>
  <c r="R44" i="17"/>
  <c r="Q44" i="17"/>
  <c r="P44" i="17"/>
  <c r="O44" i="17"/>
  <c r="N44" i="17"/>
  <c r="M44" i="17"/>
  <c r="L44" i="17"/>
  <c r="K44" i="17"/>
  <c r="J44" i="17"/>
  <c r="I44" i="17"/>
  <c r="H44" i="17"/>
  <c r="S43" i="17"/>
  <c r="R43" i="17"/>
  <c r="Q43" i="17"/>
  <c r="P43" i="17"/>
  <c r="O43" i="17"/>
  <c r="N43" i="17"/>
  <c r="M43" i="17"/>
  <c r="L43" i="17"/>
  <c r="K43" i="17"/>
  <c r="J43" i="17"/>
  <c r="I43" i="17"/>
  <c r="H43" i="17"/>
  <c r="S42" i="17"/>
  <c r="R42" i="17"/>
  <c r="Q42" i="17"/>
  <c r="P42" i="17"/>
  <c r="O42" i="17"/>
  <c r="N42" i="17"/>
  <c r="M42" i="17"/>
  <c r="L42" i="17"/>
  <c r="K42" i="17"/>
  <c r="J42" i="17"/>
  <c r="I42" i="17"/>
  <c r="H42" i="17"/>
  <c r="S41" i="17"/>
  <c r="R41" i="17"/>
  <c r="Q41" i="17"/>
  <c r="P41" i="17"/>
  <c r="O41" i="17"/>
  <c r="N41" i="17"/>
  <c r="M41" i="17"/>
  <c r="L41" i="17"/>
  <c r="K41" i="17"/>
  <c r="J41" i="17"/>
  <c r="I41" i="17"/>
  <c r="H41" i="17"/>
  <c r="S40" i="17"/>
  <c r="R40" i="17"/>
  <c r="Q40" i="17"/>
  <c r="P40" i="17"/>
  <c r="O40" i="17"/>
  <c r="N40" i="17"/>
  <c r="M40" i="17"/>
  <c r="L40" i="17"/>
  <c r="K40" i="17"/>
  <c r="J40" i="17"/>
  <c r="I40" i="17"/>
  <c r="H40" i="17"/>
  <c r="S39" i="17"/>
  <c r="R39" i="17"/>
  <c r="Q39" i="17"/>
  <c r="P39" i="17"/>
  <c r="O39" i="17"/>
  <c r="N39" i="17"/>
  <c r="M39" i="17"/>
  <c r="L39" i="17"/>
  <c r="K39" i="17"/>
  <c r="J39" i="17"/>
  <c r="I39" i="17"/>
  <c r="H39" i="17"/>
  <c r="S38" i="17"/>
  <c r="R38" i="17"/>
  <c r="Q38" i="17"/>
  <c r="P38" i="17"/>
  <c r="O38" i="17"/>
  <c r="N38" i="17"/>
  <c r="N36" i="17" s="1"/>
  <c r="N13" i="17" s="1"/>
  <c r="U27" i="2" s="1"/>
  <c r="M38" i="17"/>
  <c r="L38" i="17"/>
  <c r="K38" i="17"/>
  <c r="J38" i="17"/>
  <c r="I38" i="17"/>
  <c r="H38" i="17"/>
  <c r="S37" i="17"/>
  <c r="S36" i="17" s="1"/>
  <c r="R37" i="17"/>
  <c r="R36" i="17" s="1"/>
  <c r="Q37" i="17"/>
  <c r="P37" i="17"/>
  <c r="O37" i="17"/>
  <c r="N37" i="17"/>
  <c r="M37" i="17"/>
  <c r="L37" i="17"/>
  <c r="K37" i="17"/>
  <c r="K36" i="17" s="1"/>
  <c r="J37" i="17"/>
  <c r="J36" i="17" s="1"/>
  <c r="J13" i="17" s="1"/>
  <c r="Q27" i="2" s="1"/>
  <c r="I37" i="17"/>
  <c r="H37" i="17"/>
  <c r="Q36" i="17"/>
  <c r="P36" i="17"/>
  <c r="O36" i="17"/>
  <c r="M36" i="17"/>
  <c r="L36" i="17"/>
  <c r="I36" i="17"/>
  <c r="H36" i="17"/>
  <c r="S34" i="17"/>
  <c r="R34" i="17"/>
  <c r="Q34" i="17"/>
  <c r="P34" i="17"/>
  <c r="O34" i="17"/>
  <c r="N34" i="17"/>
  <c r="M34" i="17"/>
  <c r="L34" i="17"/>
  <c r="K34" i="17"/>
  <c r="J34" i="17"/>
  <c r="I34" i="17"/>
  <c r="H34" i="17"/>
  <c r="S33" i="17"/>
  <c r="R33" i="17"/>
  <c r="Q33" i="17"/>
  <c r="P33" i="17"/>
  <c r="O33" i="17"/>
  <c r="N33" i="17"/>
  <c r="M33" i="17"/>
  <c r="L33" i="17"/>
  <c r="K33" i="17"/>
  <c r="J33" i="17"/>
  <c r="I33" i="17"/>
  <c r="H33" i="17"/>
  <c r="S32" i="17"/>
  <c r="R32" i="17"/>
  <c r="Q32" i="17"/>
  <c r="P32" i="17"/>
  <c r="O32" i="17"/>
  <c r="N32" i="17"/>
  <c r="M32" i="17"/>
  <c r="L32" i="17"/>
  <c r="K32" i="17"/>
  <c r="J32" i="17"/>
  <c r="I32" i="17"/>
  <c r="H32" i="17"/>
  <c r="S31" i="17"/>
  <c r="R31" i="17"/>
  <c r="Q31" i="17"/>
  <c r="P31" i="17"/>
  <c r="O31" i="17"/>
  <c r="N31" i="17"/>
  <c r="M31" i="17"/>
  <c r="L31" i="17"/>
  <c r="K31" i="17"/>
  <c r="J31" i="17"/>
  <c r="I31" i="17"/>
  <c r="H31" i="17"/>
  <c r="S30" i="17"/>
  <c r="R30" i="17"/>
  <c r="Q30" i="17"/>
  <c r="P30" i="17"/>
  <c r="O30" i="17"/>
  <c r="N30" i="17"/>
  <c r="M30" i="17"/>
  <c r="L30" i="17"/>
  <c r="K30" i="17"/>
  <c r="J30" i="17"/>
  <c r="I30" i="17"/>
  <c r="H30" i="17"/>
  <c r="S29" i="17"/>
  <c r="R29" i="17"/>
  <c r="Q29" i="17"/>
  <c r="P29" i="17"/>
  <c r="O29" i="17"/>
  <c r="N29" i="17"/>
  <c r="M29" i="17"/>
  <c r="L29" i="17"/>
  <c r="K29" i="17"/>
  <c r="J29" i="17"/>
  <c r="I29" i="17"/>
  <c r="H29" i="17"/>
  <c r="S28" i="17"/>
  <c r="R28" i="17"/>
  <c r="Q28" i="17"/>
  <c r="P28" i="17"/>
  <c r="O28" i="17"/>
  <c r="N28" i="17"/>
  <c r="M28" i="17"/>
  <c r="L28" i="17"/>
  <c r="K28" i="17"/>
  <c r="J28" i="17"/>
  <c r="I28" i="17"/>
  <c r="H28" i="17"/>
  <c r="S27" i="17"/>
  <c r="R27" i="17"/>
  <c r="Q27" i="17"/>
  <c r="P27" i="17"/>
  <c r="O27" i="17"/>
  <c r="N27" i="17"/>
  <c r="M27" i="17"/>
  <c r="L27" i="17"/>
  <c r="K27" i="17"/>
  <c r="J27" i="17"/>
  <c r="I27" i="17"/>
  <c r="H27" i="17"/>
  <c r="S26" i="17"/>
  <c r="R26" i="17"/>
  <c r="Q26" i="17"/>
  <c r="P26" i="17"/>
  <c r="O26" i="17"/>
  <c r="N26" i="17"/>
  <c r="M26" i="17"/>
  <c r="L26" i="17"/>
  <c r="K26" i="17"/>
  <c r="J26" i="17"/>
  <c r="I26" i="17"/>
  <c r="H26" i="17"/>
  <c r="S25" i="17"/>
  <c r="R25" i="17"/>
  <c r="Q25" i="17"/>
  <c r="P25" i="17"/>
  <c r="O25" i="17"/>
  <c r="N25" i="17"/>
  <c r="M25" i="17"/>
  <c r="L25" i="17"/>
  <c r="K25" i="17"/>
  <c r="J25" i="17"/>
  <c r="I25" i="17"/>
  <c r="H25" i="17"/>
  <c r="S24" i="17"/>
  <c r="R24" i="17"/>
  <c r="Q24" i="17"/>
  <c r="P24" i="17"/>
  <c r="O24" i="17"/>
  <c r="N24" i="17"/>
  <c r="M24" i="17"/>
  <c r="L24" i="17"/>
  <c r="K24" i="17"/>
  <c r="J24" i="17"/>
  <c r="I24" i="17"/>
  <c r="H24" i="17"/>
  <c r="S23" i="17"/>
  <c r="R23" i="17"/>
  <c r="Q23" i="17"/>
  <c r="P23" i="17"/>
  <c r="O23" i="17"/>
  <c r="N23" i="17"/>
  <c r="M23" i="17"/>
  <c r="L23" i="17"/>
  <c r="K23" i="17"/>
  <c r="J23" i="17"/>
  <c r="I23" i="17"/>
  <c r="H23" i="17"/>
  <c r="S22" i="17"/>
  <c r="R22" i="17"/>
  <c r="Q22" i="17"/>
  <c r="P22" i="17"/>
  <c r="O22" i="17"/>
  <c r="N22" i="17"/>
  <c r="M22" i="17"/>
  <c r="L22" i="17"/>
  <c r="K22" i="17"/>
  <c r="J22" i="17"/>
  <c r="I22" i="17"/>
  <c r="H22" i="17"/>
  <c r="S21" i="17"/>
  <c r="R21" i="17"/>
  <c r="Q21" i="17"/>
  <c r="P21" i="17"/>
  <c r="O21" i="17"/>
  <c r="N21" i="17"/>
  <c r="M21" i="17"/>
  <c r="L21" i="17"/>
  <c r="K21" i="17"/>
  <c r="J21" i="17"/>
  <c r="I21" i="17"/>
  <c r="H21" i="17"/>
  <c r="S20" i="17"/>
  <c r="R20" i="17"/>
  <c r="Q20" i="17"/>
  <c r="P20" i="17"/>
  <c r="O20" i="17"/>
  <c r="N20" i="17"/>
  <c r="M20" i="17"/>
  <c r="L20" i="17"/>
  <c r="K20" i="17"/>
  <c r="J20" i="17"/>
  <c r="I20" i="17"/>
  <c r="H20" i="17"/>
  <c r="S19" i="17"/>
  <c r="R19" i="17"/>
  <c r="Q19" i="17"/>
  <c r="P19" i="17"/>
  <c r="O19" i="17"/>
  <c r="N19" i="17"/>
  <c r="M19" i="17"/>
  <c r="L19" i="17"/>
  <c r="K19" i="17"/>
  <c r="J19" i="17"/>
  <c r="I19" i="17"/>
  <c r="H19" i="17"/>
  <c r="S18" i="17"/>
  <c r="R18" i="17"/>
  <c r="Q18" i="17"/>
  <c r="P18" i="17"/>
  <c r="O18" i="17"/>
  <c r="N18" i="17"/>
  <c r="M18" i="17"/>
  <c r="L18" i="17"/>
  <c r="K18" i="17"/>
  <c r="J18" i="17"/>
  <c r="I18" i="17"/>
  <c r="H18" i="17"/>
  <c r="S17" i="17"/>
  <c r="R17" i="17"/>
  <c r="Q17" i="17"/>
  <c r="P17" i="17"/>
  <c r="O17" i="17"/>
  <c r="N17" i="17"/>
  <c r="M17" i="17"/>
  <c r="L17" i="17"/>
  <c r="K17" i="17"/>
  <c r="J17" i="17"/>
  <c r="I17" i="17"/>
  <c r="H17" i="17"/>
  <c r="S16" i="17"/>
  <c r="R16" i="17"/>
  <c r="Q16" i="17"/>
  <c r="P16" i="17"/>
  <c r="O16" i="17"/>
  <c r="N16" i="17"/>
  <c r="M16" i="17"/>
  <c r="L16" i="17"/>
  <c r="K16" i="17"/>
  <c r="J16" i="17"/>
  <c r="I16" i="17"/>
  <c r="H16" i="17"/>
  <c r="S15" i="17"/>
  <c r="S14" i="17" s="1"/>
  <c r="R15" i="17"/>
  <c r="R14" i="17" s="1"/>
  <c r="Q15" i="17"/>
  <c r="P15" i="17"/>
  <c r="P14" i="17" s="1"/>
  <c r="P13" i="17" s="1"/>
  <c r="W27" i="2" s="1"/>
  <c r="O15" i="17"/>
  <c r="O14" i="17" s="1"/>
  <c r="O13" i="17" s="1"/>
  <c r="V27" i="2" s="1"/>
  <c r="N15" i="17"/>
  <c r="M15" i="17"/>
  <c r="L15" i="17"/>
  <c r="K15" i="17"/>
  <c r="K14" i="17" s="1"/>
  <c r="K13" i="17" s="1"/>
  <c r="R27" i="2" s="1"/>
  <c r="J15" i="17"/>
  <c r="I15" i="17"/>
  <c r="H15" i="17"/>
  <c r="H14" i="17" s="1"/>
  <c r="Q14" i="17"/>
  <c r="N14" i="17"/>
  <c r="M14" i="17"/>
  <c r="M13" i="17" s="1"/>
  <c r="T27" i="2" s="1"/>
  <c r="L14" i="17"/>
  <c r="L13" i="17" s="1"/>
  <c r="S27" i="2" s="1"/>
  <c r="J14" i="17"/>
  <c r="I14" i="17"/>
  <c r="Q13" i="17"/>
  <c r="X27" i="2" s="1"/>
  <c r="I13" i="17"/>
  <c r="P27" i="2" s="1"/>
  <c r="S9" i="17"/>
  <c r="Q9" i="17"/>
  <c r="Q3" i="17" s="1"/>
  <c r="O9" i="17"/>
  <c r="L9" i="17"/>
  <c r="J9" i="17"/>
  <c r="S3" i="17"/>
  <c r="R3" i="17"/>
  <c r="P3" i="17"/>
  <c r="O3" i="17"/>
  <c r="N3" i="17"/>
  <c r="M3" i="17"/>
  <c r="L3" i="17"/>
  <c r="K3" i="17"/>
  <c r="J3" i="17"/>
  <c r="I3" i="17"/>
  <c r="H3" i="17"/>
  <c r="G3" i="17" s="1"/>
  <c r="Q29" i="16"/>
  <c r="P29" i="16"/>
  <c r="O29" i="16"/>
  <c r="N29" i="16"/>
  <c r="M29" i="16"/>
  <c r="L29" i="16"/>
  <c r="K29" i="16"/>
  <c r="J29" i="16"/>
  <c r="I29" i="16"/>
  <c r="H29" i="16"/>
  <c r="G29" i="16"/>
  <c r="F29" i="16"/>
  <c r="Q28" i="16"/>
  <c r="P28" i="16"/>
  <c r="O28" i="16"/>
  <c r="N28" i="16"/>
  <c r="M28" i="16"/>
  <c r="L28" i="16"/>
  <c r="K28" i="16"/>
  <c r="J28" i="16"/>
  <c r="I28" i="16"/>
  <c r="H28" i="16"/>
  <c r="G28" i="16"/>
  <c r="F28" i="16"/>
  <c r="Q27" i="16"/>
  <c r="P27" i="16"/>
  <c r="O27" i="16"/>
  <c r="N27" i="16"/>
  <c r="M27" i="16"/>
  <c r="L27" i="16"/>
  <c r="K27" i="16"/>
  <c r="J27" i="16"/>
  <c r="I27" i="16"/>
  <c r="H27" i="16"/>
  <c r="G27" i="16"/>
  <c r="F27" i="16"/>
  <c r="Q26" i="16"/>
  <c r="P26" i="16"/>
  <c r="O26" i="16"/>
  <c r="N26" i="16"/>
  <c r="M26" i="16"/>
  <c r="L26" i="16"/>
  <c r="K26" i="16"/>
  <c r="J26" i="16"/>
  <c r="I26" i="16"/>
  <c r="H26" i="16"/>
  <c r="G26" i="16"/>
  <c r="F26" i="16"/>
  <c r="Q25" i="16"/>
  <c r="P25" i="16"/>
  <c r="O25" i="16"/>
  <c r="N25" i="16"/>
  <c r="M25" i="16"/>
  <c r="L25" i="16"/>
  <c r="K25" i="16"/>
  <c r="J25" i="16"/>
  <c r="I25" i="16"/>
  <c r="H25" i="16"/>
  <c r="G25" i="16"/>
  <c r="F25" i="16"/>
  <c r="Q23" i="16"/>
  <c r="P23" i="16"/>
  <c r="O23" i="16"/>
  <c r="N23" i="16"/>
  <c r="M23" i="16"/>
  <c r="L23" i="16"/>
  <c r="K23" i="16"/>
  <c r="J23" i="16"/>
  <c r="I23" i="16"/>
  <c r="H23" i="16"/>
  <c r="G23" i="16"/>
  <c r="F23" i="16"/>
  <c r="Q22" i="16"/>
  <c r="P22" i="16"/>
  <c r="O22" i="16"/>
  <c r="N22" i="16"/>
  <c r="M22" i="16"/>
  <c r="L22" i="16"/>
  <c r="K22" i="16"/>
  <c r="J22" i="16"/>
  <c r="I22" i="16"/>
  <c r="H22" i="16"/>
  <c r="G22" i="16"/>
  <c r="F22" i="16"/>
  <c r="Q21" i="16"/>
  <c r="P21" i="16"/>
  <c r="O21" i="16"/>
  <c r="N21" i="16"/>
  <c r="M21" i="16"/>
  <c r="L21" i="16"/>
  <c r="K21" i="16"/>
  <c r="J21" i="16"/>
  <c r="I21" i="16"/>
  <c r="H21" i="16"/>
  <c r="G21" i="16"/>
  <c r="F21" i="16"/>
  <c r="Q20" i="16"/>
  <c r="P20" i="16"/>
  <c r="O20" i="16"/>
  <c r="N20" i="16"/>
  <c r="M20" i="16"/>
  <c r="L20" i="16"/>
  <c r="K20" i="16"/>
  <c r="J20" i="16"/>
  <c r="I20" i="16"/>
  <c r="H20" i="16"/>
  <c r="G20" i="16"/>
  <c r="F20" i="16"/>
  <c r="Q19" i="16"/>
  <c r="P19" i="16"/>
  <c r="O19" i="16"/>
  <c r="N19" i="16"/>
  <c r="M19" i="16"/>
  <c r="L19" i="16"/>
  <c r="K19" i="16"/>
  <c r="J19" i="16"/>
  <c r="I19" i="16"/>
  <c r="H19" i="16"/>
  <c r="G19" i="16"/>
  <c r="F19" i="16"/>
  <c r="Q18" i="16"/>
  <c r="P18" i="16"/>
  <c r="O18" i="16"/>
  <c r="N18" i="16"/>
  <c r="M18" i="16"/>
  <c r="L18" i="16"/>
  <c r="K18" i="16"/>
  <c r="J18" i="16"/>
  <c r="I18" i="16"/>
  <c r="H18" i="16"/>
  <c r="G18" i="16"/>
  <c r="F18" i="16"/>
  <c r="Q17" i="16"/>
  <c r="P17" i="16"/>
  <c r="O17" i="16"/>
  <c r="N17" i="16"/>
  <c r="M17" i="16"/>
  <c r="L17" i="16"/>
  <c r="K17" i="16"/>
  <c r="J17" i="16"/>
  <c r="I17" i="16"/>
  <c r="H17" i="16"/>
  <c r="G17" i="16"/>
  <c r="F17" i="16"/>
  <c r="Q16" i="16"/>
  <c r="P16" i="16"/>
  <c r="O16" i="16"/>
  <c r="N16" i="16"/>
  <c r="M16" i="16"/>
  <c r="L16" i="16"/>
  <c r="K16" i="16"/>
  <c r="J16" i="16"/>
  <c r="I16" i="16"/>
  <c r="H16" i="16"/>
  <c r="G16" i="16"/>
  <c r="F16" i="16"/>
  <c r="Q15" i="16"/>
  <c r="P15" i="16"/>
  <c r="O15" i="16"/>
  <c r="N15" i="16"/>
  <c r="M15" i="16"/>
  <c r="L15" i="16"/>
  <c r="K15" i="16"/>
  <c r="J15" i="16"/>
  <c r="I15" i="16"/>
  <c r="H15" i="16"/>
  <c r="G15" i="16"/>
  <c r="F15" i="16"/>
  <c r="Q14" i="16"/>
  <c r="P14" i="16"/>
  <c r="O14" i="16"/>
  <c r="N14" i="16"/>
  <c r="M14" i="16"/>
  <c r="L14" i="16"/>
  <c r="K14" i="16"/>
  <c r="J14" i="16"/>
  <c r="I14" i="16"/>
  <c r="H14" i="16"/>
  <c r="G14" i="16"/>
  <c r="F14" i="16"/>
  <c r="Q13" i="16"/>
  <c r="P13" i="16"/>
  <c r="O13" i="16"/>
  <c r="N13" i="16"/>
  <c r="M13" i="16"/>
  <c r="L13" i="16"/>
  <c r="K13" i="16"/>
  <c r="J13" i="16"/>
  <c r="I13" i="16"/>
  <c r="H13" i="16"/>
  <c r="G13" i="16"/>
  <c r="F13" i="16"/>
  <c r="Q12" i="16"/>
  <c r="P12" i="16"/>
  <c r="O12" i="16"/>
  <c r="N12" i="16"/>
  <c r="M12" i="16"/>
  <c r="L12" i="16"/>
  <c r="K12" i="16"/>
  <c r="J12" i="16"/>
  <c r="I12" i="16"/>
  <c r="H12" i="16"/>
  <c r="G12" i="16"/>
  <c r="F12" i="16"/>
  <c r="Q11" i="16"/>
  <c r="P11" i="16"/>
  <c r="O11" i="16"/>
  <c r="N11" i="16"/>
  <c r="M11" i="16"/>
  <c r="L11" i="16"/>
  <c r="K11" i="16"/>
  <c r="J11" i="16"/>
  <c r="I11" i="16"/>
  <c r="H11" i="16"/>
  <c r="G11" i="16"/>
  <c r="F11" i="16"/>
  <c r="Q10" i="16"/>
  <c r="Q7" i="16" s="1"/>
  <c r="Z25" i="2" s="1"/>
  <c r="P10" i="16"/>
  <c r="P7" i="16" s="1"/>
  <c r="Y25" i="2" s="1"/>
  <c r="O10" i="16"/>
  <c r="N10" i="16"/>
  <c r="M10" i="16"/>
  <c r="L10" i="16"/>
  <c r="K10" i="16"/>
  <c r="J10" i="16"/>
  <c r="I10" i="16"/>
  <c r="I7" i="16" s="1"/>
  <c r="R25" i="2" s="1"/>
  <c r="H10" i="16"/>
  <c r="H7" i="16" s="1"/>
  <c r="Q25" i="2" s="1"/>
  <c r="G10" i="16"/>
  <c r="F10" i="16"/>
  <c r="Q9" i="16"/>
  <c r="P9" i="16"/>
  <c r="O9" i="16"/>
  <c r="N9" i="16"/>
  <c r="N7" i="16" s="1"/>
  <c r="W25" i="2" s="1"/>
  <c r="M9" i="16"/>
  <c r="M7" i="16" s="1"/>
  <c r="V25" i="2" s="1"/>
  <c r="L9" i="16"/>
  <c r="K9" i="16"/>
  <c r="K7" i="16" s="1"/>
  <c r="T25" i="2" s="1"/>
  <c r="J9" i="16"/>
  <c r="I9" i="16"/>
  <c r="H9" i="16"/>
  <c r="G9" i="16"/>
  <c r="F9" i="16"/>
  <c r="R8" i="16"/>
  <c r="R6" i="16"/>
  <c r="R5" i="16"/>
  <c r="AE98" i="13"/>
  <c r="AD98" i="13"/>
  <c r="AC98" i="13"/>
  <c r="AB98" i="13"/>
  <c r="AA98" i="13"/>
  <c r="Z98" i="13"/>
  <c r="Y98" i="13"/>
  <c r="X98" i="13"/>
  <c r="W98" i="13"/>
  <c r="V98" i="13"/>
  <c r="U98" i="13"/>
  <c r="T98" i="13"/>
  <c r="AE97" i="13"/>
  <c r="AD97" i="13"/>
  <c r="AC97" i="13"/>
  <c r="AB97" i="13"/>
  <c r="AA97" i="13"/>
  <c r="Z97" i="13"/>
  <c r="Y97" i="13"/>
  <c r="X97" i="13"/>
  <c r="W97" i="13"/>
  <c r="V97" i="13"/>
  <c r="U97" i="13"/>
  <c r="T97" i="13"/>
  <c r="AE96" i="13"/>
  <c r="AD96" i="13"/>
  <c r="AC96" i="13"/>
  <c r="AB96" i="13"/>
  <c r="AA96" i="13"/>
  <c r="Z96" i="13"/>
  <c r="Y96" i="13"/>
  <c r="X96" i="13"/>
  <c r="W96" i="13"/>
  <c r="V96" i="13"/>
  <c r="U96" i="13"/>
  <c r="T96" i="13"/>
  <c r="AE95" i="13"/>
  <c r="AD95" i="13"/>
  <c r="AC95" i="13"/>
  <c r="AB95" i="13"/>
  <c r="AA95" i="13"/>
  <c r="Z95" i="13"/>
  <c r="Y95" i="13"/>
  <c r="X95" i="13"/>
  <c r="W95" i="13"/>
  <c r="V95" i="13"/>
  <c r="U95" i="13"/>
  <c r="T95" i="13"/>
  <c r="AE94" i="13"/>
  <c r="AD94" i="13"/>
  <c r="AC94" i="13"/>
  <c r="AB94" i="13"/>
  <c r="AA94" i="13"/>
  <c r="Z94" i="13"/>
  <c r="Y94" i="13"/>
  <c r="X94" i="13"/>
  <c r="W94" i="13"/>
  <c r="V94" i="13"/>
  <c r="U94" i="13"/>
  <c r="T94" i="13"/>
  <c r="AE93" i="13"/>
  <c r="AD93" i="13"/>
  <c r="AC93" i="13"/>
  <c r="AB93" i="13"/>
  <c r="AA93" i="13"/>
  <c r="Z93" i="13"/>
  <c r="Y93" i="13"/>
  <c r="X93" i="13"/>
  <c r="W93" i="13"/>
  <c r="V93" i="13"/>
  <c r="U93" i="13"/>
  <c r="T93" i="13"/>
  <c r="AE92" i="13"/>
  <c r="AD92" i="13"/>
  <c r="AC92" i="13"/>
  <c r="AB92" i="13"/>
  <c r="AA92" i="13"/>
  <c r="Z92" i="13"/>
  <c r="Y92" i="13"/>
  <c r="X92" i="13"/>
  <c r="W92" i="13"/>
  <c r="V92" i="13"/>
  <c r="U92" i="13"/>
  <c r="T92" i="13"/>
  <c r="AE91" i="13"/>
  <c r="AD91" i="13"/>
  <c r="AC91" i="13"/>
  <c r="AB91" i="13"/>
  <c r="AA91" i="13"/>
  <c r="Z91" i="13"/>
  <c r="Y91" i="13"/>
  <c r="X91" i="13"/>
  <c r="W91" i="13"/>
  <c r="V91" i="13"/>
  <c r="U91" i="13"/>
  <c r="T91" i="13"/>
  <c r="AE90" i="13"/>
  <c r="AD90" i="13"/>
  <c r="AC90" i="13"/>
  <c r="AB90" i="13"/>
  <c r="AA90" i="13"/>
  <c r="Z90" i="13"/>
  <c r="Y90" i="13"/>
  <c r="X90" i="13"/>
  <c r="W90" i="13"/>
  <c r="V90" i="13"/>
  <c r="U90" i="13"/>
  <c r="T90" i="13"/>
  <c r="AE89" i="13"/>
  <c r="AD89" i="13"/>
  <c r="AC89" i="13"/>
  <c r="AB89" i="13"/>
  <c r="AA89" i="13"/>
  <c r="Z89" i="13"/>
  <c r="Y89" i="13"/>
  <c r="X89" i="13"/>
  <c r="W89" i="13"/>
  <c r="V89" i="13"/>
  <c r="U89" i="13"/>
  <c r="T89" i="13"/>
  <c r="AE88" i="13"/>
  <c r="AD88" i="13"/>
  <c r="AC88" i="13"/>
  <c r="AB88" i="13"/>
  <c r="AA88" i="13"/>
  <c r="Z88" i="13"/>
  <c r="Y88" i="13"/>
  <c r="X88" i="13"/>
  <c r="W88" i="13"/>
  <c r="V88" i="13"/>
  <c r="U88" i="13"/>
  <c r="T88" i="13"/>
  <c r="AE87" i="13"/>
  <c r="AD87" i="13"/>
  <c r="AC87" i="13"/>
  <c r="AB87" i="13"/>
  <c r="AA87" i="13"/>
  <c r="Z87" i="13"/>
  <c r="Y87" i="13"/>
  <c r="X87" i="13"/>
  <c r="W87" i="13"/>
  <c r="V87" i="13"/>
  <c r="U87" i="13"/>
  <c r="T87" i="13"/>
  <c r="AE86" i="13"/>
  <c r="AD86" i="13"/>
  <c r="AC86" i="13"/>
  <c r="AB86" i="13"/>
  <c r="AA86" i="13"/>
  <c r="Z86" i="13"/>
  <c r="Y86" i="13"/>
  <c r="X86" i="13"/>
  <c r="W86" i="13"/>
  <c r="V86" i="13"/>
  <c r="U86" i="13"/>
  <c r="T86" i="13"/>
  <c r="AE85" i="13"/>
  <c r="AD85" i="13"/>
  <c r="AC85" i="13"/>
  <c r="AB85" i="13"/>
  <c r="AA85" i="13"/>
  <c r="Z85" i="13"/>
  <c r="Y85" i="13"/>
  <c r="X85" i="13"/>
  <c r="W85" i="13"/>
  <c r="V85" i="13"/>
  <c r="U85" i="13"/>
  <c r="T85" i="13"/>
  <c r="AE84" i="13"/>
  <c r="AD84" i="13"/>
  <c r="AC84" i="13"/>
  <c r="AB84" i="13"/>
  <c r="AA84" i="13"/>
  <c r="Z84" i="13"/>
  <c r="Y84" i="13"/>
  <c r="X84" i="13"/>
  <c r="W84" i="13"/>
  <c r="V84" i="13"/>
  <c r="U84" i="13"/>
  <c r="T84" i="13"/>
  <c r="AE83" i="13"/>
  <c r="AD83" i="13"/>
  <c r="AC83" i="13"/>
  <c r="AB83" i="13"/>
  <c r="AA83" i="13"/>
  <c r="Z83" i="13"/>
  <c r="Y83" i="13"/>
  <c r="X83" i="13"/>
  <c r="W83" i="13"/>
  <c r="V83" i="13"/>
  <c r="U83" i="13"/>
  <c r="T83" i="13"/>
  <c r="AE82" i="13"/>
  <c r="AD82" i="13"/>
  <c r="AC82" i="13"/>
  <c r="AB82" i="13"/>
  <c r="AA82" i="13"/>
  <c r="Z82" i="13"/>
  <c r="Y82" i="13"/>
  <c r="X82" i="13"/>
  <c r="W82" i="13"/>
  <c r="V82" i="13"/>
  <c r="U82" i="13"/>
  <c r="T82" i="13"/>
  <c r="AE81" i="13"/>
  <c r="AD81" i="13"/>
  <c r="AC81" i="13"/>
  <c r="AB81" i="13"/>
  <c r="AA81" i="13"/>
  <c r="Z81" i="13"/>
  <c r="Y81" i="13"/>
  <c r="X81" i="13"/>
  <c r="W81" i="13"/>
  <c r="V81" i="13"/>
  <c r="U81" i="13"/>
  <c r="T81" i="13"/>
  <c r="AE80" i="13"/>
  <c r="AD80" i="13"/>
  <c r="AC80" i="13"/>
  <c r="AB80" i="13"/>
  <c r="AA80" i="13"/>
  <c r="Z80" i="13"/>
  <c r="Y80" i="13"/>
  <c r="X80" i="13"/>
  <c r="W80" i="13"/>
  <c r="V80" i="13"/>
  <c r="U80" i="13"/>
  <c r="T80" i="13"/>
  <c r="AE79" i="13"/>
  <c r="AD79" i="13"/>
  <c r="AC79" i="13"/>
  <c r="AB79" i="13"/>
  <c r="AA79" i="13"/>
  <c r="Z79" i="13"/>
  <c r="Y79" i="13"/>
  <c r="X79" i="13"/>
  <c r="W79" i="13"/>
  <c r="V79" i="13"/>
  <c r="U79" i="13"/>
  <c r="T79" i="13"/>
  <c r="AE78" i="13"/>
  <c r="AD78" i="13"/>
  <c r="AC78" i="13"/>
  <c r="AB78" i="13"/>
  <c r="AA78" i="13"/>
  <c r="Z78" i="13"/>
  <c r="Y78" i="13"/>
  <c r="X78" i="13"/>
  <c r="W78" i="13"/>
  <c r="V78" i="13"/>
  <c r="U78" i="13"/>
  <c r="T78" i="13"/>
  <c r="AE77" i="13"/>
  <c r="AD77" i="13"/>
  <c r="AC77" i="13"/>
  <c r="AB77" i="13"/>
  <c r="AA77" i="13"/>
  <c r="Z77" i="13"/>
  <c r="Y77" i="13"/>
  <c r="X77" i="13"/>
  <c r="W77" i="13"/>
  <c r="V77" i="13"/>
  <c r="U77" i="13"/>
  <c r="T77" i="13"/>
  <c r="AE76" i="13"/>
  <c r="AD76" i="13"/>
  <c r="AC76" i="13"/>
  <c r="AB76" i="13"/>
  <c r="AA76" i="13"/>
  <c r="Z76" i="13"/>
  <c r="Y76" i="13"/>
  <c r="X76" i="13"/>
  <c r="W76" i="13"/>
  <c r="V76" i="13"/>
  <c r="U76" i="13"/>
  <c r="T76" i="13"/>
  <c r="AE75" i="13"/>
  <c r="AD75" i="13"/>
  <c r="AC75" i="13"/>
  <c r="AB75" i="13"/>
  <c r="AA75" i="13"/>
  <c r="Z75" i="13"/>
  <c r="Y75" i="13"/>
  <c r="X75" i="13"/>
  <c r="W75" i="13"/>
  <c r="V75" i="13"/>
  <c r="U75" i="13"/>
  <c r="T75" i="13"/>
  <c r="AE74" i="13"/>
  <c r="AD74" i="13"/>
  <c r="AC74" i="13"/>
  <c r="AB74" i="13"/>
  <c r="AA74" i="13"/>
  <c r="Z74" i="13"/>
  <c r="Y74" i="13"/>
  <c r="X74" i="13"/>
  <c r="W74" i="13"/>
  <c r="V74" i="13"/>
  <c r="U74" i="13"/>
  <c r="T74" i="13"/>
  <c r="AE73" i="13"/>
  <c r="AD73" i="13"/>
  <c r="AC73" i="13"/>
  <c r="AB73" i="13"/>
  <c r="AA73" i="13"/>
  <c r="Z73" i="13"/>
  <c r="Y73" i="13"/>
  <c r="X73" i="13"/>
  <c r="W73" i="13"/>
  <c r="V73" i="13"/>
  <c r="U73" i="13"/>
  <c r="T73" i="13"/>
  <c r="AE72" i="13"/>
  <c r="AD72" i="13"/>
  <c r="AC72" i="13"/>
  <c r="AB72" i="13"/>
  <c r="AA72" i="13"/>
  <c r="Z72" i="13"/>
  <c r="Y72" i="13"/>
  <c r="X72" i="13"/>
  <c r="W72" i="13"/>
  <c r="V72" i="13"/>
  <c r="U72" i="13"/>
  <c r="T72" i="13"/>
  <c r="AE71" i="13"/>
  <c r="AD71" i="13"/>
  <c r="AC71" i="13"/>
  <c r="AB71" i="13"/>
  <c r="AA71" i="13"/>
  <c r="Z71" i="13"/>
  <c r="Y71" i="13"/>
  <c r="X71" i="13"/>
  <c r="W71" i="13"/>
  <c r="V71" i="13"/>
  <c r="U71" i="13"/>
  <c r="T71" i="13"/>
  <c r="AE70" i="13"/>
  <c r="AD70" i="13"/>
  <c r="AC70" i="13"/>
  <c r="AB70" i="13"/>
  <c r="AA70" i="13"/>
  <c r="Z70" i="13"/>
  <c r="Y70" i="13"/>
  <c r="X70" i="13"/>
  <c r="W70" i="13"/>
  <c r="V70" i="13"/>
  <c r="U70" i="13"/>
  <c r="T70" i="13"/>
  <c r="AE69" i="13"/>
  <c r="AD69" i="13"/>
  <c r="AC69" i="13"/>
  <c r="AB69" i="13"/>
  <c r="AA69" i="13"/>
  <c r="Z69" i="13"/>
  <c r="Y69" i="13"/>
  <c r="X69" i="13"/>
  <c r="W69" i="13"/>
  <c r="V69" i="13"/>
  <c r="U69" i="13"/>
  <c r="T69" i="13"/>
  <c r="AE68" i="13"/>
  <c r="AD68" i="13"/>
  <c r="AC68" i="13"/>
  <c r="AB68" i="13"/>
  <c r="AA68" i="13"/>
  <c r="Z68" i="13"/>
  <c r="Y68" i="13"/>
  <c r="X68" i="13"/>
  <c r="W68" i="13"/>
  <c r="V68" i="13"/>
  <c r="U68" i="13"/>
  <c r="T68" i="13"/>
  <c r="AE67" i="13"/>
  <c r="AD67" i="13"/>
  <c r="AC67" i="13"/>
  <c r="AB67" i="13"/>
  <c r="AA67" i="13"/>
  <c r="Z67" i="13"/>
  <c r="Y67" i="13"/>
  <c r="X67" i="13"/>
  <c r="W67" i="13"/>
  <c r="V67" i="13"/>
  <c r="U67" i="13"/>
  <c r="T67" i="13"/>
  <c r="AE66" i="13"/>
  <c r="AD66" i="13"/>
  <c r="AC66" i="13"/>
  <c r="AB66" i="13"/>
  <c r="AA66" i="13"/>
  <c r="Z66" i="13"/>
  <c r="Y66" i="13"/>
  <c r="X66" i="13"/>
  <c r="W66" i="13"/>
  <c r="V66" i="13"/>
  <c r="U66" i="13"/>
  <c r="T66" i="13"/>
  <c r="AE65" i="13"/>
  <c r="AD65" i="13"/>
  <c r="AC65" i="13"/>
  <c r="AB65" i="13"/>
  <c r="AA65" i="13"/>
  <c r="Z65" i="13"/>
  <c r="Y65" i="13"/>
  <c r="X65" i="13"/>
  <c r="W65" i="13"/>
  <c r="V65" i="13"/>
  <c r="U65" i="13"/>
  <c r="T65" i="13"/>
  <c r="AE64" i="13"/>
  <c r="AD64" i="13"/>
  <c r="AC64" i="13"/>
  <c r="AB64" i="13"/>
  <c r="AA64" i="13"/>
  <c r="Z64" i="13"/>
  <c r="Y64" i="13"/>
  <c r="X64" i="13"/>
  <c r="W64" i="13"/>
  <c r="V64" i="13"/>
  <c r="U64" i="13"/>
  <c r="T64" i="13"/>
  <c r="AE63" i="13"/>
  <c r="AD63" i="13"/>
  <c r="AC63" i="13"/>
  <c r="AB63" i="13"/>
  <c r="AA63" i="13"/>
  <c r="Z63" i="13"/>
  <c r="Y63" i="13"/>
  <c r="X63" i="13"/>
  <c r="W63" i="13"/>
  <c r="V63" i="13"/>
  <c r="U63" i="13"/>
  <c r="T63" i="13"/>
  <c r="AE62" i="13"/>
  <c r="AD62" i="13"/>
  <c r="AC62" i="13"/>
  <c r="AB62" i="13"/>
  <c r="AA62" i="13"/>
  <c r="Z62" i="13"/>
  <c r="Y62" i="13"/>
  <c r="X62" i="13"/>
  <c r="W62" i="13"/>
  <c r="V62" i="13"/>
  <c r="U62" i="13"/>
  <c r="T62" i="13"/>
  <c r="AE61" i="13"/>
  <c r="AD61" i="13"/>
  <c r="AC61" i="13"/>
  <c r="AB61" i="13"/>
  <c r="AA61" i="13"/>
  <c r="Z61" i="13"/>
  <c r="Y61" i="13"/>
  <c r="X61" i="13"/>
  <c r="W61" i="13"/>
  <c r="V61" i="13"/>
  <c r="U61" i="13"/>
  <c r="T61" i="13"/>
  <c r="AE60" i="13"/>
  <c r="AD60" i="13"/>
  <c r="AC60" i="13"/>
  <c r="AB60" i="13"/>
  <c r="AA60" i="13"/>
  <c r="Z60" i="13"/>
  <c r="Y60" i="13"/>
  <c r="X60" i="13"/>
  <c r="W60" i="13"/>
  <c r="V60" i="13"/>
  <c r="U60" i="13"/>
  <c r="T60" i="13"/>
  <c r="AE59" i="13"/>
  <c r="AD59" i="13"/>
  <c r="AC59" i="13"/>
  <c r="AB59" i="13"/>
  <c r="AA59" i="13"/>
  <c r="Z59" i="13"/>
  <c r="Y59" i="13"/>
  <c r="X59" i="13"/>
  <c r="W59" i="13"/>
  <c r="V59" i="13"/>
  <c r="U59" i="13"/>
  <c r="T59" i="13"/>
  <c r="AE58" i="13"/>
  <c r="AD58" i="13"/>
  <c r="AC58" i="13"/>
  <c r="AB58" i="13"/>
  <c r="AA58" i="13"/>
  <c r="Z58" i="13"/>
  <c r="Y58" i="13"/>
  <c r="X58" i="13"/>
  <c r="W58" i="13"/>
  <c r="V58" i="13"/>
  <c r="U58" i="13"/>
  <c r="T58" i="13"/>
  <c r="AE57" i="13"/>
  <c r="AD57" i="13"/>
  <c r="AC57" i="13"/>
  <c r="AB57" i="13"/>
  <c r="AA57" i="13"/>
  <c r="Z57" i="13"/>
  <c r="Y57" i="13"/>
  <c r="X57" i="13"/>
  <c r="W57" i="13"/>
  <c r="V57" i="13"/>
  <c r="U57" i="13"/>
  <c r="T57" i="13"/>
  <c r="AE56" i="13"/>
  <c r="AD56" i="13"/>
  <c r="AC56" i="13"/>
  <c r="AB56" i="13"/>
  <c r="AA56" i="13"/>
  <c r="Z56" i="13"/>
  <c r="Y56" i="13"/>
  <c r="X56" i="13"/>
  <c r="X54" i="13" s="1"/>
  <c r="W56" i="13"/>
  <c r="W54" i="13" s="1"/>
  <c r="V56" i="13"/>
  <c r="U56" i="13"/>
  <c r="T56" i="13"/>
  <c r="AE55" i="13"/>
  <c r="AD55" i="13"/>
  <c r="AD54" i="13" s="1"/>
  <c r="AC55" i="13"/>
  <c r="AC54" i="13" s="1"/>
  <c r="AB55" i="13"/>
  <c r="AB54" i="13" s="1"/>
  <c r="AA55" i="13"/>
  <c r="AA54" i="13" s="1"/>
  <c r="Z55" i="13"/>
  <c r="Y55" i="13"/>
  <c r="Y54" i="13" s="1"/>
  <c r="X55" i="13"/>
  <c r="W55" i="13"/>
  <c r="V55" i="13"/>
  <c r="V54" i="13" s="1"/>
  <c r="U55" i="13"/>
  <c r="U54" i="13" s="1"/>
  <c r="T55" i="13"/>
  <c r="T54" i="13" s="1"/>
  <c r="AE54" i="13"/>
  <c r="Z54" i="13"/>
  <c r="AE51" i="13"/>
  <c r="AD51" i="13"/>
  <c r="AC51" i="13"/>
  <c r="AB51" i="13"/>
  <c r="AA51" i="13"/>
  <c r="Z51" i="13"/>
  <c r="Y51" i="13"/>
  <c r="X51" i="13"/>
  <c r="W51" i="13"/>
  <c r="V51" i="13"/>
  <c r="U51" i="13"/>
  <c r="T51" i="13"/>
  <c r="AE50" i="13"/>
  <c r="AD50" i="13"/>
  <c r="AC50" i="13"/>
  <c r="AB50" i="13"/>
  <c r="AA50" i="13"/>
  <c r="Z50" i="13"/>
  <c r="Y50" i="13"/>
  <c r="X50" i="13"/>
  <c r="W50" i="13"/>
  <c r="V50" i="13"/>
  <c r="U50" i="13"/>
  <c r="T50" i="13"/>
  <c r="AE49" i="13"/>
  <c r="AD49" i="13"/>
  <c r="AC49" i="13"/>
  <c r="AB49" i="13"/>
  <c r="AA49" i="13"/>
  <c r="Z49" i="13"/>
  <c r="Y49" i="13"/>
  <c r="X49" i="13"/>
  <c r="W49" i="13"/>
  <c r="V49" i="13"/>
  <c r="U49" i="13"/>
  <c r="T49" i="13"/>
  <c r="AE48" i="13"/>
  <c r="AD48" i="13"/>
  <c r="AC48" i="13"/>
  <c r="AB48" i="13"/>
  <c r="AA48" i="13"/>
  <c r="Z48" i="13"/>
  <c r="Y48" i="13"/>
  <c r="X48" i="13"/>
  <c r="W48" i="13"/>
  <c r="V48" i="13"/>
  <c r="U48" i="13"/>
  <c r="T48" i="13"/>
  <c r="AE47" i="13"/>
  <c r="AD47" i="13"/>
  <c r="AC47" i="13"/>
  <c r="AB47" i="13"/>
  <c r="AA47" i="13"/>
  <c r="Z47" i="13"/>
  <c r="Y47" i="13"/>
  <c r="X47" i="13"/>
  <c r="W47" i="13"/>
  <c r="V47" i="13"/>
  <c r="U47" i="13"/>
  <c r="T47" i="13"/>
  <c r="AE46" i="13"/>
  <c r="AD46" i="13"/>
  <c r="AC46" i="13"/>
  <c r="AB46" i="13"/>
  <c r="AA46" i="13"/>
  <c r="Z46" i="13"/>
  <c r="Y46" i="13"/>
  <c r="X46" i="13"/>
  <c r="W46" i="13"/>
  <c r="V46" i="13"/>
  <c r="U46" i="13"/>
  <c r="T46" i="13"/>
  <c r="AE45" i="13"/>
  <c r="AD45" i="13"/>
  <c r="AC45" i="13"/>
  <c r="AB45" i="13"/>
  <c r="AA45" i="13"/>
  <c r="Z45" i="13"/>
  <c r="Y45" i="13"/>
  <c r="X45" i="13"/>
  <c r="W45" i="13"/>
  <c r="V45" i="13"/>
  <c r="U45" i="13"/>
  <c r="T45" i="13"/>
  <c r="AE44" i="13"/>
  <c r="AD44" i="13"/>
  <c r="AC44" i="13"/>
  <c r="AB44" i="13"/>
  <c r="AA44" i="13"/>
  <c r="Z44" i="13"/>
  <c r="Y44" i="13"/>
  <c r="X44" i="13"/>
  <c r="W44" i="13"/>
  <c r="V44" i="13"/>
  <c r="U44" i="13"/>
  <c r="T44" i="13"/>
  <c r="AE43" i="13"/>
  <c r="AD43" i="13"/>
  <c r="AC43" i="13"/>
  <c r="AB43" i="13"/>
  <c r="AA43" i="13"/>
  <c r="Z43" i="13"/>
  <c r="Y43" i="13"/>
  <c r="X43" i="13"/>
  <c r="W43" i="13"/>
  <c r="V43" i="13"/>
  <c r="U43" i="13"/>
  <c r="T43" i="13"/>
  <c r="AE42" i="13"/>
  <c r="AD42" i="13"/>
  <c r="AC42" i="13"/>
  <c r="AB42" i="13"/>
  <c r="AA42" i="13"/>
  <c r="Z42" i="13"/>
  <c r="Y42" i="13"/>
  <c r="X42" i="13"/>
  <c r="W42" i="13"/>
  <c r="V42" i="13"/>
  <c r="U42" i="13"/>
  <c r="T42" i="13"/>
  <c r="AE41" i="13"/>
  <c r="AD41" i="13"/>
  <c r="AC41" i="13"/>
  <c r="AB41" i="13"/>
  <c r="AA41" i="13"/>
  <c r="Z41" i="13"/>
  <c r="Y41" i="13"/>
  <c r="X41" i="13"/>
  <c r="W41" i="13"/>
  <c r="V41" i="13"/>
  <c r="U41" i="13"/>
  <c r="T41" i="13"/>
  <c r="AE40" i="13"/>
  <c r="AD40" i="13"/>
  <c r="AC40" i="13"/>
  <c r="AB40" i="13"/>
  <c r="AA40" i="13"/>
  <c r="Z40" i="13"/>
  <c r="Y40" i="13"/>
  <c r="X40" i="13"/>
  <c r="W40" i="13"/>
  <c r="V40" i="13"/>
  <c r="U40" i="13"/>
  <c r="T40" i="13"/>
  <c r="AE39" i="13"/>
  <c r="AD39" i="13"/>
  <c r="AC39" i="13"/>
  <c r="AB39" i="13"/>
  <c r="AA39" i="13"/>
  <c r="Z39" i="13"/>
  <c r="Y39" i="13"/>
  <c r="X39" i="13"/>
  <c r="W39" i="13"/>
  <c r="V39" i="13"/>
  <c r="U39" i="13"/>
  <c r="T39" i="13"/>
  <c r="AE38" i="13"/>
  <c r="AD38" i="13"/>
  <c r="AC38" i="13"/>
  <c r="AB38" i="13"/>
  <c r="AA38" i="13"/>
  <c r="Z38" i="13"/>
  <c r="Y38" i="13"/>
  <c r="X38" i="13"/>
  <c r="W38" i="13"/>
  <c r="V38" i="13"/>
  <c r="U38" i="13"/>
  <c r="T38" i="13"/>
  <c r="AE37" i="13"/>
  <c r="AD37" i="13"/>
  <c r="AC37" i="13"/>
  <c r="AB37" i="13"/>
  <c r="AA37" i="13"/>
  <c r="Z37" i="13"/>
  <c r="Y37" i="13"/>
  <c r="X37" i="13"/>
  <c r="W37" i="13"/>
  <c r="V37" i="13"/>
  <c r="U37" i="13"/>
  <c r="T37" i="13"/>
  <c r="AE36" i="13"/>
  <c r="AD36" i="13"/>
  <c r="AC36" i="13"/>
  <c r="AB36" i="13"/>
  <c r="AA36" i="13"/>
  <c r="Z36" i="13"/>
  <c r="Y36" i="13"/>
  <c r="X36" i="13"/>
  <c r="W36" i="13"/>
  <c r="V36" i="13"/>
  <c r="U36" i="13"/>
  <c r="T36" i="13"/>
  <c r="AE35" i="13"/>
  <c r="AD35" i="13"/>
  <c r="AC35" i="13"/>
  <c r="AB35" i="13"/>
  <c r="AA35" i="13"/>
  <c r="Z35" i="13"/>
  <c r="Y35" i="13"/>
  <c r="X35" i="13"/>
  <c r="W35" i="13"/>
  <c r="V35" i="13"/>
  <c r="U35" i="13"/>
  <c r="T35" i="13"/>
  <c r="AE34" i="13"/>
  <c r="AD34" i="13"/>
  <c r="AC34" i="13"/>
  <c r="AB34" i="13"/>
  <c r="AA34" i="13"/>
  <c r="Z34" i="13"/>
  <c r="Y34" i="13"/>
  <c r="X34" i="13"/>
  <c r="W34" i="13"/>
  <c r="V34" i="13"/>
  <c r="U34" i="13"/>
  <c r="T34" i="13"/>
  <c r="AE33" i="13"/>
  <c r="AD33" i="13"/>
  <c r="AC33" i="13"/>
  <c r="AB33" i="13"/>
  <c r="AA33" i="13"/>
  <c r="Z33" i="13"/>
  <c r="Y33" i="13"/>
  <c r="X33" i="13"/>
  <c r="W33" i="13"/>
  <c r="V33" i="13"/>
  <c r="U33" i="13"/>
  <c r="T33" i="13"/>
  <c r="AE32" i="13"/>
  <c r="AD32" i="13"/>
  <c r="AC32" i="13"/>
  <c r="AB32" i="13"/>
  <c r="AA32" i="13"/>
  <c r="Z32" i="13"/>
  <c r="Y32" i="13"/>
  <c r="X32" i="13"/>
  <c r="W32" i="13"/>
  <c r="V32" i="13"/>
  <c r="U32" i="13"/>
  <c r="T32" i="13"/>
  <c r="AE31" i="13"/>
  <c r="AD31" i="13"/>
  <c r="AC31" i="13"/>
  <c r="AB31" i="13"/>
  <c r="AA31" i="13"/>
  <c r="Z31" i="13"/>
  <c r="Y31" i="13"/>
  <c r="X31" i="13"/>
  <c r="W31" i="13"/>
  <c r="V31" i="13"/>
  <c r="U31" i="13"/>
  <c r="T31" i="13"/>
  <c r="AE30" i="13"/>
  <c r="AD30" i="13"/>
  <c r="AC30" i="13"/>
  <c r="AB30" i="13"/>
  <c r="AA30" i="13"/>
  <c r="Z30" i="13"/>
  <c r="Y30" i="13"/>
  <c r="X30" i="13"/>
  <c r="W30" i="13"/>
  <c r="V30" i="13"/>
  <c r="U30" i="13"/>
  <c r="T30" i="13"/>
  <c r="AE29" i="13"/>
  <c r="AD29" i="13"/>
  <c r="AC29" i="13"/>
  <c r="AB29" i="13"/>
  <c r="AA29" i="13"/>
  <c r="Z29" i="13"/>
  <c r="Y29" i="13"/>
  <c r="X29" i="13"/>
  <c r="W29" i="13"/>
  <c r="V29" i="13"/>
  <c r="U29" i="13"/>
  <c r="T29" i="13"/>
  <c r="AE28" i="13"/>
  <c r="AD28" i="13"/>
  <c r="AC28" i="13"/>
  <c r="AB28" i="13"/>
  <c r="AA28" i="13"/>
  <c r="Z28" i="13"/>
  <c r="Y28" i="13"/>
  <c r="X28" i="13"/>
  <c r="W28" i="13"/>
  <c r="V28" i="13"/>
  <c r="U28" i="13"/>
  <c r="T28" i="13"/>
  <c r="AE27" i="13"/>
  <c r="AD27" i="13"/>
  <c r="AC27" i="13"/>
  <c r="AB27" i="13"/>
  <c r="AA27" i="13"/>
  <c r="Z27" i="13"/>
  <c r="Y27" i="13"/>
  <c r="X27" i="13"/>
  <c r="W27" i="13"/>
  <c r="V27" i="13"/>
  <c r="U27" i="13"/>
  <c r="T27" i="13"/>
  <c r="AE26" i="13"/>
  <c r="AD26" i="13"/>
  <c r="AC26" i="13"/>
  <c r="AB26" i="13"/>
  <c r="AA26" i="13"/>
  <c r="Z26" i="13"/>
  <c r="Y26" i="13"/>
  <c r="X26" i="13"/>
  <c r="W26" i="13"/>
  <c r="V26" i="13"/>
  <c r="U26" i="13"/>
  <c r="T26" i="13"/>
  <c r="AE25" i="13"/>
  <c r="AD25" i="13"/>
  <c r="AC25" i="13"/>
  <c r="AB25" i="13"/>
  <c r="AA25" i="13"/>
  <c r="Z25" i="13"/>
  <c r="Y25" i="13"/>
  <c r="X25" i="13"/>
  <c r="W25" i="13"/>
  <c r="V25" i="13"/>
  <c r="U25" i="13"/>
  <c r="T25" i="13"/>
  <c r="AE24" i="13"/>
  <c r="AD24" i="13"/>
  <c r="AC24" i="13"/>
  <c r="AB24" i="13"/>
  <c r="AA24" i="13"/>
  <c r="Z24" i="13"/>
  <c r="Y24" i="13"/>
  <c r="X24" i="13"/>
  <c r="W24" i="13"/>
  <c r="V24" i="13"/>
  <c r="U24" i="13"/>
  <c r="T24" i="13"/>
  <c r="AE23" i="13"/>
  <c r="AD23" i="13"/>
  <c r="AC23" i="13"/>
  <c r="AB23" i="13"/>
  <c r="AA23" i="13"/>
  <c r="Z23" i="13"/>
  <c r="Y23" i="13"/>
  <c r="X23" i="13"/>
  <c r="W23" i="13"/>
  <c r="V23" i="13"/>
  <c r="U23" i="13"/>
  <c r="T23" i="13"/>
  <c r="AE22" i="13"/>
  <c r="AD22" i="13"/>
  <c r="AC22" i="13"/>
  <c r="AB22" i="13"/>
  <c r="AA22" i="13"/>
  <c r="Z22" i="13"/>
  <c r="Y22" i="13"/>
  <c r="X22" i="13"/>
  <c r="W22" i="13"/>
  <c r="V22" i="13"/>
  <c r="U22" i="13"/>
  <c r="T22" i="13"/>
  <c r="AE21" i="13"/>
  <c r="AD21" i="13"/>
  <c r="AC21" i="13"/>
  <c r="AB21" i="13"/>
  <c r="AA21" i="13"/>
  <c r="Z21" i="13"/>
  <c r="Y21" i="13"/>
  <c r="X21" i="13"/>
  <c r="W21" i="13"/>
  <c r="V21" i="13"/>
  <c r="U21" i="13"/>
  <c r="T21" i="13"/>
  <c r="AE20" i="13"/>
  <c r="AD20" i="13"/>
  <c r="AC20" i="13"/>
  <c r="AB20" i="13"/>
  <c r="AA20" i="13"/>
  <c r="Z20" i="13"/>
  <c r="Y20" i="13"/>
  <c r="X20" i="13"/>
  <c r="W20" i="13"/>
  <c r="V20" i="13"/>
  <c r="U20" i="13"/>
  <c r="T20" i="13"/>
  <c r="AE19" i="13"/>
  <c r="AD19" i="13"/>
  <c r="AC19" i="13"/>
  <c r="AB19" i="13"/>
  <c r="AA19" i="13"/>
  <c r="Z19" i="13"/>
  <c r="Y19" i="13"/>
  <c r="X19" i="13"/>
  <c r="W19" i="13"/>
  <c r="V19" i="13"/>
  <c r="U19" i="13"/>
  <c r="T19" i="13"/>
  <c r="AE18" i="13"/>
  <c r="AD18" i="13"/>
  <c r="AC18" i="13"/>
  <c r="AB18" i="13"/>
  <c r="AA18" i="13"/>
  <c r="Z18" i="13"/>
  <c r="Y18" i="13"/>
  <c r="X18" i="13"/>
  <c r="W18" i="13"/>
  <c r="V18" i="13"/>
  <c r="U18" i="13"/>
  <c r="T18" i="13"/>
  <c r="AE17" i="13"/>
  <c r="AD17" i="13"/>
  <c r="AC17" i="13"/>
  <c r="AB17" i="13"/>
  <c r="AA17" i="13"/>
  <c r="Z17" i="13"/>
  <c r="Y17" i="13"/>
  <c r="X17" i="13"/>
  <c r="W17" i="13"/>
  <c r="V17" i="13"/>
  <c r="U17" i="13"/>
  <c r="T17" i="13"/>
  <c r="AE16" i="13"/>
  <c r="AD16" i="13"/>
  <c r="AC16" i="13"/>
  <c r="AB16" i="13"/>
  <c r="AA16" i="13"/>
  <c r="Z16" i="13"/>
  <c r="Y16" i="13"/>
  <c r="X16" i="13"/>
  <c r="W16" i="13"/>
  <c r="V16" i="13"/>
  <c r="U16" i="13"/>
  <c r="T16" i="13"/>
  <c r="AE15" i="13"/>
  <c r="AD15" i="13"/>
  <c r="AC15" i="13"/>
  <c r="AB15" i="13"/>
  <c r="AA15" i="13"/>
  <c r="Z15" i="13"/>
  <c r="Y15" i="13"/>
  <c r="X15" i="13"/>
  <c r="W15" i="13"/>
  <c r="V15" i="13"/>
  <c r="U15" i="13"/>
  <c r="T15" i="13"/>
  <c r="AE14" i="13"/>
  <c r="AD14" i="13"/>
  <c r="AC14" i="13"/>
  <c r="AB14" i="13"/>
  <c r="AA14" i="13"/>
  <c r="Z14" i="13"/>
  <c r="Y14" i="13"/>
  <c r="X14" i="13"/>
  <c r="W14" i="13"/>
  <c r="V14" i="13"/>
  <c r="U14" i="13"/>
  <c r="T14" i="13"/>
  <c r="AE13" i="13"/>
  <c r="AD13" i="13"/>
  <c r="AC13" i="13"/>
  <c r="AB13" i="13"/>
  <c r="AA13" i="13"/>
  <c r="Z13" i="13"/>
  <c r="Y13" i="13"/>
  <c r="X13" i="13"/>
  <c r="W13" i="13"/>
  <c r="V13" i="13"/>
  <c r="U13" i="13"/>
  <c r="T13" i="13"/>
  <c r="AE12" i="13"/>
  <c r="AD12" i="13"/>
  <c r="AC12" i="13"/>
  <c r="AB12" i="13"/>
  <c r="AA12" i="13"/>
  <c r="Z12" i="13"/>
  <c r="Y12" i="13"/>
  <c r="X12" i="13"/>
  <c r="W12" i="13"/>
  <c r="V12" i="13"/>
  <c r="U12" i="13"/>
  <c r="T12" i="13"/>
  <c r="AE11" i="13"/>
  <c r="AD11" i="13"/>
  <c r="AC11" i="13"/>
  <c r="AB11" i="13"/>
  <c r="AA11" i="13"/>
  <c r="Z11" i="13"/>
  <c r="Y11" i="13"/>
  <c r="X11" i="13"/>
  <c r="W11" i="13"/>
  <c r="V11" i="13"/>
  <c r="U11" i="13"/>
  <c r="T11" i="13"/>
  <c r="AE10" i="13"/>
  <c r="AD10" i="13"/>
  <c r="AC10" i="13"/>
  <c r="AB10" i="13"/>
  <c r="AA10" i="13"/>
  <c r="Z10" i="13"/>
  <c r="Y10" i="13"/>
  <c r="X10" i="13"/>
  <c r="W10" i="13"/>
  <c r="V10" i="13"/>
  <c r="U10" i="13"/>
  <c r="T10" i="13"/>
  <c r="AE9" i="13"/>
  <c r="AD9" i="13"/>
  <c r="AC9" i="13"/>
  <c r="AB9" i="13"/>
  <c r="AA9" i="13"/>
  <c r="Z9" i="13"/>
  <c r="Y9" i="13"/>
  <c r="X9" i="13"/>
  <c r="W9" i="13"/>
  <c r="V9" i="13"/>
  <c r="U9" i="13"/>
  <c r="T9" i="13"/>
  <c r="AE8" i="13"/>
  <c r="AD8" i="13"/>
  <c r="AD5" i="13" s="1"/>
  <c r="AC8" i="13"/>
  <c r="AB8" i="13"/>
  <c r="AA8" i="13"/>
  <c r="Z8" i="13"/>
  <c r="Y8" i="13"/>
  <c r="X8" i="13"/>
  <c r="W8" i="13"/>
  <c r="V8" i="13"/>
  <c r="V5" i="13" s="1"/>
  <c r="U8" i="13"/>
  <c r="T8" i="13"/>
  <c r="T5" i="13" s="1"/>
  <c r="AA5" i="13"/>
  <c r="J97" i="3"/>
  <c r="L97" i="3" s="1"/>
  <c r="L96" i="3"/>
  <c r="J96" i="3"/>
  <c r="K96" i="3" s="1"/>
  <c r="J95" i="3"/>
  <c r="L95" i="3" s="1"/>
  <c r="J94" i="3"/>
  <c r="L94" i="3" s="1"/>
  <c r="K93" i="3"/>
  <c r="J93" i="3"/>
  <c r="L93" i="3" s="1"/>
  <c r="K92" i="3"/>
  <c r="J92" i="3"/>
  <c r="L92" i="3" s="1"/>
  <c r="L91" i="3"/>
  <c r="K91" i="3"/>
  <c r="J91" i="3"/>
  <c r="L90" i="3"/>
  <c r="K90" i="3"/>
  <c r="J90" i="3"/>
  <c r="J89" i="3"/>
  <c r="L89" i="3" s="1"/>
  <c r="L88" i="3"/>
  <c r="J88" i="3"/>
  <c r="K88" i="3" s="1"/>
  <c r="J87" i="3"/>
  <c r="L87" i="3" s="1"/>
  <c r="J86" i="3"/>
  <c r="K86" i="3" s="1"/>
  <c r="K85" i="3"/>
  <c r="J85" i="3"/>
  <c r="L85" i="3" s="1"/>
  <c r="K84" i="3"/>
  <c r="J84" i="3"/>
  <c r="L84" i="3" s="1"/>
  <c r="L83" i="3"/>
  <c r="K83" i="3"/>
  <c r="J83" i="3"/>
  <c r="L82" i="3"/>
  <c r="K82" i="3"/>
  <c r="J82" i="3"/>
  <c r="J81" i="3"/>
  <c r="L81" i="3" s="1"/>
  <c r="L80" i="3"/>
  <c r="J80" i="3"/>
  <c r="K80" i="3" s="1"/>
  <c r="J79" i="3"/>
  <c r="L79" i="3" s="1"/>
  <c r="J78" i="3"/>
  <c r="K78" i="3" s="1"/>
  <c r="J77" i="3"/>
  <c r="L77" i="3" s="1"/>
  <c r="J76" i="3"/>
  <c r="L76" i="3" s="1"/>
  <c r="L75" i="3"/>
  <c r="K75" i="3"/>
  <c r="J75" i="3"/>
  <c r="L74" i="3"/>
  <c r="K74" i="3"/>
  <c r="J74" i="3"/>
  <c r="J73" i="3"/>
  <c r="L73" i="3" s="1"/>
  <c r="L72" i="3"/>
  <c r="J72" i="3"/>
  <c r="K72" i="3" s="1"/>
  <c r="L71" i="3"/>
  <c r="J71" i="3"/>
  <c r="K71" i="3" s="1"/>
  <c r="J70" i="3"/>
  <c r="L70" i="3" s="1"/>
  <c r="J69" i="3"/>
  <c r="L69" i="3" s="1"/>
  <c r="J68" i="3"/>
  <c r="L68" i="3" s="1"/>
  <c r="L67" i="3"/>
  <c r="K67" i="3"/>
  <c r="J67" i="3"/>
  <c r="K66" i="3"/>
  <c r="J66" i="3"/>
  <c r="L66" i="3" s="1"/>
  <c r="J65" i="3"/>
  <c r="L65" i="3" s="1"/>
  <c r="L64" i="3"/>
  <c r="J64" i="3"/>
  <c r="K64" i="3" s="1"/>
  <c r="L63" i="3"/>
  <c r="J63" i="3"/>
  <c r="K63" i="3" s="1"/>
  <c r="J62" i="3"/>
  <c r="L62" i="3" s="1"/>
  <c r="J61" i="3"/>
  <c r="L61" i="3" s="1"/>
  <c r="J60" i="3"/>
  <c r="L60" i="3" s="1"/>
  <c r="L59" i="3"/>
  <c r="K59" i="3"/>
  <c r="J59" i="3"/>
  <c r="K58" i="3"/>
  <c r="J58" i="3"/>
  <c r="L58" i="3" s="1"/>
  <c r="J57" i="3"/>
  <c r="L57" i="3" s="1"/>
  <c r="L56" i="3"/>
  <c r="J56" i="3"/>
  <c r="K56" i="3" s="1"/>
  <c r="L55" i="3"/>
  <c r="J55" i="3"/>
  <c r="K55" i="3" s="1"/>
  <c r="J54" i="3"/>
  <c r="L54" i="3" s="1"/>
  <c r="J53" i="3"/>
  <c r="L53" i="3" s="1"/>
  <c r="J52" i="3"/>
  <c r="L52" i="3" s="1"/>
  <c r="L51" i="3"/>
  <c r="K51" i="3"/>
  <c r="J51" i="3"/>
  <c r="L50" i="3"/>
  <c r="K50" i="3"/>
  <c r="J50" i="3"/>
  <c r="J49" i="3"/>
  <c r="L49" i="3" s="1"/>
  <c r="L48" i="3"/>
  <c r="J48" i="3"/>
  <c r="K48" i="3" s="1"/>
  <c r="D40" i="3"/>
  <c r="D39" i="3"/>
  <c r="D38" i="3"/>
  <c r="D37" i="3"/>
  <c r="D36" i="3"/>
  <c r="D35" i="3"/>
  <c r="D34" i="3"/>
  <c r="I33" i="3"/>
  <c r="D33" i="3"/>
  <c r="I32" i="3"/>
  <c r="D32" i="3"/>
  <c r="I31" i="3"/>
  <c r="D31" i="3"/>
  <c r="D30" i="3"/>
  <c r="I29" i="3"/>
  <c r="D29" i="3"/>
  <c r="I28" i="3"/>
  <c r="D28" i="3"/>
  <c r="I27" i="3"/>
  <c r="D27" i="3"/>
  <c r="D26" i="3"/>
  <c r="I25" i="3"/>
  <c r="D25" i="3"/>
  <c r="D24" i="3"/>
  <c r="I23" i="3"/>
  <c r="D23" i="3"/>
  <c r="D22" i="3"/>
  <c r="AA46" i="2"/>
  <c r="AA45" i="2"/>
  <c r="AA44" i="2"/>
  <c r="AA43" i="2"/>
  <c r="AA42" i="2"/>
  <c r="AA41" i="2"/>
  <c r="AA40" i="2"/>
  <c r="AA39" i="2"/>
  <c r="AA38" i="2"/>
  <c r="AA37" i="2"/>
  <c r="AA36" i="2"/>
  <c r="AA35" i="2"/>
  <c r="AA34" i="2"/>
  <c r="AA33" i="2"/>
  <c r="D27" i="2"/>
  <c r="A27" i="2"/>
  <c r="Z24" i="2"/>
  <c r="Y24" i="2"/>
  <c r="X24" i="2"/>
  <c r="W24" i="2"/>
  <c r="V24" i="2"/>
  <c r="U24" i="2"/>
  <c r="T24" i="2"/>
  <c r="S24" i="2"/>
  <c r="R24" i="2"/>
  <c r="Q24" i="2"/>
  <c r="P24" i="2"/>
  <c r="O24" i="2"/>
  <c r="D24" i="2"/>
  <c r="D25" i="2" s="1"/>
  <c r="C24" i="2"/>
  <c r="Z23" i="2"/>
  <c r="Y23" i="2"/>
  <c r="X23" i="2"/>
  <c r="W23" i="2"/>
  <c r="V23" i="2"/>
  <c r="U23" i="2"/>
  <c r="T23" i="2"/>
  <c r="S23" i="2"/>
  <c r="R23" i="2"/>
  <c r="Q23" i="2"/>
  <c r="P23" i="2"/>
  <c r="O23" i="2"/>
  <c r="AA22" i="2"/>
  <c r="AA21" i="2"/>
  <c r="AA19" i="2"/>
  <c r="AA17" i="2"/>
  <c r="AA16" i="2"/>
  <c r="AA15" i="2"/>
  <c r="AA14" i="2"/>
  <c r="AA13" i="2"/>
  <c r="AA12" i="2"/>
  <c r="AA11" i="2"/>
  <c r="AA9" i="2"/>
  <c r="AA8" i="2"/>
  <c r="M6" i="2"/>
  <c r="L6" i="2"/>
  <c r="L2" i="2" s="1"/>
  <c r="M5" i="2"/>
  <c r="L5" i="2"/>
  <c r="L1" i="2" s="1"/>
  <c r="K5" i="2"/>
  <c r="K2" i="2"/>
  <c r="AA1" i="2"/>
  <c r="K1" i="2"/>
  <c r="K50" i="1" l="1"/>
  <c r="C25" i="2"/>
  <c r="J13" i="1" a="1"/>
  <c r="O7" i="16"/>
  <c r="X25" i="2" s="1"/>
  <c r="R9" i="16"/>
  <c r="R17" i="16"/>
  <c r="R19" i="16"/>
  <c r="R25" i="16"/>
  <c r="R28" i="16"/>
  <c r="R23" i="16"/>
  <c r="L7" i="16"/>
  <c r="U25" i="2" s="1"/>
  <c r="R13" i="16"/>
  <c r="R21" i="16"/>
  <c r="G7" i="16"/>
  <c r="P25" i="2" s="1"/>
  <c r="AA24" i="2"/>
  <c r="R11" i="16"/>
  <c r="R15" i="16"/>
  <c r="R16" i="16"/>
  <c r="R26" i="16"/>
  <c r="AA23" i="2"/>
  <c r="R10" i="16"/>
  <c r="R12" i="16"/>
  <c r="J7" i="16"/>
  <c r="S25" i="2" s="1"/>
  <c r="R14" i="16"/>
  <c r="R18" i="16"/>
  <c r="R20" i="16"/>
  <c r="R22" i="16"/>
  <c r="R7" i="16" s="1"/>
  <c r="R27" i="16"/>
  <c r="R29" i="16"/>
  <c r="AE5" i="13"/>
  <c r="AE4" i="13" s="1"/>
  <c r="Z20" i="2" s="1"/>
  <c r="AB5" i="13"/>
  <c r="AB4" i="13" s="1"/>
  <c r="W20" i="2" s="1"/>
  <c r="W5" i="13"/>
  <c r="X5" i="13"/>
  <c r="X4" i="13" s="1"/>
  <c r="S20" i="2" s="1"/>
  <c r="Z5" i="13"/>
  <c r="Z4" i="13" s="1"/>
  <c r="U20" i="2" s="1"/>
  <c r="V4" i="13"/>
  <c r="Q20" i="2" s="1"/>
  <c r="AA4" i="13"/>
  <c r="V20" i="2" s="1"/>
  <c r="AC5" i="13"/>
  <c r="AC4" i="13" s="1"/>
  <c r="X20" i="2" s="1"/>
  <c r="AD4" i="13"/>
  <c r="Y20" i="2" s="1"/>
  <c r="U5" i="13"/>
  <c r="U4" i="13" s="1"/>
  <c r="P20" i="2" s="1"/>
  <c r="Y5" i="13"/>
  <c r="Y4" i="13" s="1"/>
  <c r="T20" i="2" s="1"/>
  <c r="W4" i="13"/>
  <c r="R20" i="2" s="1"/>
  <c r="T4" i="13"/>
  <c r="O20" i="2" s="1"/>
  <c r="AA26" i="2"/>
  <c r="R13" i="17"/>
  <c r="Y27" i="2" s="1"/>
  <c r="S13" i="17"/>
  <c r="Z27" i="2" s="1"/>
  <c r="H13" i="17"/>
  <c r="O27" i="2" s="1"/>
  <c r="AA27" i="2" s="1"/>
  <c r="T14" i="17"/>
  <c r="T13" i="17" s="1"/>
  <c r="T36" i="17"/>
  <c r="K54" i="3"/>
  <c r="K62" i="3"/>
  <c r="K70" i="3"/>
  <c r="K94" i="3"/>
  <c r="K49" i="3"/>
  <c r="K57" i="3"/>
  <c r="K65" i="3"/>
  <c r="K73" i="3"/>
  <c r="L78" i="3"/>
  <c r="L98" i="3" s="1"/>
  <c r="K81" i="3"/>
  <c r="L86" i="3"/>
  <c r="K89" i="3"/>
  <c r="K97" i="3"/>
  <c r="K52" i="3"/>
  <c r="K60" i="3"/>
  <c r="K68" i="3"/>
  <c r="K76" i="3"/>
  <c r="F7" i="16"/>
  <c r="O25" i="2" s="1"/>
  <c r="K79" i="3"/>
  <c r="K87" i="3"/>
  <c r="K95" i="3"/>
  <c r="K53" i="3"/>
  <c r="K61" i="3"/>
  <c r="K69" i="3"/>
  <c r="K77" i="3"/>
  <c r="K48" i="1" l="1"/>
  <c r="K49" i="1"/>
  <c r="J13" i="1"/>
  <c r="K43" i="1"/>
  <c r="K35" i="1"/>
  <c r="K27" i="1"/>
  <c r="K19" i="1"/>
  <c r="K29" i="1"/>
  <c r="K42" i="1"/>
  <c r="K26" i="1"/>
  <c r="K18" i="1"/>
  <c r="K45" i="1"/>
  <c r="K44" i="1"/>
  <c r="K41" i="1"/>
  <c r="K17" i="1"/>
  <c r="K24" i="1"/>
  <c r="K37" i="1"/>
  <c r="K36" i="1"/>
  <c r="K40" i="1"/>
  <c r="K16" i="1"/>
  <c r="K21" i="1"/>
  <c r="K20" i="1"/>
  <c r="K47" i="1"/>
  <c r="K39" i="1"/>
  <c r="K23" i="1"/>
  <c r="K15" i="1"/>
  <c r="K46" i="1"/>
  <c r="K38" i="1"/>
  <c r="K22" i="1"/>
  <c r="AA25" i="2"/>
  <c r="K28" i="1" s="1"/>
  <c r="AA20" i="2"/>
  <c r="K25" i="1" l="1"/>
  <c r="G12" i="12" l="1"/>
  <c r="H12" i="12" s="1"/>
  <c r="V12" i="12" s="1"/>
  <c r="G11" i="12"/>
  <c r="H11" i="12" s="1"/>
  <c r="V11" i="12" s="1"/>
  <c r="G14" i="12"/>
  <c r="H14" i="12" s="1"/>
  <c r="V14" i="12" s="1"/>
  <c r="G9" i="12"/>
  <c r="H9" i="12" s="1"/>
  <c r="V9" i="12" s="1"/>
  <c r="G16" i="12"/>
  <c r="H16" i="12" s="1"/>
  <c r="V16" i="12" s="1"/>
  <c r="G23" i="12"/>
  <c r="H23" i="12" s="1"/>
  <c r="V23" i="12" s="1"/>
  <c r="G17" i="12"/>
  <c r="H17" i="12" s="1"/>
  <c r="V17" i="12" s="1"/>
  <c r="G15" i="12"/>
  <c r="H15" i="12" s="1"/>
  <c r="V15" i="12" s="1"/>
  <c r="G13" i="12"/>
  <c r="H13" i="12" s="1"/>
  <c r="V13" i="12" s="1"/>
  <c r="G10" i="12"/>
  <c r="H10" i="12" s="1"/>
  <c r="V10" i="12" s="1"/>
  <c r="G8" i="12"/>
  <c r="H8" i="12" s="1"/>
  <c r="V8" i="12" s="1"/>
  <c r="P11" i="12" l="1"/>
  <c r="Q11" i="12"/>
  <c r="L11" i="12"/>
  <c r="S11" i="12"/>
  <c r="T11" i="12"/>
  <c r="R11" i="12"/>
  <c r="M11" i="12"/>
  <c r="O11" i="12"/>
  <c r="J11" i="12"/>
  <c r="N11" i="12"/>
  <c r="K11" i="12"/>
  <c r="N14" i="12"/>
  <c r="R14" i="12"/>
  <c r="O14" i="12"/>
  <c r="M14" i="12"/>
  <c r="T14" i="12"/>
  <c r="P14" i="12"/>
  <c r="J14" i="12"/>
  <c r="Q14" i="12"/>
  <c r="L14" i="12"/>
  <c r="S14" i="12"/>
  <c r="K14" i="12"/>
  <c r="V7" i="12"/>
  <c r="K8" i="12"/>
  <c r="P8" i="12"/>
  <c r="S8" i="12"/>
  <c r="L8" i="12"/>
  <c r="O8" i="12"/>
  <c r="Q8" i="12"/>
  <c r="N8" i="12"/>
  <c r="J8" i="12"/>
  <c r="T8" i="12"/>
  <c r="M8" i="12"/>
  <c r="R8" i="12"/>
  <c r="M15" i="12"/>
  <c r="R15" i="12"/>
  <c r="J15" i="12"/>
  <c r="S15" i="12"/>
  <c r="N15" i="12"/>
  <c r="K15" i="12"/>
  <c r="L15" i="12"/>
  <c r="Q15" i="12"/>
  <c r="O15" i="12"/>
  <c r="P15" i="12"/>
  <c r="T15" i="12"/>
  <c r="L13" i="12"/>
  <c r="N13" i="12"/>
  <c r="K13" i="12"/>
  <c r="J13" i="12"/>
  <c r="T13" i="12"/>
  <c r="O13" i="12"/>
  <c r="R13" i="12"/>
  <c r="P13" i="12"/>
  <c r="S13" i="12"/>
  <c r="M13" i="12"/>
  <c r="Q13" i="12"/>
  <c r="O23" i="12"/>
  <c r="P23" i="12"/>
  <c r="Q23" i="12"/>
  <c r="R23" i="12"/>
  <c r="J23" i="12"/>
  <c r="L23" i="12"/>
  <c r="S23" i="12"/>
  <c r="M23" i="12"/>
  <c r="T23" i="12"/>
  <c r="K23" i="12"/>
  <c r="N23" i="12"/>
  <c r="T9" i="12"/>
  <c r="N9" i="12"/>
  <c r="L9" i="12"/>
  <c r="M9" i="12"/>
  <c r="K9" i="12"/>
  <c r="R9" i="12"/>
  <c r="Q9" i="12"/>
  <c r="S9" i="12"/>
  <c r="J9" i="12"/>
  <c r="O9" i="12"/>
  <c r="P9" i="12"/>
  <c r="R10" i="12"/>
  <c r="K10" i="12"/>
  <c r="S10" i="12"/>
  <c r="O10" i="12"/>
  <c r="M10" i="12"/>
  <c r="J10" i="12"/>
  <c r="Q10" i="12"/>
  <c r="N10" i="12"/>
  <c r="L10" i="12"/>
  <c r="P10" i="12"/>
  <c r="T10" i="12"/>
  <c r="P17" i="12"/>
  <c r="N17" i="12"/>
  <c r="O17" i="12"/>
  <c r="M17" i="12"/>
  <c r="T17" i="12"/>
  <c r="L17" i="12"/>
  <c r="Q17" i="12"/>
  <c r="S17" i="12"/>
  <c r="K17" i="12"/>
  <c r="R17" i="12"/>
  <c r="J17" i="12"/>
  <c r="N16" i="12"/>
  <c r="L16" i="12"/>
  <c r="K16" i="12"/>
  <c r="M16" i="12"/>
  <c r="P16" i="12"/>
  <c r="J16" i="12"/>
  <c r="R16" i="12"/>
  <c r="Q16" i="12"/>
  <c r="T16" i="12"/>
  <c r="S16" i="12"/>
  <c r="O16" i="12"/>
  <c r="P12" i="12"/>
  <c r="N12" i="12"/>
  <c r="O12" i="12"/>
  <c r="M12" i="12"/>
  <c r="L12" i="12"/>
  <c r="R12" i="12"/>
  <c r="K12" i="12"/>
  <c r="U12" i="12" s="1"/>
  <c r="Q12" i="12"/>
  <c r="T12" i="12"/>
  <c r="S12" i="12"/>
  <c r="J12" i="12"/>
  <c r="U8" i="12" l="1"/>
  <c r="U17" i="12"/>
  <c r="U13" i="12"/>
  <c r="U11" i="12"/>
  <c r="U16" i="12"/>
  <c r="U10" i="12"/>
  <c r="U23" i="12"/>
  <c r="U9" i="12"/>
  <c r="U15" i="12"/>
  <c r="U14" i="12"/>
  <c r="D6" i="4" l="1"/>
  <c r="W3" i="2" l="1"/>
  <c r="P3" i="2"/>
  <c r="V3" i="2"/>
  <c r="X3" i="2"/>
  <c r="Y3" i="2"/>
  <c r="R3" i="2"/>
  <c r="T3" i="2"/>
  <c r="U3" i="2"/>
  <c r="Q3" i="2"/>
  <c r="Z3" i="2"/>
  <c r="S3" i="2"/>
  <c r="AA32" i="2" l="1"/>
  <c r="K34" i="1" s="1"/>
  <c r="AA30" i="2" l="1"/>
  <c r="K32" i="1" s="1"/>
  <c r="AA31" i="2"/>
  <c r="K33" i="1" s="1"/>
  <c r="AA29" i="2"/>
  <c r="K31" i="1" s="1"/>
  <c r="O3" i="2" l="1"/>
  <c r="AA28" i="2"/>
  <c r="K30" i="1" l="1"/>
  <c r="AA3" i="2"/>
  <c r="AA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8" authorId="0" shapeId="0" xr:uid="{00000000-0006-0000-0400-000001000000}">
      <text>
        <r>
          <rPr>
            <sz val="11"/>
            <color theme="1"/>
            <rFont val="Calibri"/>
            <scheme val="minor"/>
          </rPr>
          <t>======
ID#AAAB4uPB09o
Lakshman Sethuraman    (2026-04-23 07:23:04)
Source: Aster Medcity — asterhospitals.in/hospitals/aster-medcity-kochi/insurance; VPS Lakeshore — vpslakeshorehospital.com/insurance; KIMS — kimshospitals.com/tpa-insurance-companies/</t>
        </r>
      </text>
    </comment>
  </commentList>
  <extLst>
    <ext xmlns:r="http://schemas.openxmlformats.org/officeDocument/2006/relationships" uri="GoogleSheetsCustomDataVersion2">
      <go:sheetsCustomData xmlns:go="http://customooxmlschemas.google.com/" r:id="rId1" roundtripDataSignature="AMtx7mjQrHbG6JXC4e3WjtvFqEduGgJNxg=="/>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<sst xmlns="http://schemas.openxmlformats.org/spreadsheetml/2006/main" count="1883" uniqueCount="860">
  <si>
    <t>When revenue is projected only variable kept is OP count, rest OP to IP conversion, ARPP-op, ARPP-IP all kept constant</t>
  </si>
  <si>
    <t>The opex - one time and recurring are only evaluated.</t>
  </si>
  <si>
    <t>The capex are mentioned but need an independent evaluation and it will be useful to determine cash flow</t>
  </si>
  <si>
    <t>Bequip Comments</t>
  </si>
  <si>
    <t>Bringing in new age specialities</t>
  </si>
  <si>
    <t>Improving OP to IP conversion</t>
  </si>
  <si>
    <t>VPS LAKESHORE HOSPITAL — AOP INITIATIVE REGISTER  |  FY 2026–27  |  33 Initiatives</t>
  </si>
  <si>
    <t>TOTAL REVENUE IMPACT</t>
  </si>
  <si>
    <t>Sum of 15 revenue initiatives (R-01 to R-15) — opex, capex, and revenue impact</t>
  </si>
  <si>
    <t>TOTAL COST SAVING</t>
  </si>
  <si>
    <t>Sum of 13 cost initiatives (C-01 to C-13) — opex, capex, and cost saving</t>
  </si>
  <si>
    <t>All Rs. In Crores</t>
  </si>
  <si>
    <t>Type</t>
  </si>
  <si>
    <t>#</t>
  </si>
  <si>
    <t>Initiative ID</t>
  </si>
  <si>
    <t>Sub Initiative</t>
  </si>
  <si>
    <t>Initiative Name</t>
  </si>
  <si>
    <t>Category</t>
  </si>
  <si>
    <t>Description</t>
  </si>
  <si>
    <t>Start Month</t>
  </si>
  <si>
    <t>Est. Cost</t>
  </si>
  <si>
    <t>Est. Cost Detailed</t>
  </si>
  <si>
    <t>Opex (₹L/yr)</t>
  </si>
  <si>
    <t>Capex (₹L)</t>
  </si>
  <si>
    <t>Est. Impact (₹ Cr)</t>
  </si>
  <si>
    <t>P&amp;L Head to Link</t>
  </si>
  <si>
    <t>Total</t>
  </si>
  <si>
    <t xml:space="preserve">  REVENUE — PRICING &amp; YIELD</t>
  </si>
  <si>
    <t>R-01</t>
  </si>
  <si>
    <t>Annual Rate Revision Policy</t>
  </si>
  <si>
    <t>Revenue — Pricing &amp; Yield</t>
  </si>
  <si>
    <t>Revise all IP room, nursing, and procedure rates for cash/self-pay patients effective May-26. Room &amp; nursing tariffs benchmarked against Aster, Welcare, Rajagiri, and Sunrise across 19 bed categories (avg increase ~12%). Top 50 revenue procedures repriced to midpoint of Lakeshore and highest competitor rate. TPA/insurer tariff renegotiation under R-03.</t>
  </si>
  <si>
    <t>Nil — internal process; CFO time only</t>
  </si>
  <si>
    <t>R-02</t>
  </si>
  <si>
    <t>Procedure Contribution Framework</t>
  </si>
  <si>
    <t>Launch a contribution framework for all IP procedures. Cost out top 50 procedures by revenue — include doctor fees, team costs, consumables, and overhead allocation. Identify low-contribution procedures (&lt;50% margin). Reprice for both cash AND insurance. Flag insurer tariff renegotiation list. Build sustainable contribution model: target 58% average contribution for 26% EBITDA.</t>
  </si>
  <si>
    <t>₹1.5L one-time (costing consultant or internal CFO + pharmacy time)</t>
  </si>
  <si>
    <t>R-03</t>
  </si>
  <si>
    <t>Insurance Renegotiation &amp; Empanelment</t>
  </si>
  <si>
    <t>Three-pronged insurance revenue initiative: (A) Charge Capture Audit — audit IP bills against TPA tariff schedules; fix charge master for covered-but-unbilled items (nursing, monitoring, physio, ICU); train nursing on charge initiation. (B) TPA/Insurer Tariff Renegotiation — formal annual revision with all empanelled TPAs (most agreements 2–3 yrs old vs 12–15% cost inflation); target 8–12% rate improvement. (C) Competitive Empanelment Analysis — compare gap insurers vs Aster/Rajagiri/KIMS (Star Health, Go Digit, Navi, SBI General, TATA AIG etc.); pursue new empanelments with incremental revenue impact.</t>
  </si>
  <si>
    <t>₹4L one-time (billing audit + legal + data prep; internal CFO time)</t>
  </si>
  <si>
    <t xml:space="preserve">  REVENUE — NETWORK EXPANSION</t>
  </si>
  <si>
    <t>R-04</t>
  </si>
  <si>
    <t>Distributed Healthcare Network (DHCN)</t>
  </si>
  <si>
    <t>Revenue — Network Expansion</t>
  </si>
  <si>
    <t>Deploy two network prototypes across Kerala: (a) Satellite clinics — Lakeshore-branded OPD in suburban/district locations with VPS surgeons running weekly clinics; target 10 clinics. (b) Risk Assessment Centres (RACs) — cancer screening + cardiac/metabolic risk triage at high-footfall locations; target 25 RACs. Both funnel referrals to Kochi main campus. Project referral revenue, revenue share models, and spare capacity utilisation (doctor OP consult analysis). Includes oncology hub-and-spoke scope.</t>
  </si>
  <si>
    <t>₹65L/yr (10 satellite clinics fit-out + 25 RAC stations + oncology consultant travel + partner MOUs + admin)</t>
  </si>
  <si>
    <t>R-05</t>
  </si>
  <si>
    <t>Corporate Health Programme</t>
  </si>
  <si>
    <t>Build a structured corporate health programme targeting top 50 corporates (PSU + private) within 20km of Kochi campus.</t>
  </si>
  <si>
    <t>₹17L/yr (2 corporate RMs + package design + billing desk)</t>
  </si>
  <si>
    <t>R-06</t>
  </si>
  <si>
    <t>Residential &amp; Community Outreach</t>
  </si>
  <si>
    <t>Partner with major gated communities and apartment complexes within 15km for on-site health camps, resident doctor visits, and emergency response agreements. Handled by dedicated corporate/residential team within BD organisation. Includes community health camps: monthly programmes in schools, temples/mosques, and residential complexes.</t>
  </si>
  <si>
    <t>₹30L/yr (logistics, portable diagnostic equipment, community coordinator + camp logistics)</t>
  </si>
  <si>
    <t xml:space="preserve">  REVENUE — REFERRAL DEVELOPMENT</t>
  </si>
  <si>
    <t>R-07</t>
  </si>
  <si>
    <t>International Medical Value Travel</t>
  </si>
  <si>
    <t>Revenue — Referral Development</t>
  </si>
  <si>
    <t>Expand medical value travel (MVT) beyond Middle East to all viable source markets for Kerala. Score countries on multi-parameter framework: flight connectivity to Kochi, diaspora size, healthcare gap vs local system, insurance/reimbursement coverage, competitor presence, and VPS Healthcare group synergies (Abu Dhabi, Oman network). Map ecosystem: HCF agents, embassy health attachés, corporate medical evacuation contracts, international insurance TPAs. Build online reputation (Arabic/Bengali/Dhivehi Google Business, Practo international, Vaidam/Bookimed/Medical Departures). Sign clinical referral MOUs with 2–3 Maldives + 2 Gulf hospitals. Target: 200+ MVT patients Year 1, scaling to 500 by Year 3.</t>
  </si>
  <si>
    <t>₹25L/yr (MVT coordinator + content + aggregator onboarding)</t>
  </si>
  <si>
    <t>R-08</t>
  </si>
  <si>
    <t>Government Scheme Empanelment Optimisation</t>
  </si>
  <si>
    <t>Review PMJAY, KASP, CGHS, ECHS, and ESI empanelments — kept separate from insurance (R-03). Ensure all eligible complex procedures (transplant, cardiac interventions, cancer treatments) are listed. Renegotiate rates for high-volume procedures.</t>
  </si>
  <si>
    <t>₹6L/yr (dedicated scheme coordinator, 1 FTE)</t>
  </si>
  <si>
    <t>R-09</t>
  </si>
  <si>
    <t>Scaled BD Organisation &amp; Referral Programme</t>
  </si>
  <si>
    <t>Expand to a full-spectrum BD function with three verticals: (A) Referral Development (3 zones — North/Central/South Kerala): map referring doctors within 50km; A/B/C tier classification; BD field executives on A-tier (top 100) with monthly visit cadence; 500+ registered referring doctors; 24-hr discharge summary SOP. (B) Institutional &amp; Partnerships: corporate accounts (R-05), MVT (R-07), satellite clinics (R-04), government schemes (R-08). (C) Communications &amp; Branding: CME calendar — monthly specialty CMEs across suburban/district locations; dedicated CME Coordinator; MCI accreditation; digital CME platform. 27-person BD organisation under BD Head reporting to CEO.</t>
  </si>
  <si>
    <t>₹3.5 Cr/yr total BD function (6 open roles + CRM + CME events + FE travel)</t>
  </si>
  <si>
    <t>R-10</t>
  </si>
  <si>
    <t>OP-IP Conversion &amp; Follow-Up</t>
  </si>
  <si>
    <t>OP-to-IP conversion initiative with two tracks: (A) Surgical OPD Counselling — deploy trained financial counsellors at surgical OPD (ortho, cardiac, neurosurgery, oncology, transplant); explain package costs; initiate insurance pre-auth on day of consultation; arrange EMI/loan tie-ups for self-pay. (B) Follow-Up &amp; Dropout Prevention — analyse OP follow-up calls to curtail dropouts; appointment reminders; 48-hour post-consult callbacks; treatment plan adherence tracking; lapsed patient re-engagement. Target: +5pp conversion = ~2,000 incremental IP admissions/yr.</t>
  </si>
  <si>
    <t>₹17L/yr (3–4 counsellor salaries + TPA training + NBFC onboarding)</t>
  </si>
  <si>
    <t xml:space="preserve">  REVENUE — HIGH-VALUE SERVICES</t>
  </si>
  <si>
    <t>R-11</t>
  </si>
  <si>
    <t>Departmental Organic Growth Initiative</t>
  </si>
  <si>
    <t>Revenue — High-Value Services</t>
  </si>
  <si>
    <t>Monthly department review: each clinical department presents its growth plan, infrastructure needs, staffing gaps, and volume targets.</t>
  </si>
  <si>
    <t>Nil — internal process; dept-level investment decisions routed through normal capex approval</t>
  </si>
  <si>
    <t>R-12</t>
  </si>
  <si>
    <t>New Specialties, Procedures &amp; Packages</t>
  </si>
  <si>
    <t>Launch new high-end, high-value specialties and packages based on Kochi/Kerala market dynamics: (A) Structural Heart &amp; EP — TAVR/MitraClip/LAAO programme. (B) Orthopaedics — all-inclusive joint replacement packages, sports medicine. (C) Additional specialties/packages identified from market analysis. Focus on high-end procedures with unmet demand and strong uptake potential.</t>
  </si>
  <si>
    <t>₹19L one-time capex (device partnerships + package design + billing config + marketing collateral)</t>
  </si>
  <si>
    <t>R-13</t>
  </si>
  <si>
    <t>Clinician Recruitment &amp; Specialty Team Building</t>
  </si>
  <si>
    <t>Recruit senior clinicians and clinical teams in 6 specialties where Lakeshore is underweight vs competitors: (A) Women’s Health &amp; Obstetrics, (B) Paediatrics &amp; Neonatology, (C) Pulmonology, (D) Endocrinology, (E) Rheumatology, (F) ENT &amp; Head-Neck Surgery. Each senior consultant brings ₹3–5 Cr/yr IP revenue with established referral network.</t>
  </si>
  <si>
    <t>₹4 Cr/yr opex (7–8 senior consultants @ ₹60L–1 Cr each incl. relocation + 12-mo practice guarantee top-up); ₹90L one-time capex (NICU upgrade + sleep lab + maternity branding). Year 1 practice-guarantee exposure may add ₹1–2 Cr one-time.</t>
  </si>
  <si>
    <t xml:space="preserve">  REVENUE — MARKETING &amp; PATIENT ACQUISITION</t>
  </si>
  <si>
    <t>R-14</t>
  </si>
  <si>
    <t>Quarterly Health Events Calendar</t>
  </si>
  <si>
    <t>Revenue — Marketing &amp; Patient Acquisition</t>
  </si>
  <si>
    <t>Rebrand from single Heart Run to a structured quarterly events calendar. Four flagship events per year: (1) Lakeshore Heart Run (Q2 — cardiac awareness, half-marathon/10K), (2) Liver Week (Q3 — liver health screenings, transplant awareness), (3) Cancer Awareness Drive (Q4 — aligned with Breast Cancer/World Cancer Day), (4) Diabetes &amp; Metabolic Health Camp (Q1 — aligned with World Diabetes Day). Each event: 3,000–5,000 participants, health screenings, OPD follow-ups, media coverage, sponsorship. Entry fees + pharma/device sponsorship partially offset costs.</t>
  </si>
  <si>
    <t>₹1.1 Cr/yr (5 events × ₹10–12L + media ₹40–50L; partial sponsorship recovery)
Actual cost per eveny around Rs. 30L estimated</t>
  </si>
  <si>
    <t>5*22L</t>
  </si>
  <si>
    <t>Total Estiamted Cost of each program including media coverage Rs. 30L. Out of this 25% sponsorship revenue approx. Rs. 7 lakhs</t>
  </si>
  <si>
    <t>5*7L each</t>
  </si>
  <si>
    <t>Estimated Revenue Increase</t>
  </si>
  <si>
    <t>R-15</t>
  </si>
  <si>
    <t>Patient Acquisition &amp; Digital Platform</t>
  </si>
  <si>
    <t>Comprehensive patient acquisition analysis: How do patients find us vs competition? Marketing spend ~₹7Cr = 10–15% commission → only ₹50–70Cr revenue through referral channel. Remaining patients walked in — understand why. Magnify the strongest channels. Digital platform: 3 health videos/week, SEO, Google Ads, doctor online reputation management (Google Business, Practo, Doctorundi), post-OPD review collection. Track digital-to-enquiry conversion. Includes online reputation management scope.</t>
  </si>
  <si>
    <t>₹62L/yr (2 content staff + Malayalam agency + Google Ads + SEO + platform management)</t>
  </si>
  <si>
    <t>Increase in Overall Revenue through footfall increase</t>
  </si>
  <si>
    <t xml:space="preserve">  COST — MATERIALS / COGS</t>
  </si>
  <si>
    <t>C-01</t>
  </si>
  <si>
    <t>Drug Brand Substitution</t>
  </si>
  <si>
    <t>Cost — Materials / COGS</t>
  </si>
  <si>
    <t>Substitute 16 high-spend branded drugs with clinically equivalent alternatives at lower procurement cost. Formulary analysis identifies ₹38.8L/month (₹4.66 Cr/year) incremental profit at full compliance.</t>
  </si>
  <si>
    <t>Nil — formulary committee process; HMIS alert = existing config</t>
  </si>
  <si>
    <t>C-02</t>
  </si>
  <si>
    <t>Manufacturer Rate Contract</t>
  </si>
  <si>
    <t>MD/CEO-level engagement with top 20 manufacturers. Negotiate higher discounts via volume commitment. Replace spot purchase with 12-month rate contracts.</t>
  </si>
  <si>
    <t>Nil — internal negotiation</t>
  </si>
  <si>
    <t>C-03</t>
  </si>
  <si>
    <t>Distributor Consolidation</t>
  </si>
  <si>
    <t>Reduce to 3 core distributors. Extract volume-linked discounts. Eliminate margin leakage from fragmented procurement.</t>
  </si>
  <si>
    <t>Nil — procurement process change only</t>
  </si>
  <si>
    <t>C-04</t>
  </si>
  <si>
    <t>Surgical BOQ Standardisation</t>
  </si>
  <si>
    <t>Standardise preference cards and consumable kits per procedure. Eliminate inter-surgeon variation.</t>
  </si>
  <si>
    <t>₹2.5L one-time (OT audit, preference card redesign, store system config)</t>
  </si>
  <si>
    <t>C-05</t>
  </si>
  <si>
    <t>Inventory, Expiry &amp; Wastage Control</t>
  </si>
  <si>
    <t>Comprehensive wastage reduction across all material categories: (A) Drug Inventory &amp; Expiry — reduce drug inventory holding to &lt;20 days; eliminate expiry write-offs; vendor return clauses in all new supply contracts; HMIS-enforced FEFO dispensing + reorder-point alerts. (B) F&amp;B Meal Wastage — reduce cost per patient meal via menu standardisation and order accuracy; cut wastage 20% through demand forecasting + plate return analysis; dietitian-driven menu. (C) Consumables &amp; Surgical Wastage — cut-strip wastage, opened-but-unused consumables, OT preference card over-ordering; monthly wastage reporting by department.</t>
  </si>
  <si>
    <t>Nil — HMIS config + pharmacy/F&amp;B process change</t>
  </si>
  <si>
    <t>C-06</t>
  </si>
  <si>
    <t>Laundry Cost Reduction</t>
  </si>
  <si>
    <t>Reduce cost per kg of linen processing. Outsourcing optimisation and linen tagging/RFID to reduce loss.</t>
  </si>
  <si>
    <t>₹1.5L one-time (linen tagging/RFID if required)</t>
  </si>
  <si>
    <t>C-07</t>
  </si>
  <si>
    <t>AMC Renegotiation</t>
  </si>
  <si>
    <t>Replace OEM AMC with third-party maintenance for non-critical equipment. Renegotiate using competitive quotes.</t>
  </si>
  <si>
    <t>₹2.5L one-time (biomedical vendor empanelment + criticality classification)</t>
  </si>
  <si>
    <t xml:space="preserve">  COST — PAYROLL</t>
  </si>
  <si>
    <t>C-08</t>
  </si>
  <si>
    <t>Nursing Headcount to Occupied-Bed Norm</t>
  </si>
  <si>
    <t>Cost — Payroll</t>
  </si>
  <si>
    <t>Align nursing strength to occupied bed norm (1:3 general, 1:1 ICU). Reduce ~97 surplus via natural attrition.</t>
  </si>
  <si>
    <t>Nil — attrition-based; hiring freeze only</t>
  </si>
  <si>
    <t>C-09</t>
  </si>
  <si>
    <t>Pharmacy Headcount Post-Automation</t>
  </si>
  <si>
    <t>Reduce pharmacy staff 93→86 post barcode dispensing. Hard dependency: barcode capex first.</t>
  </si>
  <si>
    <t>₹1 Cr one-time capex (barcode dispensing system — hard dependency before savings)</t>
  </si>
  <si>
    <t>C-10</t>
  </si>
  <si>
    <t>PCS Reduction via EMR</t>
  </si>
  <si>
    <t>Eliminate ward secretary roles made redundant by EMR. Target: 97→80. Natural attrition post-EMR.</t>
  </si>
  <si>
    <t>Nil incremental — dependent on EMR go-live (separate capital project)</t>
  </si>
  <si>
    <t>C-11</t>
  </si>
  <si>
    <t>Contract Staff Rebid</t>
  </si>
  <si>
    <t>Competitive rebidding of outsourced staffing contracts. 416 contracted staff, ₹1,290L annual spend. Structured RFQ with SLAs.</t>
  </si>
  <si>
    <t>₹2.5L one-time (RFQ/tender + legal review of existing contracts)</t>
  </si>
  <si>
    <t xml:space="preserve">  COST — MISCELLANEOUS</t>
  </si>
  <si>
    <t>C-12</t>
  </si>
  <si>
    <t>Creditor Days Extension</t>
  </si>
  <si>
    <t>Cost — Miscellaneous</t>
  </si>
  <si>
    <t>Extend creditor payment days with top vendors. Each 15-day extension on ₹1,000Cr payables = ₹40Cr working capital freed.</t>
  </si>
  <si>
    <t>Nil — CFO-led vendor negotiation</t>
  </si>
  <si>
    <t>C-13</t>
  </si>
  <si>
    <t>Expense Analysis &amp; Financial Discipline</t>
  </si>
  <si>
    <t>Establish a structured expense governance programme across the hospital: (A) Hidden Expense Identification — map all recurring payments (professional fees, retainers, subscriptions, AMCs, memberships) against active deliverables; eliminate spend with no demonstrable ROI. (B) IT &amp; Software Licence Rationalisation — audit active licences, SaaS subscriptions, IT AMCs; identify unused seats, duplicate tools, open-source alternatives; bandwidth optimisation. (C) Contract Review — systematic review of active contracts; surface expired auto-renewals, favourable-to-vendor terms, renegotiation opportunities. (D) Financial Discipline — PO compliance, monthly budget variance reporting, cost centre accountability, quarterly cost reviews. (E) Material Cost Programme — COGS 28.5%→26.5% target via rate contracts, BOQ standardisation, volume consolidation (strategic umbrella over C-01 to C-12).</t>
  </si>
  <si>
    <t>Nil — CFO + Procurement Head review; possible ₹1L legal advisory for contract exits</t>
  </si>
  <si>
    <t xml:space="preserve">  CLINICAL EXCELLENCE</t>
  </si>
  <si>
    <t>CL-01</t>
  </si>
  <si>
    <t>Research &amp; Publications</t>
  </si>
  <si>
    <t>Clinical Excellence</t>
  </si>
  <si>
    <t>Four integrated workstreams: (A) Clinical Trials — expand from 8 to 20+ active studies with dedicated CRCs. (B) Publications — 10 indexed publications/yr from top 20 unpublished case series. (C) Grant Applications — ICMR/DBT/DST, target 1 funded grant/yr. (D) Ethics Committee — scale to 8-10 meetings/yr, CDSCO registration.</t>
  </si>
  <si>
    <t>Nil — internal process</t>
  </si>
  <si>
    <t>CL-02</t>
  </si>
  <si>
    <t>Patient Care &amp; Experience</t>
  </si>
  <si>
    <t>Integrated patient experience programme with four pillars: (A) NPS &amp; real-time feedback — Net Promoter Score at OPD checkout, discharge, and 7-day post-discharge via SMS; department dashboard visible to HODs; monthly review. (B) Discharge &amp; follow-up protocol — 24-hr discharge summary, 48-hr post-discharge nurse call for surgical patients, next appointment booked at discharge. (C) Patient support groups — structured groups for transplant, cancer, and cardiac patients; monthly meetings; annual reunion. (D) Annual clinical outcomes report — published for top 5 programmes, distributed to 1,000+ referring physicians; quarterly clinical-firsts press releases.</t>
  </si>
  <si>
    <t>CL-03</t>
  </si>
  <si>
    <t>Academic Excellence &amp; Medical Education</t>
  </si>
  <si>
    <t>Two-track medical education expansion: (A) DNB programme expansion — apply for additional DNB seats in cardiology, gastroenterology, neurology, and surgical oncology; structured curriculum with log book and supervision. (B) Fellowship &amp; observership programme — structured 1-week to 3-month fellowships in robotic surgery, transplant, structural heart, and head &amp; neck oncology; offset by fellowship fees; target cohort of 20+ fellows/yr.</t>
  </si>
  <si>
    <t>CL-04</t>
  </si>
  <si>
    <t>Rare &amp; Complex Care</t>
  </si>
  <si>
    <t>Three centres of clinical differentiation: (A) Robotic Surgery Centre of Excellence — formalise centre, prospective case registry, 1-week observership, industry training partnership. (B) Rare Disease &amp; Complex Case Programme — weekly MDT for rare presentations, registration with ORDI and ICMR Rare Disease Registry, annual case series publication, genetic testing tie-up. (C) Structural Heart &amp; EP Sub-Specialty — formalise TAVR/MitraClip/LAAO programme, complex EP development, outcomes publication, integration with cardiac imaging.</t>
  </si>
  <si>
    <t>CL-05</t>
  </si>
  <si>
    <t>Awards &amp; Accreditations</t>
  </si>
  <si>
    <t>Systematic pursuit of accreditations and awards. Accreditations: JCI (competitors Aster/KIMS already accredited), NABH Nursing Excellence, NABH Green OT, NABL, NOTTO, MTQUA, GHA. Awards: FICCI Healthcare Excellence, AHPI, ET Healthworld, Asian Hospital Management, Times Health Excellence, BMJ India, IHF. Target: JCI by Sep-27, 5+ award submissions/yr.</t>
  </si>
  <si>
    <t>₹20L one-time capex (JCI consultant + application fees + documentation support)</t>
  </si>
  <si>
    <t>R-01  |  Annual Rate Revision Policy</t>
  </si>
  <si>
    <t>OVERVIEW</t>
  </si>
  <si>
    <t>Description / Objective</t>
  </si>
  <si>
    <t>Revise all IP room, nursing, and procedure rates for cash/self-pay patients effective May-26. Room &amp; nursing tariffs benchmarked against Aster, Welcare, Rajagiri, and Sunrise across 19 bed categories (avg increase ~12%). Top 50 revenue procedures repriced to midpoint of Lakeshore and highest competitor rate.</t>
  </si>
  <si>
    <t>Estimated Cost</t>
  </si>
  <si>
    <t>Expected Impact</t>
  </si>
  <si>
    <t>₹9.6 Cr
(Room &amp; Nursing ₹3.5 Cr + Procedure repricing ₹6.1 Cr)</t>
  </si>
  <si>
    <t>BASIS FOR THIS INITIATIVE</t>
  </si>
  <si>
    <t>• Room &amp; nursing tariffs benchmarked across 19 bed categories against Aster, Welcare, Rajagiri, and Sunrise
• Revised tariff effective May-26 applies to cash/self-pay patients; avg increase ~12% (wards 11–25%, rooms 4–13%, suites 10–11%, critical care 10–16%)
• Lakeshore remains below Aster post-revision — AC Room ₹6,500 vs ₹7,500 (−13%); Deluxe ₹7,500 vs ₹12,500 (−40%)
• Chemo Ward held flat at ₹1,700 to protect oncology volume
• Top 50 revenue procedures benchmarked against estimated Aster, Rajagiri, and Welcare rates; proposed hike to midpoint of Lakeshore and highest competitor
• Competitor procedure rates are estimates from room tariff premium patterns — to be validated with actual competitor rate sheets
• Note: Lakeshore is already priced above Rajagiri (40 of 50 procedures) and Welcare (all 50). Proposed hikes widen this gap further. Consider selective restraint on procedures where the gap to Rajagiri/Welcare exceeds 15–20%</t>
  </si>
  <si>
    <t>EXECUTION TRACKING  (to be completed)</t>
  </si>
  <si>
    <t>Owner</t>
  </si>
  <si>
    <t>CFO</t>
  </si>
  <si>
    <t>Key Milestones / Actions</t>
  </si>
  <si>
    <t>1. Tariff card signed off with 19-category rate grid (done)
2. Update HIS billing master with new rates by 30-Apr
3. Front-office and billing-counter staff briefing by 30-Apr
4. Monitor first-month revenue per occupied bed vs baseline (Jun review)</t>
  </si>
  <si>
    <t>Risks / Dependencies</t>
  </si>
  <si>
    <t>1. Patient pushback on ward categories with &gt;20% increase (General Ward +25%, Triple Sharing +22%) — front-desk scripts and patient counsellors needed
2. Cash patient share may vary seasonally; monsoon months see higher insurance utilisation
3. HIS billing-master update must be error-free to avoid under-billing cash patients at old rates</t>
  </si>
  <si>
    <t>Remarks</t>
  </si>
  <si>
    <t>Competitor benchmarking confirms room for increase vs Aster, but Lakeshore is already above Rajagiri and Welcare on most procedures — hikes should be selective. Chemo Ward held flat to protect oncology volumes. Diet and F&amp;B service charges unchanged.</t>
  </si>
  <si>
    <t>ANALYSIS 1 :  Room &amp; Nursing Tariff Revision — Nursing Increment Pass-Through</t>
  </si>
  <si>
    <t>All rates are all-inclusive daily rates (room rent + nursing charges + diet + F&amp;B service). Revision effective May-26, cash/self-pay patients only.</t>
  </si>
  <si>
    <t>Bed Category</t>
  </si>
  <si>
    <t>Existing (₹/day)</t>
  </si>
  <si>
    <t>Proposed (₹/day)</t>
  </si>
  <si>
    <t>Increase %</t>
  </si>
  <si>
    <t>Aster (₹/day)</t>
  </si>
  <si>
    <t>Welcare (₹/day)</t>
  </si>
  <si>
    <t>Rajagiri (₹/day)</t>
  </si>
  <si>
    <t>Sunrise (₹/day)</t>
  </si>
  <si>
    <t>vs Aster</t>
  </si>
  <si>
    <t>SINGLE ROOM NON A/C.</t>
  </si>
  <si>
    <t>—</t>
  </si>
  <si>
    <t>GENERAL WARD</t>
  </si>
  <si>
    <t>GENERAL WARD A/C.</t>
  </si>
  <si>
    <t>TWIN SHARING A/C</t>
  </si>
  <si>
    <t>TRIPLE SHARING A/C</t>
  </si>
  <si>
    <t>AC ROOM</t>
  </si>
  <si>
    <t>DELUXE A/C.</t>
  </si>
  <si>
    <t>EXECUTIVE ROOM</t>
  </si>
  <si>
    <t>EXECUTIVE SUITE</t>
  </si>
  <si>
    <t>PRESIDENTIAL SUITE</t>
  </si>
  <si>
    <t>CHEMO WARD</t>
  </si>
  <si>
    <t>DAY CARE</t>
  </si>
  <si>
    <t>LABOUR ROOM</t>
  </si>
  <si>
    <t>HDU</t>
  </si>
  <si>
    <t>ICU</t>
  </si>
  <si>
    <t>ISOLATION ICU</t>
  </si>
  <si>
    <t>ICCU / KTXICU</t>
  </si>
  <si>
    <t>LIVERTX ICU / CSICU</t>
  </si>
  <si>
    <t>PRIVATE ICU</t>
  </si>
  <si>
    <t>ANALYSIS 2 :  Top 50 Revenue Procedures — Competitor Benchmarking &amp; Repricing Impact</t>
  </si>
  <si>
    <t>Lakeshore rate card (PDN rate) for top 50 clinical procedures by FY26 revenue. Competitor rates estimated from room tariff premium patterns. Cleaned list: excludes diet, bystander, oxygen, CSSD, equipment, anaesthetist, MRD, registration.</t>
  </si>
  <si>
    <t>Procedure</t>
  </si>
  <si>
    <t>Group</t>
  </si>
  <si>
    <t>FY26 Rev (₹L)</t>
  </si>
  <si>
    <t>Qty</t>
  </si>
  <si>
    <t>Lakeshore Rate (₹)</t>
  </si>
  <si>
    <t>Aster (est.)</t>
  </si>
  <si>
    <t>Rajagiri (est.)</t>
  </si>
  <si>
    <t>Welcare (est.)</t>
  </si>
  <si>
    <t>Proposed Rate (₹)</t>
  </si>
  <si>
    <t>Hike %</t>
  </si>
  <si>
    <t>Annual Impact (₹L)</t>
  </si>
  <si>
    <t>PET CT WHOLE BODY SCAN</t>
  </si>
  <si>
    <t>PET CT</t>
  </si>
  <si>
    <t>2 D ECHO WITH COLOR DOPLER</t>
  </si>
  <si>
    <t>CARDIOLOGY</t>
  </si>
  <si>
    <t>LIVER FUNCTION TEST</t>
  </si>
  <si>
    <t>BIOCHEMISTRY</t>
  </si>
  <si>
    <t>HEMODIALYSIS</t>
  </si>
  <si>
    <t>NEPHROLOGY</t>
  </si>
  <si>
    <t>RFT</t>
  </si>
  <si>
    <t>BLOOD SUGAR (GLUCOMETER- W/OUT STRIP)</t>
  </si>
  <si>
    <t>US ABDOMEN</t>
  </si>
  <si>
    <t>ULTRASOUND</t>
  </si>
  <si>
    <t>PTCA (PERCUTANEOUS TRANSLUMINAL CORONARY ANGIOPLASTY)</t>
  </si>
  <si>
    <t>INTERVENTIONAL CARDIOLOGY</t>
  </si>
  <si>
    <t>MRI BRAIN</t>
  </si>
  <si>
    <t>M R I</t>
  </si>
  <si>
    <t>RADICAL RT PER FRACTION</t>
  </si>
  <si>
    <t>TELETHERAPY</t>
  </si>
  <si>
    <t>TAC  - LEVEL</t>
  </si>
  <si>
    <t>C-REACTIVE PROTEIN / CRP</t>
  </si>
  <si>
    <t>MICROBIOLOGY</t>
  </si>
  <si>
    <t>MRI WHOLE SPINE SCREENING</t>
  </si>
  <si>
    <t>IMRT/VMAT</t>
  </si>
  <si>
    <t>COLONOSCOPY  TOTAL</t>
  </si>
  <si>
    <t>COLONOSCOPY</t>
  </si>
  <si>
    <t>ABDOMEN FULL CT</t>
  </si>
  <si>
    <t>CT SCAN - MULTISLICE</t>
  </si>
  <si>
    <t>BLOOD CULTURE + BCID2 PANEL(BIOFIRE)</t>
  </si>
  <si>
    <t>BLOOD GAS</t>
  </si>
  <si>
    <t>HBA1C</t>
  </si>
  <si>
    <t>CHEST FULL (MD CT)</t>
  </si>
  <si>
    <t>ANTI-HCV (HEPATITIS C ANTIBODY)</t>
  </si>
  <si>
    <t>SEROLOGY</t>
  </si>
  <si>
    <t>S.POTASSIUM</t>
  </si>
  <si>
    <t>S.ELECTROLYTES</t>
  </si>
  <si>
    <t>IMMUNO HISTO CHEMISTRY (MULTIPLE MARKER)</t>
  </si>
  <si>
    <t>IMMUNOHISTOCHEMISTRY</t>
  </si>
  <si>
    <t>HEMOGRAM</t>
  </si>
  <si>
    <t>CLINICAL PATHOLOGY</t>
  </si>
  <si>
    <t>S.SODIUM</t>
  </si>
  <si>
    <t>VITAMIN D 25 HYDROXY</t>
  </si>
  <si>
    <t>HBS AG (HEPATITIS B SURFACE ANTIGEN)</t>
  </si>
  <si>
    <t>TSH</t>
  </si>
  <si>
    <t>BLOOD RE</t>
  </si>
  <si>
    <t>LIPID PROFILE</t>
  </si>
  <si>
    <t>HIV (ELISA / ELFA / ECLIA)</t>
  </si>
  <si>
    <t>CORONARY ANGIOGRAPHY</t>
  </si>
  <si>
    <t>PALLIATIVE RT PER FRACTION</t>
  </si>
  <si>
    <t>E.C.G</t>
  </si>
  <si>
    <t>IGRT</t>
  </si>
  <si>
    <t>CHEST PA</t>
  </si>
  <si>
    <t>X-RAY</t>
  </si>
  <si>
    <t>DIAGNOSTIC OGD</t>
  </si>
  <si>
    <t>ENDOSCOPY</t>
  </si>
  <si>
    <t>CARDIO 2 PANEL</t>
  </si>
  <si>
    <t>ENDOSCOPIC BIOPSY (UP TO 3 BOTTLES)</t>
  </si>
  <si>
    <t>HISTOPATHOLOGY</t>
  </si>
  <si>
    <t>BRAIN PLAIN CT</t>
  </si>
  <si>
    <t>PROTHROMBIN TIME:INR</t>
  </si>
  <si>
    <t>KIDNEY TRANSPLANTATION SURGERY DIFFICULT</t>
  </si>
  <si>
    <t>UROLOGY</t>
  </si>
  <si>
    <t>DONOR NEPHRECTOMY LAPROSCOPIC DIFFICULT</t>
  </si>
  <si>
    <t>MRI LIMITED STUDIES (SCREENING)</t>
  </si>
  <si>
    <t>SPINE - 3D (CERVICAL/DORSAL/LUMBAR) CT</t>
  </si>
  <si>
    <t>CA 19.9</t>
  </si>
  <si>
    <t>US OB</t>
  </si>
  <si>
    <t>COMPLETE URINE ANALYSIS</t>
  </si>
  <si>
    <t>TFT</t>
  </si>
  <si>
    <t>TOTAL</t>
  </si>
  <si>
    <t>ESTIMATION METHODOLOGY</t>
  </si>
  <si>
    <t>Competitor procedure rates are ESTIMATES derived from room tariff premium patterns (Analysis 1). Category-specific multipliers: Labs ×1.15, Imaging ×1.25, Interventional ×1.30, Dialysis ×1.10 (Aster); Rajagiri ×0.95–1.0; Welcare ×0.80–0.90. Validated: Aster PET CT est ₹23,750 matches Vaidam range ₹22–30K. Replace with actual competitor rates from TPA sheets when available.</t>
  </si>
  <si>
    <t>COMBINED RATE REVISION IMPACT — FY27</t>
  </si>
  <si>
    <t>Component</t>
  </si>
  <si>
    <t>Estimated Impact</t>
  </si>
  <si>
    <t>Basis</t>
  </si>
  <si>
    <t>Room &amp; Nursing tariff hike (cash patients)</t>
  </si>
  <si>
    <t>₹3.5 Cr</t>
  </si>
  <si>
    <t>35–45% cash share × 12% avg increase × 11 months (conservative estimate)</t>
  </si>
  <si>
    <t>Procedure repricing (top 50 by revenue)</t>
  </si>
  <si>
    <t>₹6.1 Cr</t>
  </si>
  <si>
    <t>Hike to midpoint of Lakeshore &amp; highest competitor</t>
  </si>
  <si>
    <t>₹9.6 Cr</t>
  </si>
  <si>
    <t>Proposed rates (blue) are conservative — midpoint between current Lakeshore rate and highest of 3 competitor estimates. All quantities are FY26 actual volumes; impact assumes no volume loss from repricing. Competitor estimates derived from room tariff premium patterns — see Estimation Methodology.</t>
  </si>
  <si>
    <t>R-02  |  Procedure Contribution Framework</t>
  </si>
  <si>
    <t>Launch a contribution framework for all IP procedures — for both cash and insurance patients. Cost out top 50 procedures by revenue: include doctor fees, team costs (OT staff, anaesthesia, nursing), consumables, and overhead allocation per procedure. Identify low-contribution procedures (&lt;50% contribution). Reprice cash rates and flag insurer tariff renegotiation list. Target: 58% average contribution for 26% EBITDA. This is a per-procedure P&amp;L that reveals which services make money and which don't after fully loading doctor and team costs.</t>
  </si>
  <si>
    <t>₹2.5 Cr</t>
  </si>
  <si>
    <t>Current pricing is set without systematic visibility into per-procedure profitability. A contribution framework reveals per-procedure P&amp;L after fully loading doctor fees, team costs, consumables, and overhead.
IMPACT BUILD-UP (₹2.5 Cr conservative):
(A) Cash rate correction (top 25 procedures):
• Build per-procedure P&amp;L for top 50 revenue procedures
• Identify cash-patient procedures where current rate sits below competitive benchmark and contribution floor
• Cardiology (PTCA + Coronary Angiography): largest single opportunity
• Achievable rate correction on cash patients: ~60% of identified opportunity (rest constrained by market pricing / volume elasticity)
• Estimated recovery: ₹2 Cr
(B) Contribution-based repricing (low-margin procedures):
• Target: identify procedures below 50% contribution after full cost loading
• Reprice or restructure bottom 20 procedures → estimated ₹50L incremental
Total conservative: ₹2 Cr (cash rate correction) + ₹0.5 Cr (contribution repricing) = ₹2.5 Cr</t>
  </si>
  <si>
    <t>CFO / Operations Manager</t>
  </si>
  <si>
    <t>1. Build per-procedure P&amp;L for top 50 procedures: include doctor fees, OT team costs, consumables, overhead allocation by Jul-26
2. Identify all procedures below 50% contribution margin — reprice or discontinue by Aug-26
3. Cardiology: PTCA and Coronary Angiography to be reviewed with department head
4. Lab/Biochemistry: review rate card — bulk revision through LIS update by Jun-26
5. MRI/Ultrasound: review radiology tariff card by Jun-26
6. Flag insurance-specific procedures for R-03 tariff renegotiation
7. Target: 58% average contribution for 26% EBITDA</t>
  </si>
  <si>
    <t>1. Doctor fee data is sensitive and may face resistance from Finance/HR in sharing
2. Some surgeons may resist transparency on per-procedure profitability
3. Contribution analysis depends on accurate consumable BOQ data (C-05 must deliver)
4. Repricing low-contribution insured procedures requires TPA renegotiation (R-03 dependency)
5. Risk of volume loss if cash prices are raised too aggressively on price-sensitive procedures</t>
  </si>
  <si>
    <t>Contribution framework is the analytical foundation for downstream pricing decisions. Feeds R-03 (insurance renegotiation priority list) and informs R-10 (new package design).</t>
  </si>
  <si>
    <t>R-03  |  Insurance Renegotiation &amp; Empanelment</t>
  </si>
  <si>
    <t>Three-pronged insurance revenue initiative:
(A) Charge Capture Audit: Audit current insurance bills against TPA tariff schedules. Identify covered items (nursing charges, monitoring, clinical charges, physiotherapy, ICU charges) not systematically billed. Fix charge master. Train nursing on charge initiation.
(B) TPA/Insurer Tariff Renegotiation: Formal annual tariff revision with all empanelled TPAs and insurers. Most agreements not revised in 2–3 years while costs rose 12–15%. Leverage volume and case complexity data. Target: 8–12% rate improvement.
(C) Competitive Empanelment Analysis: Compare insurer MoU package/reimbursement rates. Top 50 procedures by value. Identify which schemes/insurers competitors (Aster, Rajagiri, KIMS) have that we don’t. Recommend new empanelments with incremental revenue impact.</t>
  </si>
  <si>
    <t>₹9 Cr</t>
  </si>
  <si>
    <t>Multiple billable line items are covered under standard TPA tariffs but not raised due to charge master gaps or nursing documentation failures. Simultaneously, TPA/insurer rates have not been renegotiated in 2–3 years while costs rose 12–15%.
IMPACT BUILD-UP (₹9 Cr conservative):
(A) Charge Capture — ₹3 Cr:
• Insurance IP admissions: ~12,000/yr
• Avg missed billable items per admission: ₹2,500 (nursing charges, monitoring, physio, clinical charges)
• Recovery: 12,000 × ₹2,500 = ₹3 Cr
(B) TPA Tariff Renegotiation — ₹4 Cr:
• Current insurance IP revenue: ~₹160 Cr/yr (est. 40% of ₹399 Cr total IP)
• Target rate increase: 8–12% across empanelled TPAs (most agreements 2–3 yrs old)
• Conservative 2.5% effective blended increase (some TPAs will resist): ₹160 Cr × 2.5% = ₹4 Cr
(C) New Empanelments (gap insurers from comparison table) — ₹2 Cr:
• 10 gap insurers identified (Star Health, Go Digit, Navi, SBI General, etc.)
• Avg incremental volume per new empanelment: 100 IP cases/yr × ₹1.5L avg ticket
• 10 insurers × 100 cases × ₹1.5L = ₹1.5 Cr, rounded to ₹2 Cr with OP
Total: ₹3 + ₹4 + ₹2 = ₹9 Cr</t>
  </si>
  <si>
    <t>CFO / Head Insurance &amp; TPA</t>
  </si>
  <si>
    <t>1. Audit 50 representative IP bills against TPA tariff schedules for missing items by May-26
2. Update charge master with all covered-but-unbilled items by Jun-26
3. Train nursing on charge initiation protocols (monitoring, physio, ICU charges) by Jun-26
4. Compile insurer-wise tariff comparison matrix — top 50 procedures by value by Jun-26
5. Identify which insurers/schemes Aster, Rajagiri, KIMS have that we don’t by Jun-26
6. Submit formal tariff revision requests to top 10 TPAs by Jul-26 (target: 8–12% improvement)
7. Prepare new empanelment applications for identified gaps by Aug-26
8. Track charge capture uplift monthly from Jul-26</t>
  </si>
  <si>
    <t>1. TPA tariff renegotiation has 60–90 day contract cycle lag
2. Some TPAs may push back or threaten delisting — need volume data to negotiate from strength
3. New empanelments take 3–6 months for processing
4. Charge master update requires IT + billing coordination</t>
  </si>
  <si>
    <t>This is the single largest revenue opportunity after rate revision. Combines charge capture (immediate), tariff renegotiation (medium-term), and new empanelments (strategic). Feeds from R-02 contribution framework data for evidence-based renegotiation.</t>
  </si>
  <si>
    <t>COMPETITOR EMPANELMENT ANALYSIS</t>
  </si>
  <si>
    <t>Source: Hospital websites (asterhospitals.in, vpslakeshorehospital.com, kimshospitals.com). Lists are dynamic — confirm with Insurance Help Desk before acting.</t>
  </si>
  <si>
    <t>Insurer / TPA</t>
  </si>
  <si>
    <t>VPS Lakeshore</t>
  </si>
  <si>
    <t>Aster Medcity</t>
  </si>
  <si>
    <t>KIMS</t>
  </si>
  <si>
    <t>Action</t>
  </si>
  <si>
    <t>Aditya Birla Health Insurance</t>
  </si>
  <si>
    <t>✓</t>
  </si>
  <si>
    <t>Pursue — large retail insurer, growing Kerala presence</t>
  </si>
  <si>
    <t>SBI General Insurance</t>
  </si>
  <si>
    <t>?</t>
  </si>
  <si>
    <t>Pursue — PSU bank-linked, high volume potential</t>
  </si>
  <si>
    <t>TATA AIG General Insurance</t>
  </si>
  <si>
    <t>Pursue — major corporate insurer</t>
  </si>
  <si>
    <t>Go Digit General Insurance</t>
  </si>
  <si>
    <t>Pursue — fast-growing digital-first insurer</t>
  </si>
  <si>
    <t>Navi General Insurance</t>
  </si>
  <si>
    <t>Pursue — digital insurer, younger demographics</t>
  </si>
  <si>
    <t>Niva Bupa Health Insurance</t>
  </si>
  <si>
    <t>Pursue — standalone health insurer, high claim volumes</t>
  </si>
  <si>
    <t>Star Health &amp; Allied Insurance</t>
  </si>
  <si>
    <t>High priority — India's largest standalone health insurer</t>
  </si>
  <si>
    <t>Liberty General Insurance</t>
  </si>
  <si>
    <t>Evaluate — niche but growing</t>
  </si>
  <si>
    <t>Galaxy Health Insurance</t>
  </si>
  <si>
    <t>Evaluate — TPA with growing network</t>
  </si>
  <si>
    <t>Volo Health / East West Assist</t>
  </si>
  <si>
    <t>Evaluate — TPA serving multiple insurers</t>
  </si>
  <si>
    <t>INTERNATIONAL INSURANCE GAPS</t>
  </si>
  <si>
    <t>Aster Medcity has 14 international insurers (Gulf + Maldives) that VPS Lakeshore likely lacks. Key gaps:</t>
  </si>
  <si>
    <t>Aasandha Insurance (Maldives), Allied Insurance (Maldives), Amana Takaful (Maldives), Daman Insurance (UAE), Almadalla (UAE), Alkoot (Qatar), Dubai Insurance Co, NowHealth, MSH Insurance, NLGI, Union Insurance, Health 360, Dar-Takaful, Allianz International</t>
  </si>
  <si>
    <t>VPS Lakeshore benefits from VPS Healthcare group presence in UAE/Oman. Internal VPS referral pathways may already exist outside formal insurance empanelment. International patient cell to confirm which Gulf/Maldives insurers are currently active.</t>
  </si>
  <si>
    <t>R-04  |  Distributed Healthcare Network (DHCN)</t>
  </si>
  <si>
    <t>Deploy two network prototypes across Kerala:
(A) Satellite Clinics (Prototype 4 — Partner Hospital model): Dedicated Lakeshore-branded floor or wing within partner hospitals (MBMMH Kothamangalam, Malankara Mission Kunnamkulam, VPS Calicut), with VPS clinical staff, protocols, and full EMR integration. Phase 1 target: 10 satellite clinic locations across Kerala.
(B) Risk Assessment Centres (Prototype 5 — RAC): Structured risk-assessment and triage stations at high-footfall locations. 5-cancer screening (oral, breast, cervical, colorectal, lung), cardiac/metabolic risk profiling, genomic risk assessment. Phase 1 target: 25 RAC stations.
All nodes funnel diagnosed/complex cases to Lakeshore Kochi for surgery, radiation, transplant, and complex chemotherapy. Revenue share models define economics at each node. Oncology hub-and-spoke (screening → Lakeshore radiation/surgery) is a core use case within this network.</t>
  </si>
  <si>
    <t>₹13 Cr</t>
  </si>
  <si>
    <t>Over 60% of Lakeshore’s addressable catchment lives beyond 20km. Patients in Thrissur, Muvattupuzha, and North Ernakulam default to local hospitals because the first consult is inconvenient. A weekly surgeon-run OPD brings Lakeshore’s clinical brand to the patient. IP referral back to main campus is the primary financial lever.
PHASED REVENUE MODEL (Year 1, conservative):
Satellite Clinics (10 locations, phased: 2 in Q1, +3 in Q2, +3 in Q3, +2 in Q4):
• Per clinic at steady state: 30 consults/wk → 10% IP conversion = 3 admissions/wk × ₹1.5L avg ticket = ₹4.5L/wk gross
• After partner revenue share and ramp-up: net ₹2.7L/wk per clinic
• Utilisation ramp: Q1 50%, Q2 65%, Q3 80%, Q4 90%
• Q1: 2 clinics × ₹1.4L/wk × 13 wks = ₹35L
• Q2: 5 clinics × ₹1.8L/wk × 13 wks = ₹114L
• Q3: 8 clinics × ₹2.2L/wk × 13 wks = ₹224L
• Q4: 10 clinics × ₹2.4L/wk × 13 wks = ₹316L
• Clinic Year 1 total: ₹689L = ₹6.9 Cr
RAC Stations (25 locations, phased: 0 in Q1, 5 in Q2, +5 in Q3, +15 in Q4):
• Per RAC at steady state: 60 screens/wk × ₹1,500 = ₹0.9L/wk screening + 1 IP referral/wk × ₹2L = ₹2L/wk → total ₹2.9L/wk gross
• After ramp-up: net ₹1.6L/wk per RAC
• Utilisation ramp: Q2 50%, Q3 65%, Q4 80%
• Q1: 0 RACs = ₹0
• Q2: 5 RACs × ₹0.8L/wk × 13 wks = ₹52L
• Q3: 10 RACs × ₹1.0L/wk × 13 wks = ₹135L
• Q4: 25 RACs × ₹1.3L/wk × 13 wks = ₹416L
• RAC Year 1 total: ₹603L = ₹6.0 Cr
Total Year 1 conservative: ₹6.9 + ₹6.0 = ₹12.9 Cr ≈ ₹13 Cr (heavily weighted to H2 as network matures)</t>
  </si>
  <si>
    <t>Head BD / Head of DHCN</t>
  </si>
  <si>
    <t>1. Finalise MOUs with 3 existing partner hospitals (Kothamangalam, Kunnamkulam, Calicut) by May-26
2. Identify 7 additional satellite locations — Thrissur, Muvattupuzha, Perumbavoor, Angamaly, Aluva, Thodupuzha, Palakkad by Jun-26
3. Build per-location financial model: lease + fit-out + 2 consultants/wk + admin = break-even at ~40 consults/week
4. RAC pilot at Kochi campus (Jul-26), then MBMMH &amp; Calicut (Aug–Sep-26), then suburban roll-out
5. Analyse doctor OP consult data to identify surgeons with spare OPD capacity for satellite deployment
6. Define revenue share model per prototype: satellite = Lakeshore 70%/Partner 30% vs RAC = Lakeshore retains screening revenue, referral conversion = main campus revenue
7. Project referral revenue: 10 clinics × 40 consults/wk × 15% IP conversion × ₹2L avg ticket = ₹62L/yr conservative; 25 RACs × 100 screens/wk × 5% positive × ₹3L avg = ₹19.5L/yr
8. Phase 2 targets: scale to 25 clinics + 50 RACs by FY28</t>
  </si>
  <si>
    <t>1. Partner hospital clinical standards may not match Lakeshore protocols — clinical audit required before co-branding
2. RAC regulatory clearance required for screening equipment at non-hospital locations
3. Satellite OPD days reduce surgeon availability at main campus — scheduling discipline required
4. EMR integration with partner hospitals requires IT investment (₹5–10L per site)
5. Break-even at &lt;40 consults/week is achievable only in high-density catchments</t>
  </si>
  <si>
    <t>Hub-and-spoke model: satellite clinics and RACs serve as referral funnels to the Kochi main campus. Partner MOU quality should take precedence over clinic count; prioritise locations with limited existing tertiary access. Dependencies: R-09 (BD referral programme) for partner doctor onboarding and R-12 (new specialties) for onco/cardiac referral capture.</t>
  </si>
  <si>
    <t>R-05  |  Corporate Health Programme</t>
  </si>
  <si>
    <t>Build a structured corporate health programme targeting top 50 corporates (PSU + private) within 20km of Kochi campus. Tiered offering: (a) Executive Health Check packages — cardiac, oncology, and metabolic risk profiling; (b) Company insurance tie-ups — negotiate group mediclaim with preferential IP rates; (c) On-premises multispecialty OP clinics — deploy VPS consultants to corporate campuses for weekly/fortnightly clinics. Deduplicate against existing corporate accounts to avoid channel conflict. Assign 2 dedicated corporate relationship managers. Track conversion: health check → OPD follow-up → IP admission.</t>
  </si>
  <si>
    <t>₹5 Cr</t>
  </si>
  <si>
    <t>Corporate volumes are captive, predictable, and have very low acquisition cost once contracted. Kochi's industrial and IT belt represents 100,000+ covered lives within 15km. Anchor accounts (BPCL, Cochin Port, FACT alone = ~15,000 employees) can seed significant IP volume through health check conversions.
TARGET CORPORATE LIST (Top 50, representative):
PSU (15): BPCL Kochi Refinery (~4,500), Cochin Shipyard (~3,000), FACT (~2,500), Cochin Port Trust (~2,000), KSEB Ernakulam (~1,500), Naval Base Kochi (~3,000), Southern Air Command, HMT, BHEL, CIAL, Kochi Metro Rail, KITCO, BSNL, FCI, LIC Regional
IT/ITES (20): TCS Infopark (~5,000), Wipro, Cognizant, UST Global (~3,500), IBS Software (~2,000), QBurst (~2,000), Ernst &amp; Young GDS, NeST, NIC, Envestnet, Nissan Digital Hub, SunTec, Litmus7, TechM, HCL, Fingent, Baker Hughes, Teleperformance, Byju's, Muthoot
Private/MNC (15): Federal Bank, South Indian Bank, Muthoot Finance, GCDA, Lulu Group, Le Meridien/Marriott/Taj, V-Guard, Kitex, Nitta Gelatin, Synthite, SFO Technologies, Century Metal, Geojit, Manorama, Asianet
REVENUE BASIS (₹5 Cr conservative):
• Target: 25 signed corporates in Year 1 (50% of target list)
• Executive health checks: 25 cos × 200 avg employees screened × ₹5,000 avg package = ₹2.5 Cr
• IP conversion from health checks: 3% positive finding rate × 5,000 screened × ₹1.5L avg ticket = ₹2.25 Cr
• On-premises OP clinics: 10 active clients × 50 consults/mo × ₹500 × 12 mo = ₹3L = ~₹30L
• Total: ~₹5 Cr</t>
  </si>
  <si>
    <t>Head BD / Corporate Marketing team</t>
  </si>
  <si>
    <t>1. Compile target list of top 50 corporates with employee strength, current health partner, and insurance status by May-26
2. Audit existing 20 corporate accounts — revenue per account, services used, upsell potential by May-26
3. Design 3-tier health check packages (Basic ₹3,500 / Premium ₹8,000 / Executive ₹15,000) by Jun-26
4. Pilot on-premises OP clinic at 3 anchor corporates (1 IT, 1 PSU, 1 hospitality) by Jul-26
5. Assign 2 dedicated corporate RMs — target 15 new accounts in Year 1
6. Build conversion tracking: health check → abnormal finding → OPD follow-up → IP admission
7. Target: 5,000 health checks Year 1 × ₹8,000 avg = ₹4 Cr direct; 8% IP conversion × ₹2L avg = ₹8 Cr indirect</t>
  </si>
  <si>
    <t>1. On-premises clinics require regulatory clearance for off-site consultations
2. Corporate decision cycles typically run 3–6 months, tied to annual budget planning
3. Established corporate sales teams at Aster and existing PSU relationships at AIMS present competitive resistance
4. Health check package pricing must be competitive against standalone diagnostic centres (SRL, Metropolis)
5. Insurance tie-ups depend on TPA cooperation (dependency on R-03)</t>
  </si>
  <si>
    <t>Health check volume is the funnel metric; IP conversion is the revenue metric. Target ratio: ₹5–8 of downstream IP revenue for every ₹1 of health check fee. Suggested sequencing: secure 3–5 PSU/IT anchor accounts first to support reference-based selling. Dependencies: R-03 (corporate TPAs) and R-09 (Corporate-Residential RM team).</t>
  </si>
  <si>
    <t>R-06  |  Residential &amp; Community Outreach</t>
  </si>
  <si>
    <t>Partner with major gated communities and apartment complexes within 15km (Sobha, Prestige, Purva in Kakkanad, Edapally, Thrippunithura) for on-site health camps, resident doctor visits, and emergency response agreements. Handled by dedicated corporate/residential team within BD organisation.
Includes community health camps: two monthly health awareness programmes in schools (adolescent health, vision, nutrition), temples and mosques (senior citizen camps, post-Ramadan diabetes/cardiac screening), and residential complexes. Low cost, high community trust.</t>
  </si>
  <si>
    <t>₹3 Cr</t>
  </si>
  <si>
    <t>Gated communities represent high-income, high-compliance patient segments. Emergency tie-ups create first-call advantage. Health camps drive diagnostics, OPD footfall, and early detection conversions. Acquisition cost is far lower than digital advertising for this segment.
TARGET RESIDENTIAL COMMUNITIES (20+, within 15km):
Kakkanad: DLF New Town Heights (~1,200 units), Prestige Hillside Gateway (~800), Joyalukkas Gold Tower (~400), Confident Group properties, Mather projects
Edapally: SFS Grandville (~600 units), Skyline Apartments, Asset Homes projects, Desai Homes DD Kings Square/Queens Square
Thrippunithura: Sobha projects (~500 units), Purva Eternity
Maradu/Nettoor: Waterfront communities (proximity to Lakeshore), DD Sunset Island
Aluva: CIAL township housing, Rajagiri Valley
Other: Panangad communities, Vyttila premium apartments, Marine Drive high-rises
Total addressable: ~8,000–10,000 households = 25,000–30,000 residents
REVENUE BASIS (₹3 Cr conservative):
• Target: 15 active community partnerships in Year 1
• Health camps: 15 communities × 4 camps/yr × 200 screens/camp × ₹2,000 avg = ₹2.4 Cr
• Emergency response tie-ups: 15 communities × ~5 emergency transfers/yr × ₹2L avg IP ticket = ₹1.5 Cr (but discounted for overlap)
• OPD follow-up from camps: 10% of 12,000 screened = 1,200 OPD visits × ₹1,500 = ₹18L
• Conservative total (camps + follow-up + emergency): ~₹3 Cr</t>
  </si>
  <si>
    <t>Head BD / Community Health Coordinator / Corporate-Residential RM team</t>
  </si>
  <si>
    <t>1. Map all gated communities &gt;200 units within 15km — with RWA contact, population estimate by May-26
2. Design 3 camp formats: (a) Senior wellness, (b) Women's health, (c) General screening — standardised protocols
3. Pilot 4 camps in May–Jun-26: 1 school, 1 temple/mosque, 2 residential complexes
4. Negotiate emergency response MOUs with top 10 RWAs by Jun-26 (ambulance SLA, doctor-on-call)
5. Launch monthly camp calendar (4–6 camps/month) from Jul-26 onwards
6. Track camp → OPD → IP conversion funnel monthly
7. Target Year 1: 60 camps, 8,000 screenings, 800 OPD conversions, 120 IP admissions</t>
  </si>
  <si>
    <t>1. RWA cooperation varies; some associations restrict commercial health activities in common areas
2. Regulatory clearance required for portable diagnostic equipment at off-site locations
3. Overlap with R-04 community outreach in satellite clinic catchments — territory mapping required to avoid duplication
4. Consistent camp quality is required; a single substandard experience can affect brand perception across a community</t>
  </si>
  <si>
    <t>Targets the 15km catchment around the Kochi campus. Economics depend on rigorous IP conversion tracking (health check → abnormal finding → OPD → IP). Shares RM team with R-05. Patient data flows into R-15 (digital platform records). Emphasis on repeat engagement rather than one-off camps.</t>
  </si>
  <si>
    <t>R-07  |  International Medical Value Travel</t>
  </si>
  <si>
    <t>Expand medical value travel (MVT) beyond Middle East to all viable source markets for Kerala. Score countries on multi-parameter framework: flight connectivity to Kochi, diaspora size, healthcare gap vs local system, insurance/reimbursement coverage, competitor presence , and VPS Healthcare group synergies (Abu Dhabi, Oman network).
Map the ecosystem: HCF agents/agencies, embassy health attachés, corporate medical evacuation contracts, international insurance TPAs. Build online reputation in recommended countries: Google Business profiles in Arabic/Bengali/Dhivehi, Practo international, hospital aggregator listings (Medical Departures, Bookimed, Vaidam). Target 200+ MVT patients Year 1, scaling to 500 by Year 3.
CLINICAL REFERRAL PARTNERSHIPS:
Sign clinical referral MOUs with 2–3 Maldives hospitals and 2 Gulf hospitals. Telemedicine protocol for pre-visit assessment. Joint case reviews.</t>
  </si>
  <si>
    <t>₹6 Cr</t>
  </si>
  <si>
    <t>Lakeshore is already on the Kerala Medical Value Travel Society registry and has multilingual staff and international patient services — the infrastructure exists. MVT patients have 3–5× higher ARPOB than domestic IP. Gulf demand for cardiac, orthopaedic, and transplant services is structurally strong due to limited local tertiary capacity in Tier-2 GCC cities.
COMPETITOR INTERNATIONAL PRESENCE:
• Aster Medcity: Strongest position — parent VPS Healthcare operates 14 hospitals in UAE/Oman/Bahrain. Has 14 international insurance partners (Daman, Aasandha-Maldives, Allied-Maldives, Alkoot, Allianz, Almadalla, Amana Takaful, Dubai Insurance, Health 360, MSH, NLGI, NowHealth, Union Insurance, Dar-Takaful). Direct referral pipeline from group hospitals.
• KIMS Health: Majority of international patients from GCC countries. Has international patient services in Trivandrum and coordinates patients from 50+ countries.
• Amrita (AIMS): Airport help desk at CIAL for international arrivals. Partnership with 60+ medical entities in US, Canada, Europe. Faculty exchange with 30+ countries.
• Rajagiri: JCI accredited. International Patient Care Helpdesk. Accepts foreign currency, wire transfers, embassy sponsorship.
SOURCE MARKET PRIORITY (scoring: flight connectivity, diaspora size, healthcare gap, insurance coverage, VPS synergy):
Tier 1: UAE, Saudi Arabia, Oman, Maldives (direct flights, VPS Group presence, established insurance pathways)
Tier 2: Kuwait, Bahrain, Qatar (growing demand, limited direct flights)
Tier 3: Bangladesh, East Africa (high healthcare gap, growing medical tourism, limited competition)</t>
  </si>
  <si>
    <t>Head BD / MVT Coordinator (to hire) / International Patient Services</t>
  </si>
  <si>
    <t xml:space="preserve">1. Complete multi-parameter source market scoring by May-26 — rank top 10 countries by opportunity
2. Map competitor international offices and aggregator partnerships by May-26
3. Hire dedicated MVT Coordinator (bilingual Arabic/English preferred) by Jun-26
4. Apply for Maldives Aasandha empanelment by Jun-26
5. Onboard with 3 international aggregators (Vaidam, Medical Departures, Bookimed) by Jul-26
6. Develop Arabic + Bengali digital content: website landing pages, Google Business, video testimonials by Jul-26
7. Attend 2 international health tourism conferences (Arab Health, MERCY Malaysia) in FY27
8. Establish referral corridor with VPS Healthcare Abu Dhabi/Oman — reciprocal patient transfer protocol by Aug-26
9. Target: 200 MVT patients Year 1 × ₹3L avg ticket = ₹6 Cr conservative; 500 patients by Year 3
10. </t>
  </si>
  <si>
    <t>1. Maldives Aasandha empanelment is a 6–12 month bureaucratic process
2. Gulf patients often have employer-directed hospital choices — corporate-level MOUs with major Gulf employers are required
3. VPS group internal referral dynamics: Abu Dhabi facilities may prioritise retaining patients locally
4. Aggregator commission rates of 15–25% compress net margins
5. Visa facilitation and medical visa processing delays affect Bangladesh and African source markets</t>
  </si>
  <si>
    <t>VPS Healthcare group presence in UAE and Oman provides existing internal referral pathways that are currently under-utilised. Suggested sequencing: Gulf markets first (group leverage), followed by CIS and Maldives (existing Kerala corridor), with African markets as a longer-horizon step. The MVT Coordinator hire is a prerequisite for aggregator empanelment execution.</t>
  </si>
  <si>
    <t>R-08  |  Government Scheme Empanelment Optimisation</t>
  </si>
  <si>
    <t>Review PMJAY, KASP, CGHS, ECHS, and ESI empanelments — kept separate from insurance (R-03). Ensure all eligible complex procedures (transplant, cardiac interventions, cancer treatments) are listed. Renegotiate rates for high-volume procedures. Assess feasibility of each scheme — PMJAY may not be viable at current rates; CGHS/ECHS are typically positive margin. Recommend new empanelments with incremental revenue impact. Assign dedicated scheme coordinator.</t>
  </si>
  <si>
    <t>Government schemes are volume-stable revenue streams. ECHS alone covers ~50,000 ex-servicemen families in Ernakulam district. CGHS covers central government employees. Each empanelment takes 3–6 months, so early start is critical.
IMPACT BUILD-UP (₹3 Cr conservative):
(A) Existing empanelments — rate revision + specialty expansion: ₹1.5 Cr
• ECHS: currently empanelled but not all specialties listed. Adding transplant, oncology, cardiac surgery packages → ~200 additional cases/yr × ₹1.5L avg = ₹3 Cr gross, net incremental ~₹1 Cr
• CGHS/ECHS rate revision (rates 3+ yrs old): 10% uplift on existing ~₹5 Cr scheme revenue = ₹50L
(B) New empanelments — CGHS, ESI, MEDISEP: ₹1.5 Cr
• CGHS (if not current): ~15,000 central govt employees in Ernakulam → est. 300 IP cases/yr × ₹1.2L avg = ₹3.6 Cr potential, conservative 20% market share = ₹72L
• ESI: ~100,000 covered workers in Ernakulam district → est. 500 IP referrals/yr × ₹80K avg = ₹4 Cr potential, 10% share = ₹40L
• MEDISEP (state employees): ~50,000 state govt staff → est. 200 IP cases/yr × ₹1L = ₹2 Cr potential, 15% share = ₹30L
• Total new: ₹72L + ₹40L + ₹30L = ₹1.4 Cr, rounded to ₹1.5 Cr
Total: ₹1.5 + ₹1.5 = ₹3 Cr
SCHEME EMPANELMENT COMPARISON (Kochi hospitals):
• ECHS: Aster ✓, KIMS ✓, Amrita ✓, Rajagiri ✓, Lakeshore ✓ — confirm all specialties listed
• CGHS: Aster ✓, KIMS ✓, Amrita ✓, Rajagiri ✓, Lakeshore — status to be confirmed
• PMJAY/KASP: Aster ✓, KIMS ✓, Amrita ✓ — Lakeshore feasibility depends on procedure-level rate adequacy
• ESI: Aster ✓, Amrita ✓ — Lakeshore not currently empanelled
• MEDISEP: Aster ✓ (select specialties), Lakeshore status to be confirmed
• Railway Health: Amrita ✓ — Lakeshore not empanelled
Competitor data is indicative based on publicly listed insurance/TPA panels. Insurance desk to complete with actual data by May-26.</t>
  </si>
  <si>
    <t>Head BD / Scheme Coordinator (1 FTE, to designate) / Insurance &amp; TPA Head</t>
  </si>
  <si>
    <t>1. Map all current empanelments — scheme, specialties covered, rate structure, last revision date by May-26
2. Compile competitor empanelment matrix — where are Aster, KIMS, AIMS, Rajagiri empanelled and not us by May-26
3. Shortlist 3-5 new empanelments with highest incremental revenue by Jun-26
4. Submit empanelment applications for shortlisted schemes by Jun-26
5. Renegotiate rates for ECHS and CGHS (top 20 procedures by volume) by Jul-26
6. Assess PMJAY viability: run breakeven analysis on top 10 PMJAY procedures at current rates by Jun-26
7. Assign dedicated scheme coordinator by May-26
8. Target: 2 new empanelments live by Sep-26; 3Cr incremental scheme revenue Year 1</t>
  </si>
  <si>
    <t>1. PMJAY rates may be below cost for several complex procedures — empanelment would attract volume at a loss
2. Government empanelment processes are bureaucratic — 3-6 month lag
3. Claims processing delays with government schemes can reach 90-180 days, impacting cash flow
4. Some schemes require dedicated infrastructure (e.g., ECHS counters)</t>
  </si>
  <si>
    <t>Scheme economics are fundamentally different from private insurance — volume-driven, rate-constrained, administratively heavy. Kept separate from R-03 (insurance) for this reason. The dedicated coordinator is critical; this cannot be a part-time add-on to existing TPA staff.</t>
  </si>
  <si>
    <t>R-09  |  Scaled BD Organisation &amp; Referral Programme</t>
  </si>
  <si>
    <t>Expand to a full-spectrum BD function with three verticals:
(A) Referral Development (3 zones — North/Central/South Kerala): Map all referring doctors within 50km by specialty and volume; classify A/B/C tiers; assign BD field executives to A-tier (top 100) with monthly visit cadence. Build registered community of 500+ referring doctors. Implement 24-hour discharge summary SOP as non-negotiable feedback loop. Revisit referral commission rates vs market.
(B) Institutional &amp; Partnerships: Corporate accounts (R-05), MVT (R-07), satellite clinics (R-04), government schemes (R-08).
(C) Communications &amp; Branding: CME calendar — monthly specialty-specific CMEs rotating across suburban/district locations (Thrissur, Kottayam, Alappuzha, Ernakulam suburbs). Appoint CME Coordinator (MBBS/BAMS/BDS, reports to Med Supt &amp; Head BD). MCI accreditation. Digital CME platform (webinar + on-demand library). Innovative engagement: case-based discussions, tumour boards, masterclasses.
Structured under BD Head reporting to CEO. 27-person organisation with distinct verticals.</t>
  </si>
  <si>
    <t>₹25 Cr</t>
  </si>
  <si>
    <t>Revenue growth at the scale required by the transformation programme (₹100–200Cr over 3 years) cannot be delivered by a lean referral-focused team. A 27-person BD organisation with distinct verticals (referral, institutional, communications) mirrors the structure of peer hospitals generating 15–20% annual revenue growth.
The BD org is the execution engine for multiple revenue initiatives:
• R-04 (DHCN / Satellite Clinics): BD team manages partner hospital relationships and RAC site selection
• R-05 (Corporate Health): Institutional BD vertical owns corporate account acquisition and health check contracting
• R-06 (Residential Colony): Same institutional BD vertical manages RWA relationships and camp logistics
• R-07 (International MVT): Dedicated MVT coordinator within BD handles HCF agents, insurance tie-ups, international marketing
• R-08 (Govt Schemes): BD team drives empanelment applications and scheme coordinator role
• R-14 (Events): Communications vertical organises quarterly events and CME calendar
• R-15 (Patient Acquisition): Digital marketing and content platform sit under communications vertical
Without the scaled BD org, initiatives R-04 through R-15 lack a dedicated execution team and revert to ad-hoc effort by clinical/admin staff.</t>
  </si>
  <si>
    <t>Head BD / CME Coordinator (to hire) / Medical Superintendent / CEO</t>
  </si>
  <si>
    <t>1. Finalise BD org chart — 27 roles across 3 verticals; fill 6 open positions by Jun-26
2. Compile referral physician database — current active referrers + target list within 50km by May-26
3. Classify A/B/C tiers: A = top 100 by IP referral volume, B = next 200, C = all others
4. Recruit CME Coordinator per approved JD by Jun-26
5. Design annual CME calendar — 12 in-hospital + 6 outreach (Thrissur, Kottayam, Alappuzha) by Jun-26
6. Deploy CRM system for referral tracking (Salesforce Health or similar) by Jul-26
7. Mandate 24-hour discharge summary SOP — CNO + Medical Superintendent to enforce by May-26
8. Launch first CME and case-based discussion by Jul-26
9. Pilot digital CME platform (webinar + on-demand library) by Aug-26
10. Complete referral commission rate benchmarking vs competitors by Jun-26
11. Target: 500 registered referring doctors by Mar-27; 15% of new IP volume from tracked referrals</t>
  </si>
  <si>
    <t>1. MCI/NMC guidelines on referral fees — must be structured as professional fees, not volume-linked commissions
2. CME accreditation process with Kerala Medical Council takes 2–3 months lead time
3. CRM system integration with existing HMIS/billing for referral attribution
4. Consultant buy-in for discharge summary SOP — enforcement requires Medical Superintendent backing
5. BD org build-out depends on finding qualified candidates for 6 open roles — recruitment may take 3–6 months
6. Some referring doctors may be actively sending to competitors — need competitive intelligence on rival programmes</t>
  </si>
  <si>
    <t>Combines the Referral Physician Programme &amp; CME scope with the broader BD Organisation build. References: JD Manager Medical Affairs (CME). The investment is ~3–4Cr — the return is a multiplier across every other revenue initiative. The LPMC New Block's capacity expansion makes a scaled BD organisation both necessary and viable.</t>
  </si>
  <si>
    <t>R-10  |  OP-IP Conversion &amp; Follow-Up</t>
  </si>
  <si>
    <t>OP-to-IP conversion initiative with two tracks:
(A) Surgical OPD Counselling: Deploy trained financial counsellors at surgical OPD (ortho, cardiac, neurosurgery, oncology, transplant). Explain package costs, initiate insurance pre-auth on day of consultation, arrange EMI/loan tie-ups for self-pay.
(B) Follow-Up &amp; Dropout Prevention: Analyse OP follow-up calls to curtail dropouts. Proactive actions: appointment reminders, post-consult callbacks within 48 hours, treatment plan adherence tracking, lapsed patient re-engagement campaigns.</t>
  </si>
  <si>
    <t>₹4 Cr</t>
  </si>
  <si>
    <t>A significant number of patients who receive a surgical recommendation in OPD do not convert to IP admission. Common barriers: cost uncertainty, insurance confusion, fear, competing hospital opinions. Financial counselling addresses the first two barriers on the spot. Follow-up callbacks address the rest.
IMPACT BASIS (₹4 Cr conservative):
• Lakeshore surgical OPD volume: ~800 consults/week across cardiac, ortho, neuro, onco, transplant
• Current estimated OP-to-IP conversion: ~25–30%
• Target with counsellors + follow-up: 33–35% (i.e., +5 percentage points)
• Incremental IP admissions: 800 × 5% = 40/week = ~2,000/year
• Average IP ticket for surgical patients: ₹2L
• Gross incremental revenue: 2,000 × ₹2L = ₹40 Cr
• BUT most of this is existing capacity utilisation (beds, OTs, staff already in place) — true incremental revenue after accounting for realistic ramp-up and variable costs: conservative ₹4 Cr in Year 1
• Counsellor cost: 3–4 counsellors × ₹4–5L/yr = ₹15–20L + TPA training + NBFC onboarding = total ₹25–30L investment
• ROI: 13–16× on direct investment</t>
  </si>
  <si>
    <t>Head BD / Call Centre Manager / CFO</t>
  </si>
  <si>
    <t>1. Analyse current OP-to-IP conversion rates by department (cardiac, ortho, neuro, onco, transplant) by May-26
2. Identify top 5 dropout reasons from surgical OPD — survey 100 patients who did not proceed by Jun-26
3. Recruit 3-4 financial counsellors and station at surgical OPD counters by Jun-26
4. Build insurance pre-auth initiation protocol: counsellor starts pre-auth on day of consultation
5. Onboard 2-3 NBFC/EMI partners (Bajaj Finance, HDB) for self-pay patient financing by Jul-26
6. Implement 48-hour post-consult callback protocol for all surgical OPD patients by Jun-26
7. Launch lapsed patient re-engagement: automated SMS/call for patients with pending surgical recommendations older than 30 days
8. Track conversion rate monthly — target: 5% improvement in OP-IP conversion within 6 months</t>
  </si>
  <si>
    <t>1. Financial counsellors need deep product knowledge — training on all surgical packages and insurance products
2. Patient financing (EMI) carries compliance and collection risk
3. Callback protocols require integration with OPD scheduling system
4. Dropout patients may have gone to competitors — re-engagement must be tactful, not aggressive</t>
  </si>
  <si>
    <t>This is one of the highest-ROI initiatives — the patient has already arrived, seen the doctor, and received a recommendation. The only gap is conversion support. Financial counselling + follow-up closes this gap at very low marginal cost.</t>
  </si>
  <si>
    <t>R-11  |  Departmental Organic Growth Initiative</t>
  </si>
  <si>
    <t>Monthly department review: each clinical department presents its growth plan, infrastructure needs, staffing gaps, and volume targets. Process = structured departmental consultations where clinicians articulate what they need to grow volumes (equipment, beds, OT time, staff, referral support). Cover all specialties systematically across the year. Focus on removing bottlenecks and enabling organic volume growth.</t>
  </si>
  <si>
    <t>OP</t>
  </si>
  <si>
    <t>₹8 Cr</t>
  </si>
  <si>
    <t>Medical</t>
  </si>
  <si>
    <t>Apr</t>
  </si>
  <si>
    <t>May</t>
  </si>
  <si>
    <t>June</t>
  </si>
  <si>
    <t>Jul</t>
  </si>
  <si>
    <t>Aug</t>
  </si>
  <si>
    <t>Sep</t>
  </si>
  <si>
    <t>Oct</t>
  </si>
  <si>
    <t>Nov</t>
  </si>
  <si>
    <t>Dec</t>
  </si>
  <si>
    <t>Jan</t>
  </si>
  <si>
    <t>Feb</t>
  </si>
  <si>
    <t>Mar</t>
  </si>
  <si>
    <t>ARPP-OP</t>
  </si>
  <si>
    <t>MEDICAL ONCOLOGY</t>
  </si>
  <si>
    <t>Most hospital revenue growth comes from existing departments doing more of what they already do well. The constraint is rarely clinical capability — it is OT scheduling, bed availability, equipment downtime, staffing gaps, or marketing support. A systematic department-by-department review identifies and removes these bottlenecks. Monthly reviews create accountability and visibility.
IMPACT BUILD-UP (₹8 Cr conservative):
Lakeshore IP revenue: ~₹399 Cr (FY27 budget) across ~20 clinical departments.
• Target: 2% organic volume uplift across departments through bottleneck removal
• ₹399 Cr × 2% = ₹8 Cr
This is achievable because:
• Cardiac Sciences (current ~₹80 Cr): 1 additional OT slot/day = ~200 cases/yr × ₹2L = ₹4 Cr; 2% = ₹1.6 Cr
• Orthopaedics (~₹40 Cr): faster implant procurement + dedicated physio = 3% uplift = ₹1.2 Cr
• Oncology (~₹45 Cr): reduced chemo chair wait time + 1 additional radiation slot = 2% = ₹0.9 Cr
• Nephrology (~₹30 Cr): additional dialysis shifts + transplant volume = 3% = ₹0.9 Cr
• Gastro/Liver (~₹35 Cr): endoscopy scheduling optimisation = 2% = ₹0.7 Cr
• Remaining 15 depts (~₹169 Cr combined): even 1.5% blended uplift = ₹2.5 Cr
Total: ₹1.6 + ₹1.2 + ₹0.9 + ₹0.9 + ₹0.7 + ₹2.5 = ₹7.8 Cr ≈ ₹8 Cr
Note: department-level revenue splits above are indicative. Actual splits to be confirmed during first round of reviews.</t>
  </si>
  <si>
    <t>ORTHOPEDICS</t>
  </si>
  <si>
    <t>NEURO SURGERY</t>
  </si>
  <si>
    <t>Head BD / Individual Department HODs</t>
  </si>
  <si>
    <t>GI SURGERY</t>
  </si>
  <si>
    <t>1. Schedule first 3 departmental growth reviews: Cardiac Sciences (Jun-26), Orthopaedics (Jul-26), Nephrology (Aug-26)
2. Each review must include: current volumes, 3-year trend, capacity utilisation, bottleneck analysis, growth plan with specific asks
3. Head BD to compile action tracker — infrastructure/equipment/staffing decisions within 2 weeks of each review
4. Rotate all departments through the cycle by Mar-27 (12 departments minimum)
5. Track volume growth per department quarterly vs baseline
6. Identify 3 quick-win bottleneck removals per department (e.g., additional OT slot, equipment repair, dedicated nurse)</t>
  </si>
  <si>
    <t>GASTROENTEROLOGY</t>
  </si>
  <si>
    <t>1. Department HODs may treat reviews as compliance rather than genuine growth planning
2. Capital requests from reviews may exceed available budget — a prioritisation framework is required
3. Some departments are capacity-constrained (ICU beds, OT slots) where growth requires capex
4. Risk of setting expectations that all requests will be funded</t>
  </si>
  <si>
    <t>Governance layer rather than a standalone growth initiative. Ensures each clinical department has a reviewed, approved growth plan with tracked bottlenecks. Outputs feed capex prioritisation and identify specialties requiring R-13 (clinician recruitment) support. Effectiveness depends on Head BD chairing reviews and HODs providing accurate capacity and constraint data.</t>
  </si>
  <si>
    <t>SURGICAL ONCOLOGY</t>
  </si>
  <si>
    <t>MINIMALLY INVASIVE SURGERY</t>
  </si>
  <si>
    <t>COMPREHENSIVE LIVER CARE</t>
  </si>
  <si>
    <t>NEUROLOGY</t>
  </si>
  <si>
    <t>GENERAL MEDICINE</t>
  </si>
  <si>
    <t>OB &amp; GYNEC.</t>
  </si>
  <si>
    <t>PEDIATRICS</t>
  </si>
  <si>
    <t/>
  </si>
  <si>
    <t>RADIATION ONCOLOGY</t>
  </si>
  <si>
    <t>CARDIO THORACIC SURGERY</t>
  </si>
  <si>
    <t>PULMONOLOGY</t>
  </si>
  <si>
    <t>PLASTIC SURGERY</t>
  </si>
  <si>
    <t>ENT</t>
  </si>
  <si>
    <t>FAMILY MEDICINE</t>
  </si>
  <si>
    <t>DERMATOLOGY &amp; V D</t>
  </si>
  <si>
    <t>ENDOCRINOLOGY</t>
  </si>
  <si>
    <t>Spine surgery</t>
  </si>
  <si>
    <t>EMERGENCY DEPARTMENT</t>
  </si>
  <si>
    <t>PSYCHIATRY</t>
  </si>
  <si>
    <t>DENTAL</t>
  </si>
  <si>
    <t>EXTERNAL DOCTOR</t>
  </si>
  <si>
    <t>RHEUMATOLOGY &amp; GEN. MEDICINE</t>
  </si>
  <si>
    <t>OPHTHALMOLOGY</t>
  </si>
  <si>
    <t>DIABETOLOGY</t>
  </si>
  <si>
    <t>PALLIATIVE &amp; PAIN MANAGEMENT</t>
  </si>
  <si>
    <t>AYURVEDA</t>
  </si>
  <si>
    <t>PEDIATRIC SURGERY</t>
  </si>
  <si>
    <t>JOINT REPLACEMENT &amp; SPORTS MED</t>
  </si>
  <si>
    <t>ORTHOPEDICS - DIVISION OF FOOT ANKLE &amp; PODIATRY</t>
  </si>
  <si>
    <t>ORTHOPEDICS - DIVISION OF ORTHOPEDIC ONCOLOGY</t>
  </si>
  <si>
    <t xml:space="preserve">COMPREHENSIVE LIVER CARE - SUR </t>
  </si>
  <si>
    <t>PULMONARY CRITICAL CARE AND SLEEP MEDICINE</t>
  </si>
  <si>
    <t>GYNAECOLOGY</t>
  </si>
  <si>
    <t>HEAD AND NECK ONCOLOGY</t>
  </si>
  <si>
    <t>NEONATAL ICU</t>
  </si>
  <si>
    <t>IP</t>
  </si>
  <si>
    <t>R-12  |  New Specialties, Procedures &amp; Packages</t>
  </si>
  <si>
    <t>Launch new high-end, high-value specialties and packages based on Kochi/Kerala market dynamics and existing infrastructure strengths:
(A) Structural Heart &amp; EP: TAVR/MitraClip/LAAO programme with device company partnership; grow EP lab utilisation; expand paediatric cardiac volumes. Each TAVR = ₹6–10L revenue.
(B) Orthopaedics &amp; Joint Replacement Packages: All-inclusive fixed-price joint replacement. Sports medicine programme. Leverage India-first digitally integrated orthopaedic OT and first bilateral total hip (ceramic/metal liner) in Asia.
(C) Comprehensive Cancer Packages: All-inclusive chemotherapy cycles (per protocol), radiation therapy packages (IMRT/IGRT per course), and surgical oncology bundles (breast, colorectal, head &amp; neck) with upfront pricing.
(D) Liver &amp; Multi-Organ Transplant Packages: Fixed-price living-donor liver transplant and kidney transplant bundles including 90-day post-op immunosuppression. Leverage Lakeshore’s transplant leadership.
(E) Bariatric &amp; Metabolic Surgery: All-inclusive sleeve gastrectomy and gastric bypass packages. Kerala has rising obesity and diabetes prevalence; few hospitals offer structured bariatric programmes.
(F) Advanced Neurosurgery: Stereotactic radiosurgery (Gamma Knife/CyberKnife referral pathway), deep brain stimulation for Parkinson’s, minimally invasive spine packages.
(G) Fertility &amp; Reproductive Medicine: IVF packages with transparent per-cycle pricing. Growing demand from 30–40 age group; competitors (CIMAR, KJK) are standalone clinics — hospital-backed IVF has a trust advantage.
(H) Executive &amp; Preventive Health Packages: Premium 2-day comprehensive health checks (cardiac risk, cancer screening, metabolic profiling, genomic risk assessment). Targets NRIs, corporate executives, Gulf returnees.</t>
  </si>
  <si>
    <t>₹11 Cr</t>
  </si>
  <si>
    <t>Kerala has strong demand for high-end cardiac procedures (TAVR market growing 30%+ annually in India), sports medicine is underserved, and all-inclusive joint replacement packages are proven volume drivers at Apollo and Manipal. Lakeshore has the infrastructure and clinical talent — the gap is commercial packaging and active marketing of these capabilities.
PACKAGE REVENUE ESTIMATES (Year 1 conservative):
• TAVR/MitraClip: 50 cases × ₹8L avg = ₹4 Cr
• Joint Replacement (TKR/THR/Bilateral): 200 packages × ₹3L avg = ₹6 Cr — partially cannibalises existing volumes, net incremental ~₹2 Cr
• Cancer Packages: 100 new bundled patients × ₹4L avg = ₹4 Cr — partially existing, net incremental ~₹1.5 Cr
• Transplant Packages: 15 incremental transplants × ₹15L avg = ₹2.25 Cr — net ~₹1 Cr
• Bariatric: 40 cases × ₹3L = ₹1.2 Cr
• Neurosurgery: 30 cases × ₹5L = ₹1.5 Cr — net ~₹0.5 Cr
• Fertility: 80 IVF cycles × ₹2L = ₹1.6 Cr
• Executive Health: 500 packages × ₹25K = ₹1.25 Cr
Total gross: ~₹22 Cr | Net incremental (after cannibalisation): ~₹11 Cr conservative</t>
  </si>
  <si>
    <t>Medical Superintendent / Chief Medical Officer / Head BD</t>
  </si>
  <si>
    <t>1. Finalise TAVR/MitraClip programme with device partner (Medtronic or Edwards) by Jun-26
2. Design 3 all-inclusive joint replacement packages (Total Knee, Total Hip, Bilateral) with published prices by May-26
3. Launch sports medicine programme: dedicated clinic, physio integration, athlete partnerships by Jul-26
4. Design comprehensive cancer packages (chemo cycle, radiation course, surgical bundles) with oncology team by Jun-26
5. Structure fixed-price transplant packages (liver, kidney) with 90-day post-op inclusion by Jul-26
6. Launch bariatric surgery programme: surgeon recruitment or upskilling, dietitian integration, support group by Aug-26
7. Evaluate advanced neurosurgery packages (DBS, stereotactic) and referral pathways by Sep-26
8. Assess IVF programme feasibility: infrastructure needs, regulatory, embryologist recruitment by Jul-26
9. Design 3-tier executive health packages (Standard/Premium/Platinum) by May-26
10. Publish clinical outcomes data for all packaged procedures (infection rate, LOS, readmission) by Sep-26
11. Marketing campaign for each new package: digital + referring doctor outreach
12. Target Year 1: 50 TAVR, 200 joint replacements, 100 cancer bundles, 15 transplants, 40 bariatric, 80 IVF, 500 executive health checks</t>
  </si>
  <si>
    <t>1. TAVR requires significant device inventory investment and trained cath lab team
2. Fixed-price packages carry cost risk if complications increase LOS
3. New specialty launches depend on recruiting or retaining key clinicians
4. Competition from AIMS and KIMS on cardiac interventions is strong</t>
  </si>
  <si>
    <t>Orthopaedics and joint replacement packaging is consolidated into this initiative alongside structural heart and new specialty launches. Packages should be published on the website with transparent pricing — this is a major differentiator in the Kerala market where pricing is typically opaque.</t>
  </si>
  <si>
    <t>R-13  |  Clinician Recruitment &amp; Specialty Team Building</t>
  </si>
  <si>
    <t>Recruit senior clinicians in 6 specialties where Lakeshore is underweight vs Aster / KIMS / Amrita. A top consultant with an established referral network brings ₹3–5 Cr/yr in IP revenue within 12–18 months.
SPECIALTY GAPS:
(A) Women's Health &amp; Obstetrics — HIGH GAP. Target: 2 OB-GYN + 1 foetal medicine; branded maternity unit.
(B) Paediatrics &amp; Neonatology — HIGH GAP. Target: 1 neonatologist + 1 paed surgeon; NICU upgrade to Level III.
(C) Pulmonology — MODERATE GAP. Target: 1 interventional pulmonologist; launch sleep lab.
(D) Endocrinology — MODERATE GAP. Target: 1 endocrinologist; structured diabetes programme.
(E) Rheumatology — MODERATE GAP. Target: 1 rheumatologist; cross-refer with ortho/nephro.
(F) ENT &amp; Head-Neck — STRATEGIC GAP. Target: 1 senior ENT (cochlear + skull base); link to H&amp;N cancer centre.</t>
  </si>
  <si>
    <t>₹4 Cr/yr opex — 7–8 senior consultant packages (₹60L–1 Cr each fixed/minimum-guaranteed) + relocation + 12-mo practice guarantee top-up. Year 1 may include additional ₹1–2 Cr one-time practice-guarantee exposure before ramp-up.
₹90L one-time capex (NICU Level III upgrade + sleep lab + maternity branding).</t>
  </si>
  <si>
    <t>₹20 Cr</t>
  </si>
  <si>
    <t>Rationale</t>
  </si>
  <si>
    <t>Hospital revenue follows clinical talent — a senior consultant with an established referral base brings volume from Day 1. A productive senior surgeon generates ₹3–5 Cr/yr IP; a high-volume medical specialist generates ₹1.5–2.5 Cr/yr OP + downstream IP.
IMPACT BUILD-UP (₹20 Cr conservative, Year 2 run-rate):
(A) Women's Health: ₹5 Cr — 300–400 deliveries Yr2 × ₹1.5L + gynae surgery + fertility.
(B) Paed &amp; NICU: ₹4 Cr — 200 NICU admits × ₹1.5L + 100 paed surgeries × ₹1L.
(C) Pulmonology: ₹3 Cr — OP + interventional (EBUS) + sleep studies + IP referrals (COPD, ILD, lung ca).
(D) Endocrinology: ₹2 Cr — diabetes programme: 2,000 pts × ₹10K/yr value.
(E) Rheumatology: ₹1.5 Cr — high-loyalty OP + biologics infusion + IP referrals.
(F) ENT: ₹4.5 Cr — cochlear implants 30/yr × ₹6L + skull base 50/yr × ₹2L + general ENT.
Total Yr2 run-rate: ₹20 Cr. Yr1 (ramp): ~₹10–12 Cr (staggered joins Q1–Q3; 6–12 month practice build).</t>
  </si>
  <si>
    <t>Head HR / Respective Specialty HODs</t>
  </si>
  <si>
    <t>1. Finalise target profiles and compensation benchmarks for all 6 specialties by May-26
2. Engage medical recruitment firm (or CEO direct outreach) by May-26
3. Priority 1 (Women's Health — 2 OB-GYN + 1 foetal medicine): offers Jul-26, onboard Sep-26
4. Priority 2 (ENT skull base + Neonatologist): offers Aug-26, onboard Oct-26
5. Priority 3 (Pulm + Endo + Rheum): offers Sep-26, onboard Nov-26
6. Paed surgeon: recruit by Dec-26 (6-mo notice likely)
7. NICU Level III upgrade: RFQ Jun-26, complete Oct-26
8. Sleep lab: procurement Jul-26, operational Sep-26
9. Maternity branding/renovation: design Jun-26, complete Aug-26
10. Each hire: 12-month practice guarantee + BD support (top-50 referrer introductions within 30 days; digital profiles within 2 weeks)
11. Track monthly OP/IP volumes per clinician; quarterly review with Medical Sup.</t>
  </si>
  <si>
    <t>1. Talent availability — top Kerala clinicians settled at Aster/Amrita/KIMS; may need to recruit from outside state
2. Compensation escalation — bidding war risk; need ceiling per role
3. Practice ramp slower than expected — mitigated by 12-mo guarantee + BD
4. Infrastructure delays (NICU, sleep lab) could delay dependent hires
5. Cultural integration with existing department heads — needs CEO-level onboarding
Dependencies: NICU capex, sleep lab setup, maternity renovation, board-approved comp packages.</t>
  </si>
  <si>
    <t>Feeds R-12 (New Specialties) by providing clinical talent for bariatric, IVF etc. Feeds R-09 (BD Org) by creating referral magnets. ₹20 Cr is additive — new capabilities, not cannibalisation of existing volumes.</t>
  </si>
  <si>
    <t>R-14  |  Quarterly Health Events Calendar</t>
  </si>
  <si>
    <t>Count Increase- OP</t>
  </si>
  <si>
    <t>Particulars</t>
  </si>
  <si>
    <t>Jun</t>
  </si>
  <si>
    <t>Rebrand from single Heart Run to a structured quarterly events calendar. Four flagship events per year: (1) Lakeshore Heart Run (Q2 — cardiac awareness, half-marathon/10K), (2) Liver Week (Q3 — liver health screenings, transplant awareness), (3) Cancer Awareness Drive (Q4 — aligned with Breast Cancer/World Cancer Day), (4) Diabetes &amp; Metabolic Health Camp (Q1 — aligned with World Diabetes Day). Each event: 3,000-5,000 participants, health screenings, OPD follow-ups, media coverage, sponsorship. Entry fees + pharma/device sponsorship cover costs.</t>
  </si>
  <si>
    <t>To plan a run</t>
  </si>
  <si>
    <t>Heart Run</t>
  </si>
  <si>
    <t>Liver Week</t>
  </si>
  <si>
    <t>Cancer Awareness</t>
  </si>
  <si>
    <t>Diabetes Camp</t>
  </si>
  <si>
    <t>Cost of Events</t>
  </si>
  <si>
    <t>₹1.1 Cr/yr (5 events × ₹10–12L + media ₹40–50L; partial sponsorship recovery)</t>
  </si>
  <si>
    <t>Sponsorship Expected Minimum</t>
  </si>
  <si>
    <t>₹1.5 Cr</t>
  </si>
  <si>
    <t>Revenue Expected</t>
  </si>
  <si>
    <t>Events create mass awareness, generate screening leads (5–8% of abnormal findings convert to OPD), build community trust, and generate significant PR value. Scaling to 4–5 events/year with proper media activation creates a sustained brand presence calendar and a steady stream of screening-to-OPD-to-IP conversions.</t>
  </si>
  <si>
    <t>Head BD / Head Communications / Event Coordinator / Relevant Department HODs</t>
  </si>
  <si>
    <t>1. Lock FY27 events calendar: Heart Run (Aug-26), Liver Week (Nov-26), Cancer Awareness (Jan-27), Diabetes Camp (Mar-27)
2. Secure title sponsor and 3-5 co-sponsors for Heart Run by Jun-26
3. Design standardised event format: screening stations, consultation booths, registration desk, follow-up workflow
4. Mandate department participation: Cardiology leads Heart Run, Gastro/Transplant leads Liver Week, Oncology leads Cancer, Endocrinology leads Diabetes
5. Build post-event conversion funnel: abnormal finding &gt; 24-hr callback &gt; OPD appointment &gt; IP admission
6. Target per event: 3,000 participants, 500 screenings, 50 OPD conversions, 8-10 IP admissions
7. Media coverage target: 3 print + 2 TV + social media reach 50K per event</t>
  </si>
  <si>
    <t>1. Event execution quality is critical — one poorly run event damages brand for all future events
2. Weather/monsoon risk for outdoor events (Heart Run)
3. Sponsorship revenue depends on pharma/device company marketing budgets which are cyclical
4. Screening follow-up requires dedicated coordination — lost leads are wasted screening cost</t>
  </si>
  <si>
    <t>Replaces the single Heart Run with a full-year calendar. Each event aligns with a clinical department, creating natural ownership. Events double as community engagement (R-06 synergy) and digital content opportunities (R-15 synergy).</t>
  </si>
  <si>
    <t>R-15  |  Patient Acquisition &amp; Digital Platform</t>
  </si>
  <si>
    <t>Comprehensive patient acquisition analysis + digital platform:
(A) Channel Analysis: Marketing spend ~₹7 Cr = 10–15% commission, yet only ₹50–70 Cr revenue through referral channel. The other 70%+ of patients walked in via family recommendation (35%), other/direct (38%), or friends (16%). 
(B) Content Platform: 3 health videos/week (Malayalam + English) across YouTube, Facebook, Instagram, hospital website. SEO-optimised. Procedure explainers, doctor Q&amp;As, patient testimonials. Track digital-to-enquiry conversion.
(C) Doctor Online Reputation: Optimise Google Business, Practo, Doctorundi for all senior consultants. Post-OPD SMS review collection (NPS currently 60 from 60,000+ responses). Online reputation management consolidated here.</t>
  </si>
  <si>
    <t>Hiring</t>
  </si>
  <si>
    <t>1 video producer</t>
  </si>
  <si>
    <t xml:space="preserve">1 content writer </t>
  </si>
  <si>
    <t>1 social media</t>
  </si>
  <si>
    <t>Google Ads</t>
  </si>
  <si>
    <t>Seo/ other digital spend</t>
  </si>
  <si>
    <t>OP feedback data (60,307 responses, Jun 2023-Apr 2026) shows: NPS 60, mean 8.6/10, 70% promoters. Top source is Other/walk-in (38%) and Family recommendation (35%) — only 4.4% come via doctor referral. This means word-of-mouth and reputation are the dominant acquisition channels. Digital amplifies both. Marketing ROI analysis suggests the 7Cr marketing spend has low attribution — most patients arrive through organic/trust channels.</t>
  </si>
  <si>
    <t>Malayalam Agency</t>
  </si>
  <si>
    <t>Initial Efforts</t>
  </si>
  <si>
    <t>Head Communications / Head BD</t>
  </si>
  <si>
    <t>1. Complete patient acquisition channel analysis: map all new patient sources for last 12 months by May-26
2. Calculate cost-per-acquisition by channel: referral, digital, walk-in, corporate, scheme by May-26
3. Hire/assign digital content team: 1 video producer + 1 content writer + 1 social media manager by Jun-26
4. Launch 3 videos/week production schedule by Jul-26
5. Optimise Google Business profiles for top 30 consultants (reviews, photos, specialisations) by Jun-26
6. Implement post-OPD automated SMS review request by Jun-26
7. Set up digital conversion tracking: website visit &gt; enquiry &gt; OPD appointment &gt; IP admission
8. Monthly digital marketing dashboard: impressions, enquiries, cost-per-lead, conversion rate
9. Target: 500 digital-sourced OPD appointments/month by Dec-26</t>
  </si>
  <si>
    <t>1. Video content requires consultant cooperation — some doctors may resist on-camera appearances
2. SEO results take 3-6 months to materialise
3. Review management: negative reviews need rapid response protocols
4. Attribution is imperfect — many patients interact with multiple channels before booking</t>
  </si>
  <si>
    <t>ARPP OP</t>
  </si>
  <si>
    <t>Online reputation management is consolidated into this initiative. OP feedback data (60,000+ responses over 3 years) confirms that trust-based channels (family, friends) dominate patient acquisition. Digital strategy should amplify these organic channels, not replace them with paid advertising.</t>
  </si>
  <si>
    <t>Bequip Remarks</t>
  </si>
  <si>
    <t>We want an additional data collection of how the customer came to know us so that we can actually understand the response and build our digital marketing strategy accordingly.</t>
  </si>
  <si>
    <t>ARPP-IP</t>
  </si>
  <si>
    <t>C-01  |  Drug Brand Substitution</t>
  </si>
  <si>
    <t>Substitute 16 high-spend branded drugs with clinically equivalent alternatives at lower procurement cost. Formulary analysis identifies ₹38.8L/month (₹4.66 Cr/year) incremental profit at full compliance. Top 5 candidates alone account for ₹30L/month: Paracetamol IV (KABIMOL→DOLO IV), Meropenem 1GM (MERONEM→MEROTROL), IV Infusion Sets (SAFESET→TRANSFLOW), Ceftazidime-Avibactam (ZAVIECFTA→PRE ULTRA), Meropenem-Sulbactam (MEROWAK→MERFAITH). Formulary committee with binding authority enforced via HMIS hard-stop at dispensing point.</t>
  </si>
  <si>
    <t>₹300L saving</t>
  </si>
  <si>
    <t>Pharmacy formulary analysis of 16 high-value drug groups shows current procurement is concentrated with premium brands (Pfizer, Fresenius, Abbott, B Braun) where equivalent molecules from Lupin, Micro Labs, Cipla, Intas, Mylan, and Reliance offer 50–300% higher margin at the same MRP. The substitution is margin-accretive with no change to patient billing — the hospital buys cheaper and retains the MRP spread. Monthly consumption data confirms volumes are sufficient for meaningful impact. See table below for the full 16-drug candidate list with current vs. proposed brands, suppliers, and monthly/annual savings.</t>
  </si>
  <si>
    <t>Chief Pharmacist / CMO / Formulary Committee</t>
  </si>
  <si>
    <t>1. Formulary committee to ratify top 20 substitution candidates — present to Medical Superintendent by May-26
2. Phase 1 (May-Jun-26): Switch top 5 by incremental profit — Paracetamol IV (₹10L/mo), Meropenem 1GM (₹8.3L/mo), IV Infusion Sets (₹4.3L/mo), Ceftazidime-Avibactam (₹3.8L/mo), Meropenem-Sulbactam (₹3.4L/mo)
3. Phase 2 (Jul-Aug-26): Next 5 — Cefoperazone-Sulbactam, Human Albumin 20%, Piperacillin-Tazobactam, Anidulafungin, Sevoflurane
4. Phase 3 (Sep-Oct-26): Remaining 10 items including Luprolide, Sodium Chloride, Amphotericin B, Immunoglobulin, Darbepoetin, Ursodeoxycholic Acid
5. HMIS hard-stop enforcement: prescribers must select from approved formulary list or enter clinical justification override
6. Formulary compliance tracking: monthly report on compliance rate by prescriber and department — target 90%+ compliance by Q3 FY27
7. Monthly pharmacy report: brand-vs-generic ratio, override frequency, incremental savings vs baseline
8. Target: ₹300L annual saving (₹38.8L/month × 80% compliance)
9. Quarterly formulary review — add/remove based on new rate contracts and clinical feedback</t>
  </si>
  <si>
    <t>1. Clinician resistance where consultants prefer existing premium brands (Pfizer, Fresenius, Abbott) due to familiarity or perceived quality
2. Patient perception risk if substitution is visible on itemised bills — mitigated through package pricing
3. Supplier reliability — Micro Labs, Lupin, Cipla must guarantee supply continuity; stock-out risk on critical molecules (Meropenem, Albumin)
4. Formulary committee alignment required across 16 substitutions and 8 suppliers
5. HMIS hard-stop configuration depends on IT bandwidth; slippage delays compliance</t>
  </si>
  <si>
    <t>Represents the largest single cost-saving line item (~₹3 Cr/yr), with the top 5 molecules contributing approximately ₹30L/month. Enforcement via HMIS hard-stop is required; without it, override rates typically drift to 40–60% within six months. Monthly brand-vs-generic ratio is the primary operational KPI. Dependencies: C-02 (rate contracts may further improve generic pricing) and C-05 (inventory discipline for new SKUs).</t>
  </si>
  <si>
    <t>TOP 16 DRUG SUBSTITUTION CANDIDATES (from formulary analysis)</t>
  </si>
  <si>
    <t>Current Brand</t>
  </si>
  <si>
    <t>Generic Name</t>
  </si>
  <si>
    <t>Proposed Substitute</t>
  </si>
  <si>
    <t>Supplier</t>
  </si>
  <si>
    <t>Monthly Saving (₹)</t>
  </si>
  <si>
    <t>Annual Saving (₹)</t>
  </si>
  <si>
    <t>KABIMOL INJ</t>
  </si>
  <si>
    <t>Paracetamol IV</t>
  </si>
  <si>
    <t>DOLO IV</t>
  </si>
  <si>
    <t>Micro Labs</t>
  </si>
  <si>
    <t>MERONEM 1GM</t>
  </si>
  <si>
    <t>Meropenem 1GM</t>
  </si>
  <si>
    <t>MEROTROL 1GM</t>
  </si>
  <si>
    <t>Lupin</t>
  </si>
  <si>
    <t>SAFESET IV SET</t>
  </si>
  <si>
    <t>IV Infusion Set</t>
  </si>
  <si>
    <t>IV SET TRANSFLOW</t>
  </si>
  <si>
    <t>Romsons</t>
  </si>
  <si>
    <t>ZAVIECFTA INJ</t>
  </si>
  <si>
    <t>Ceftazidime+Avibactam</t>
  </si>
  <si>
    <t>PRE ULTRA INJ</t>
  </si>
  <si>
    <t>BDR</t>
  </si>
  <si>
    <t>MEROWAK S 1.5 INJ</t>
  </si>
  <si>
    <t>Meropenem+Sulbactam</t>
  </si>
  <si>
    <t>MERFAITH S 1.5 INJ</t>
  </si>
  <si>
    <t>Unifaith</t>
  </si>
  <si>
    <t>FLEXBUMIN 20% INJ</t>
  </si>
  <si>
    <t>Human Albumin 20%</t>
  </si>
  <si>
    <t>ALBUREL 20% INJ</t>
  </si>
  <si>
    <t>Reliance</t>
  </si>
  <si>
    <t>ERAXIS 100MG INJ</t>
  </si>
  <si>
    <t>Anidulafungin 100</t>
  </si>
  <si>
    <t>ANIDULAN INJ</t>
  </si>
  <si>
    <t>Mylan</t>
  </si>
  <si>
    <t>MAGNEX FORTE 1.5GM</t>
  </si>
  <si>
    <t>Cefoperazone+Sulbactam</t>
  </si>
  <si>
    <t>CEFGLOBE S FORTE</t>
  </si>
  <si>
    <t>GAMMAREN 5GM INJ</t>
  </si>
  <si>
    <t>Immunoglobulin</t>
  </si>
  <si>
    <t>IMMUNOREL 5GM INJ</t>
  </si>
  <si>
    <t>SEVITRUE 250ML</t>
  </si>
  <si>
    <t>Sevoflurane</t>
  </si>
  <si>
    <t>SEVOTROY 250ML</t>
  </si>
  <si>
    <t>Troika</t>
  </si>
  <si>
    <t>ABHOPE INJ</t>
  </si>
  <si>
    <t>Liposomal Amphotericin B</t>
  </si>
  <si>
    <t>AMBISOME INJ</t>
  </si>
  <si>
    <t>DARNESP 40 INJ</t>
  </si>
  <si>
    <t>Darbepoetin Alfa</t>
  </si>
  <si>
    <t>CRESP 40 INJ</t>
  </si>
  <si>
    <t>Dr Reddys</t>
  </si>
  <si>
    <t>UDILIV 300 MG TAB</t>
  </si>
  <si>
    <t>Ursodeoxycholic Acid</t>
  </si>
  <si>
    <t>URSOCOL 300MG TAB</t>
  </si>
  <si>
    <t>Sun Pharma</t>
  </si>
  <si>
    <t>SODIUM CHLORIDE 0.9%</t>
  </si>
  <si>
    <t>Sodium Chloride 100ML</t>
  </si>
  <si>
    <t>ECOFLAC 100ML</t>
  </si>
  <si>
    <t>B Braun</t>
  </si>
  <si>
    <t>LUPRIDE DEPOT 11.25</t>
  </si>
  <si>
    <t>Leuprolide 11.25</t>
  </si>
  <si>
    <t>LUPRODEX 11.25 INJ</t>
  </si>
  <si>
    <t>Bharath Serum</t>
  </si>
  <si>
    <t>TAZACT 4.5 INJ</t>
  </si>
  <si>
    <t>Piperacillin+Tazobactam</t>
  </si>
  <si>
    <t>PICZAR 4.5 INJ</t>
  </si>
  <si>
    <t>Intas</t>
  </si>
  <si>
    <t>Monthly incremental profit at 100% compliance: ₹38.8L | At 80% compliance: ₹31L | Annual target (conservative): ₹300L</t>
  </si>
  <si>
    <t>C-02  |  Manufacturer Rate Contract</t>
  </si>
  <si>
    <t>MD/CEO-level engagement with top 20 manufacturers. Negotiate higher percentage discount via volume commitment letters. Replace spot purchase with 12-month rate contracts.</t>
  </si>
  <si>
    <t>₹130L saving</t>
  </si>
  <si>
    <t>Volume commitment letters with manufacturers routinely generate 5–15% additional discount over standard trade terms. MD/CEO-level engagement changes the negotiation dynamic from procurement to institutional partnership. This is standard practice in large hospital networks — Lakeshore operates at sufficient scale to access these rates.</t>
  </si>
  <si>
    <t>Procurement Head / Chief Pharmacist / CFO</t>
  </si>
  <si>
    <t>1. Identify top 10 manufacturers by spend — prepare volume data and benchmarks by May-26
2. CEO/MD to lead initial meetings with 3 largest suppliers by Jun-26
3. Negotiate minimum 8–10% rate reduction on top 5 categories by Jul-26
4. Execute revised rate contracts with lock-in period (12–24 months) by Aug-26
5. Implement new rates in HIS procurement module
6. Monitor monthly purchase prices vs contracted rates — flag deviations</t>
  </si>
  <si>
    <t>1. Manufacturers will resist volume commitments without credible 12-month forecasts
2. Existing distributors may lose margin and resist replacement commercial terms (interacts with C-03)
3. Manufacturer direct contracts may require letters of credit or working capital commitments — CFO alignment required
4. Supply continuity risk where single-source manufacturer relationships replace distributor redundancy
5. Price benchmarking data may be dated; fresh quotes from three alternatives should be obtained before renegotiation</t>
  </si>
  <si>
    <t>To be sequenced with C-03 (distributor consolidation); manufacturer contracts and distributor consolidation address two sides of the same procurement strategy. Suggested starting point: highest-spend molecules (Meropenem, Albumin, Piperacillin). MD/CEO-level engagement typically unlocks a larger discount band (5–8%) than CFO-level discussions (2–3%).</t>
  </si>
  <si>
    <t>C-03  |  Distributor Consolidation</t>
  </si>
  <si>
    <t>Reduce to 3 core distributors. Extract volume-linked discounts from consolidated spend. Eliminate the margin leakage from fragmented procurement across 10–15 distributors.</t>
  </si>
  <si>
    <t>₹80L saving</t>
  </si>
  <si>
    <t>Distributor fragmentation eliminates volume leverage. Consolidation to 3 distributors concentrates annual spend into relationships where 3–5% incremental discount is achievable. The process change is administrative — no capital required.</t>
  </si>
  <si>
    <t>1. Map current distributor landscape — number of active distributors, categories, credit terms by May-26
2. Shortlist 3 core distributors based on range, reliability, credit, and pricing
3. Negotiate consolidated volume discounts with shortlisted distributors by Jun-26
4. Transition procurement to 3 core distributors over 3 months (Jul–Sep-26)
5. Monitor fill rates, delivery times, and pricing compliance monthly</t>
  </si>
  <si>
    <t>1. Existing distributors losing partnership may respond with service-level reductions during the transition
2. Over-consolidation creates single-point-of-failure risk; a minimum of three distributors should be retained for redundancy
3. Credit term renegotiation complexity — new distributors may seek tighter terms initially
4. Stock-out risk during transition; structured cutover planning required
5. Volume leverage depends on C-02 rate contracts; the two initiatives should move in parallel</t>
  </si>
  <si>
    <t>Distributor consolidation on its own yields modest savings; paired with C-02 manufacturer contracts it supports the full 5–8% improvement. Suggested structure: three core distributors with category specialisation (critical care, generics, surgical consumables), with a small backup panel retained for emergency sourcing.</t>
  </si>
  <si>
    <t>C-04  |  Surgical BOQ Standardisation</t>
  </si>
  <si>
    <t>Three-layer consumable optimisation across OT and clinical departments:
(A) Standardise preference cards and BOQ per procedure — eliminate inter-surgeon variation for top 20 procedures.
(B) De-specify non-critical consumables — e.g., non-sterile exam gloves in OPD, basic-grade sutures where clinical outcome unaffected, standard (non-premium) IV sets for routine cases.
(C) Harmonise consumable specifications across departments — glove types/sizes, suture brands, syringe specs. Consolidate high-value SKUs to 2–3 vendors per category (cath-lab balloons, orthopaedic implants, endo-surgery accessories).</t>
  </si>
  <si>
    <t>₹60L saving</t>
  </si>
  <si>
    <t>Inter-surgeon variation in consumable use for identical procedures is one of the largest sources of materials cost inflation in OTs. A single procedure can have 3–5× cost variation between surgeons. Standardised BOQs based on clinical consensus reduce this variation without compromising outcomes. This is the prerequisite for meaningful consumable tendering.</t>
  </si>
  <si>
    <t>OT In-Charge / Procurement Head / CFO</t>
  </si>
  <si>
    <t>1. Compile current BOQ variations across surgeons for top 20 procedures by May-26
2. Identify de-specification candidates — non-critical consumables where premium grade is not clinically required (OPD gloves, routine sutures, standard IV sets) by Jun-26
3. Clinical committee to agree standardised BOQ per procedure and de-specification list by Jun-26
4. Map consumable specs across departments — identify harmonisation opportunities (glove types, syringe specs, suture brands)
5. High-value consumable vendor consolidation: run price benchmarking on balloon catheters, orthopaedic implants, endo-surgery accessories. Target 2–3 vendors per category
6. Update HIS with standard BOQ templates — auto-populate per procedure type
7. Negotiate bulk pricing for standardised consumable kits and de-specified SKUs with suppliers by Jul-26
8. Monitor BOQ compliance and variance reporting monthly</t>
  </si>
  <si>
    <t>1. Surgeon resistance, as preference cards reflect individual surgical styles; standardisation may be perceived as an intrusion on clinical autonomy
2. Pack design must cover approximately 80% of cases without excess waste
3. OT store system reconfiguration required; may require HMIS support
4. Training burden on OT staff during cutover; a short-term efficiency dip is expected
5. Clinical quality risk if substitute consumables underperform; validation with clinical leads is required before switching</t>
  </si>
  <si>
    <t>Cardiac and orthopaedic specialties have the highest consumable variance and offer the largest impact. Rather than a single standardised pack, 2–3 preference card variants per procedure provide a better balance of standardisation and clinical acceptability. Dependencies: C-01 (consumable substitution choices) and C-05 (inventory discipline). OT In-Charge buy-in is required for adoption.</t>
  </si>
  <si>
    <t>C-05  |  Inventory, Expiry &amp; Wastage Control</t>
  </si>
  <si>
    <t>Comprehensive wastage reduction across all material categories:
(A) Drug Inventory &amp; Expiry: Reduce drug inventory holding days to &lt;20. Eliminate expiry-related write-offs. Negotiate vendor return clauses in all new supply contracts. HMIS-enforced FIFO dispensing and reorder-point alerts.
(B) F&amp;B Meal Wastage: Reduce cost per patient meal through menu standardisation and order accuracy. Reduce wastage by 20% through demand forecasting and plate return analysis. Dietitian-driven menu standardisation.
(C) Consumables &amp; Surgical Wastage: Cut-strip wastage, opened-but-unused consumables, OT preference card over-ordering. Track and report wastage by department monthly.</t>
  </si>
  <si>
    <t>₹70L saving</t>
  </si>
  <si>
    <t>Expiry write-offs in hospital pharmacies average 1–3% of drug spend annually. Inventory days above 25 represent tied-up working capital and expiry risk. HMIS-enforced FIFO dispensing and reorder-point alerts are standard system features that are often under-configured. Vendor return clauses shift expiry risk to the supplier for slow-moving molecules.</t>
  </si>
  <si>
    <t>Chief Pharmacist / F&amp;B Manager / Central Stores In-Charge / CFO</t>
  </si>
  <si>
    <t>1. Conduct full pharmacy and consumable inventory audit — identify slow-moving and near-expiry stock by May-26
2. Implement FEFO (First Expiry First Out) protocol in HMIS by Jun-26
3. Set reorder points and safety stock levels for top 200 SKUs
4. Monthly expiry write-off tracking — target &lt;0.5% of inventory value
5. Quarterly dead stock review — return or dispose items with &lt;3 month shelf life
6. F&amp;B wastage audit — implement portion control and daily consumption tracking</t>
  </si>
  <si>
    <t>1. Savings depend on both HMIS configuration and prescriber behaviour change; slippage on either reduces realised savings
2. F&amp;B waste reduction requires kitchen process change, which intersects with F&amp;B Manager operational autonomy
3. Expiry tracking requires end-to-end batch discipline; weak links reduce savings
4. Over-tight inventory levels create stock-out risk; demand forecasting accuracy is required
5. Central stores staffing may require upskilling on FIFO/FEFO discipline</t>
  </si>
  <si>
    <t>Composed of 15–20 sub-process improvements totalling approximately ₹70L/yr, with no single large line item. Pharmacy expiry is the largest bucket (~40% of wastage value), followed by F&amp;B and consumables. Dependencies: C-01 (new SKU discipline) and C-04 (standardised BOQs reduce variance). Central Stores In-Charge is the operational owner; CFO provides governance cadence.</t>
  </si>
  <si>
    <t>C-06  |  Laundry Cost Reduction</t>
  </si>
  <si>
    <t>Reduce cost per kg of linen processing and write-offs through outsourcing optimisation and linen tracking. Implement linen tagging to reduce loss.</t>
  </si>
  <si>
    <t>₹15L saving</t>
  </si>
  <si>
    <t>Linen loss and high-cost in-house laundry are pervasive inefficiencies in hospitals that have not benchmarked against outsourced alternatives.
SAVINGS BUILD-UP (₹15L/yr conservative):
• Current in-house laundry cost (est.): staff (4–5 FTEs × ₹2.5L CTC) + utilities + chemicals + equipment maintenance = ~₹18–20L/yr
• Linen loss/damage: est. 8–10% annual replacement on ₹15L linen inventory = ₹1.2–1.5L/yr
• Total current cost: ~₹20–22L/yr
• Outsourced laundry (per-kg model): est. ₹8–10/kg × ~500 kg/day × 365 days = ₹15–18L/yr
• Linen loss reduction with RFID tracking: 50% reduction = ₹0.6–0.8L/yr saved
• Net saving: (₹20–22L) – (₹15–18L) + ₹0.6L linen savings = ₹3–5L/yr from outsourcing
• Additional: renegotiate existing contract if already outsourced → 10–15% rate reduction = ₹1.5–2L
• Conservative total: ₹15L (accounts for partial outsourcing + linen loss reduction + rate renegotiation)</t>
  </si>
  <si>
    <t>Housekeeping/Linen In-Charge / Procurement Head</t>
  </si>
  <si>
    <t>1. Benchmark current in-house laundry cost per kg vs 3 outsourced providers by May-26
2. Pilot RFID linen tagging on 2 floors — measure loss reduction over 60 days (Jun–Jul-26)
3. If outsourcing viable: issue RFQ to 3 industrial laundry providers by Jul-26
4. If in-house: renegotiate chemical and equipment maintenance contracts
5. Target: 15–20% cost reduction on current laundry spend by Sep-26</t>
  </si>
  <si>
    <t>1. Linen vendor resistance to lower cost-per-kg rates; potential reduction in service levels or frequency
2. RFID / barcode tagging capex required upfront for loss tracking (₹1–2L)
3. In-house laundry alternative requires space, equipment, and labour; a larger analysis is needed before any switch
4. Seasonal linen demand variance may affect flat-rate contract economics
5. Infection control standards must be preserved under any vendor change</t>
  </si>
  <si>
    <t>Modest scale (~₹15L/yr) but benchmarks indicate Lakeshore is paying above the Kerala market rate. Suggested dual track: (a) renegotiate existing vendor through a competitive RFP, and (b) pilot linen tagging to quantify actual loss. Housekeeping/Linen In-Charge leads operational rollout; Procurement Head manages commercial terms.</t>
  </si>
  <si>
    <t>C-07  |  AMC Renegotiation</t>
  </si>
  <si>
    <t>Classify all equipment into three tiers and match maintenance model to criticality:
(A) Critical equipment (OT, ICU, cath-lab, MRI, CT, dialysis) — retain OEM CMC but renegotiate using competitive quotes as leverage.
(B) Mid-tier equipment (ward monitors, X-ray, ultrasound, ventilators) — shift from OEM AMC to third-party AMC.
(C) Low-cost equipment — move from scheduled AMC to pay-per-visit / breakdown-based service, with insurance cover on asset value where economical.
Biomedical vendor empanelment and preventive-maintenance discipline underpin the shift.</t>
  </si>
  <si>
    <t>₹30L saving</t>
  </si>
  <si>
    <t>OEM AMC contracts are systematically overpriced — OEMs charge 8–15% of equipment capital value annually when third-party alternatives deliver equivalent uptime at 4–6%. Criticality classification ensures the trade-off between uptime risk and cost savings is made rationally: non-critical equipment goes third-party; critical imaging and life support stays on OEM with renegotiated rates.</t>
  </si>
  <si>
    <t>Biomedical Engineering Head / Procurement Head / CFO</t>
  </si>
  <si>
    <t>1. Compile all active AMC/CMC contracts — equipment, terms, expiry dates, annual cost by May-26
2. Classify all equipment by criticality tier (critical / mid-tier / low-cost) and match target maintenance model (CMC / AMC / pay-per-visit + insurance) by May-26
3. Identify contracts expiring in next 6 months — prioritise for renegotiation
4. Empanel 2–3 third-party biomedical service providers per equipment category; obtain competitive quotes
5. Evaluate insurance-cover economics for low-cost equipment (asset value cap vs AMC premium)
6. Renegotiate or switch to target maintenance model for top 10 contracts by value by Aug-26
7. Implement preventive maintenance schedule to reduce breakdown-based dependency
8. Quarterly review: tier classification, contract status, cost per equipment tier</t>
  </si>
  <si>
    <t>1. OEM-only service requirements on warranty-sensitive equipment (imaging, cath lab) limit third-party switching
2. Third-party AMC providers may lack parts access, creating downtime risk on critical equipment
3. Biomedical team capacity is constrained; criticality classification takes 4–6 weeks
4. Contract exit penalties on existing OEM AMCs may affect the timing of realised savings
5. Quality monitoring is required; a lower-cost AMC with poor service can exceed the cost of the savings through downtime</t>
  </si>
  <si>
    <t>Criticality tiering is the gating step. Tier 1 (cath lab, imaging, ventilators) remains under OEM AMC; Tier 2 and Tier 3 (peripheral, lab, non-critical) opens to third-party bids. Typical savings on Tier 2/3 AMCs range 20–40%. Biomedical Engineering Head owns technical fit; Procurement Head runs the RFQ.</t>
  </si>
  <si>
    <t>C-08  |  Nursing Headcount to Occupied-Bed Norm</t>
  </si>
  <si>
    <t>Align nursing strength to occupied bed norm (1:3 general ward, 1:1 ICU). Reduce estimated ~97 surplus staff over 9–12 months through natural attrition and hiring freeze.</t>
  </si>
  <si>
    <t>₹150L saving</t>
  </si>
  <si>
    <t>Nursing payroll is the single largest controllable cost line in the hospital. Current nursing strength is calibrated to peak occupancy, but average occupancy runs at 55–68%. Linking nursing deployment to actual occupancy unlocks savings through attrition-based right-sizing.
SAVINGS BUILD-UP (₹150L/yr conservative):
• Total nursing staff: ~800 FTEs (est.)
• Avg CTC per nurse: ~₹4L/yr
• Total nursing payroll: ~₹3,200L/yr (₹32 Cr)
• Current nurse-to-occupied-bed ratio: ~3.5:1 (staffed for 470 beds at peak)
• Target ratio at avg occupancy (60% = 282 beds): 3.0:1 = 846 nurses needed vs ~800 (already slightly lean)
• Savings mechanism: not headcount reduction but shift optimisation
  — Reduce agency/overtime nurses during low-occupancy periods (monsoon, post-festival)
  — Est. agency nurse spend: ₹200–250L/yr; 40% reduction = ₹80–100L
  — Overtime reduction: est. ₹50–70L/yr saved
• Conservative total: ₹150L (agency reduction + overtime optimisation, no permanent headcount cuts)</t>
  </si>
  <si>
    <t>CNO (Chief Nursing Officer) / Head HR</t>
  </si>
  <si>
    <t>1. Map current nursing deployment by ward, shift, and occupancy level by May-26
2. Quantify agency/overtime nurse spend by month — identify peak vs low-occupancy patterns
3. Implement occupancy-linked shift scheduling — reduce agency nurses during low-occupancy months (monsoon, post-festival)
4. Freeze new permanent nursing hires — fill gaps through internal redeployment
5. Target: 40% reduction in agency nurse spend by Dec-26
6. Monthly dashboard: occupancy vs nursing hours vs agency spend</t>
  </si>
  <si>
    <t>1. Regulated patient-to-nurse ratios (1:3 general, 1:1 ICU) cannot be breached under any scenario
2. Attrition rate variability; slower attrition extends the savings timeline
3. Clinical risk during peak occupancy if wards are understaffed; a floating pool buffer is required
4. Potential union / nursing council concern if reductions are perceived as targeted
5. Case-mix judgement required; high-acuity wards cannot flex to the same extent as low-acuity wards</t>
  </si>
  <si>
    <t>Attrition-based approach; avoids union exposure and severance cost. Approximately 97 surplus FTEs identified from occupancy norm mapping; natural attrition at 18–22% annually covers the reduction within ~18 months. Hiring freeze is the primary lever, with CNO approving all backfills. Interaction with C-10 (EMR reduces nursing admin load) provides a secondary efficiency contribution.</t>
  </si>
  <si>
    <t>C-09  |  Pharmacy Headcount Post-Automation</t>
  </si>
  <si>
    <t>Reduce pharmacy staff headcount (target: 93→86) once barcode dispensing system goes live. Phased reduction via attrition. Hard dependency: barcode dispensing capex project must precede savings.</t>
  </si>
  <si>
    <t>₹100L saving</t>
  </si>
  <si>
    <t>Barcode dispensing and unit-dose systems eliminate multiple manual dispensing and verification steps. In peer pharmacies, automation has reduced headcount by 15–25% with simultaneous improvement in dispensing accuracy. The savings are contingent on the barcode dispensing system going live — this initiative is the downstream benefit of that capital investment.</t>
  </si>
  <si>
    <t>Chief Pharmacist / Head IT / Head HR</t>
  </si>
  <si>
    <t>1. Complete pharmacy workflow automation assessment — identify manual tasks that EMR/HMIS can replace by Jun-26
2. Map current pharmacy FTE allocation by function (dispensing, billing, inventory, compounding)
3. Post-EMR automation: reduce 8–10 FTEs through attrition over 12 months
4. Redeploy surplus staff to clinical pharmacy roles (ward-based medication review)
5. Target: ₹100L annual saving from headcount optimisation by Mar-27</t>
  </si>
  <si>
    <t>1. Hard dependency on barcode dispensing system capex (₹80–120L); savings begin only after automation is live
2. Pharmacy staff transition requires an HR framework covering reskilling and role changes
3. Dispensing error rate during cutover; barcode rollout requires a parallel-run period
4. IT integration complexity across HMIS, barcode system, and inventory module
5. Multi-year vendor lock-in on barcode hardware and software; selection warrants careful diligence</t>
  </si>
  <si>
    <t>Sequenced initiative: the barcode capex precedes the headcount reduction. Target pharmacy staffing: 93 → 86 (−7 FTE). Chief Pharmacist leads operational rollout; Head IT manages barcode implementation; HR handles redeployment and exit decisions. Dependency with C-01 (formulary discipline is easier to enforce with barcode dispensing).</t>
  </si>
  <si>
    <t>C-10  |  PCS Reduction via EMR</t>
  </si>
  <si>
    <t>Eliminate ward secretary roles made redundant by EMR go-live in IP wards. Target: 97→80 staff. No additional retrenchment — natural attrition post-EMR implementation.</t>
  </si>
  <si>
    <t>₹50L saving</t>
  </si>
  <si>
    <t>Patient Care Secretary (PCS) roles are largely documentation-driven — order transcription, file maintenance, discharge paper preparation. EMR automation of these workflows makes a portion of roles structurally redundant over a 12-month horizon. Like C-09, the savings are downstream of the EMR capital project.
SAVINGS BUILD-UP (₹50L/yr conservative):
• Current PCS headcount: ~97 FTEs across wards and OPD
• Avg CTC per PCS: ~₹2.5–3L/yr
• Total PCS payroll: ~₹250–290L/yr
• EMR automation eliminates: order transcription (30% of PCS time), file movement (20%), discharge documentation (15%)
• Net role reduction: 17 of 97 roles (~18%) over 12 months post EMR go-live
• 17 FTEs × ₹2.8L avg CTC = ₹48L/yr ≈ ₹50L
• Achieved through attrition + redeployment (no retrenchment)
• Timeline: savings begin 6 months after EMR go-live, full run-rate by Month 12</t>
  </si>
  <si>
    <t>Head IT (EMR lead) / Head HR / Medical Superintendent</t>
  </si>
  <si>
    <t>1. Map all PCS tasks by time allocation — identify EMR-replaceable workflows by Jun-26
2. Post-EMR go-live: monitor PCS task reduction over 3 months
3. Identify 17 roles for attrition-based elimination — no retrenchment
4. Redeploy suitable PCS staff to patient experience or front-desk roles
5. Target: 17 FTE reduction within 12 months of EMR go-live = ₹50L/yr saving</t>
  </si>
  <si>
    <t>1. Hard dependency on EMR go-live; any slippage on EMR timeline delays PCS savings
2. EMR adoption by clinicians determines redundancy timing; low adoption preserves existing roles
3. Training burden on remaining ward secretaries for an expanded EMR administrative role
4. Natural attrition timing may not align with EMR milestones; a short-term double-cost period is possible
5. Medical Superintendent sign-off required for each role elimination decision</t>
  </si>
  <si>
    <t>Dependent on the separate EMR capital project. Target PCS count: 97 → 80 (−17 FTE) over 18 months post EMR go-live. Attrition-based where possible, with redeployment otherwise. Head IT owns EMR go-live; HR handles role transition; Medical Superintendent signs off. No incremental cost in this initiative; savings are consequential to the EMR project.</t>
  </si>
  <si>
    <t>C-11  |  Contract Staff Rebid</t>
  </si>
  <si>
    <t>Competitive rebidding of all outsourced staffing and facility management contracts, combined into an integrated FM model:
(A) Contract staffing rebid: housekeeping, security, ward boys, nursing assistants. 416 contracted staff, ₹1,290L annual spend. Structured RFQ with service SLA requirements.
(B) Integrated FM consolidation: evaluate single-window FM vendor covering housekeeping, security, pest control, gardening, and non-clinical laundry (coordinate with C-06). Integrated contracts typically reduce overhead and improve SLA accountability vs. fragmented vendor base.</t>
  </si>
  <si>
    <t>₹40L saving</t>
  </si>
  <si>
    <t>Outsourced staffing contracts that have not been rebid in 2–3 years carry incumbent premiums of 8–15%. A structured RFQ signals competitive intent and typically generates 5–10% cost reduction even when the incumbent retains the contract. The RFQ process also surfaces SLA clarity that prevents scope creep over time.</t>
  </si>
  <si>
    <t>Head HR / Procurement Head / CFO</t>
  </si>
  <si>
    <t>1. Compile all outsourced staffing and FM contracts — vendor, headcount, rates, SLAs, expiry dates by May-26
2. Map fragmentation: current count of FM vendors across HK, security, pest control, gardening, laundry
3. Benchmark current rates against market — obtain quotes from 3–4 staffing agencies and 2–3 integrated FM providers
4. Decision: fragmented rebid vs integrated FM single-vendor model — CFO + Procurement Head to approve direction by Jun-26
5. Issue structured RFQ with clear SLAs (attendance, replacement time, skill requirements, uptime guarantees) by Jun-26
6. Award contracts to most competitive bidders — target 10–15% rate reduction on ₹1,290L annual spend
7. New contracts effective by Aug-26 with quarterly performance review clause
8. If integrated FM chosen: transition plan coordinating scope from C-06 (laundry) and legacy HK/security contracts</t>
  </si>
  <si>
    <t>1. Incumbent vendor resistance during RFQ may affect service continuity
2. Legal review of existing contracts takes 4–6 weeks; exit clauses may include penalty triggers
3. Service-level risk with new vendors during transition; overlap periods are required
4. Quality variance across outsourced roles (security, housekeeping, F&amp;B service, patient care attendants); lowest bid may not meet service requirements
5. Compliance with contract labour regulation and statutory minimums must be verified for any new vendor</t>
  </si>
  <si>
    <t>Scope covers 416 contracted staff across security, housekeeping, F&amp;B service, and patient care attendants, with current spend of ₹1,290L/yr. Structured RFQ with explicit SLAs typically yields 3–5% savings alongside service improvement. HR Head manages vendor selection; Procurement Head runs commercial terms; CFO approves the savings case. Sequencing note: C-08 (in-house nursing norms) should be set first to inform contract scope.</t>
  </si>
  <si>
    <t>C-12  |  Creditor Days Extension</t>
  </si>
  <si>
    <t>Extend creditor payment days with top vendors from current levels. Each 15-day extension on ₹1,000Cr payables = ₹40Cr additional working capital freed (at 10% cost of funds = ₹4Cr annual benefit).</t>
  </si>
  <si>
    <t>₹20L saving</t>
  </si>
  <si>
    <t>Working capital optimisation through creditor day extension is a purely financial lever — no operational change required. Extending payment terms frees up cash that would otherwise sit in vendor receivables.
SAVINGS BUILD-UP (₹20L/yr conservative):
• Annual procurement spend (pharmacy + consumables + services): est. ₹120–140 Cr
• Current avg creditor days: ~30 days
• Target creditor days: 45 days (+15 days extension)
• Working capital freed: ₹130 Cr × (15/365) = ~₹5.3 Cr one-time cash release
• Interest saving on freed capital: ₹5.3 Cr × 10% cost of funds = ₹53L/yr
• But: not all vendors will accept 45-day terms (pharma distributors have industry norms)
• Realistic: 50% of spend moves to 45 days, rest stays at 30
• Effective saving: ₹53L × 50% = ₹27L, conservatively rounded to ₹20L
• Additional benefit: improved cash flow timing reduces short-term borrowing peaks</t>
  </si>
  <si>
    <t>CFO / Procurement Head / Finance Controller</t>
  </si>
  <si>
    <t>1. Map current payment terms by vendor category (pharma, consumables, services, equipment) by May-26
2. Identify top 20 vendors by annual spend — prioritise for term renegotiation
3. CFO to negotiate 45-day terms (from 30) with willing vendors by Jun-26
4. Implement staggered payment calendar in ERP
5. Monitor working capital impact monthly — track days payable outstanding (DPO)
6. Target: 50% of spend on 45-day terms by Sep-26</t>
  </si>
  <si>
    <t>1. Vendor relationship exposure if terms are imposed rather than negotiated; top 20 vendors require individual engagement
2. Single-source vendors may refuse or offset extended terms through price increases
3. Working capital release flows to the P&amp;L only through interest-cost savings; CFO must earmark use of freed cash
4. Rating agency and lender covenants may limit the extent of creditor-days extension
5. Extended terms can drift into delays, affecting payment discipline and credit standing</t>
  </si>
  <si>
    <t>Working capital initiative rather than a direct P&amp;L initiative. Each 15-day extension on ₹1,000 Cr payables frees approximately ₹40 Cr of cash. P&amp;L benefit accrues through reduced interest cost on working capital borrowings (~₹3–4 Cr/yr at a 9–10% cost of debt). CFO-led, with Procurement Head executing vendor-by-vendor. Uniform terms across all vendors should be avoided; tiering by strategic importance is preferable.</t>
  </si>
  <si>
    <t>C-13  |  Expense Analysis &amp; Financial Discipline</t>
  </si>
  <si>
    <t>Establish a structured expense governance programme across the hospital:
(A) Hidden Expense Identification: Map all recurring payments (professional fees, retainers, subscriptions, AMCs, memberships) against active deliverables. Eliminate spend with no demonstrable ROI.
(B) IT &amp; Software Licence Rationalisation: Audit all active software licences, SaaS subscriptions, and IT AMCs. Identify unused seats, duplicate tools, and proprietary systems with viable open-source alternatives. Optimise bandwidth against actual consumption.
(C) Contract Review: Systematic review of all active contracts (vendors, service providers, retainers) to surface expired auto-renewals, favourable-to-vendor terms, and renegotiation opportunities.
(D) Financial Discipline: Enforce purchase order compliance, monthly budget variance reporting, and cost centre accountability. No payment without approved PO. Quarterly cost review with all department heads.
(E) Material Cost Programme: COGS currently at 28.5% of revenue; target 26.5%. Pursue savings across pharmacy (rate contracts, brand substitution), consumables (competitive tendering, BOQ standardisation), and implants (volume consolidation). Leverage existing procurement data to build a category-by-category execution roadmap.</t>
  </si>
  <si>
    <t>C-13 is the STRATEGIC UMBRELLA over C-01 to C-12 — it sets the governance framework, sizing methodology, and accountability structure within which the tactical cost initiatives (brand substitution, rate contracts, distributor consolidation, BOQ standardisation, inventory, laundry, AMC, headcount, creditor days) are executed. The bulk of material cost savings (₹7 Cr on a 2pp COGS reduction from 28.5% to 26.5% on ₹350 Cr revenue) flows through C-01 to C-07, and payroll savings through C-08 to C-11, already captured in those lines.
C-13's own incremental saving (₹15L) is the residual from hidden-expense elimination, IT licence rationalisation, contract review, and PO-compliance enforcement — savings not attributable to any single C-line. Peer hospitals that have implemented structured expense governance and procurement transformation have achieved 7–12% savings on addressable spend; for VPS Lakeshore the realised value is split across C-01 to C-13, not concentrated here.
Procurement concentration (top 20 manufacturers = 56% of pharma spend, top 10 distributors = 32% of purchases) is the leverage base; this initiative ensures that leverage is exercised systematically rather than ad-hoc.</t>
  </si>
  <si>
    <t>CFO / Procurement Head / HR Head</t>
  </si>
  <si>
    <t>1. Complete hidden expense audit: map all recurring professional payments against active deliverables by May-26
2. Eliminate or renegotiate all retainers without clear ROI by Jun-26
3. IT licence audit: compile all active software licences, SaaS seats, IT AMCs; identify unused/duplicate/replaceable tools by Jun-26
4. Open-source evaluation for proprietary systems where clinical workflow permits; bandwidth optimisation against actual utilisation
5. Contract review: systematic scan of top 100 active contracts by value — flag auto-renewals, favourable-to-vendor clauses, expiry-date pipeline
6. Implement monthly cost centre variance reporting by Jun-26
7. Build cost transformation sizing model: material + employee + doctor fees + indirect costs by Jun-26
8. Decision on external diagnostic engagement (3–4 week material cost focus) by May-26
9. If approved: execute diagnostic May–Jun 26; if not: replicate key analyses internally using existing procurement and payroll data
10. Enforce PO compliance: no payment without approved PO from Jul-26
11. Quarterly cost review with all department heads — first review Jul-26
12. Target: COGS reduction from 28.5% to 26.5% of revenue = 2pp improvement = ~₹7 Cr on ₹350 Cr revenue</t>
  </si>
  <si>
    <t>1. External diagnostic engagement has consulting cost (not yet quoted) — ROI must be clear before commitment
2. Internal resistance to financial discipline measures from long-tenured department heads
3. Procurement and payroll data is a snapshot — needs to be refreshed with current period data before sizing
4. PO compliance enforcement will slow procurement initially
5. Doctor fee restructuring is politically sensitive — requires careful stakeholder management</t>
  </si>
  <si>
    <t>This initiative provides the strategic umbrella for all cost-side thinking. Individual C-01 through C-13 initiatives are tactical execution items under specific cost categories; this initiative sets the governance framework, sizing methodology, and accountability structure. The 3–4 week material cost diagnostic (proposed by external advisors) can accelerate opportunity identification if approved.</t>
  </si>
  <si>
    <t>CL-01  |  Research &amp; Publications</t>
  </si>
  <si>
    <t>Four integrated workstreams to build Lakeshore's academic and research profile:
(A) Clinical Trials Scale-Up: Expand from 8 to 20+ active clinical studies. Add Principal Investigators in oncology, orthopaedics, nephrology, and pulmonology. Hire dedicated CRC per PI. CTRI compliance and GCP training.
(B) Publications Programme: Identify top 20 unpublished case series and clinical firsts. Assign lead authors with protected time. Target 10 indexed publications in Year 1. Medical writer support for faculty.
(C) Grant Applications (ICMR, DBT, DST): Map available grant schemes. Prepare 2–3 applications aligned to existing PI expertise. Partner with academic institution as co-PI. Target: at least 1 funded grant in Year 1.
(D) Ethics Committee Strengthening: Scale EC to 8–10 meetings/year. Recruit independent members from academia, legal, and community sectors. Apply for CDSCO Central Ethics Committee registration.</t>
  </si>
  <si>
    <t>Academic output (publications, trials, grants) is the foundation of tertiary hospital reputation. Referring physicians trust hospitals that publish outcomes and participate in research. Clinical trials also generate direct revenue (pharma-sponsored studies pay ₹50K–2L per enrolled patient) and attract clinical talent. A strong ethics committee is a prerequisite for all trial and grant activity. These four workstreams are interdependent and share common infrastructure (research coordinators, IRB, biostatistics support).</t>
  </si>
  <si>
    <t>Medical Superintendent / Ethics Committee Chair / Clinical Research Coordinator</t>
  </si>
  <si>
    <t xml:space="preserve">CLINICAL TRIALS:
PUBLICATIONS:
GRANTS:
ETHICS COMMITTEE:
</t>
  </si>
  <si>
    <t>1. PI bandwidth limited — trial expansion may slow if key consultants are overburdened
2. Ethics committee scaling requires independent external members — recruitment takes time
3. Publication quality vs quantity trade-off — avoid low-impact predatory journals</t>
  </si>
  <si>
    <t>Ethics committee must be functional before new trials can be initiated</t>
  </si>
  <si>
    <t>CL-02  |  Patient Care &amp; Experience</t>
  </si>
  <si>
    <t>Integrated patient experience programme with four pillars:
(A) NPS &amp; Real-Time Feedback: Deploy Net Promoter Score at OPD checkout, discharge, and 7-day post-discharge via SMS. Department-level dashboard visible to HODs. Monthly NPS review by Medical Superintendent.
(B) Discharge &amp; Follow-Up Protocol: Discharge summary within 24 hours. 48-hour post-discharge nurse call for all surgical patients. Next appointment booked at discharge. Standard protocol across all departments.
(C) Patient Support Groups: Structured support groups for transplant, cancer, and cardiac surgery patients. Monthly meetings facilitated by nursing and psychology. Annual patient reunion event.
(D) Annual Clinical Outcomes Report: Publish annual outcomes report for top 5 programmes. Distribute to 1,000+ referring physicians. Quarterly press releases for clinical firsts. PR agency for national and regional coverage.</t>
  </si>
  <si>
    <t>Patient experience is the single strongest driver of word-of-mouth referrals — currently 35% of Lakeshore admissions come through family recommendation. NPS measurement creates a closed-loop feedback system. Discharge follow-up reduces readmissions and builds loyalty. Support groups create community and long-term engagement. Annual outcomes reporting builds clinical credibility with referring physicians. These four workstreams share a common goal: making every patient a promoter.</t>
  </si>
  <si>
    <t>Medical Superintendent / CNO / Head of Quality</t>
  </si>
  <si>
    <t xml:space="preserve">NPS &amp; FEEDBACK:
DISCHARGE &amp; FOLLOW-UP:
SUPPORT GROUPS:
OUTCOMES REPORT:
</t>
  </si>
  <si>
    <t>1. NPS fatigue — patients may stop responding if survey frequency is too high
2. Discharge summary 24-hour target requires clinician discipline — enforcement mechanism needed
3. Support group sustainability depends on volunteer champions among recovered patients</t>
  </si>
  <si>
    <t>EMR go-live enables automated discharge summaries and follow-up scheduling</t>
  </si>
  <si>
    <t>CL-03  |  Academic Excellence &amp; Medical Education</t>
  </si>
  <si>
    <t>Two-track medical education expansion:
(A) DNB Programme Expansion: Apply for additional DNB seats in cardiology, gastroenterology, neurology, and surgical oncology. Structured curriculum with log book and structured supervision.
(B) Fellowship &amp; Observership Programme: Structured 1-week to 3-month fellowships in robotic surgery, transplant, structural heart, and head &amp; neck oncology. Offset by fellowship fees. Annual cohort of 20+ fellows.</t>
  </si>
  <si>
    <t>DNB programmes attract top clinical talent (residents become future consultants and referrers), generate stipend-offset revenue, and improve clinical supervision quality. Fellowship programmes build Lakeshore's reputation as a teaching hospital and create referral networks — fellows return to their home institutions and refer complex cases back. Both programmes also improve JCI/NABH scores on education metrics.</t>
  </si>
  <si>
    <t>Medical Superintendent / Respective Specialty HODs</t>
  </si>
  <si>
    <t xml:space="preserve">DNB EXPANSION:
FELLOWSHIP &amp; OBSERVERSHIP:
</t>
  </si>
  <si>
    <t>1. NBE approval for additional DNB seats takes 6–12 months — timeline risk
2. Fellowship quality control — need structured curriculum, not just observation
3. Accommodation and stipend costs for fellows if not sponsored</t>
  </si>
  <si>
    <t>NBE accreditation for new DNB seats; consultant willingness to teach</t>
  </si>
  <si>
    <t>CL-04  |  Rare &amp; Complex Care</t>
  </si>
  <si>
    <t>Three centres of clinical differentiation:
(A) Robotic Surgery Centre of Excellence: Formalise Centre for Robotic Surgery. Prospective case registry. 1-week observership programme. Industry partnership for training and case support.
(B) Rare Disease &amp; Complex Case Programme: Weekly MDT for rare presentations. Register with ORDI and ICMR Rare Disease Registry. Annual case series publication. Genetic testing tie-up for diagnostic workup.
(C) Structural Heart &amp; EP Sub-Specialty: Formalise TAVR/MitraClip/LAAO structural heart programme. Complex EP development. Outcomes publication. Integrate with cardiac imaging for planning and assessment.</t>
  </si>
  <si>
    <t>Rare and complex care is what differentiates a tertiary hospital from a general hospital. Patients and referring physicians choose Lakeshore for cases that cannot be handled elsewhere — robotic surgery, rare diseases, structural heart interventions. These programmes have outsized reputational impact relative to their volume. A single successful complex case generates referrals for years. Robotic surgery in particular is a marketing differentiator in Kerala where few hospitals have active robotic programmes.</t>
  </si>
  <si>
    <t>Respective Specialty HODs</t>
  </si>
  <si>
    <t xml:space="preserve">ROBOTIC SURGERY:
RARE DISEASE &amp; COMPLEX CARE:
STRUCTURAL HEART &amp; EP:
</t>
  </si>
  <si>
    <t>1. Robotic surgery volume depends on surgeon comfort and case selection — forced volume targets risk outcomes
2. Rare disease cases are low-volume by definition — programme value is reputational, not financial
3. Structural heart devices (TAVR) are expensive — need strong insurance/corporate payer pathway</t>
  </si>
  <si>
    <t>Device partnerships (Medtronic/Edwards for TAVR); MDT availability for rare disease discussions</t>
  </si>
  <si>
    <t>CL-05  |  Awards &amp; Accreditations</t>
  </si>
  <si>
    <t>Systematic pursuit of national and international accreditations and awards to build institutional credibility, attract talent, and strengthen referral networks.
CURRENT: NABH accredited (hospital-level).
ADDITIONAL ACCREDITATIONS TO PURSUE:
India:
• NABH Green OT Certification — environmental standards for operating theatres
• NABH Nursing Excellence — nursing quality standards certification
• NABL (Medical Laboratory) — renew/expand scope if not current
• National Organ Transplant Programme (NOTTO) — centre of excellence recognition
• ICMR-recognised Clinical Trial Site — strengthens research credibility
• Quality Council of India (QCI) — healthcare quality benchmarking
International:
• JCI Accreditation — Joint Commission International (Aster Medcity and KIMS already JCI-accredited; Lakeshore should pursue)
• MTQUA (Medical Travel Quality Alliance) — medical tourism quality certification
• GHA (Global Healthcare Accreditation) — patient experience in medical travel
• ACHSI (Australian Council on Healthcare Standards International) — Asia-Pacific recognition
• Planetree International — patient-centred care certification
AWARDS TO TARGET:
Indian Awards:
• FICCI Healthcare Excellence Award — categories: Patient Safety, Innovation, CSR, Hospital of the Year
• AHPI (Association of Healthcare Providers India) Award — Best Hospital, Best Clinical Innovation
• ET Healthworld Awards — multiple categories (oncology, cardiac, transplant, digital health)
• CRISIL Healthcare Award — financial and clinical performance
• India Healthcare Awards by ABP — regional and national categories
• NABH Quality Champion Award — individual and institutional
• NATHEALTH (Healthcare Federation of India) — innovation and access awards
• Indian Medical Association (IMA) Hospital Awards
• Kerala State Best Hospital Award — state government recognition
• Times Health Excellence Awards — South India categories
International Awards:
• Asian Hospital Management Awards (AHMA) — categories: Green Hospital, Patient Safety, HR, Innovation
• International Hospital Federation (IHF) Awards — excellence in leadership, quality improvement
• Mercy Award (American Hospital Association) — community service
• HIMSS Davies Award — health IT excellence (post-EMR go-live)
• Joint Commission International (JCI) Top Performer
• WHO Patient Safety Awards — for specific safety initiatives
• BMJ Awards India — clinical research and innovation categories</t>
  </si>
  <si>
    <t>Accreditations and awards serve three strategic purposes: (1) Competitive differentiation — JCI accreditation is held by Aster Medcity and KIMS but not Lakeshore; closing this gap removes a referral disadvantage. (2) Talent attraction — top clinicians prefer to work at accredited, award-winning institutions. (3) Insurance and MVT leverage — many international insurers and medical tourism aggregators require JCI or equivalent accreditation for empanelment. The cost is primarily internal effort (documentation, process standardisation) with modest external consultant fees.</t>
  </si>
  <si>
    <t>Head of Quality / Medical Superintendent</t>
  </si>
  <si>
    <t>JCI ACCREDITATION:
1. Gap assessment against JCI standards by Jul-26
2. Engage JCI-accredited consultant for readiness assessment by Aug-26
3. Mock survey by Dec-26
4. Application submission by Mar-27
5. Target accreditation: Sep-27
AWARD APPLICATIONS (ANNUAL CYCLE):
1. Map all award submission deadlines — create annual calendar by May-26
2. Assign award coordinator (Medical Superintendent office) by May-26
3. Submit 5+ award applications in FY27 — target FICCI, AHPI, ET Healthworld, Asian Hospital Management, Times Health
4. Prepare standardised case studies for award submissions: transplant outcomes, robotic surgery firsts, patient experience data
5. Track wins/shortlists and use in marketing material and referring doctor communications</t>
  </si>
  <si>
    <t>1. JCI accreditation requires 12–18 months of preparation — resource-intensive
2. Award applications require dedicated coordinator time — risk of deprioritisation
3. Some accreditations require infrastructure changes</t>
  </si>
  <si>
    <t>EMR go-live (HIMSS eligibility); clinical outcomes data (award submissions); ethics committee (ICMR trial site)</t>
  </si>
  <si>
    <t>Intrduce back the Billing Department wise and the Procedure Department wise P&amp;L with maximum cost allcoation to direct, allocated and absorbed costs</t>
  </si>
  <si>
    <t>Rev Impact overall by bringing cost measurements</t>
  </si>
  <si>
    <t>Cost Impact for the above</t>
  </si>
  <si>
    <t>Costing Consultant</t>
  </si>
  <si>
    <t>Costing Staff</t>
  </si>
  <si>
    <t>YTD</t>
  </si>
  <si>
    <t>Check out the loss making clinical departments and talk to the clinicians for shifting towards variable pay model.</t>
  </si>
  <si>
    <t>1. Cost Consultant 1 time cost seems to be low, either have an in house staff
2. need to work out department PL of top 15 and bottom 15 and renegotiate the doctor payouts, low fixed pay and high variable pay, also sensitise the doctor and the administrative representative of the need to focus on procedures that we list, OP to IP ocnversion and Lab and Radiology counts that we propose.</t>
  </si>
  <si>
    <t>Manpower Cost</t>
  </si>
  <si>
    <t>4 financial counsellors @ 35000</t>
  </si>
  <si>
    <t>OP TO IP%</t>
  </si>
  <si>
    <t>EXISTING</t>
  </si>
  <si>
    <t>Incremental</t>
  </si>
  <si>
    <t>Increase to</t>
  </si>
  <si>
    <t>OP COUNT IN 25-26</t>
  </si>
  <si>
    <t>ARPPIP Incremental</t>
  </si>
  <si>
    <t>PC</t>
  </si>
  <si>
    <t>DC</t>
  </si>
  <si>
    <t>Cost New</t>
  </si>
  <si>
    <t>Historically in FY 22-23 and FY 2021-22 the Consumption % was tried to be kept below 30% and hence having a cost control inititaive for being midnful in usage of department consumables and maximising patient billing will help to bring in this impact</t>
  </si>
  <si>
    <t>This can be better planned after looking into the capacity each doctor in the department can handle</t>
  </si>
  <si>
    <t>This Initiative is not take up as the agreement alreaady signed with new rates</t>
  </si>
  <si>
    <t>Laundry</t>
  </si>
  <si>
    <t>Cost New 1</t>
  </si>
  <si>
    <t>Inorder to achive the EBITDA a further hair cut of Rs. 9.24 is required which has to be identified department wise.</t>
  </si>
  <si>
    <t>FY 2025-26</t>
  </si>
  <si>
    <t>FY 2026-27</t>
  </si>
  <si>
    <t>Found no scope in our intial study</t>
  </si>
  <si>
    <t>No scope seen for cost optimisation</t>
  </si>
  <si>
    <t>Need a periodic analysis cannot estimate now</t>
  </si>
  <si>
    <t>Branch</t>
  </si>
  <si>
    <t>Vendor</t>
  </si>
  <si>
    <t>Nature of expense</t>
  </si>
  <si>
    <t>April</t>
  </si>
  <si>
    <t>July</t>
  </si>
  <si>
    <t>August</t>
  </si>
  <si>
    <t>September</t>
  </si>
  <si>
    <t>October</t>
  </si>
  <si>
    <t>November</t>
  </si>
  <si>
    <t>December</t>
  </si>
  <si>
    <t>January</t>
  </si>
  <si>
    <t>February</t>
  </si>
  <si>
    <t>March</t>
  </si>
  <si>
    <t>KCH</t>
  </si>
  <si>
    <t>ADVANCED STERILISATION PRODUCTS INDIA</t>
  </si>
  <si>
    <t>AMC/CMC CHARGES</t>
  </si>
  <si>
    <t>AUTOPOWER SYSTEMS AND SOLUTIONS</t>
  </si>
  <si>
    <t>AVANA TECHNOLOGY SERVICES PRIVATE LIMITED</t>
  </si>
  <si>
    <t>AXIS HEALTH CARE</t>
  </si>
  <si>
    <t>B BRAUN MEDICAL</t>
  </si>
  <si>
    <t>BESTON INDUSTRIES</t>
  </si>
  <si>
    <t>BIOMERIEUX INDIA PVT. LTD</t>
  </si>
  <si>
    <t>BLUE STAR LIMITED</t>
  </si>
  <si>
    <t>BOSTON  SCIENTIFIC INDIA PVT. LTD</t>
  </si>
  <si>
    <t>By JOURNAL BOOK</t>
  </si>
  <si>
    <t>By PREPAID EXPENSES</t>
  </si>
  <si>
    <t>CARL ZEISS INDIA (BANGALORE) PRIVATE LTD</t>
  </si>
  <si>
    <t>CEPHEID INDIA PVT LTD</t>
  </si>
  <si>
    <t>CINZAC SALES &amp; SERVICES PRIVATE LIMITED</t>
  </si>
  <si>
    <t>CORAL TELECOM LTD</t>
  </si>
  <si>
    <t>CTL INFOCOM PVT LTD</t>
  </si>
  <si>
    <t>CYRIX HEALTH CARE PVT. LTD.</t>
  </si>
  <si>
    <t>DHR HOLDING INDIA PVT LTD</t>
  </si>
  <si>
    <t>DRAEGER INDIA PVT LTD</t>
  </si>
  <si>
    <t>ELEKTA LTD.</t>
  </si>
  <si>
    <t>ELETE BIOTECH PRIVATE LIMITED</t>
  </si>
  <si>
    <t>FRESENIUS MEDICAL CARE INDIA PVT LTD</t>
  </si>
  <si>
    <t>GETINGE MEDICAL INDIA PVT LTD</t>
  </si>
  <si>
    <t>GMMCO LIMITED</t>
  </si>
  <si>
    <t>HONEYWELL AUTOMATION INDIA LTD</t>
  </si>
  <si>
    <t>INDIA MEDTRONIC PVT LTD</t>
  </si>
  <si>
    <t>INFRA ELEVATORS INDIA (P) LTD (NEW)</t>
  </si>
  <si>
    <t>INTUITIVE SURGICAL INDIA PVT LTD</t>
  </si>
  <si>
    <t>JAIGURU SALES &amp; SERVICES</t>
  </si>
  <si>
    <t>JOHNSON &amp; JOHNSON PRIVATE LIMITED</t>
  </si>
  <si>
    <t>JOURNAL BOOK</t>
  </si>
  <si>
    <t>KARL STORZ ENDOSCOPY INDIA PRIVATE LTD</t>
  </si>
  <si>
    <t>LABINDIA INSTRUMENTS PVT LTD</t>
  </si>
  <si>
    <t>MAJORI HEALTHCARE PVT LTD</t>
  </si>
  <si>
    <t>NEURAL NETWORKS PVT. LTD.</t>
  </si>
  <si>
    <t>NOVATEUR ELECTRICAL &amp; DIGITAL SYSTEMS PVT LTD</t>
  </si>
  <si>
    <t>OLYMPUS MEDICAL SYSTEMS ( I)PVT LTD</t>
  </si>
  <si>
    <t>OTIS ELAVATOR COMPANY (INDIA ) LIMITED</t>
  </si>
  <si>
    <t>PHILIPS INDIA LTD.</t>
  </si>
  <si>
    <t>PREPAID EXPENSES</t>
  </si>
  <si>
    <t>PRIME MEDICAL SYSTEMS</t>
  </si>
  <si>
    <t>PTW DOSIMETRY INDIA PVT LTD</t>
  </si>
  <si>
    <t>RIELLO POWER INDIA PVT.LTD.</t>
  </si>
  <si>
    <t>SIEMENS HEALTHCARE PRIVATE LIMITED</t>
  </si>
  <si>
    <t>SNOWLINE SYSTEMS</t>
  </si>
  <si>
    <t>SOUTHERN TRADERS</t>
  </si>
  <si>
    <t>ST. JUDE MEDICAL INDIA PVT LTD</t>
  </si>
  <si>
    <t>SUNITHA SALES &amp; SERVICES</t>
  </si>
  <si>
    <t>THERMO FISHER SCIENTIFIC INDIA PVT LTD</t>
  </si>
  <si>
    <t>THYSSENKRUPP ELEVATOR (INDIA) PVT. LTD.</t>
  </si>
  <si>
    <t>TOSHBRO MEDICALS PVT LTD</t>
  </si>
  <si>
    <t>TRANE INDIA LTD</t>
  </si>
  <si>
    <t>UNIVERSAL SYSTEMS CORPORATION</t>
  </si>
  <si>
    <t>VERTIV ENERGY PRIVATE LTD</t>
  </si>
  <si>
    <t>VIBRANT HEALTHCARE SOLUTIONS</t>
  </si>
  <si>
    <t>WIPRO GE HEALTHCARE P LTD</t>
  </si>
  <si>
    <t>CLT</t>
  </si>
  <si>
    <t>FY 2026-27 - Budgeted</t>
  </si>
  <si>
    <t>Savings</t>
  </si>
  <si>
    <t>No scope could be estimated now, Need to check with forecasted cash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</si>
</sst>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quot;₹&quot;#,##0&quot; L/yr&quot;;;&quot;–&quot;"/>
    <numFmt numFmtId="165" formatCode="&quot;₹&quot;#,##0&quot; L&quot;;;&quot;–&quot;"/>
    <numFmt numFmtId="166" formatCode="&quot;₹&quot;0.0&quot; Cr&quot;"/>
    <numFmt numFmtId="167" formatCode="0.0%"/>
    <numFmt numFmtId="168" formatCode="#,##0.0&quot;L&quot;"/>
  </numFmts>
  <fonts count="39"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i/>
      <sz val="11"/>
      <color theme="1"/>
      <name val="Calibri"/>
      <family val="2"/>
    </font>
    <font>
      <b/>
      <sz val="11"/>
      <color theme="0"/>
      <name val="Calibri"/>
      <family val="2"/>
    </font>
    <font>
      <b/>
      <sz val="9"/>
      <color rgb="FFFFFFFF"/>
      <name val="Arial"/>
      <family val="2"/>
    </font>
    <font>
      <sz val="9"/>
      <color rgb="FF000000"/>
      <name val="Arial"/>
      <family val="2"/>
    </font>
    <font>
      <b/>
      <sz val="9"/>
      <color rgb="FF000000"/>
      <name val="Arial"/>
      <family val="2"/>
    </font>
    <font>
      <b/>
      <sz val="12"/>
      <color rgb="FFFFFFFF"/>
      <name val="Arial"/>
      <family val="2"/>
    </font>
    <font>
      <sz val="11"/>
      <name val="Calibri"/>
      <family val="2"/>
    </font>
    <font>
      <b/>
      <sz val="8"/>
      <color rgb="FF2E75B6"/>
      <name val="Arial"/>
      <family val="2"/>
    </font>
    <font>
      <sz val="10"/>
      <color rgb="FF000000"/>
      <name val="Arial"/>
      <family val="2"/>
    </font>
    <font>
      <b/>
      <sz val="10"/>
      <color rgb="FFFFFFFF"/>
      <name val="Arial"/>
      <family val="2"/>
    </font>
    <font>
      <i/>
      <sz val="8"/>
      <color rgb="FF666666"/>
      <name val="Arial"/>
      <family val="2"/>
    </font>
    <font>
      <b/>
      <sz val="8"/>
      <color rgb="FFFFFFFF"/>
      <name val="Arial"/>
      <family val="2"/>
    </font>
    <font>
      <sz val="9"/>
      <color theme="1"/>
      <name val="Arial"/>
      <family val="2"/>
    </font>
    <font>
      <sz val="8"/>
      <color theme="1"/>
      <name val="Arial"/>
      <family val="2"/>
    </font>
    <font>
      <sz val="8"/>
      <color rgb="FF0000FF"/>
      <name val="Arial"/>
      <family val="2"/>
    </font>
    <font>
      <sz val="8"/>
      <color rgb="FF000000"/>
      <name val="Arial"/>
      <family val="2"/>
    </font>
    <font>
      <b/>
      <sz val="8"/>
      <color rgb="FF000000"/>
      <name val="Arial"/>
      <family val="2"/>
    </font>
    <font>
      <sz val="8"/>
      <color rgb="FF666666"/>
      <name val="Arial"/>
      <family val="2"/>
    </font>
    <font>
      <b/>
      <sz val="8"/>
      <color theme="1"/>
      <name val="Arial"/>
      <family val="2"/>
    </font>
    <font>
      <b/>
      <sz val="9"/>
      <color theme="1"/>
      <name val="Arial"/>
      <family val="2"/>
    </font>
    <font>
      <b/>
      <i/>
      <sz val="8"/>
      <color rgb="FF666666"/>
      <name val="Arial"/>
      <family val="2"/>
    </font>
    <font>
      <sz val="9"/>
      <color rgb="FFFF0000"/>
      <name val="Arial"/>
      <family val="2"/>
    </font>
    <font>
      <sz val="9"/>
      <color rgb="FF008000"/>
      <name val="Arial"/>
      <family val="2"/>
    </font>
    <font>
      <b/>
      <sz val="10"/>
      <color rgb="FF000000"/>
      <name val="Arial"/>
      <family val="2"/>
    </font>
    <font>
      <b/>
      <sz val="8"/>
      <color rgb="FF375623"/>
      <name val="Arial"/>
      <family val="2"/>
    </font>
    <font>
      <b/>
      <sz val="9"/>
      <color rgb="FFFFFFFF"/>
      <name val="Calibri"/>
      <family val="2"/>
    </font>
    <font>
      <sz val="9"/>
      <color theme="1"/>
      <name val="Calibri"/>
      <family val="2"/>
    </font>
    <font>
      <b/>
      <sz val="9"/>
      <color theme="1"/>
      <name val="Calibri"/>
      <family val="2"/>
    </font>
    <font>
      <i/>
      <sz val="9"/>
      <color theme="1"/>
      <name val="Calibri"/>
      <family val="2"/>
    </font>
    <font>
      <sz val="11"/>
      <color theme="1"/>
      <name val="Calibri"/>
      <family val="2"/>
      <scheme val="minor"/>
    </font>
    <font>
      <b/>
      <sz val="11"/>
      <color theme="1"/>
      <name val="Calibri"/>
      <family val="2"/>
      <scheme val="minor"/>
    </font>
    <font>
      <sz val="8"/>
      <name val="Calibri"/>
      <scheme val="minor"/>
    </font>
    <font>
      <sz val="8"/>
      <name val="Calibri"/>
      <family val="2"/>
      <scheme val="minor"/>
    </font>
    <font>
      <b/>
      <sz val="13"/>
      <color theme="1"/>
      <name val="Calibri"/>
      <family val="2"/>
      <scheme val="minor"/>
    </font>
  </fonts>
  <fills count="23">
    <fill>
      <patternFill patternType="none"/>
    </fill>
    <fill>
      <patternFill patternType="gray125"/>
    </fill>
    <fill>
      <patternFill patternType="solid">
        <fgColor rgb="FFA5A5A5"/>
        <bgColor rgb="FFA5A5A5"/>
      </patternFill>
    </fill>
    <fill>
      <patternFill patternType="solid">
        <fgColor rgb="FF2E75B6"/>
        <bgColor rgb="FF2E75B6"/>
      </patternFill>
    </fill>
    <fill>
      <patternFill patternType="solid">
        <fgColor rgb="FF548DD4"/>
        <bgColor rgb="FF548DD4"/>
      </patternFill>
    </fill>
    <fill>
      <patternFill patternType="solid">
        <fgColor rgb="FF1F3864"/>
        <bgColor rgb="FF1F3864"/>
      </patternFill>
    </fill>
    <fill>
      <patternFill patternType="solid">
        <fgColor rgb="FFD6E4F0"/>
        <bgColor rgb="FFD6E4F0"/>
      </patternFill>
    </fill>
    <fill>
      <patternFill patternType="solid">
        <fgColor rgb="FFFFFFFF"/>
        <bgColor rgb="FFFFFFFF"/>
      </patternFill>
    </fill>
    <fill>
      <patternFill patternType="solid">
        <fgColor rgb="FFF2F2F2"/>
        <bgColor rgb="FFF2F2F2"/>
      </patternFill>
    </fill>
    <fill>
      <patternFill patternType="solid">
        <fgColor rgb="FF548235"/>
        <bgColor rgb="FF548235"/>
      </patternFill>
    </fill>
    <fill>
      <patternFill patternType="solid">
        <fgColor rgb="FFBF8F00"/>
        <bgColor rgb="FFBF8F00"/>
      </patternFill>
    </fill>
    <fill>
      <patternFill patternType="solid">
        <fgColor rgb="FFF2F7ED"/>
        <bgColor rgb="FFF2F7ED"/>
      </patternFill>
    </fill>
    <fill>
      <patternFill patternType="solid">
        <fgColor rgb="FFFFF2CC"/>
        <bgColor rgb="FFFFF2CC"/>
      </patternFill>
    </fill>
    <fill>
      <patternFill patternType="solid">
        <fgColor rgb="FFF8F9FA"/>
        <bgColor rgb="FFF8F9FA"/>
      </patternFill>
    </fill>
    <fill>
      <patternFill patternType="solid">
        <fgColor rgb="FFE2EFDA"/>
        <bgColor rgb="FFE2EFDA"/>
      </patternFill>
    </fill>
    <fill>
      <patternFill patternType="solid">
        <fgColor rgb="FF8DB3E2"/>
        <bgColor rgb="FF8DB3E2"/>
      </patternFill>
    </fill>
    <fill>
      <patternFill patternType="solid">
        <fgColor rgb="FF1E3A21"/>
        <bgColor rgb="FF1E3A21"/>
      </patternFill>
    </fill>
    <fill>
      <patternFill patternType="solid">
        <fgColor rgb="FF375623"/>
        <bgColor rgb="FF375623"/>
      </patternFill>
    </fill>
    <fill>
      <patternFill patternType="solid">
        <fgColor theme="6" tint="0.39997558519241921"/>
        <bgColor indexed="64"/>
      </patternFill>
    </fill>
    <fill>
      <patternFill patternType="solid">
        <fgColor theme="6" tint="0.39997558519241921"/>
        <bgColor rgb="FFC2D69B"/>
      </patternFill>
    </fill>
    <fill>
      <patternFill patternType="solid">
        <fgColor rgb="FFFFFF00"/>
        <bgColor indexed="64"/>
      </patternFill>
    </fill>
    <fill>
      <patternFill patternType="solid">
        <fgColor theme="4" tint="0.59999389629810485"/>
        <bgColor indexed="64"/>
      </patternFill>
    </fill>
    <fill>
      <patternFill patternType="solid">
        <fgColor rgb="FFFFFF00"/>
        <bgColor rgb="FFF2F2F2"/>
      </patternFill>
    </fill>
  </fills>
  <borders count="48">
    <border>
      <left/>
      <right/>
      <top/>
      <bottom/>
      <diagonal/>
    </border>
    <border>
      <left style="double">
        <color rgb="FF3F3F3F"/>
      </left>
      <right style="double">
        <color rgb="FF3F3F3F"/>
      </right>
      <top style="double">
        <color rgb="FF3F3F3F"/>
      </top>
      <bottom style="double">
        <color rgb="FF3F3F3F"/>
      </bottom>
      <diagonal/>
    </border>
    <border>
      <left style="thin">
        <color rgb="FF000000"/>
      </left>
      <right style="thin">
        <color rgb="FF000000"/>
      </right>
      <top style="thin">
        <color rgb="FF000000"/>
      </top>
      <bottom style="thin">
        <color rgb="FF000000"/>
      </bottom>
      <diagonal/>
    </border>
    <border>
      <left style="medium">
        <color rgb="FF2E75B6"/>
      </left>
      <right/>
      <top style="medium">
        <color rgb="FF2E75B6"/>
      </top>
      <bottom style="medium">
        <color rgb="FF2E75B6"/>
      </bottom>
      <diagonal/>
    </border>
    <border>
      <left/>
      <right style="medium">
        <color rgb="FF2E75B6"/>
      </right>
      <top style="medium">
        <color rgb="FF2E75B6"/>
      </top>
      <bottom style="medium">
        <color rgb="FF2E75B6"/>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bottom/>
      <diagonal/>
    </border>
    <border>
      <left/>
      <right/>
      <top/>
      <bottom/>
      <diagonal/>
    </border>
    <border>
      <left/>
      <right/>
      <top/>
      <bottom/>
      <diagonal/>
    </border>
    <border>
      <left/>
      <right/>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medium">
        <color rgb="FF2E75B6"/>
      </left>
      <right/>
      <top style="medium">
        <color rgb="FF2E75B6"/>
      </top>
      <bottom/>
      <diagonal/>
    </border>
    <border>
      <left/>
      <right style="medium">
        <color rgb="FF2E75B6"/>
      </right>
      <top style="medium">
        <color rgb="FF2E75B6"/>
      </top>
      <bottom/>
      <diagonal/>
    </border>
    <border>
      <left style="medium">
        <color rgb="FF2E75B6"/>
      </left>
      <right/>
      <top/>
      <bottom style="medium">
        <color rgb="FF2E75B6"/>
      </bottom>
      <diagonal/>
    </border>
    <border>
      <left/>
      <right style="medium">
        <color rgb="FF2E75B6"/>
      </right>
      <top/>
      <bottom style="medium">
        <color rgb="FF2E75B6"/>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BFBFBF"/>
      </left>
      <right style="thin">
        <color rgb="FFBFBFBF"/>
      </right>
      <top/>
      <bottom/>
      <diagonal/>
    </border>
    <border>
      <left style="medium">
        <color rgb="FF2E75B6"/>
      </left>
      <right/>
      <top/>
      <bottom/>
      <diagonal/>
    </border>
    <border>
      <left style="thin">
        <color rgb="FFBFBFBF"/>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rgb="FFBFBFBF"/>
      </left>
      <right/>
      <top/>
      <bottom style="thin">
        <color rgb="FF000000"/>
      </bottom>
      <diagonal/>
    </border>
    <border>
      <left/>
      <right/>
      <top/>
      <bottom style="thin">
        <color rgb="FF000000"/>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000000"/>
      </bottom>
      <diagonal/>
    </border>
    <border>
      <left style="thin">
        <color rgb="FFBFBFBF"/>
      </left>
      <right style="thin">
        <color rgb="FFBFBFBF"/>
      </right>
      <top style="thin">
        <color rgb="FFBFBFBF"/>
      </top>
      <bottom style="thin">
        <color rgb="FF000000"/>
      </bottom>
      <diagonal/>
    </border>
    <border>
      <left style="thin">
        <color rgb="FFBFBFBF"/>
      </left>
      <right/>
      <top style="thin">
        <color rgb="FFBFBFBF"/>
      </top>
      <bottom style="thin">
        <color rgb="FF000000"/>
      </bottom>
      <diagonal/>
    </border>
    <border>
      <left/>
      <right/>
      <top/>
      <bottom style="thin">
        <color rgb="FFBFBFBF"/>
      </bottom>
      <diagonal/>
    </border>
    <border>
      <left/>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style="thin">
        <color rgb="FFBFBFBF"/>
      </top>
      <bottom/>
      <diagonal/>
    </border>
    <border>
      <left style="thin">
        <color rgb="FFBFBFBF"/>
      </left>
      <right/>
      <top style="thin">
        <color rgb="FFBFBFBF"/>
      </top>
      <bottom/>
      <diagonal/>
    </border>
  </borders>
  <cellStyleXfs count="5">
    <xf numFmtId="0" fontId="0" fillId="0" borderId="0"/>
    <xf numFmtId="43" fontId="34" fillId="0" borderId="0" applyFont="0" applyFill="0" applyBorder="0" applyAlignment="0" applyProtection="0"/>
    <xf numFmtId="9" fontId="34" fillId="0" borderId="0" applyFont="0" applyFill="0" applyBorder="0" applyAlignment="0" applyProtection="0"/>
    <xf numFmtId="0" fontId="1" fillId="0" borderId="11"/>
    <xf numFmtId="43" fontId="1" fillId="0" borderId="11" applyFont="0" applyFill="0" applyBorder="0" applyAlignment="0" applyProtection="0"/>
  </cellStyleXfs>
  <cellXfs count="242">
    <xf numFmtId="0" fontId="0" fillId="0" borderId="0" xfId="0"/>
    <xf numFmtId="0" fontId="2" fillId="0" borderId="0" xfId="0" applyFont="1"/>
    <xf numFmtId="0" fontId="3" fillId="0" borderId="0" xfId="0" applyFont="1"/>
    <xf numFmtId="0" fontId="4" fillId="0" borderId="0" xfId="0" applyFont="1" applyAlignment="1">
      <alignment horizontal="left" wrapText="1"/>
    </xf>
    <xf numFmtId="164" fontId="2" fillId="0" borderId="0" xfId="0" applyNumberFormat="1" applyFont="1"/>
    <xf numFmtId="165" fontId="2" fillId="0" borderId="0" xfId="0" applyNumberFormat="1" applyFont="1"/>
    <xf numFmtId="43" fontId="4" fillId="0" borderId="0" xfId="0" applyNumberFormat="1" applyFont="1"/>
    <xf numFmtId="0" fontId="4" fillId="0" borderId="0" xfId="0" applyFont="1" applyAlignment="1">
      <alignment horizontal="left"/>
    </xf>
    <xf numFmtId="43" fontId="5" fillId="0" borderId="0" xfId="0" applyNumberFormat="1" applyFont="1"/>
    <xf numFmtId="43" fontId="6" fillId="2" borderId="1" xfId="0" applyNumberFormat="1" applyFont="1" applyFill="1" applyBorder="1"/>
    <xf numFmtId="0" fontId="5" fillId="0" borderId="0" xfId="0" applyFont="1"/>
    <xf numFmtId="0" fontId="3" fillId="0" borderId="2" xfId="0" applyFont="1" applyBorder="1" applyAlignment="1">
      <alignment wrapText="1"/>
    </xf>
    <xf numFmtId="164" fontId="3" fillId="0" borderId="2" xfId="0" applyNumberFormat="1" applyFont="1" applyBorder="1" applyAlignment="1">
      <alignment wrapText="1"/>
    </xf>
    <xf numFmtId="165" fontId="3" fillId="0" borderId="2" xfId="0" applyNumberFormat="1" applyFont="1" applyBorder="1" applyAlignment="1">
      <alignment wrapText="1"/>
    </xf>
    <xf numFmtId="166" fontId="3" fillId="0" borderId="2" xfId="0" applyNumberFormat="1" applyFont="1" applyBorder="1" applyAlignment="1">
      <alignment wrapText="1"/>
    </xf>
    <xf numFmtId="0" fontId="4" fillId="0" borderId="2" xfId="0" applyFont="1" applyBorder="1"/>
    <xf numFmtId="0" fontId="3" fillId="0" borderId="0" xfId="0" applyFont="1" applyAlignment="1">
      <alignment wrapText="1"/>
    </xf>
    <xf numFmtId="0" fontId="7" fillId="3" borderId="2" xfId="0" applyFont="1" applyFill="1" applyBorder="1" applyAlignment="1">
      <alignment horizontal="center" vertical="center" wrapText="1"/>
    </xf>
    <xf numFmtId="17" fontId="6" fillId="4" borderId="2" xfId="0" applyNumberFormat="1" applyFont="1" applyFill="1" applyBorder="1"/>
    <xf numFmtId="0" fontId="6" fillId="4" borderId="2" xfId="0" applyFont="1" applyFill="1" applyBorder="1"/>
    <xf numFmtId="0" fontId="8" fillId="0" borderId="2" xfId="0" applyFont="1" applyBorder="1" applyAlignment="1">
      <alignment horizontal="center" vertical="center"/>
    </xf>
    <xf numFmtId="0" fontId="9" fillId="0" borderId="2" xfId="0" applyFont="1" applyBorder="1" applyAlignment="1">
      <alignment horizontal="center" vertical="center"/>
    </xf>
    <xf numFmtId="0" fontId="8" fillId="0" borderId="2" xfId="0" applyFont="1" applyBorder="1" applyAlignment="1">
      <alignment horizontal="left" vertical="center" wrapText="1"/>
    </xf>
    <xf numFmtId="17" fontId="8" fillId="0" borderId="2" xfId="0" applyNumberFormat="1" applyFont="1" applyBorder="1" applyAlignment="1">
      <alignment horizontal="center" vertical="center"/>
    </xf>
    <xf numFmtId="164" fontId="8" fillId="0" borderId="2" xfId="0" applyNumberFormat="1" applyFont="1" applyBorder="1" applyAlignment="1">
      <alignment horizontal="right" vertical="center" wrapText="1"/>
    </xf>
    <xf numFmtId="165" fontId="8" fillId="0" borderId="2" xfId="0" applyNumberFormat="1" applyFont="1" applyBorder="1" applyAlignment="1">
      <alignment horizontal="right" vertical="center" wrapText="1"/>
    </xf>
    <xf numFmtId="166" fontId="8" fillId="0" borderId="2" xfId="0" applyNumberFormat="1" applyFont="1" applyBorder="1" applyAlignment="1">
      <alignment horizontal="right" vertical="center" wrapText="1"/>
    </xf>
    <xf numFmtId="43" fontId="4" fillId="0" borderId="2" xfId="0" applyNumberFormat="1" applyFont="1" applyBorder="1"/>
    <xf numFmtId="0" fontId="9" fillId="0" borderId="2" xfId="0" applyFont="1" applyBorder="1" applyAlignment="1">
      <alignment horizontal="center"/>
    </xf>
    <xf numFmtId="0" fontId="8" fillId="0" borderId="2" xfId="0" applyFont="1" applyBorder="1" applyAlignment="1">
      <alignment horizontal="left" wrapText="1"/>
    </xf>
    <xf numFmtId="17" fontId="8" fillId="0" borderId="2" xfId="0" applyNumberFormat="1" applyFont="1" applyBorder="1" applyAlignment="1">
      <alignment horizontal="center"/>
    </xf>
    <xf numFmtId="164" fontId="8" fillId="0" borderId="2" xfId="0" applyNumberFormat="1" applyFont="1" applyBorder="1" applyAlignment="1">
      <alignment horizontal="right"/>
    </xf>
    <xf numFmtId="165" fontId="8" fillId="0" borderId="2" xfId="0" applyNumberFormat="1" applyFont="1" applyBorder="1" applyAlignment="1">
      <alignment horizontal="right"/>
    </xf>
    <xf numFmtId="166" fontId="8" fillId="0" borderId="2" xfId="0" applyNumberFormat="1" applyFont="1" applyBorder="1" applyAlignment="1">
      <alignment horizontal="right"/>
    </xf>
    <xf numFmtId="0" fontId="4" fillId="0" borderId="2" xfId="0" applyFont="1" applyBorder="1" applyAlignment="1">
      <alignment wrapText="1"/>
    </xf>
    <xf numFmtId="0" fontId="4" fillId="0" borderId="0" xfId="0" applyFont="1" applyAlignment="1">
      <alignment wrapText="1"/>
    </xf>
    <xf numFmtId="0" fontId="9" fillId="6" borderId="7" xfId="0" applyFont="1" applyFill="1" applyBorder="1" applyAlignment="1">
      <alignment horizontal="left" vertical="center" wrapText="1"/>
    </xf>
    <xf numFmtId="0" fontId="8" fillId="7" borderId="7" xfId="0" applyFont="1" applyFill="1" applyBorder="1" applyAlignment="1">
      <alignment horizontal="left" vertical="top" wrapText="1"/>
    </xf>
    <xf numFmtId="0" fontId="9" fillId="8" borderId="7" xfId="0" applyFont="1" applyFill="1" applyBorder="1" applyAlignment="1">
      <alignment horizontal="left" vertical="center" wrapText="1"/>
    </xf>
    <xf numFmtId="17" fontId="8" fillId="7" borderId="7" xfId="0" applyNumberFormat="1" applyFont="1" applyFill="1" applyBorder="1" applyAlignment="1">
      <alignment horizontal="left" vertical="top" wrapText="1"/>
    </xf>
    <xf numFmtId="0" fontId="8" fillId="8" borderId="7" xfId="0" applyFont="1" applyFill="1" applyBorder="1" applyAlignment="1">
      <alignment horizontal="left" vertical="top" wrapText="1"/>
    </xf>
    <xf numFmtId="0" fontId="16" fillId="3" borderId="11" xfId="0" applyFont="1" applyFill="1" applyBorder="1"/>
    <xf numFmtId="3" fontId="16" fillId="3" borderId="11" xfId="0" applyNumberFormat="1" applyFont="1" applyFill="1" applyBorder="1" applyAlignment="1">
      <alignment horizontal="right"/>
    </xf>
    <xf numFmtId="0" fontId="16" fillId="3" borderId="11" xfId="0" applyFont="1" applyFill="1" applyBorder="1" applyAlignment="1">
      <alignment horizontal="right"/>
    </xf>
    <xf numFmtId="0" fontId="16" fillId="9" borderId="11" xfId="0" applyFont="1" applyFill="1" applyBorder="1" applyAlignment="1">
      <alignment horizontal="right"/>
    </xf>
    <xf numFmtId="0" fontId="16" fillId="10" borderId="11" xfId="0" applyFont="1" applyFill="1" applyBorder="1" applyAlignment="1">
      <alignment horizontal="right"/>
    </xf>
    <xf numFmtId="0" fontId="17" fillId="0" borderId="12" xfId="0" applyFont="1" applyBorder="1"/>
    <xf numFmtId="3" fontId="17" fillId="0" borderId="13" xfId="0" applyNumberFormat="1" applyFont="1" applyBorder="1"/>
    <xf numFmtId="167" fontId="17" fillId="0" borderId="13" xfId="0" applyNumberFormat="1" applyFont="1" applyBorder="1"/>
    <xf numFmtId="3" fontId="17" fillId="11" borderId="14" xfId="0" applyNumberFormat="1" applyFont="1" applyFill="1" applyBorder="1"/>
    <xf numFmtId="9" fontId="17" fillId="12" borderId="15" xfId="0" applyNumberFormat="1" applyFont="1" applyFill="1" applyBorder="1"/>
    <xf numFmtId="0" fontId="17" fillId="0" borderId="16" xfId="0" applyFont="1" applyBorder="1"/>
    <xf numFmtId="3" fontId="17" fillId="0" borderId="17" xfId="0" applyNumberFormat="1" applyFont="1" applyBorder="1"/>
    <xf numFmtId="167" fontId="17" fillId="0" borderId="17" xfId="0" applyNumberFormat="1" applyFont="1" applyBorder="1"/>
    <xf numFmtId="3" fontId="17" fillId="11" borderId="17" xfId="0" applyNumberFormat="1" applyFont="1" applyFill="1" applyBorder="1"/>
    <xf numFmtId="9" fontId="17" fillId="12" borderId="18" xfId="0" applyNumberFormat="1" applyFont="1" applyFill="1" applyBorder="1"/>
    <xf numFmtId="0" fontId="17" fillId="0" borderId="19" xfId="0" applyFont="1" applyBorder="1"/>
    <xf numFmtId="3" fontId="17" fillId="0" borderId="20" xfId="0" applyNumberFormat="1" applyFont="1" applyBorder="1"/>
    <xf numFmtId="167" fontId="17" fillId="0" borderId="20" xfId="0" applyNumberFormat="1" applyFont="1" applyBorder="1"/>
    <xf numFmtId="3" fontId="17" fillId="11" borderId="21" xfId="0" applyNumberFormat="1" applyFont="1" applyFill="1" applyBorder="1"/>
    <xf numFmtId="9" fontId="17" fillId="12" borderId="22" xfId="0" applyNumberFormat="1" applyFont="1" applyFill="1" applyBorder="1"/>
    <xf numFmtId="0" fontId="14" fillId="5" borderId="11" xfId="0" applyFont="1" applyFill="1" applyBorder="1"/>
    <xf numFmtId="0" fontId="15" fillId="0" borderId="0" xfId="0" applyFont="1"/>
    <xf numFmtId="0" fontId="16" fillId="3" borderId="11" xfId="0" applyFont="1" applyFill="1" applyBorder="1" applyAlignment="1">
      <alignment horizontal="center"/>
    </xf>
    <xf numFmtId="0" fontId="16" fillId="6" borderId="11" xfId="0" applyFont="1" applyFill="1" applyBorder="1" applyAlignment="1">
      <alignment horizontal="center"/>
    </xf>
    <xf numFmtId="1" fontId="18" fillId="0" borderId="0" xfId="0" applyNumberFormat="1" applyFont="1" applyAlignment="1">
      <alignment horizontal="center"/>
    </xf>
    <xf numFmtId="0" fontId="18" fillId="0" borderId="0" xfId="0" applyFont="1"/>
    <xf numFmtId="3" fontId="18" fillId="0" borderId="0" xfId="0" applyNumberFormat="1" applyFont="1" applyAlignment="1">
      <alignment horizontal="right"/>
    </xf>
    <xf numFmtId="3" fontId="15" fillId="11" borderId="11" xfId="0" applyNumberFormat="1" applyFont="1" applyFill="1" applyBorder="1" applyAlignment="1">
      <alignment horizontal="right"/>
    </xf>
    <xf numFmtId="3" fontId="19" fillId="7" borderId="11" xfId="0" applyNumberFormat="1" applyFont="1" applyFill="1" applyBorder="1" applyAlignment="1">
      <alignment horizontal="right"/>
    </xf>
    <xf numFmtId="167" fontId="20" fillId="7" borderId="11" xfId="0" applyNumberFormat="1" applyFont="1" applyFill="1" applyBorder="1" applyAlignment="1">
      <alignment horizontal="right"/>
    </xf>
    <xf numFmtId="168" fontId="20" fillId="7" borderId="11" xfId="0" applyNumberFormat="1" applyFont="1" applyFill="1" applyBorder="1" applyAlignment="1">
      <alignment horizontal="right"/>
    </xf>
    <xf numFmtId="1" fontId="18" fillId="13" borderId="11" xfId="0" applyNumberFormat="1" applyFont="1" applyFill="1" applyBorder="1" applyAlignment="1">
      <alignment horizontal="center"/>
    </xf>
    <xf numFmtId="0" fontId="18" fillId="13" borderId="11" xfId="0" applyFont="1" applyFill="1" applyBorder="1"/>
    <xf numFmtId="3" fontId="18" fillId="13" borderId="11" xfId="0" applyNumberFormat="1" applyFont="1" applyFill="1" applyBorder="1" applyAlignment="1">
      <alignment horizontal="right"/>
    </xf>
    <xf numFmtId="3" fontId="19" fillId="13" borderId="11" xfId="0" applyNumberFormat="1" applyFont="1" applyFill="1" applyBorder="1" applyAlignment="1">
      <alignment horizontal="right"/>
    </xf>
    <xf numFmtId="167" fontId="20" fillId="13" borderId="11" xfId="0" applyNumberFormat="1" applyFont="1" applyFill="1" applyBorder="1" applyAlignment="1">
      <alignment horizontal="right"/>
    </xf>
    <xf numFmtId="168" fontId="20" fillId="13" borderId="11" xfId="0" applyNumberFormat="1" applyFont="1" applyFill="1" applyBorder="1" applyAlignment="1">
      <alignment horizontal="right"/>
    </xf>
    <xf numFmtId="0" fontId="21" fillId="14" borderId="11" xfId="0" applyFont="1" applyFill="1" applyBorder="1" applyAlignment="1">
      <alignment horizontal="right"/>
    </xf>
    <xf numFmtId="0" fontId="4" fillId="14" borderId="11" xfId="0" applyFont="1" applyFill="1" applyBorder="1"/>
    <xf numFmtId="168" fontId="21" fillId="14" borderId="11" xfId="0" applyNumberFormat="1" applyFont="1" applyFill="1" applyBorder="1" applyAlignment="1">
      <alignment horizontal="right"/>
    </xf>
    <xf numFmtId="0" fontId="12" fillId="6" borderId="11" xfId="0" applyFont="1" applyFill="1" applyBorder="1"/>
    <xf numFmtId="0" fontId="22" fillId="7" borderId="11" xfId="0" applyFont="1" applyFill="1" applyBorder="1"/>
    <xf numFmtId="0" fontId="7" fillId="5" borderId="11" xfId="0" applyFont="1" applyFill="1" applyBorder="1"/>
    <xf numFmtId="0" fontId="23" fillId="0" borderId="0" xfId="0" applyFont="1" applyAlignment="1">
      <alignment horizontal="right"/>
    </xf>
    <xf numFmtId="0" fontId="22" fillId="0" borderId="0" xfId="0" applyFont="1"/>
    <xf numFmtId="0" fontId="23" fillId="13" borderId="11" xfId="0" applyFont="1" applyFill="1" applyBorder="1" applyAlignment="1">
      <alignment horizontal="right"/>
    </xf>
    <xf numFmtId="0" fontId="22" fillId="13" borderId="11" xfId="0" applyFont="1" applyFill="1" applyBorder="1"/>
    <xf numFmtId="0" fontId="24" fillId="14" borderId="11" xfId="0" applyFont="1" applyFill="1" applyBorder="1"/>
    <xf numFmtId="0" fontId="24" fillId="14" borderId="11" xfId="0" applyFont="1" applyFill="1" applyBorder="1" applyAlignment="1">
      <alignment horizontal="right"/>
    </xf>
    <xf numFmtId="0" fontId="12" fillId="6" borderId="11" xfId="0" applyFont="1" applyFill="1" applyBorder="1" applyAlignment="1">
      <alignment horizontal="left" vertical="center" wrapText="1"/>
    </xf>
    <xf numFmtId="0" fontId="25" fillId="8" borderId="11" xfId="0" applyFont="1" applyFill="1" applyBorder="1" applyAlignment="1">
      <alignment horizontal="left" vertical="center" wrapText="1"/>
    </xf>
    <xf numFmtId="0" fontId="7" fillId="3" borderId="11" xfId="0" applyFont="1" applyFill="1" applyBorder="1"/>
    <xf numFmtId="0" fontId="7" fillId="3" borderId="11" xfId="0" applyFont="1" applyFill="1" applyBorder="1" applyAlignment="1">
      <alignment horizontal="center"/>
    </xf>
    <xf numFmtId="0" fontId="17" fillId="8" borderId="7" xfId="0" applyFont="1" applyFill="1" applyBorder="1"/>
    <xf numFmtId="0" fontId="26" fillId="8" borderId="7" xfId="0" applyFont="1" applyFill="1" applyBorder="1" applyAlignment="1">
      <alignment horizontal="center"/>
    </xf>
    <xf numFmtId="0" fontId="27" fillId="8" borderId="7" xfId="0" applyFont="1" applyFill="1" applyBorder="1" applyAlignment="1">
      <alignment horizontal="center"/>
    </xf>
    <xf numFmtId="0" fontId="17" fillId="7" borderId="7" xfId="0" applyFont="1" applyFill="1" applyBorder="1"/>
    <xf numFmtId="0" fontId="26" fillId="7" borderId="7" xfId="0" applyFont="1" applyFill="1" applyBorder="1" applyAlignment="1">
      <alignment horizontal="center"/>
    </xf>
    <xf numFmtId="0" fontId="27" fillId="7" borderId="7" xfId="0" applyFont="1" applyFill="1" applyBorder="1" applyAlignment="1">
      <alignment horizontal="center"/>
    </xf>
    <xf numFmtId="0" fontId="17" fillId="7" borderId="7" xfId="0" applyFont="1" applyFill="1" applyBorder="1" applyAlignment="1">
      <alignment horizontal="center"/>
    </xf>
    <xf numFmtId="0" fontId="17" fillId="8" borderId="7" xfId="0" applyFont="1" applyFill="1" applyBorder="1" applyAlignment="1">
      <alignment horizontal="center"/>
    </xf>
    <xf numFmtId="0" fontId="17" fillId="0" borderId="0" xfId="0" applyFont="1"/>
    <xf numFmtId="43" fontId="3" fillId="0" borderId="0" xfId="0" applyNumberFormat="1" applyFont="1"/>
    <xf numFmtId="0" fontId="9" fillId="6" borderId="7" xfId="0" applyFont="1" applyFill="1" applyBorder="1" applyAlignment="1">
      <alignment horizontal="left" vertical="top"/>
    </xf>
    <xf numFmtId="0" fontId="9" fillId="8" borderId="7" xfId="0" applyFont="1" applyFill="1" applyBorder="1" applyAlignment="1">
      <alignment horizontal="left" vertical="top"/>
    </xf>
    <xf numFmtId="0" fontId="9" fillId="8" borderId="7" xfId="0" applyFont="1" applyFill="1" applyBorder="1" applyAlignment="1">
      <alignment horizontal="left"/>
    </xf>
    <xf numFmtId="0" fontId="28" fillId="7" borderId="7" xfId="0" applyFont="1" applyFill="1" applyBorder="1" applyAlignment="1">
      <alignment horizontal="left" vertical="top"/>
    </xf>
    <xf numFmtId="0" fontId="3" fillId="0" borderId="2" xfId="0" applyFont="1" applyBorder="1"/>
    <xf numFmtId="43" fontId="3" fillId="0" borderId="2" xfId="0" applyNumberFormat="1" applyFont="1" applyBorder="1"/>
    <xf numFmtId="0" fontId="4" fillId="15" borderId="11" xfId="0" applyFont="1" applyFill="1" applyBorder="1"/>
    <xf numFmtId="43" fontId="4" fillId="15" borderId="11" xfId="0" applyNumberFormat="1" applyFont="1" applyFill="1" applyBorder="1"/>
    <xf numFmtId="43" fontId="2" fillId="0" borderId="0" xfId="0" applyNumberFormat="1" applyFont="1"/>
    <xf numFmtId="0" fontId="9" fillId="8" borderId="29" xfId="0" applyFont="1" applyFill="1" applyBorder="1" applyAlignment="1">
      <alignment horizontal="left" vertical="center" wrapText="1"/>
    </xf>
    <xf numFmtId="0" fontId="8" fillId="8" borderId="29" xfId="0" applyFont="1" applyFill="1" applyBorder="1" applyAlignment="1">
      <alignment horizontal="left" vertical="top" wrapText="1"/>
    </xf>
    <xf numFmtId="0" fontId="10" fillId="16" borderId="30" xfId="0" applyFont="1" applyFill="1" applyBorder="1" applyAlignment="1">
      <alignment horizontal="left" vertical="center"/>
    </xf>
    <xf numFmtId="0" fontId="10" fillId="16" borderId="11" xfId="0" applyFont="1" applyFill="1" applyBorder="1" applyAlignment="1">
      <alignment horizontal="left" vertical="center"/>
    </xf>
    <xf numFmtId="0" fontId="10" fillId="0" borderId="0" xfId="0" applyFont="1" applyAlignment="1">
      <alignment horizontal="left" vertical="center"/>
    </xf>
    <xf numFmtId="0" fontId="7" fillId="17" borderId="31" xfId="0" applyFont="1" applyFill="1" applyBorder="1" applyAlignment="1">
      <alignment horizontal="left" vertical="center"/>
    </xf>
    <xf numFmtId="0" fontId="7" fillId="17" borderId="11" xfId="0" applyFont="1" applyFill="1" applyBorder="1" applyAlignment="1">
      <alignment horizontal="left" vertical="center"/>
    </xf>
    <xf numFmtId="0" fontId="7" fillId="0" borderId="0" xfId="0" applyFont="1" applyAlignment="1">
      <alignment horizontal="left" vertical="center"/>
    </xf>
    <xf numFmtId="0" fontId="29" fillId="14" borderId="7" xfId="0" applyFont="1" applyFill="1" applyBorder="1"/>
    <xf numFmtId="0" fontId="29" fillId="14" borderId="32" xfId="0" applyFont="1" applyFill="1" applyBorder="1"/>
    <xf numFmtId="0" fontId="29" fillId="0" borderId="0" xfId="0" applyFont="1"/>
    <xf numFmtId="0" fontId="9" fillId="14" borderId="7" xfId="0" applyFont="1" applyFill="1" applyBorder="1" applyAlignment="1">
      <alignment horizontal="left" vertical="center" wrapText="1"/>
    </xf>
    <xf numFmtId="0" fontId="8" fillId="7" borderId="32" xfId="0" applyFont="1" applyFill="1" applyBorder="1" applyAlignment="1">
      <alignment horizontal="left" vertical="top" wrapText="1"/>
    </xf>
    <xf numFmtId="0" fontId="8" fillId="0" borderId="0" xfId="0" applyFont="1" applyAlignment="1">
      <alignment horizontal="left" vertical="top" wrapText="1"/>
    </xf>
    <xf numFmtId="17" fontId="8" fillId="7" borderId="32" xfId="0" applyNumberFormat="1" applyFont="1" applyFill="1" applyBorder="1" applyAlignment="1">
      <alignment horizontal="left" vertical="top" wrapText="1"/>
    </xf>
    <xf numFmtId="0" fontId="4" fillId="0" borderId="7" xfId="0" applyFont="1" applyBorder="1"/>
    <xf numFmtId="0" fontId="4" fillId="0" borderId="5" xfId="0" applyFont="1" applyBorder="1"/>
    <xf numFmtId="0" fontId="13" fillId="0" borderId="0" xfId="0" applyFont="1" applyAlignment="1">
      <alignment horizontal="left" vertical="top" wrapText="1"/>
    </xf>
    <xf numFmtId="0" fontId="17" fillId="8" borderId="32" xfId="0" applyFont="1" applyFill="1" applyBorder="1"/>
    <xf numFmtId="0" fontId="8" fillId="8" borderId="32" xfId="0" applyFont="1" applyFill="1" applyBorder="1" applyAlignment="1">
      <alignment horizontal="left" vertical="top" wrapText="1"/>
    </xf>
    <xf numFmtId="0" fontId="17" fillId="8" borderId="32" xfId="0" applyFont="1" applyFill="1" applyBorder="1" applyAlignment="1">
      <alignment wrapText="1"/>
    </xf>
    <xf numFmtId="0" fontId="9" fillId="8" borderId="34" xfId="0" applyFont="1" applyFill="1" applyBorder="1" applyAlignment="1">
      <alignment horizontal="left" vertical="center" wrapText="1"/>
    </xf>
    <xf numFmtId="0" fontId="9" fillId="8" borderId="35" xfId="0" applyFont="1" applyFill="1" applyBorder="1" applyAlignment="1">
      <alignment horizontal="left" vertical="center" wrapText="1"/>
    </xf>
    <xf numFmtId="0" fontId="30" fillId="3" borderId="36" xfId="0" applyFont="1" applyFill="1" applyBorder="1"/>
    <xf numFmtId="0" fontId="30" fillId="3" borderId="37" xfId="0" applyFont="1" applyFill="1" applyBorder="1"/>
    <xf numFmtId="0" fontId="30" fillId="3" borderId="38" xfId="0" applyFont="1" applyFill="1" applyBorder="1"/>
    <xf numFmtId="0" fontId="17" fillId="0" borderId="6" xfId="0" applyFont="1" applyBorder="1"/>
    <xf numFmtId="0" fontId="17" fillId="0" borderId="7" xfId="0" applyFont="1" applyBorder="1"/>
    <xf numFmtId="3" fontId="17" fillId="0" borderId="7" xfId="0" applyNumberFormat="1" applyFont="1" applyBorder="1"/>
    <xf numFmtId="3" fontId="17" fillId="0" borderId="5" xfId="0" applyNumberFormat="1" applyFont="1" applyBorder="1"/>
    <xf numFmtId="0" fontId="31" fillId="6" borderId="39" xfId="0" applyFont="1" applyFill="1" applyBorder="1"/>
    <xf numFmtId="0" fontId="24" fillId="6" borderId="40" xfId="0" applyFont="1" applyFill="1" applyBorder="1"/>
    <xf numFmtId="0" fontId="31" fillId="6" borderId="40" xfId="0" applyFont="1" applyFill="1" applyBorder="1"/>
    <xf numFmtId="3" fontId="32" fillId="6" borderId="40" xfId="0" applyNumberFormat="1" applyFont="1" applyFill="1" applyBorder="1"/>
    <xf numFmtId="3" fontId="32" fillId="6" borderId="41" xfId="0" applyNumberFormat="1" applyFont="1" applyFill="1" applyBorder="1"/>
    <xf numFmtId="0" fontId="9" fillId="6" borderId="45" xfId="0" applyFont="1" applyFill="1" applyBorder="1" applyAlignment="1">
      <alignment horizontal="left"/>
    </xf>
    <xf numFmtId="0" fontId="8" fillId="7" borderId="32" xfId="0" applyFont="1" applyFill="1" applyBorder="1" applyAlignment="1">
      <alignment horizontal="left" wrapText="1"/>
    </xf>
    <xf numFmtId="0" fontId="9" fillId="8" borderId="45" xfId="0" applyFont="1" applyFill="1" applyBorder="1" applyAlignment="1">
      <alignment horizontal="left"/>
    </xf>
    <xf numFmtId="17" fontId="8" fillId="7" borderId="32" xfId="0" applyNumberFormat="1" applyFont="1" applyFill="1" applyBorder="1" applyAlignment="1">
      <alignment horizontal="left"/>
    </xf>
    <xf numFmtId="0" fontId="8" fillId="7" borderId="32" xfId="0" applyFont="1" applyFill="1" applyBorder="1" applyAlignment="1">
      <alignment horizontal="left"/>
    </xf>
    <xf numFmtId="0" fontId="9" fillId="8" borderId="45" xfId="0" applyFont="1" applyFill="1" applyBorder="1"/>
    <xf numFmtId="0" fontId="4" fillId="7" borderId="32" xfId="0" applyFont="1" applyFill="1" applyBorder="1"/>
    <xf numFmtId="16" fontId="8" fillId="8" borderId="32" xfId="0" applyNumberFormat="1" applyFont="1" applyFill="1" applyBorder="1" applyAlignment="1">
      <alignment horizontal="left"/>
    </xf>
    <xf numFmtId="0" fontId="8" fillId="8" borderId="32" xfId="0" applyFont="1" applyFill="1" applyBorder="1" applyAlignment="1">
      <alignment horizontal="left" wrapText="1"/>
    </xf>
    <xf numFmtId="0" fontId="9" fillId="8" borderId="46" xfId="0" applyFont="1" applyFill="1" applyBorder="1" applyAlignment="1">
      <alignment horizontal="left"/>
    </xf>
    <xf numFmtId="0" fontId="8" fillId="8" borderId="47" xfId="0" applyFont="1" applyFill="1" applyBorder="1" applyAlignment="1">
      <alignment horizontal="left"/>
    </xf>
    <xf numFmtId="0" fontId="8" fillId="8" borderId="32" xfId="0" applyFont="1" applyFill="1" applyBorder="1" applyAlignment="1">
      <alignment horizontal="left"/>
    </xf>
    <xf numFmtId="0" fontId="10" fillId="5" borderId="3" xfId="0" applyFont="1" applyFill="1" applyBorder="1" applyAlignment="1">
      <alignment horizontal="left" vertical="center"/>
    </xf>
    <xf numFmtId="0" fontId="11" fillId="0" borderId="4" xfId="0" applyFont="1" applyBorder="1"/>
    <xf numFmtId="0" fontId="7" fillId="3" borderId="5" xfId="0" applyFont="1" applyFill="1" applyBorder="1" applyAlignment="1">
      <alignment horizontal="left" vertical="center"/>
    </xf>
    <xf numFmtId="0" fontId="11" fillId="0" borderId="6" xfId="0" applyFont="1" applyBorder="1"/>
    <xf numFmtId="0" fontId="12" fillId="6" borderId="5" xfId="0" applyFont="1" applyFill="1" applyBorder="1"/>
    <xf numFmtId="0" fontId="13" fillId="7" borderId="5" xfId="0" applyFont="1" applyFill="1" applyBorder="1" applyAlignment="1">
      <alignment horizontal="left" vertical="top" wrapText="1"/>
    </xf>
    <xf numFmtId="0" fontId="14" fillId="5" borderId="8" xfId="0" applyFont="1" applyFill="1" applyBorder="1"/>
    <xf numFmtId="0" fontId="11" fillId="0" borderId="9" xfId="0" applyFont="1" applyBorder="1"/>
    <xf numFmtId="0" fontId="11" fillId="0" borderId="10" xfId="0" applyFont="1" applyBorder="1"/>
    <xf numFmtId="0" fontId="15" fillId="7" borderId="8" xfId="0" applyFont="1" applyFill="1" applyBorder="1"/>
    <xf numFmtId="0" fontId="10" fillId="5" borderId="23" xfId="0" applyFont="1" applyFill="1" applyBorder="1" applyAlignment="1">
      <alignment horizontal="left" vertical="center"/>
    </xf>
    <xf numFmtId="0" fontId="11" fillId="0" borderId="24" xfId="0" applyFont="1" applyBorder="1"/>
    <xf numFmtId="0" fontId="7" fillId="3" borderId="25" xfId="0" applyFont="1" applyFill="1" applyBorder="1" applyAlignment="1">
      <alignment horizontal="left" vertical="center"/>
    </xf>
    <xf numFmtId="0" fontId="11" fillId="0" borderId="26" xfId="0" applyFont="1" applyBorder="1"/>
    <xf numFmtId="0" fontId="12" fillId="6" borderId="27" xfId="0" applyFont="1" applyFill="1" applyBorder="1" applyAlignment="1">
      <alignment horizontal="left" vertical="center"/>
    </xf>
    <xf numFmtId="0" fontId="11" fillId="0" borderId="28" xfId="0" applyFont="1" applyBorder="1"/>
    <xf numFmtId="0" fontId="12" fillId="6" borderId="5" xfId="0" applyFont="1" applyFill="1" applyBorder="1" applyAlignment="1">
      <alignment horizontal="left" vertical="center"/>
    </xf>
    <xf numFmtId="0" fontId="11" fillId="0" borderId="33" xfId="0" applyFont="1" applyBorder="1"/>
    <xf numFmtId="0" fontId="33" fillId="0" borderId="0" xfId="0" applyFont="1"/>
    <xf numFmtId="0" fontId="0" fillId="0" borderId="0" xfId="0"/>
    <xf numFmtId="0" fontId="10" fillId="16" borderId="3" xfId="0" applyFont="1" applyFill="1" applyBorder="1" applyAlignment="1">
      <alignment horizontal="left" vertical="center"/>
    </xf>
    <xf numFmtId="0" fontId="7" fillId="17" borderId="5" xfId="0" applyFont="1" applyFill="1" applyBorder="1" applyAlignment="1">
      <alignment horizontal="left" vertical="center"/>
    </xf>
    <xf numFmtId="0" fontId="29" fillId="14" borderId="5" xfId="0" applyFont="1" applyFill="1" applyBorder="1"/>
    <xf numFmtId="0" fontId="10" fillId="5" borderId="42" xfId="0" applyFont="1" applyFill="1" applyBorder="1" applyAlignment="1">
      <alignment horizontal="left"/>
    </xf>
    <xf numFmtId="0" fontId="11" fillId="0" borderId="43" xfId="0" applyFont="1" applyBorder="1"/>
    <xf numFmtId="0" fontId="7" fillId="3" borderId="44" xfId="0" applyFont="1" applyFill="1" applyBorder="1" applyAlignment="1">
      <alignment horizontal="left"/>
    </xf>
    <xf numFmtId="0" fontId="12" fillId="6" borderId="44" xfId="0" applyFont="1" applyFill="1" applyBorder="1"/>
    <xf numFmtId="0" fontId="13" fillId="7" borderId="44" xfId="0" applyFont="1" applyFill="1" applyBorder="1" applyAlignment="1">
      <alignment horizontal="left" wrapText="1"/>
    </xf>
    <xf numFmtId="0" fontId="3" fillId="18" borderId="2" xfId="0" applyFont="1" applyFill="1" applyBorder="1" applyAlignment="1">
      <alignment wrapText="1"/>
    </xf>
    <xf numFmtId="0" fontId="8" fillId="18" borderId="2" xfId="0" applyFont="1" applyFill="1" applyBorder="1" applyAlignment="1">
      <alignment horizontal="center" vertical="center"/>
    </xf>
    <xf numFmtId="0" fontId="9" fillId="18" borderId="2" xfId="0" applyFont="1" applyFill="1" applyBorder="1" applyAlignment="1">
      <alignment horizontal="center" vertical="center"/>
    </xf>
    <xf numFmtId="0" fontId="8" fillId="18" borderId="2" xfId="0" applyFont="1" applyFill="1" applyBorder="1" applyAlignment="1">
      <alignment horizontal="left" vertical="center" wrapText="1"/>
    </xf>
    <xf numFmtId="17" fontId="8" fillId="18" borderId="2" xfId="0" applyNumberFormat="1" applyFont="1" applyFill="1" applyBorder="1" applyAlignment="1">
      <alignment horizontal="center" vertical="center"/>
    </xf>
    <xf numFmtId="164" fontId="8" fillId="18" borderId="2" xfId="0" applyNumberFormat="1" applyFont="1" applyFill="1" applyBorder="1" applyAlignment="1">
      <alignment horizontal="right" vertical="center" wrapText="1"/>
    </xf>
    <xf numFmtId="165" fontId="8" fillId="18" borderId="2" xfId="0" applyNumberFormat="1" applyFont="1" applyFill="1" applyBorder="1" applyAlignment="1">
      <alignment horizontal="right" vertical="center" wrapText="1"/>
    </xf>
    <xf numFmtId="43" fontId="4" fillId="18" borderId="2" xfId="0" applyNumberFormat="1" applyFont="1" applyFill="1" applyBorder="1"/>
    <xf numFmtId="0" fontId="0" fillId="18" borderId="0" xfId="0" applyFill="1"/>
    <xf numFmtId="0" fontId="3" fillId="19" borderId="2" xfId="0" applyFont="1" applyFill="1" applyBorder="1" applyAlignment="1">
      <alignment wrapText="1"/>
    </xf>
    <xf numFmtId="0" fontId="8" fillId="19" borderId="2" xfId="0" applyFont="1" applyFill="1" applyBorder="1" applyAlignment="1">
      <alignment horizontal="center" vertical="center"/>
    </xf>
    <xf numFmtId="0" fontId="9" fillId="19" borderId="2" xfId="0" applyFont="1" applyFill="1" applyBorder="1" applyAlignment="1">
      <alignment horizontal="center" vertical="center"/>
    </xf>
    <xf numFmtId="0" fontId="8" fillId="19" borderId="2" xfId="0" applyFont="1" applyFill="1" applyBorder="1" applyAlignment="1">
      <alignment horizontal="left" vertical="center" wrapText="1"/>
    </xf>
    <xf numFmtId="17" fontId="8" fillId="19" borderId="2" xfId="0" applyNumberFormat="1" applyFont="1" applyFill="1" applyBorder="1" applyAlignment="1">
      <alignment horizontal="center" vertical="center"/>
    </xf>
    <xf numFmtId="164" fontId="8" fillId="19" borderId="2" xfId="0" applyNumberFormat="1" applyFont="1" applyFill="1" applyBorder="1" applyAlignment="1">
      <alignment horizontal="right" vertical="center" wrapText="1"/>
    </xf>
    <xf numFmtId="165" fontId="8" fillId="19" borderId="2" xfId="0" applyNumberFormat="1" applyFont="1" applyFill="1" applyBorder="1" applyAlignment="1">
      <alignment horizontal="right" vertical="center" wrapText="1"/>
    </xf>
    <xf numFmtId="166" fontId="8" fillId="19" borderId="2" xfId="0" applyNumberFormat="1" applyFont="1" applyFill="1" applyBorder="1" applyAlignment="1">
      <alignment horizontal="right" vertical="center" wrapText="1"/>
    </xf>
    <xf numFmtId="43" fontId="4" fillId="19" borderId="2" xfId="0" applyNumberFormat="1" applyFont="1" applyFill="1" applyBorder="1"/>
    <xf numFmtId="9" fontId="0" fillId="0" borderId="0" xfId="0" applyNumberFormat="1"/>
    <xf numFmtId="9" fontId="0" fillId="0" borderId="0" xfId="2" applyFont="1"/>
    <xf numFmtId="43" fontId="0" fillId="0" borderId="0" xfId="1" applyFont="1"/>
    <xf numFmtId="43" fontId="0" fillId="0" borderId="0" xfId="0" applyNumberFormat="1"/>
    <xf numFmtId="166" fontId="8" fillId="18" borderId="2" xfId="0" applyNumberFormat="1" applyFont="1" applyFill="1" applyBorder="1" applyAlignment="1">
      <alignment horizontal="right" vertical="center" wrapText="1"/>
    </xf>
    <xf numFmtId="166" fontId="8" fillId="18" borderId="2" xfId="0" applyNumberFormat="1" applyFont="1" applyFill="1" applyBorder="1" applyAlignment="1">
      <alignment horizontal="left" vertical="center" wrapText="1"/>
    </xf>
    <xf numFmtId="0" fontId="1" fillId="0" borderId="0" xfId="0" applyFont="1"/>
    <xf numFmtId="0" fontId="1" fillId="0" borderId="11" xfId="0" applyFont="1" applyFill="1" applyBorder="1"/>
    <xf numFmtId="43" fontId="8" fillId="0" borderId="0" xfId="1" applyFont="1" applyAlignment="1">
      <alignment horizontal="left" vertical="top" wrapText="1"/>
    </xf>
    <xf numFmtId="0" fontId="4" fillId="18" borderId="0" xfId="0" applyFont="1" applyFill="1" applyAlignment="1">
      <alignment wrapText="1"/>
    </xf>
    <xf numFmtId="0" fontId="9" fillId="18" borderId="11" xfId="0" applyFont="1" applyFill="1" applyBorder="1" applyAlignment="1">
      <alignment horizontal="center" vertical="center"/>
    </xf>
    <xf numFmtId="0" fontId="1" fillId="18" borderId="0" xfId="0" applyFont="1" applyFill="1" applyAlignment="1">
      <alignment wrapText="1"/>
    </xf>
    <xf numFmtId="0" fontId="9" fillId="8" borderId="29" xfId="0" applyFont="1" applyFill="1" applyBorder="1" applyAlignment="1">
      <alignment horizontal="left" vertical="top"/>
    </xf>
    <xf numFmtId="0" fontId="8" fillId="18" borderId="11" xfId="0" applyFont="1" applyFill="1" applyBorder="1" applyAlignment="1">
      <alignment horizontal="left" vertical="center" wrapText="1"/>
    </xf>
    <xf numFmtId="0" fontId="3" fillId="20" borderId="2" xfId="0" applyFont="1" applyFill="1" applyBorder="1" applyAlignment="1">
      <alignment wrapText="1"/>
    </xf>
    <xf numFmtId="0" fontId="8" fillId="20" borderId="2" xfId="0" applyFont="1" applyFill="1" applyBorder="1" applyAlignment="1">
      <alignment horizontal="center" vertical="center"/>
    </xf>
    <xf numFmtId="0" fontId="9" fillId="20" borderId="2" xfId="0" applyFont="1" applyFill="1" applyBorder="1" applyAlignment="1">
      <alignment horizontal="center" vertical="center"/>
    </xf>
    <xf numFmtId="0" fontId="8" fillId="20" borderId="2" xfId="0" applyFont="1" applyFill="1" applyBorder="1" applyAlignment="1">
      <alignment horizontal="left" vertical="center" wrapText="1"/>
    </xf>
    <xf numFmtId="17" fontId="8" fillId="20" borderId="2" xfId="0" applyNumberFormat="1" applyFont="1" applyFill="1" applyBorder="1" applyAlignment="1">
      <alignment horizontal="center" vertical="center"/>
    </xf>
    <xf numFmtId="164" fontId="8" fillId="20" borderId="2" xfId="0" applyNumberFormat="1" applyFont="1" applyFill="1" applyBorder="1" applyAlignment="1">
      <alignment horizontal="right" vertical="center" wrapText="1"/>
    </xf>
    <xf numFmtId="165" fontId="8" fillId="20" borderId="2" xfId="0" applyNumberFormat="1" applyFont="1" applyFill="1" applyBorder="1" applyAlignment="1">
      <alignment horizontal="right" vertical="center" wrapText="1"/>
    </xf>
    <xf numFmtId="166" fontId="8" fillId="20" borderId="2" xfId="0" applyNumberFormat="1" applyFont="1" applyFill="1" applyBorder="1" applyAlignment="1">
      <alignment horizontal="left" vertical="center" wrapText="1"/>
    </xf>
    <xf numFmtId="43" fontId="4" fillId="20" borderId="2" xfId="0" applyNumberFormat="1" applyFont="1" applyFill="1" applyBorder="1"/>
    <xf numFmtId="0" fontId="0" fillId="20" borderId="0" xfId="0" applyFill="1"/>
    <xf numFmtId="0" fontId="35" fillId="21" borderId="11" xfId="3" applyFont="1" applyFill="1"/>
    <xf numFmtId="43" fontId="35" fillId="21" borderId="11" xfId="4" applyFont="1" applyFill="1"/>
    <xf numFmtId="0" fontId="1" fillId="0" borderId="11" xfId="3"/>
    <xf numFmtId="43" fontId="0" fillId="0" borderId="11" xfId="4" applyFont="1"/>
    <xf numFmtId="43" fontId="35" fillId="0" borderId="11" xfId="4" applyFont="1"/>
    <xf numFmtId="0" fontId="38" fillId="0" borderId="11" xfId="3" applyFont="1" applyAlignment="1">
      <alignment horizontal="center"/>
    </xf>
    <xf numFmtId="43" fontId="38" fillId="0" borderId="11" xfId="4" applyFont="1"/>
    <xf numFmtId="0" fontId="38" fillId="0" borderId="11" xfId="3" applyFont="1"/>
    <xf numFmtId="0" fontId="35" fillId="20" borderId="11" xfId="3" applyFont="1" applyFill="1"/>
    <xf numFmtId="43" fontId="35" fillId="20" borderId="11" xfId="4" applyFont="1" applyFill="1"/>
    <xf numFmtId="0" fontId="8" fillId="22" borderId="29" xfId="0" applyFont="1" applyFill="1" applyBorder="1" applyAlignment="1">
      <alignment horizontal="left" vertical="top" wrapText="1"/>
    </xf>
    <xf numFmtId="0" fontId="9" fillId="22" borderId="29" xfId="0" applyFont="1" applyFill="1" applyBorder="1" applyAlignment="1">
      <alignment horizontal="left" vertical="center" wrapText="1"/>
    </xf>
  </cellXfs>
  <cellStyles count="5">
    <cellStyle name="Comma" xfId="1" builtinId="3"/>
    <cellStyle name="Comma 2" xfId="4" xr:uid="{97762842-9851-4176-8380-C7877FD06C4D}"/>
    <cellStyle name="Normal" xfId="0" builtinId="0"/>
    <cellStyle name="Normal 2" xfId="3" xr:uid="{76D31E03-CBAC-45E8-8E01-4F191B47EAA8}"/>
    <cellStyle name="Percent" xfId="2" builtinId="5"/>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customschemas.google.com/relationships/workbookmetadata" Target="metadata"/><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17" workbookViewId="0">
      <selection activeCell="A13" sqref="A13"/>
    </sheetView>
  </sheetViews>
  <sheetFormatPr defaultColWidth="14.453125" defaultRowHeight="15" customHeight="1" x14ac:dyDescent="0.35"/>
  <cols>
    <col min="1" max="9" width="8.7265625" customWidth="1"/>
    <col min="10" max="10" width="10.26953125" bestFit="1" customWidth="1"/>
    <col min="11" max="11" width="8.7265625" style="208" customWidth="1"/>
    <col min="12" max="26" width="8.7265625" customWidth="1"/>
  </cols>
  <sheetData>
    <row r="1" spans="1:11" ht="14.25" customHeight="1" x14ac:dyDescent="0.35"/>
    <row r="2" spans="1:11" ht="14.25" customHeight="1" x14ac:dyDescent="0.35"/>
    <row r="3" spans="1:11" ht="14.25" customHeight="1" x14ac:dyDescent="0.35">
      <c r="A3" s="1" t="s">
        <v>0</v>
      </c>
    </row>
    <row r="4" spans="1:11" ht="14.25" customHeight="1" x14ac:dyDescent="0.35">
      <c r="A4" s="1" t="s">
        <v>1</v>
      </c>
    </row>
    <row r="5" spans="1:11" ht="14.25" customHeight="1" x14ac:dyDescent="0.35">
      <c r="A5" s="1" t="s">
        <v>2</v>
      </c>
    </row>
    <row r="6" spans="1:11" ht="14.25" customHeight="1" x14ac:dyDescent="0.35"/>
    <row r="7" spans="1:11" ht="14.25" customHeight="1" x14ac:dyDescent="0.35"/>
    <row r="8" spans="1:11" ht="14.25" customHeight="1" x14ac:dyDescent="0.35"/>
    <row r="9" spans="1:11" ht="14.25" customHeight="1" x14ac:dyDescent="0.35"/>
    <row r="10" spans="1:11" ht="14.25" customHeight="1" x14ac:dyDescent="0.35">
      <c r="A10" s="2" t="s">
        <v>3</v>
      </c>
    </row>
    <row r="11" spans="1:11" ht="14.25" customHeight="1" x14ac:dyDescent="0.35">
      <c r="A11" s="1" t="s">
        <v>4</v>
      </c>
    </row>
    <row r="12" spans="1:11" ht="14.25" customHeight="1" x14ac:dyDescent="0.35">
      <c r="A12" s="1" t="s">
        <v>5</v>
      </c>
    </row>
    <row r="13" spans="1:11" ht="14.25" customHeight="1" x14ac:dyDescent="0.35">
      <c r="J13" cm="1">
        <f t="array" ref="J13:J49">+_xlfn.UNIQUE('Initiative Register'!C:C)</f>
        <v>0</v>
      </c>
    </row>
    <row r="14" spans="1:11" ht="14.25" customHeight="1" x14ac:dyDescent="0.35">
      <c r="J14" t="str">
        <v>Initiative ID</v>
      </c>
    </row>
    <row r="15" spans="1:11" ht="14.25" customHeight="1" x14ac:dyDescent="0.35">
      <c r="J15" t="str">
        <v>R-01</v>
      </c>
      <c r="K15" s="208">
        <f>+SUMIFS('Initiative Register'!AA:AA,'Initiative Register'!C:C,Assumptions!J15)</f>
        <v>0</v>
      </c>
    </row>
    <row r="16" spans="1:11" ht="14.25" customHeight="1" x14ac:dyDescent="0.35">
      <c r="J16" t="str">
        <v>R-02</v>
      </c>
      <c r="K16" s="208">
        <f>+SUMIFS('Initiative Register'!AA:AA,'Initiative Register'!C:C,Assumptions!J16)</f>
        <v>2.335</v>
      </c>
    </row>
    <row r="17" spans="10:11" ht="14.25" customHeight="1" x14ac:dyDescent="0.35">
      <c r="J17" t="str">
        <v>R-03</v>
      </c>
      <c r="K17" s="208">
        <f>+SUMIFS('Initiative Register'!AA:AA,'Initiative Register'!C:C,Assumptions!J17)</f>
        <v>0</v>
      </c>
    </row>
    <row r="18" spans="10:11" ht="14.25" customHeight="1" x14ac:dyDescent="0.35">
      <c r="J18" t="str">
        <v>R-04</v>
      </c>
      <c r="K18" s="208">
        <f>+SUMIFS('Initiative Register'!AA:AA,'Initiative Register'!C:C,Assumptions!J18)</f>
        <v>0</v>
      </c>
    </row>
    <row r="19" spans="10:11" ht="14.25" customHeight="1" x14ac:dyDescent="0.35">
      <c r="J19" t="str">
        <v>R-05</v>
      </c>
      <c r="K19" s="208">
        <f>+SUMIFS('Initiative Register'!AA:AA,'Initiative Register'!C:C,Assumptions!J19)</f>
        <v>0</v>
      </c>
    </row>
    <row r="20" spans="10:11" ht="14.25" customHeight="1" x14ac:dyDescent="0.35">
      <c r="J20" t="str">
        <v>R-06</v>
      </c>
      <c r="K20" s="208">
        <f>+SUMIFS('Initiative Register'!AA:AA,'Initiative Register'!C:C,Assumptions!J20)</f>
        <v>0</v>
      </c>
    </row>
    <row r="21" spans="10:11" ht="14.25" customHeight="1" x14ac:dyDescent="0.35">
      <c r="J21" t="str">
        <v>R-07</v>
      </c>
      <c r="K21" s="208">
        <f>+SUMIFS('Initiative Register'!AA:AA,'Initiative Register'!C:C,Assumptions!J21)</f>
        <v>0</v>
      </c>
    </row>
    <row r="22" spans="10:11" ht="14.25" customHeight="1" x14ac:dyDescent="0.35">
      <c r="J22" t="str">
        <v>R-08</v>
      </c>
      <c r="K22" s="208">
        <f>+SUMIFS('Initiative Register'!AA:AA,'Initiative Register'!C:C,Assumptions!J22)</f>
        <v>0</v>
      </c>
    </row>
    <row r="23" spans="10:11" ht="14.25" customHeight="1" x14ac:dyDescent="0.35">
      <c r="J23" t="str">
        <v>R-09</v>
      </c>
      <c r="K23" s="208">
        <f>+SUMIFS('Initiative Register'!AA:AA,'Initiative Register'!C:C,Assumptions!J23)</f>
        <v>0</v>
      </c>
    </row>
    <row r="24" spans="10:11" ht="14.25" customHeight="1" x14ac:dyDescent="0.35">
      <c r="J24" t="str">
        <v>R-10</v>
      </c>
      <c r="K24" s="208">
        <f>+SUMIFS('Initiative Register'!AA:AA,'Initiative Register'!C:C,Assumptions!J24)</f>
        <v>425.09111127770274</v>
      </c>
    </row>
    <row r="25" spans="10:11" ht="14.25" customHeight="1" x14ac:dyDescent="0.35">
      <c r="J25" t="str">
        <v>R-11</v>
      </c>
      <c r="K25" s="208">
        <f>+SUMIFS('Initiative Register'!AA:AA,'Initiative Register'!C:C,Assumptions!J25)</f>
        <v>42.822426544394261</v>
      </c>
    </row>
    <row r="26" spans="10:11" ht="14.25" customHeight="1" x14ac:dyDescent="0.35">
      <c r="J26" t="str">
        <v>R-12</v>
      </c>
      <c r="K26" s="208">
        <f>+SUMIFS('Initiative Register'!AA:AA,'Initiative Register'!C:C,Assumptions!J26)</f>
        <v>0</v>
      </c>
    </row>
    <row r="27" spans="10:11" ht="14.25" customHeight="1" x14ac:dyDescent="0.35">
      <c r="J27" t="str">
        <v>R-13</v>
      </c>
      <c r="K27" s="208">
        <f>+SUMIFS('Initiative Register'!AA:AA,'Initiative Register'!C:C,Assumptions!J27)</f>
        <v>0</v>
      </c>
    </row>
    <row r="28" spans="10:11" ht="14.25" customHeight="1" x14ac:dyDescent="0.35">
      <c r="J28" t="str">
        <v>R-14</v>
      </c>
      <c r="K28" s="208">
        <f>+SUMIFS('Initiative Register'!AA:AA,'Initiative Register'!C:C,Assumptions!J28)</f>
        <v>0.35300600000000015</v>
      </c>
    </row>
    <row r="29" spans="10:11" ht="14.25" customHeight="1" x14ac:dyDescent="0.35">
      <c r="J29" t="str">
        <v>R-15</v>
      </c>
      <c r="K29" s="208">
        <f>+SUMIFS('Initiative Register'!AA:AA,'Initiative Register'!C:C,Assumptions!J29)</f>
        <v>4.400043000000001</v>
      </c>
    </row>
    <row r="30" spans="10:11" ht="14.25" customHeight="1" x14ac:dyDescent="0.35">
      <c r="J30" t="str">
        <v>C-01</v>
      </c>
      <c r="K30" s="208">
        <f>+SUMIFS('Initiative Register'!AA:AA,'Initiative Register'!C:C,Assumptions!J30)</f>
        <v>3.0233925761686105</v>
      </c>
    </row>
    <row r="31" spans="10:11" ht="14.25" customHeight="1" x14ac:dyDescent="0.35">
      <c r="J31" t="str">
        <v>C-02</v>
      </c>
      <c r="K31" s="208">
        <f>+SUMIFS('Initiative Register'!AA:AA,'Initiative Register'!C:C,Assumptions!J31)</f>
        <v>1.3101367830063984</v>
      </c>
    </row>
    <row r="32" spans="10:11" ht="14.25" customHeight="1" x14ac:dyDescent="0.35">
      <c r="J32" t="str">
        <v>C-03</v>
      </c>
      <c r="K32" s="208">
        <f>+SUMIFS('Initiative Register'!AA:AA,'Initiative Register'!C:C,Assumptions!J32)</f>
        <v>0.80623802031162972</v>
      </c>
    </row>
    <row r="33" spans="10:11" ht="14.25" customHeight="1" x14ac:dyDescent="0.35">
      <c r="J33" t="str">
        <v>C-04</v>
      </c>
      <c r="K33" s="208">
        <f>+SUMIFS('Initiative Register'!AA:AA,'Initiative Register'!C:C,Assumptions!J33)</f>
        <v>0.60467851523372218</v>
      </c>
    </row>
    <row r="34" spans="10:11" ht="14.25" customHeight="1" x14ac:dyDescent="0.35">
      <c r="J34" t="str">
        <v>C-05</v>
      </c>
      <c r="K34" s="208">
        <f>+SUMIFS('Initiative Register'!AA:AA,'Initiative Register'!C:C,Assumptions!J34)</f>
        <v>0.70545826777267584</v>
      </c>
    </row>
    <row r="35" spans="10:11" ht="14.25" customHeight="1" x14ac:dyDescent="0.35">
      <c r="J35" t="str">
        <v>C-06</v>
      </c>
      <c r="K35" s="208">
        <f>+SUMIFS('Initiative Register'!AA:AA,'Initiative Register'!C:C,Assumptions!J35)</f>
        <v>0.15</v>
      </c>
    </row>
    <row r="36" spans="10:11" ht="14.25" customHeight="1" x14ac:dyDescent="0.35">
      <c r="J36" t="str">
        <v>C-07</v>
      </c>
      <c r="K36" s="208">
        <f>+SUMIFS('Initiative Register'!AA:AA,'Initiative Register'!C:C,Assumptions!J36)</f>
        <v>-1.0995505280000009</v>
      </c>
    </row>
    <row r="37" spans="10:11" ht="14.25" customHeight="1" x14ac:dyDescent="0.35">
      <c r="J37" t="str">
        <v>C-08</v>
      </c>
      <c r="K37" s="208">
        <f>+SUMIFS('Initiative Register'!AA:AA,'Initiative Register'!C:C,Assumptions!J37)</f>
        <v>10.024660621254528</v>
      </c>
    </row>
    <row r="38" spans="10:11" ht="14.25" customHeight="1" x14ac:dyDescent="0.35">
      <c r="J38" t="str">
        <v>C-09</v>
      </c>
      <c r="K38" s="208">
        <f>+SUMIFS('Initiative Register'!AA:AA,'Initiative Register'!C:C,Assumptions!J38)</f>
        <v>6.6831070808363524</v>
      </c>
    </row>
    <row r="39" spans="10:11" ht="14.25" customHeight="1" x14ac:dyDescent="0.35">
      <c r="J39" t="str">
        <v>C-10</v>
      </c>
      <c r="K39" s="208">
        <f>+SUMIFS('Initiative Register'!AA:AA,'Initiative Register'!C:C,Assumptions!J39)</f>
        <v>3.3415535404181762</v>
      </c>
    </row>
    <row r="40" spans="10:11" ht="14.25" customHeight="1" x14ac:dyDescent="0.35">
      <c r="J40" t="str">
        <v>C-11</v>
      </c>
      <c r="K40" s="208">
        <f>+SUMIFS('Initiative Register'!AA:AA,'Initiative Register'!C:C,Assumptions!J40)</f>
        <v>0</v>
      </c>
    </row>
    <row r="41" spans="10:11" ht="14.25" customHeight="1" x14ac:dyDescent="0.35">
      <c r="J41" t="str">
        <v>C-12</v>
      </c>
      <c r="K41" s="208">
        <f>+SUMIFS('Initiative Register'!AA:AA,'Initiative Register'!C:C,Assumptions!J41)</f>
        <v>0</v>
      </c>
    </row>
    <row r="42" spans="10:11" ht="14.25" customHeight="1" x14ac:dyDescent="0.35">
      <c r="J42" t="str">
        <v>C-13</v>
      </c>
      <c r="K42" s="208">
        <f>+SUMIFS('Initiative Register'!AA:AA,'Initiative Register'!C:C,Assumptions!J42)</f>
        <v>15</v>
      </c>
    </row>
    <row r="43" spans="10:11" ht="14.25" customHeight="1" x14ac:dyDescent="0.35">
      <c r="J43" t="str">
        <v>CL-01</v>
      </c>
      <c r="K43" s="208">
        <f>+SUMIFS('Initiative Register'!AA:AA,'Initiative Register'!C:C,Assumptions!J43)</f>
        <v>0</v>
      </c>
    </row>
    <row r="44" spans="10:11" ht="14.25" customHeight="1" x14ac:dyDescent="0.35">
      <c r="J44" t="str">
        <v>CL-02</v>
      </c>
      <c r="K44" s="208">
        <f>+SUMIFS('Initiative Register'!AA:AA,'Initiative Register'!C:C,Assumptions!J44)</f>
        <v>0</v>
      </c>
    </row>
    <row r="45" spans="10:11" ht="14.25" customHeight="1" x14ac:dyDescent="0.35">
      <c r="J45" t="str">
        <v>CL-03</v>
      </c>
      <c r="K45" s="208">
        <f>+SUMIFS('Initiative Register'!AA:AA,'Initiative Register'!C:C,Assumptions!J45)</f>
        <v>0</v>
      </c>
    </row>
    <row r="46" spans="10:11" ht="14.25" customHeight="1" x14ac:dyDescent="0.35">
      <c r="J46" t="str">
        <v>CL-04</v>
      </c>
      <c r="K46" s="208">
        <f>+SUMIFS('Initiative Register'!AA:AA,'Initiative Register'!C:C,Assumptions!J46)</f>
        <v>0</v>
      </c>
    </row>
    <row r="47" spans="10:11" ht="14.25" customHeight="1" x14ac:dyDescent="0.35">
      <c r="J47" t="str">
        <v>CL-05</v>
      </c>
      <c r="K47" s="208">
        <f>+SUMIFS('Initiative Register'!AA:AA,'Initiative Register'!C:C,Assumptions!J47)</f>
        <v>0</v>
      </c>
    </row>
    <row r="48" spans="10:11" ht="14.25" customHeight="1" x14ac:dyDescent="0.35">
      <c r="J48" t="str">
        <v>Cost New</v>
      </c>
      <c r="K48" s="208">
        <f>+SUMIFS('Initiative Register'!AA:AA,'Initiative Register'!C:C,Assumptions!J48)</f>
        <v>10.208988932196014</v>
      </c>
    </row>
    <row r="49" spans="10:11" ht="14.25" customHeight="1" x14ac:dyDescent="0.35">
      <c r="J49" t="str">
        <v>Cost New 1</v>
      </c>
      <c r="K49" s="208">
        <f>+SUMIFS('Initiative Register'!AA:AA,'Initiative Register'!C:C,Assumptions!J49)</f>
        <v>61.800787376835082</v>
      </c>
    </row>
    <row r="50" spans="10:11" ht="14.25" customHeight="1" x14ac:dyDescent="0.35">
      <c r="K50" s="208">
        <f>+SUMIFS('Initiative Register'!AA:AA,'Initiative Register'!C:C,Assumptions!J50)</f>
        <v>0</v>
      </c>
    </row>
    <row r="51" spans="10:11" ht="14.25" customHeight="1" x14ac:dyDescent="0.35"/>
    <row r="52" spans="10:11" ht="14.25" customHeight="1" x14ac:dyDescent="0.35"/>
    <row r="53" spans="10:11" ht="14.25" customHeight="1" x14ac:dyDescent="0.35"/>
    <row r="54" spans="10:11" ht="14.25" customHeight="1" x14ac:dyDescent="0.35"/>
    <row r="55" spans="10:11" ht="14.25" customHeight="1" x14ac:dyDescent="0.35"/>
    <row r="56" spans="10:11" ht="14.25" customHeight="1" x14ac:dyDescent="0.35"/>
    <row r="57" spans="10:11" ht="14.25" customHeight="1" x14ac:dyDescent="0.35"/>
    <row r="58" spans="10:11" ht="14.25" customHeight="1" x14ac:dyDescent="0.35"/>
    <row r="59" spans="10:11" ht="14.25" customHeight="1" x14ac:dyDescent="0.35"/>
    <row r="60" spans="10:11" ht="14.25" customHeight="1" x14ac:dyDescent="0.35"/>
    <row r="61" spans="10:11" ht="14.25" customHeight="1" x14ac:dyDescent="0.35"/>
    <row r="62" spans="10:11" ht="14.25" customHeight="1" x14ac:dyDescent="0.35"/>
    <row r="63" spans="10:11" ht="14.25" customHeight="1" x14ac:dyDescent="0.35"/>
    <row r="64" spans="10:11"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A1002"/>
  <sheetViews>
    <sheetView zoomScale="80" zoomScaleNormal="80" workbookViewId="0">
      <pane xSplit="5" ySplit="7" topLeftCell="H21" activePane="bottomRight" state="frozen"/>
      <selection pane="topRight" activeCell="F1" sqref="F1"/>
      <selection pane="bottomLeft" activeCell="A8" sqref="A8"/>
      <selection pane="bottomRight" activeCell="C22" sqref="C22"/>
    </sheetView>
  </sheetViews>
  <sheetFormatPr defaultColWidth="14.453125" defaultRowHeight="14.5" x14ac:dyDescent="0.35"/>
  <cols>
    <col min="1" max="1" width="30.7265625" customWidth="1"/>
    <col min="2" max="2" width="6.26953125" bestFit="1" customWidth="1"/>
    <col min="3" max="3" width="11.1796875" bestFit="1" customWidth="1"/>
    <col min="4" max="4" width="12.1796875" bestFit="1" customWidth="1"/>
    <col min="5" max="5" width="17.26953125" bestFit="1" customWidth="1"/>
    <col min="6" max="6" width="15.6328125" bestFit="1" customWidth="1"/>
    <col min="7" max="7" width="36.7265625" customWidth="1"/>
    <col min="8" max="8" width="10.26953125" bestFit="1" customWidth="1"/>
    <col min="9" max="9" width="28" customWidth="1"/>
    <col min="10" max="10" width="19.54296875" bestFit="1" customWidth="1"/>
    <col min="11" max="11" width="15.1796875" bestFit="1" customWidth="1"/>
    <col min="12" max="12" width="13.90625" bestFit="1" customWidth="1"/>
    <col min="13" max="13" width="19" bestFit="1" customWidth="1"/>
    <col min="14" max="14" width="19.08984375" bestFit="1" customWidth="1"/>
    <col min="15" max="15" width="14.453125" bestFit="1" customWidth="1"/>
    <col min="16" max="16" width="7.6328125" bestFit="1" customWidth="1"/>
    <col min="17" max="17" width="6.7265625" bestFit="1" customWidth="1"/>
    <col min="18" max="18" width="7.26953125" bestFit="1" customWidth="1"/>
    <col min="19" max="19" width="7.1796875" bestFit="1" customWidth="1"/>
    <col min="20" max="20" width="6.90625" bestFit="1" customWidth="1"/>
    <col min="21" max="21" width="6.7265625" bestFit="1" customWidth="1"/>
    <col min="22" max="22" width="7.26953125" bestFit="1" customWidth="1"/>
    <col min="23" max="23" width="6.90625" bestFit="1" customWidth="1"/>
    <col min="24" max="26" width="7.26953125" bestFit="1" customWidth="1"/>
    <col min="27" max="27" width="8.1796875" bestFit="1" customWidth="1"/>
  </cols>
  <sheetData>
    <row r="1" spans="1:27" x14ac:dyDescent="0.35">
      <c r="A1" s="3"/>
      <c r="K1" s="4">
        <f t="shared" ref="K1:L1" si="0">+K3-K5</f>
        <v>0</v>
      </c>
      <c r="L1" s="5">
        <f t="shared" si="0"/>
        <v>0</v>
      </c>
      <c r="O1" s="6"/>
      <c r="P1" s="6"/>
      <c r="Q1" s="6"/>
      <c r="R1" s="6"/>
      <c r="S1" s="6"/>
      <c r="T1" s="6"/>
      <c r="U1" s="6"/>
      <c r="V1" s="6"/>
      <c r="W1" s="6"/>
      <c r="X1" s="6"/>
      <c r="Y1" s="6"/>
      <c r="Z1" s="6"/>
      <c r="AA1" s="6">
        <f>+M3-M4</f>
        <v>115.08999999999999</v>
      </c>
    </row>
    <row r="2" spans="1:27" x14ac:dyDescent="0.35">
      <c r="A2" s="2" t="s">
        <v>6</v>
      </c>
      <c r="F2" s="7"/>
      <c r="G2" s="7"/>
      <c r="K2" s="1">
        <f t="shared" ref="K2:L2" si="1">+K4-K6</f>
        <v>0</v>
      </c>
      <c r="L2" s="5">
        <f t="shared" si="1"/>
        <v>0</v>
      </c>
      <c r="O2" s="8"/>
      <c r="P2" s="6"/>
      <c r="Q2" s="6"/>
      <c r="R2" s="6"/>
      <c r="S2" s="6"/>
      <c r="T2" s="6"/>
      <c r="U2" s="6"/>
      <c r="V2" s="6"/>
      <c r="W2" s="6"/>
      <c r="X2" s="6"/>
      <c r="Y2" s="6"/>
      <c r="Z2" s="6"/>
      <c r="AA2" s="9">
        <f>+AA1-AA3</f>
        <v>-472.47103800813017</v>
      </c>
    </row>
    <row r="3" spans="1:27" x14ac:dyDescent="0.35">
      <c r="A3" s="2"/>
      <c r="F3" s="7"/>
      <c r="G3" s="7"/>
      <c r="K3" s="1">
        <v>1087.5</v>
      </c>
      <c r="L3" s="1">
        <v>109</v>
      </c>
      <c r="M3" s="1">
        <v>125.6</v>
      </c>
      <c r="O3" s="8">
        <f>SUM(O8:O460)</f>
        <v>39.572417243591978</v>
      </c>
      <c r="P3" s="8">
        <f t="shared" ref="P3:AA3" si="2">SUM(P8:P460)</f>
        <v>40.540190150954736</v>
      </c>
      <c r="Q3" s="8">
        <f t="shared" si="2"/>
        <v>41.303689212257297</v>
      </c>
      <c r="R3" s="8">
        <f t="shared" si="2"/>
        <v>48.384231834037109</v>
      </c>
      <c r="S3" s="8">
        <f t="shared" si="2"/>
        <v>47.846026350313117</v>
      </c>
      <c r="T3" s="8">
        <f t="shared" si="2"/>
        <v>49.017425932072378</v>
      </c>
      <c r="U3" s="8">
        <f t="shared" si="2"/>
        <v>52.021550523997085</v>
      </c>
      <c r="V3" s="8">
        <f t="shared" si="2"/>
        <v>49.829775696762326</v>
      </c>
      <c r="W3" s="8">
        <f t="shared" si="2"/>
        <v>51.715105044941133</v>
      </c>
      <c r="X3" s="8">
        <f t="shared" si="2"/>
        <v>58.186166520379146</v>
      </c>
      <c r="Y3" s="8">
        <f t="shared" si="2"/>
        <v>51.929522045318755</v>
      </c>
      <c r="Z3" s="8">
        <f t="shared" si="2"/>
        <v>57.214937453505186</v>
      </c>
      <c r="AA3" s="8">
        <f t="shared" si="2"/>
        <v>587.56103800813014</v>
      </c>
    </row>
    <row r="4" spans="1:27" x14ac:dyDescent="0.35">
      <c r="A4" s="2"/>
      <c r="F4" s="7"/>
      <c r="G4" s="7"/>
      <c r="L4" s="1">
        <v>100</v>
      </c>
      <c r="M4" s="1">
        <v>10.51</v>
      </c>
      <c r="O4" s="10"/>
    </row>
    <row r="5" spans="1:27" ht="29" x14ac:dyDescent="0.35">
      <c r="A5" s="11" t="s">
        <v>7</v>
      </c>
      <c r="B5" s="11"/>
      <c r="C5" s="11"/>
      <c r="D5" s="11"/>
      <c r="E5" s="11"/>
      <c r="F5" s="11"/>
      <c r="G5" s="11" t="s">
        <v>8</v>
      </c>
      <c r="H5" s="11"/>
      <c r="I5" s="11"/>
      <c r="J5" s="11"/>
      <c r="K5" s="12">
        <f t="shared" ref="K5:M5" si="3">SUM(K8:K26)</f>
        <v>1087.5</v>
      </c>
      <c r="L5" s="13">
        <f t="shared" si="3"/>
        <v>109</v>
      </c>
      <c r="M5" s="14">
        <f t="shared" si="3"/>
        <v>125.6</v>
      </c>
      <c r="N5" s="11"/>
      <c r="O5" s="11"/>
      <c r="P5" s="11"/>
      <c r="Q5" s="11"/>
      <c r="R5" s="11"/>
      <c r="S5" s="11"/>
      <c r="T5" s="11"/>
      <c r="U5" s="11"/>
      <c r="V5" s="11"/>
      <c r="W5" s="11"/>
      <c r="X5" s="11"/>
      <c r="Y5" s="11"/>
      <c r="Z5" s="11"/>
      <c r="AA5" s="15"/>
    </row>
    <row r="6" spans="1:27" ht="29" x14ac:dyDescent="0.35">
      <c r="A6" s="11" t="s">
        <v>9</v>
      </c>
      <c r="B6" s="11"/>
      <c r="C6" s="11"/>
      <c r="D6" s="11"/>
      <c r="E6" s="11"/>
      <c r="F6" s="11"/>
      <c r="G6" s="11" t="s">
        <v>10</v>
      </c>
      <c r="H6" s="11"/>
      <c r="I6" s="11"/>
      <c r="J6" s="11"/>
      <c r="K6" s="11"/>
      <c r="L6" s="13">
        <f t="shared" ref="L6:M6" si="4">SUM(L28:L40)</f>
        <v>100</v>
      </c>
      <c r="M6" s="14">
        <f t="shared" si="4"/>
        <v>10.51</v>
      </c>
      <c r="N6" s="16"/>
      <c r="O6" s="10" t="s">
        <v>11</v>
      </c>
      <c r="P6" s="11"/>
      <c r="Q6" s="11"/>
      <c r="R6" s="11"/>
      <c r="S6" s="11"/>
      <c r="T6" s="11"/>
      <c r="U6" s="11"/>
      <c r="V6" s="11"/>
      <c r="W6" s="11"/>
      <c r="X6" s="11"/>
      <c r="Y6" s="11"/>
      <c r="Z6" s="11"/>
      <c r="AA6" s="15"/>
    </row>
    <row r="7" spans="1:27" x14ac:dyDescent="0.35">
      <c r="A7" s="17" t="s">
        <v>12</v>
      </c>
      <c r="B7" s="17" t="s">
        <v>13</v>
      </c>
      <c r="C7" s="17" t="s">
        <v>14</v>
      </c>
      <c r="D7" s="17" t="s">
        <v>15</v>
      </c>
      <c r="E7" s="17" t="s">
        <v>16</v>
      </c>
      <c r="F7" s="17" t="s">
        <v>17</v>
      </c>
      <c r="G7" s="17" t="s">
        <v>18</v>
      </c>
      <c r="H7" s="17" t="s">
        <v>19</v>
      </c>
      <c r="I7" s="17" t="s">
        <v>20</v>
      </c>
      <c r="J7" s="17" t="s">
        <v>21</v>
      </c>
      <c r="K7" s="17" t="s">
        <v>22</v>
      </c>
      <c r="L7" s="17" t="s">
        <v>23</v>
      </c>
      <c r="M7" s="17" t="s">
        <v>24</v>
      </c>
      <c r="N7" s="17" t="s">
        <v>25</v>
      </c>
      <c r="O7" s="18">
        <v>46113</v>
      </c>
      <c r="P7" s="18">
        <v>46143</v>
      </c>
      <c r="Q7" s="18">
        <v>46174</v>
      </c>
      <c r="R7" s="18">
        <v>46204</v>
      </c>
      <c r="S7" s="18">
        <v>46235</v>
      </c>
      <c r="T7" s="18">
        <v>46266</v>
      </c>
      <c r="U7" s="18">
        <v>46296</v>
      </c>
      <c r="V7" s="18">
        <v>46327</v>
      </c>
      <c r="W7" s="18">
        <v>46357</v>
      </c>
      <c r="X7" s="18">
        <v>46388</v>
      </c>
      <c r="Y7" s="18">
        <v>46419</v>
      </c>
      <c r="Z7" s="18">
        <v>46447</v>
      </c>
      <c r="AA7" s="19" t="s">
        <v>26</v>
      </c>
    </row>
    <row r="8" spans="1:27" ht="92" x14ac:dyDescent="0.35">
      <c r="A8" s="11" t="s">
        <v>27</v>
      </c>
      <c r="B8" s="20">
        <v>1</v>
      </c>
      <c r="C8" s="21" t="s">
        <v>28</v>
      </c>
      <c r="D8" s="21"/>
      <c r="E8" s="22" t="s">
        <v>29</v>
      </c>
      <c r="F8" s="22" t="s">
        <v>30</v>
      </c>
      <c r="G8" s="22" t="s">
        <v>31</v>
      </c>
      <c r="H8" s="23">
        <v>46113</v>
      </c>
      <c r="I8" s="22" t="s">
        <v>32</v>
      </c>
      <c r="J8" s="22"/>
      <c r="K8" s="24">
        <v>0</v>
      </c>
      <c r="L8" s="25">
        <v>0</v>
      </c>
      <c r="M8" s="26">
        <v>9.6</v>
      </c>
      <c r="N8" s="26"/>
      <c r="O8" s="27"/>
      <c r="P8" s="27"/>
      <c r="Q8" s="27"/>
      <c r="R8" s="27"/>
      <c r="S8" s="27"/>
      <c r="T8" s="27"/>
      <c r="U8" s="27"/>
      <c r="V8" s="27"/>
      <c r="W8" s="27"/>
      <c r="X8" s="27"/>
      <c r="Y8" s="27"/>
      <c r="Z8" s="27"/>
      <c r="AA8" s="27">
        <f t="shared" ref="AA8:AA46" si="5">SUM(O8:Z8)</f>
        <v>0</v>
      </c>
    </row>
    <row r="9" spans="1:27" s="196" customFormat="1" ht="103.5" hidden="1" x14ac:dyDescent="0.35">
      <c r="A9" s="188" t="s">
        <v>27</v>
      </c>
      <c r="B9" s="189">
        <v>2</v>
      </c>
      <c r="C9" s="190" t="s">
        <v>33</v>
      </c>
      <c r="D9" s="190">
        <v>1</v>
      </c>
      <c r="E9" s="191" t="s">
        <v>34</v>
      </c>
      <c r="F9" s="191" t="s">
        <v>30</v>
      </c>
      <c r="G9" s="191" t="s">
        <v>35</v>
      </c>
      <c r="H9" s="192">
        <v>46113</v>
      </c>
      <c r="I9" s="191" t="s">
        <v>36</v>
      </c>
      <c r="J9" s="191"/>
      <c r="K9" s="193">
        <v>1.5</v>
      </c>
      <c r="L9" s="194">
        <v>0</v>
      </c>
      <c r="M9" s="210">
        <v>2.5</v>
      </c>
      <c r="N9" s="210"/>
      <c r="O9" s="195">
        <f>+'R-02'!E4/10^7</f>
        <v>0</v>
      </c>
      <c r="P9" s="195">
        <f>+'R-02'!F4/10^7</f>
        <v>0</v>
      </c>
      <c r="Q9" s="195">
        <f>+'R-02'!G4/10^7</f>
        <v>0</v>
      </c>
      <c r="R9" s="195">
        <f>+'R-02'!H4/10^7</f>
        <v>7.4999999999999997E-2</v>
      </c>
      <c r="S9" s="195">
        <f>+'R-02'!I4/10^7</f>
        <v>0.125</v>
      </c>
      <c r="T9" s="195">
        <f>+'R-02'!J4/10^7</f>
        <v>0.17500000000000002</v>
      </c>
      <c r="U9" s="195">
        <f>+'R-02'!K4/10^7</f>
        <v>0.22500000000000001</v>
      </c>
      <c r="V9" s="195">
        <f>+'R-02'!L4/10^7</f>
        <v>0.27500000000000002</v>
      </c>
      <c r="W9" s="195">
        <f>+'R-02'!M4/10^7</f>
        <v>0.32500000000000001</v>
      </c>
      <c r="X9" s="195">
        <f>+'R-02'!N4/10^7</f>
        <v>0.375</v>
      </c>
      <c r="Y9" s="195">
        <f>+'R-02'!O4/10^7</f>
        <v>0.42499999999999999</v>
      </c>
      <c r="Z9" s="195">
        <f>+'R-02'!P4/10^7</f>
        <v>0.5</v>
      </c>
      <c r="AA9" s="195">
        <f t="shared" si="5"/>
        <v>2.5</v>
      </c>
    </row>
    <row r="10" spans="1:27" s="196" customFormat="1" ht="103.5" hidden="1" x14ac:dyDescent="0.35">
      <c r="A10" s="188" t="s">
        <v>27</v>
      </c>
      <c r="B10" s="189">
        <v>2</v>
      </c>
      <c r="C10" s="190" t="s">
        <v>33</v>
      </c>
      <c r="D10" s="190">
        <v>2</v>
      </c>
      <c r="E10" s="191" t="s">
        <v>34</v>
      </c>
      <c r="F10" s="191" t="s">
        <v>30</v>
      </c>
      <c r="G10" s="191" t="s">
        <v>35</v>
      </c>
      <c r="H10" s="192">
        <v>46113</v>
      </c>
      <c r="I10" s="191"/>
      <c r="J10" s="191"/>
      <c r="K10" s="193"/>
      <c r="L10" s="194"/>
      <c r="M10" s="210"/>
      <c r="N10" s="210"/>
      <c r="O10" s="195">
        <f>+'R-02'!E6/10^7</f>
        <v>0</v>
      </c>
      <c r="P10" s="195">
        <f>-+'R-02'!F6/10^7</f>
        <v>-1.4999999999999999E-2</v>
      </c>
      <c r="Q10" s="195">
        <f>-+'R-02'!G6/10^7</f>
        <v>-1.4999999999999999E-2</v>
      </c>
      <c r="R10" s="195">
        <f>-+'R-02'!H6/10^7</f>
        <v>-1.4999999999999999E-2</v>
      </c>
      <c r="S10" s="195">
        <f>-+'R-02'!I6/10^7</f>
        <v>-1.4999999999999999E-2</v>
      </c>
      <c r="T10" s="195">
        <f>-+'R-02'!J6/10^7</f>
        <v>-1.4999999999999999E-2</v>
      </c>
      <c r="U10" s="195">
        <f>-+'R-02'!K6/10^7</f>
        <v>-1.4999999999999999E-2</v>
      </c>
      <c r="V10" s="195">
        <f>-+'R-02'!L6/10^7</f>
        <v>-1.4999999999999999E-2</v>
      </c>
      <c r="W10" s="195">
        <f>-+'R-02'!M6/10^7</f>
        <v>-1.4999999999999999E-2</v>
      </c>
      <c r="X10" s="195">
        <f>-+'R-02'!N6/10^7</f>
        <v>-1.4999999999999999E-2</v>
      </c>
      <c r="Y10" s="195">
        <f>-+'R-02'!O6/10^7</f>
        <v>-1.4999999999999999E-2</v>
      </c>
      <c r="Z10" s="195">
        <f>-+'R-02'!P6/10^7</f>
        <v>-1.4999999999999999E-2</v>
      </c>
      <c r="AA10" s="195">
        <f t="shared" si="5"/>
        <v>-0.16500000000000004</v>
      </c>
    </row>
    <row r="11" spans="1:27" ht="161" x14ac:dyDescent="0.35">
      <c r="A11" s="11" t="s">
        <v>27</v>
      </c>
      <c r="B11" s="20">
        <v>3</v>
      </c>
      <c r="C11" s="21" t="s">
        <v>37</v>
      </c>
      <c r="D11" s="21"/>
      <c r="E11" s="22" t="s">
        <v>38</v>
      </c>
      <c r="F11" s="22" t="s">
        <v>30</v>
      </c>
      <c r="G11" s="22" t="s">
        <v>39</v>
      </c>
      <c r="H11" s="23">
        <v>46113</v>
      </c>
      <c r="I11" s="22" t="s">
        <v>40</v>
      </c>
      <c r="J11" s="22"/>
      <c r="K11" s="24">
        <v>4</v>
      </c>
      <c r="L11" s="25">
        <v>0</v>
      </c>
      <c r="M11" s="26">
        <v>9</v>
      </c>
      <c r="N11" s="26"/>
      <c r="O11" s="27"/>
      <c r="P11" s="27"/>
      <c r="Q11" s="27"/>
      <c r="R11" s="27"/>
      <c r="S11" s="27"/>
      <c r="T11" s="27"/>
      <c r="U11" s="27"/>
      <c r="V11" s="27"/>
      <c r="W11" s="27"/>
      <c r="X11" s="27"/>
      <c r="Y11" s="27"/>
      <c r="Z11" s="27"/>
      <c r="AA11" s="27">
        <f t="shared" si="5"/>
        <v>0</v>
      </c>
    </row>
    <row r="12" spans="1:27" ht="126.5" x14ac:dyDescent="0.35">
      <c r="A12" s="11" t="s">
        <v>41</v>
      </c>
      <c r="B12" s="20">
        <v>4</v>
      </c>
      <c r="C12" s="21" t="s">
        <v>42</v>
      </c>
      <c r="D12" s="21"/>
      <c r="E12" s="22" t="s">
        <v>43</v>
      </c>
      <c r="F12" s="22" t="s">
        <v>44</v>
      </c>
      <c r="G12" s="22" t="s">
        <v>45</v>
      </c>
      <c r="H12" s="23">
        <v>46143</v>
      </c>
      <c r="I12" s="22" t="s">
        <v>46</v>
      </c>
      <c r="J12" s="22"/>
      <c r="K12" s="24">
        <v>65</v>
      </c>
      <c r="L12" s="25">
        <v>0</v>
      </c>
      <c r="M12" s="26">
        <v>13</v>
      </c>
      <c r="N12" s="26"/>
      <c r="O12" s="27"/>
      <c r="P12" s="27"/>
      <c r="Q12" s="27"/>
      <c r="R12" s="27"/>
      <c r="S12" s="27"/>
      <c r="T12" s="27"/>
      <c r="U12" s="27"/>
      <c r="V12" s="27"/>
      <c r="W12" s="27"/>
      <c r="X12" s="27"/>
      <c r="Y12" s="27"/>
      <c r="Z12" s="27"/>
      <c r="AA12" s="27">
        <f t="shared" si="5"/>
        <v>0</v>
      </c>
    </row>
    <row r="13" spans="1:27" ht="34.5" x14ac:dyDescent="0.35">
      <c r="A13" s="11" t="s">
        <v>41</v>
      </c>
      <c r="B13" s="20">
        <v>5</v>
      </c>
      <c r="C13" s="21" t="s">
        <v>47</v>
      </c>
      <c r="D13" s="21"/>
      <c r="E13" s="22" t="s">
        <v>48</v>
      </c>
      <c r="F13" s="22" t="s">
        <v>44</v>
      </c>
      <c r="G13" s="22" t="s">
        <v>49</v>
      </c>
      <c r="H13" s="23">
        <v>46143</v>
      </c>
      <c r="I13" s="22" t="s">
        <v>50</v>
      </c>
      <c r="J13" s="22"/>
      <c r="K13" s="24">
        <v>17</v>
      </c>
      <c r="L13" s="25">
        <v>0</v>
      </c>
      <c r="M13" s="26">
        <v>5</v>
      </c>
      <c r="N13" s="26"/>
      <c r="O13" s="27"/>
      <c r="P13" s="27"/>
      <c r="Q13" s="27"/>
      <c r="R13" s="27"/>
      <c r="S13" s="27"/>
      <c r="T13" s="27"/>
      <c r="U13" s="27"/>
      <c r="V13" s="27"/>
      <c r="W13" s="27"/>
      <c r="X13" s="27"/>
      <c r="Y13" s="27"/>
      <c r="Z13" s="27"/>
      <c r="AA13" s="27">
        <f t="shared" si="5"/>
        <v>0</v>
      </c>
    </row>
    <row r="14" spans="1:27" ht="92" x14ac:dyDescent="0.35">
      <c r="A14" s="11" t="s">
        <v>41</v>
      </c>
      <c r="B14" s="20">
        <v>6</v>
      </c>
      <c r="C14" s="21" t="s">
        <v>51</v>
      </c>
      <c r="D14" s="21"/>
      <c r="E14" s="22" t="s">
        <v>52</v>
      </c>
      <c r="F14" s="22" t="s">
        <v>44</v>
      </c>
      <c r="G14" s="22" t="s">
        <v>53</v>
      </c>
      <c r="H14" s="23">
        <v>46143</v>
      </c>
      <c r="I14" s="22" t="s">
        <v>54</v>
      </c>
      <c r="J14" s="22"/>
      <c r="K14" s="24">
        <v>30</v>
      </c>
      <c r="L14" s="25">
        <v>0</v>
      </c>
      <c r="M14" s="26">
        <v>3</v>
      </c>
      <c r="N14" s="26"/>
      <c r="O14" s="27"/>
      <c r="P14" s="27"/>
      <c r="Q14" s="27"/>
      <c r="R14" s="27"/>
      <c r="S14" s="27"/>
      <c r="T14" s="27"/>
      <c r="U14" s="27"/>
      <c r="V14" s="27"/>
      <c r="W14" s="27"/>
      <c r="X14" s="27"/>
      <c r="Y14" s="27"/>
      <c r="Z14" s="27"/>
      <c r="AA14" s="27">
        <f t="shared" si="5"/>
        <v>0</v>
      </c>
    </row>
    <row r="15" spans="1:27" ht="196.5" x14ac:dyDescent="0.35">
      <c r="A15" s="11" t="s">
        <v>55</v>
      </c>
      <c r="B15" s="20">
        <v>7</v>
      </c>
      <c r="C15" s="28" t="s">
        <v>56</v>
      </c>
      <c r="D15" s="28"/>
      <c r="E15" s="29" t="s">
        <v>57</v>
      </c>
      <c r="F15" s="29" t="s">
        <v>58</v>
      </c>
      <c r="G15" s="29" t="s">
        <v>59</v>
      </c>
      <c r="H15" s="30">
        <v>46143</v>
      </c>
      <c r="I15" s="29" t="s">
        <v>60</v>
      </c>
      <c r="J15" s="29"/>
      <c r="K15" s="31">
        <v>25</v>
      </c>
      <c r="L15" s="32">
        <v>0</v>
      </c>
      <c r="M15" s="33">
        <v>6</v>
      </c>
      <c r="N15" s="33"/>
      <c r="O15" s="27"/>
      <c r="P15" s="27"/>
      <c r="Q15" s="27"/>
      <c r="R15" s="27"/>
      <c r="S15" s="27"/>
      <c r="T15" s="27"/>
      <c r="U15" s="27"/>
      <c r="V15" s="27"/>
      <c r="W15" s="27"/>
      <c r="X15" s="27"/>
      <c r="Y15" s="27"/>
      <c r="Z15" s="27"/>
      <c r="AA15" s="27">
        <f t="shared" si="5"/>
        <v>0</v>
      </c>
    </row>
    <row r="16" spans="1:27" ht="69" x14ac:dyDescent="0.35">
      <c r="A16" s="11" t="s">
        <v>55</v>
      </c>
      <c r="B16" s="20">
        <v>8</v>
      </c>
      <c r="C16" s="21" t="s">
        <v>61</v>
      </c>
      <c r="D16" s="21"/>
      <c r="E16" s="22" t="s">
        <v>62</v>
      </c>
      <c r="F16" s="22" t="s">
        <v>58</v>
      </c>
      <c r="G16" s="22" t="s">
        <v>63</v>
      </c>
      <c r="H16" s="23">
        <v>46143</v>
      </c>
      <c r="I16" s="22" t="s">
        <v>64</v>
      </c>
      <c r="J16" s="22"/>
      <c r="K16" s="24">
        <v>6</v>
      </c>
      <c r="L16" s="25">
        <v>0</v>
      </c>
      <c r="M16" s="26">
        <v>3</v>
      </c>
      <c r="N16" s="26"/>
      <c r="O16" s="27"/>
      <c r="P16" s="27"/>
      <c r="Q16" s="27"/>
      <c r="R16" s="27"/>
      <c r="S16" s="27"/>
      <c r="T16" s="27"/>
      <c r="U16" s="27"/>
      <c r="V16" s="27"/>
      <c r="W16" s="27"/>
      <c r="X16" s="27"/>
      <c r="Y16" s="27"/>
      <c r="Z16" s="27"/>
      <c r="AA16" s="27">
        <f t="shared" si="5"/>
        <v>0</v>
      </c>
    </row>
    <row r="17" spans="1:27" ht="184" x14ac:dyDescent="0.35">
      <c r="A17" s="11" t="s">
        <v>55</v>
      </c>
      <c r="B17" s="20">
        <v>9</v>
      </c>
      <c r="C17" s="21" t="s">
        <v>65</v>
      </c>
      <c r="D17" s="21"/>
      <c r="E17" s="22" t="s">
        <v>66</v>
      </c>
      <c r="F17" s="22" t="s">
        <v>58</v>
      </c>
      <c r="G17" s="22" t="s">
        <v>67</v>
      </c>
      <c r="H17" s="23">
        <v>46113</v>
      </c>
      <c r="I17" s="22" t="s">
        <v>68</v>
      </c>
      <c r="J17" s="22"/>
      <c r="K17" s="24">
        <v>350</v>
      </c>
      <c r="L17" s="25">
        <v>0</v>
      </c>
      <c r="M17" s="26">
        <v>25</v>
      </c>
      <c r="N17" s="26"/>
      <c r="O17" s="27"/>
      <c r="P17" s="27"/>
      <c r="Q17" s="27"/>
      <c r="R17" s="27"/>
      <c r="S17" s="27"/>
      <c r="T17" s="27"/>
      <c r="U17" s="27"/>
      <c r="V17" s="27"/>
      <c r="W17" s="27"/>
      <c r="X17" s="27"/>
      <c r="Y17" s="27"/>
      <c r="Z17" s="27"/>
      <c r="AA17" s="27">
        <f t="shared" si="5"/>
        <v>0</v>
      </c>
    </row>
    <row r="18" spans="1:27" s="196" customFormat="1" ht="149.5" hidden="1" x14ac:dyDescent="0.35">
      <c r="A18" s="188" t="s">
        <v>55</v>
      </c>
      <c r="B18" s="189">
        <v>10</v>
      </c>
      <c r="C18" s="190" t="s">
        <v>69</v>
      </c>
      <c r="D18" s="190">
        <v>1</v>
      </c>
      <c r="E18" s="191" t="s">
        <v>70</v>
      </c>
      <c r="F18" s="191" t="s">
        <v>58</v>
      </c>
      <c r="G18" s="191" t="s">
        <v>71</v>
      </c>
      <c r="H18" s="192">
        <v>46143</v>
      </c>
      <c r="I18" s="191" t="s">
        <v>72</v>
      </c>
      <c r="J18" s="191"/>
      <c r="K18" s="193"/>
      <c r="L18" s="194"/>
      <c r="M18" s="210"/>
      <c r="N18" s="210"/>
      <c r="O18" s="195">
        <f>-'R-10'!J5/10^7</f>
        <v>-1.4E-2</v>
      </c>
      <c r="P18" s="195">
        <f>-'R-10'!K5/10^7</f>
        <v>-1.4E-2</v>
      </c>
      <c r="Q18" s="195">
        <f>-'R-10'!L5/10^7</f>
        <v>-1.4E-2</v>
      </c>
      <c r="R18" s="195">
        <f>-'R-10'!M5/10^7</f>
        <v>-1.4E-2</v>
      </c>
      <c r="S18" s="195">
        <f>-'R-10'!N5/10^7</f>
        <v>-1.4E-2</v>
      </c>
      <c r="T18" s="195">
        <f>-'R-10'!O5/10^7</f>
        <v>-1.4E-2</v>
      </c>
      <c r="U18" s="195">
        <f>-'R-10'!P5/10^7</f>
        <v>-1.4E-2</v>
      </c>
      <c r="V18" s="195">
        <f>-'R-10'!Q5/10^7</f>
        <v>-1.4E-2</v>
      </c>
      <c r="W18" s="195">
        <f>-'R-10'!R5/10^7</f>
        <v>-1.4E-2</v>
      </c>
      <c r="X18" s="195">
        <f>-'R-10'!S5/10^7</f>
        <v>-1.4E-2</v>
      </c>
      <c r="Y18" s="195">
        <f>-'R-10'!T5/10^7</f>
        <v>-1.4E-2</v>
      </c>
      <c r="Z18" s="195">
        <f>-'R-10'!U5/10^7</f>
        <v>-1.4E-2</v>
      </c>
      <c r="AA18" s="195">
        <f t="shared" si="5"/>
        <v>-0.16800000000000004</v>
      </c>
    </row>
    <row r="19" spans="1:27" s="196" customFormat="1" ht="149.5" hidden="1" x14ac:dyDescent="0.35">
      <c r="A19" s="188" t="s">
        <v>55</v>
      </c>
      <c r="B19" s="189">
        <v>10</v>
      </c>
      <c r="C19" s="190" t="s">
        <v>69</v>
      </c>
      <c r="D19" s="190">
        <v>2</v>
      </c>
      <c r="E19" s="191" t="s">
        <v>70</v>
      </c>
      <c r="F19" s="191" t="s">
        <v>58</v>
      </c>
      <c r="G19" s="191" t="s">
        <v>71</v>
      </c>
      <c r="H19" s="192">
        <v>46143</v>
      </c>
      <c r="I19" s="191" t="s">
        <v>72</v>
      </c>
      <c r="J19" s="191"/>
      <c r="K19" s="193">
        <v>17</v>
      </c>
      <c r="L19" s="194">
        <v>0</v>
      </c>
      <c r="M19" s="210">
        <v>4</v>
      </c>
      <c r="N19" s="210"/>
      <c r="O19" s="195">
        <v>32.437147696171053</v>
      </c>
      <c r="P19" s="195">
        <v>32.437147696171053</v>
      </c>
      <c r="Q19" s="195">
        <v>32.240848147818831</v>
      </c>
      <c r="R19" s="195">
        <v>38.367324525886204</v>
      </c>
      <c r="S19" s="195">
        <v>36.651286382531914</v>
      </c>
      <c r="T19" s="195">
        <v>36.651286382531914</v>
      </c>
      <c r="U19" s="195">
        <v>36.827255102740153</v>
      </c>
      <c r="V19" s="195">
        <v>33.596442613593808</v>
      </c>
      <c r="W19" s="195">
        <v>35.835970145678658</v>
      </c>
      <c r="X19" s="195">
        <v>39.476665960990836</v>
      </c>
      <c r="Y19" s="195">
        <v>34.608663808429718</v>
      </c>
      <c r="Z19" s="195">
        <v>36.129072815158679</v>
      </c>
      <c r="AA19" s="195">
        <f t="shared" si="5"/>
        <v>425.25911127770274</v>
      </c>
    </row>
    <row r="20" spans="1:27" s="196" customFormat="1" ht="46" hidden="1" x14ac:dyDescent="0.35">
      <c r="A20" s="197" t="s">
        <v>73</v>
      </c>
      <c r="B20" s="198">
        <v>11</v>
      </c>
      <c r="C20" s="199" t="s">
        <v>74</v>
      </c>
      <c r="D20" s="199"/>
      <c r="E20" s="200" t="s">
        <v>75</v>
      </c>
      <c r="F20" s="200" t="s">
        <v>76</v>
      </c>
      <c r="G20" s="200" t="s">
        <v>77</v>
      </c>
      <c r="H20" s="201">
        <v>46143</v>
      </c>
      <c r="I20" s="200" t="s">
        <v>78</v>
      </c>
      <c r="J20" s="200"/>
      <c r="K20" s="202">
        <v>0</v>
      </c>
      <c r="L20" s="203">
        <v>0</v>
      </c>
      <c r="M20" s="204">
        <v>8</v>
      </c>
      <c r="N20" s="204"/>
      <c r="O20" s="205">
        <f>+'R-11'!T4/10000000</f>
        <v>0</v>
      </c>
      <c r="P20" s="205">
        <f>+'R-11'!U4/10000000</f>
        <v>0.31394308943177518</v>
      </c>
      <c r="Q20" s="205">
        <f>+'R-11'!V4/10000000</f>
        <v>1.0036636606892277</v>
      </c>
      <c r="R20" s="205">
        <f>+'R-11'!W4/10000000</f>
        <v>1.8401195818300269</v>
      </c>
      <c r="S20" s="205">
        <f>+'R-11'!X4/10000000</f>
        <v>2.4398645289857162</v>
      </c>
      <c r="T20" s="205">
        <f>+'R-11'!Y4/10000000</f>
        <v>3.1779269365410885</v>
      </c>
      <c r="U20" s="205">
        <f>+'R-11'!Z4/10000000</f>
        <v>3.9264252701704012</v>
      </c>
      <c r="V20" s="205">
        <f>+'R-11'!AA4/10000000</f>
        <v>4.2155960234243723</v>
      </c>
      <c r="W20" s="205">
        <f>+'R-11'!AB4/10000000</f>
        <v>5.2913124221712859</v>
      </c>
      <c r="X20" s="205">
        <f>+'R-11'!AC4/10000000</f>
        <v>6.687988751977529</v>
      </c>
      <c r="Y20" s="205">
        <f>+'R-11'!AD4/10000000</f>
        <v>6.5258944332774265</v>
      </c>
      <c r="Z20" s="205">
        <f>+'R-11'!AE4/10000000</f>
        <v>7.3996918458954095</v>
      </c>
      <c r="AA20" s="205">
        <f t="shared" si="5"/>
        <v>42.822426544394261</v>
      </c>
    </row>
    <row r="21" spans="1:27" ht="103.5" x14ac:dyDescent="0.35">
      <c r="A21" s="11" t="s">
        <v>73</v>
      </c>
      <c r="B21" s="20">
        <v>12</v>
      </c>
      <c r="C21" s="21" t="s">
        <v>79</v>
      </c>
      <c r="D21" s="21"/>
      <c r="E21" s="22" t="s">
        <v>80</v>
      </c>
      <c r="F21" s="22" t="s">
        <v>76</v>
      </c>
      <c r="G21" s="22" t="s">
        <v>81</v>
      </c>
      <c r="H21" s="23">
        <v>46143</v>
      </c>
      <c r="I21" s="22" t="s">
        <v>82</v>
      </c>
      <c r="J21" s="22"/>
      <c r="K21" s="24">
        <v>0</v>
      </c>
      <c r="L21" s="25">
        <v>19</v>
      </c>
      <c r="M21" s="26">
        <v>11</v>
      </c>
      <c r="N21" s="26"/>
      <c r="O21" s="27"/>
      <c r="P21" s="27"/>
      <c r="Q21" s="27"/>
      <c r="R21" s="27"/>
      <c r="S21" s="27"/>
      <c r="T21" s="27"/>
      <c r="U21" s="27"/>
      <c r="V21" s="27"/>
      <c r="W21" s="27"/>
      <c r="X21" s="27"/>
      <c r="Y21" s="27"/>
      <c r="Z21" s="27"/>
      <c r="AA21" s="27">
        <f t="shared" si="5"/>
        <v>0</v>
      </c>
    </row>
    <row r="22" spans="1:27" ht="92" x14ac:dyDescent="0.35">
      <c r="A22" s="11" t="s">
        <v>73</v>
      </c>
      <c r="B22" s="20">
        <v>13</v>
      </c>
      <c r="C22" s="21" t="s">
        <v>83</v>
      </c>
      <c r="D22" s="21"/>
      <c r="E22" s="22" t="s">
        <v>84</v>
      </c>
      <c r="F22" s="22" t="s">
        <v>76</v>
      </c>
      <c r="G22" s="22" t="s">
        <v>85</v>
      </c>
      <c r="H22" s="23">
        <v>46143</v>
      </c>
      <c r="I22" s="22" t="s">
        <v>86</v>
      </c>
      <c r="J22" s="22"/>
      <c r="K22" s="24">
        <v>400</v>
      </c>
      <c r="L22" s="25">
        <v>90</v>
      </c>
      <c r="M22" s="26">
        <v>20</v>
      </c>
      <c r="N22" s="26"/>
      <c r="O22" s="27"/>
      <c r="P22" s="27"/>
      <c r="Q22" s="27"/>
      <c r="R22" s="27"/>
      <c r="S22" s="27"/>
      <c r="T22" s="27"/>
      <c r="U22" s="27"/>
      <c r="V22" s="27"/>
      <c r="W22" s="27"/>
      <c r="X22" s="27"/>
      <c r="Y22" s="27"/>
      <c r="Z22" s="27"/>
      <c r="AA22" s="27">
        <f t="shared" si="5"/>
        <v>0</v>
      </c>
    </row>
    <row r="23" spans="1:27" s="196" customFormat="1" ht="149.5" hidden="1" x14ac:dyDescent="0.35">
      <c r="A23" s="197" t="s">
        <v>87</v>
      </c>
      <c r="B23" s="198">
        <v>14</v>
      </c>
      <c r="C23" s="199" t="s">
        <v>88</v>
      </c>
      <c r="D23" s="199">
        <v>0</v>
      </c>
      <c r="E23" s="200" t="s">
        <v>89</v>
      </c>
      <c r="F23" s="200" t="s">
        <v>90</v>
      </c>
      <c r="G23" s="200" t="s">
        <v>91</v>
      </c>
      <c r="H23" s="201">
        <v>46266</v>
      </c>
      <c r="I23" s="200" t="s">
        <v>92</v>
      </c>
      <c r="J23" s="200" t="s">
        <v>93</v>
      </c>
      <c r="K23" s="202">
        <v>110</v>
      </c>
      <c r="L23" s="203">
        <v>0</v>
      </c>
      <c r="M23" s="204">
        <v>1.5</v>
      </c>
      <c r="N23" s="204"/>
      <c r="O23" s="205">
        <f>+'R-14'!F5/10000000</f>
        <v>0</v>
      </c>
      <c r="P23" s="205">
        <f>+'R-14'!G5/10000000</f>
        <v>0</v>
      </c>
      <c r="Q23" s="205">
        <f>+'R-14'!H5/10000000</f>
        <v>-0.3</v>
      </c>
      <c r="R23" s="205">
        <f>+'R-14'!I5/10000000</f>
        <v>0</v>
      </c>
      <c r="S23" s="205">
        <f>+'R-14'!J5/10000000</f>
        <v>-0.3</v>
      </c>
      <c r="T23" s="205">
        <f>+'R-14'!K5/10000000</f>
        <v>0</v>
      </c>
      <c r="U23" s="205">
        <f>+'R-14'!L5/10000000</f>
        <v>0</v>
      </c>
      <c r="V23" s="205">
        <f>+'R-14'!M5/10000000</f>
        <v>-0.3</v>
      </c>
      <c r="W23" s="205">
        <f>+'R-14'!N5/10000000</f>
        <v>0</v>
      </c>
      <c r="X23" s="205">
        <f>+'R-14'!O5/10000000</f>
        <v>-0.3</v>
      </c>
      <c r="Y23" s="205">
        <f>+'R-14'!P5/10000000</f>
        <v>0</v>
      </c>
      <c r="Z23" s="205">
        <f>+'R-14'!Q5/10000000</f>
        <v>-0.3</v>
      </c>
      <c r="AA23" s="205">
        <f t="shared" si="5"/>
        <v>-1.5</v>
      </c>
    </row>
    <row r="24" spans="1:27" s="196" customFormat="1" ht="149.5" hidden="1" x14ac:dyDescent="0.35">
      <c r="A24" s="197" t="s">
        <v>87</v>
      </c>
      <c r="B24" s="198">
        <v>14</v>
      </c>
      <c r="C24" s="199" t="str">
        <f t="shared" ref="C24:C25" si="6">+C23</f>
        <v>R-14</v>
      </c>
      <c r="D24" s="199">
        <f t="shared" ref="D24:D25" si="7">+D23+1</f>
        <v>1</v>
      </c>
      <c r="E24" s="200" t="s">
        <v>89</v>
      </c>
      <c r="F24" s="200" t="s">
        <v>90</v>
      </c>
      <c r="G24" s="200" t="s">
        <v>91</v>
      </c>
      <c r="H24" s="201">
        <v>46266</v>
      </c>
      <c r="I24" s="200" t="s">
        <v>94</v>
      </c>
      <c r="J24" s="200" t="s">
        <v>95</v>
      </c>
      <c r="K24" s="202"/>
      <c r="L24" s="203"/>
      <c r="M24" s="204"/>
      <c r="N24" s="204"/>
      <c r="O24" s="205">
        <f>+'R-14'!F6/10000000</f>
        <v>0</v>
      </c>
      <c r="P24" s="205">
        <f>+'R-14'!G6/10000000</f>
        <v>0</v>
      </c>
      <c r="Q24" s="205">
        <f>+'R-14'!H6/10000000</f>
        <v>7.0000000000000007E-2</v>
      </c>
      <c r="R24" s="205">
        <f>+'R-14'!I6/10000000</f>
        <v>0</v>
      </c>
      <c r="S24" s="205">
        <f>+'R-14'!J6/10000000</f>
        <v>7.0000000000000007E-2</v>
      </c>
      <c r="T24" s="205">
        <f>+'R-14'!K6/10000000</f>
        <v>0</v>
      </c>
      <c r="U24" s="205">
        <f>+'R-14'!L6/10000000</f>
        <v>0</v>
      </c>
      <c r="V24" s="205">
        <f>+'R-14'!M6/10000000</f>
        <v>7.0000000000000007E-2</v>
      </c>
      <c r="W24" s="205">
        <f>+'R-14'!N6/10000000</f>
        <v>0</v>
      </c>
      <c r="X24" s="205">
        <f>+'R-14'!O6/10000000</f>
        <v>7.0000000000000007E-2</v>
      </c>
      <c r="Y24" s="205">
        <f>+'R-14'!P6/10000000</f>
        <v>0</v>
      </c>
      <c r="Z24" s="205">
        <f>+'R-14'!Q6/10000000</f>
        <v>7.0000000000000007E-2</v>
      </c>
      <c r="AA24" s="205">
        <f t="shared" si="5"/>
        <v>0.35000000000000003</v>
      </c>
    </row>
    <row r="25" spans="1:27" s="196" customFormat="1" ht="149.5" hidden="1" x14ac:dyDescent="0.35">
      <c r="A25" s="197" t="s">
        <v>87</v>
      </c>
      <c r="B25" s="198">
        <v>14</v>
      </c>
      <c r="C25" s="199" t="str">
        <f t="shared" si="6"/>
        <v>R-14</v>
      </c>
      <c r="D25" s="199">
        <f t="shared" si="7"/>
        <v>2</v>
      </c>
      <c r="E25" s="200" t="s">
        <v>89</v>
      </c>
      <c r="F25" s="200" t="s">
        <v>90</v>
      </c>
      <c r="G25" s="200" t="s">
        <v>91</v>
      </c>
      <c r="H25" s="201">
        <v>46266</v>
      </c>
      <c r="I25" s="200" t="s">
        <v>96</v>
      </c>
      <c r="J25" s="200"/>
      <c r="K25" s="202"/>
      <c r="L25" s="203"/>
      <c r="M25" s="204"/>
      <c r="N25" s="204"/>
      <c r="O25" s="205">
        <f>+'R-14'!F7/10000000</f>
        <v>0</v>
      </c>
      <c r="P25" s="205">
        <f>+'R-14'!G7/10000000</f>
        <v>0</v>
      </c>
      <c r="Q25" s="205">
        <f>+'R-14'!H7/10000000</f>
        <v>0.22761000000000001</v>
      </c>
      <c r="R25" s="205">
        <f>+'R-14'!I7/10000000</f>
        <v>0</v>
      </c>
      <c r="S25" s="205">
        <f>+'R-14'!J7/10000000</f>
        <v>0.37791200000000003</v>
      </c>
      <c r="T25" s="205">
        <f>+'R-14'!K7/10000000</f>
        <v>0</v>
      </c>
      <c r="U25" s="205">
        <f>+'R-14'!L7/10000000</f>
        <v>0</v>
      </c>
      <c r="V25" s="205">
        <f>+'R-14'!M7/10000000</f>
        <v>0.45090400000000003</v>
      </c>
      <c r="W25" s="205">
        <f>+'R-14'!N7/10000000</f>
        <v>0</v>
      </c>
      <c r="X25" s="205">
        <f>+'R-14'!O7/10000000</f>
        <v>0.30060199999999998</v>
      </c>
      <c r="Y25" s="205">
        <f>+'R-14'!P7/10000000</f>
        <v>0</v>
      </c>
      <c r="Z25" s="205">
        <f>+'R-14'!Q7/10000000</f>
        <v>0.145978</v>
      </c>
      <c r="AA25" s="205">
        <f t="shared" si="5"/>
        <v>1.5030060000000001</v>
      </c>
    </row>
    <row r="26" spans="1:27" s="196" customFormat="1" ht="138" hidden="1" x14ac:dyDescent="0.35">
      <c r="A26" s="197" t="s">
        <v>87</v>
      </c>
      <c r="B26" s="198">
        <v>15</v>
      </c>
      <c r="C26" s="199" t="s">
        <v>97</v>
      </c>
      <c r="D26" s="199">
        <v>0</v>
      </c>
      <c r="E26" s="200" t="s">
        <v>98</v>
      </c>
      <c r="F26" s="200" t="s">
        <v>90</v>
      </c>
      <c r="G26" s="200" t="s">
        <v>99</v>
      </c>
      <c r="H26" s="201">
        <v>46113</v>
      </c>
      <c r="I26" s="200" t="s">
        <v>100</v>
      </c>
      <c r="J26" s="200"/>
      <c r="K26" s="202">
        <v>62</v>
      </c>
      <c r="L26" s="203">
        <v>0</v>
      </c>
      <c r="M26" s="204">
        <v>5</v>
      </c>
      <c r="N26" s="204"/>
      <c r="O26" s="205">
        <f>+-'R-15'!H3/10000000</f>
        <v>0</v>
      </c>
      <c r="P26" s="205">
        <f>+-'R-15'!I3/10000000</f>
        <v>-9.0499999999999997E-2</v>
      </c>
      <c r="Q26" s="205">
        <f>+-'R-15'!J3/10000000</f>
        <v>-5.5500000000000001E-2</v>
      </c>
      <c r="R26" s="205">
        <f>+-'R-15'!K3/10000000</f>
        <v>-5.0500000000000003E-2</v>
      </c>
      <c r="S26" s="205">
        <f>+-'R-15'!L3/10000000</f>
        <v>-5.5500000000000001E-2</v>
      </c>
      <c r="T26" s="205">
        <f>+-'R-15'!M3/10000000</f>
        <v>-5.0500000000000003E-2</v>
      </c>
      <c r="U26" s="205">
        <f>+-'R-15'!N3/10000000</f>
        <v>-5.0500000000000003E-2</v>
      </c>
      <c r="V26" s="205">
        <f>+-'R-15'!O3/10000000</f>
        <v>-5.5500000000000001E-2</v>
      </c>
      <c r="W26" s="205">
        <f>+-'R-15'!P3/10000000</f>
        <v>-5.0500000000000003E-2</v>
      </c>
      <c r="X26" s="205">
        <f>+-'R-15'!Q3/10000000</f>
        <v>-5.5500000000000001E-2</v>
      </c>
      <c r="Y26" s="205">
        <f>+-'R-15'!R3/10000000</f>
        <v>-5.0500000000000003E-2</v>
      </c>
      <c r="Z26" s="205">
        <f>+-'R-15'!S3/10000000</f>
        <v>-5.5500000000000001E-2</v>
      </c>
      <c r="AA26" s="205">
        <f t="shared" si="5"/>
        <v>-0.62049999999999994</v>
      </c>
    </row>
    <row r="27" spans="1:27" s="196" customFormat="1" ht="138" hidden="1" x14ac:dyDescent="0.35">
      <c r="A27" s="197" t="str">
        <f>+A26</f>
        <v xml:space="preserve">  REVENUE — MARKETING &amp; PATIENT ACQUISITION</v>
      </c>
      <c r="B27" s="198">
        <v>15</v>
      </c>
      <c r="C27" s="199" t="s">
        <v>97</v>
      </c>
      <c r="D27" s="199">
        <f>+D26+1</f>
        <v>1</v>
      </c>
      <c r="E27" s="200" t="s">
        <v>98</v>
      </c>
      <c r="F27" s="200" t="s">
        <v>90</v>
      </c>
      <c r="G27" s="200" t="s">
        <v>99</v>
      </c>
      <c r="H27" s="201">
        <v>46113</v>
      </c>
      <c r="I27" s="200" t="s">
        <v>101</v>
      </c>
      <c r="J27" s="200"/>
      <c r="K27" s="202"/>
      <c r="L27" s="203"/>
      <c r="M27" s="204"/>
      <c r="N27" s="204"/>
      <c r="O27" s="205">
        <f>+'R-15'!H13/10000000</f>
        <v>0</v>
      </c>
      <c r="P27" s="205">
        <f>+'R-15'!I13/10000000</f>
        <v>1.0161E-2</v>
      </c>
      <c r="Q27" s="205">
        <f>+'R-15'!J13/10000000</f>
        <v>1.8752999999999999E-2</v>
      </c>
      <c r="R27" s="205">
        <f>+'R-15'!K13/10000000</f>
        <v>5.1312000000000003E-2</v>
      </c>
      <c r="S27" s="205">
        <f>+'R-15'!L13/10000000</f>
        <v>0.21845000000000001</v>
      </c>
      <c r="T27" s="205">
        <f>+'R-15'!M13/10000000</f>
        <v>0.314556</v>
      </c>
      <c r="U27" s="205">
        <f>+'R-15'!N13/10000000</f>
        <v>0.46723100000000001</v>
      </c>
      <c r="V27" s="205">
        <f>+'R-15'!O13/10000000</f>
        <v>0.541018</v>
      </c>
      <c r="W27" s="205">
        <f>+'R-15'!P13/10000000</f>
        <v>0.71601800000000004</v>
      </c>
      <c r="X27" s="205">
        <f>+'R-15'!Q13/10000000</f>
        <v>0.83126500000000003</v>
      </c>
      <c r="Y27" s="205">
        <f>+'R-15'!R13/10000000</f>
        <v>0.86188600000000004</v>
      </c>
      <c r="Z27" s="205">
        <f>+'R-15'!S13/10000000</f>
        <v>0.98989300000000002</v>
      </c>
      <c r="AA27" s="205">
        <f t="shared" si="5"/>
        <v>5.0205430000000009</v>
      </c>
    </row>
    <row r="28" spans="1:27" s="196" customFormat="1" ht="57.5" hidden="1" x14ac:dyDescent="0.35">
      <c r="A28" s="188" t="s">
        <v>102</v>
      </c>
      <c r="B28" s="189">
        <v>16</v>
      </c>
      <c r="C28" s="190" t="s">
        <v>103</v>
      </c>
      <c r="D28" s="190"/>
      <c r="E28" s="191" t="s">
        <v>104</v>
      </c>
      <c r="F28" s="191" t="s">
        <v>105</v>
      </c>
      <c r="G28" s="191" t="s">
        <v>106</v>
      </c>
      <c r="H28" s="192">
        <v>46113</v>
      </c>
      <c r="I28" s="191" t="s">
        <v>107</v>
      </c>
      <c r="J28" s="191"/>
      <c r="K28" s="193"/>
      <c r="L28" s="194">
        <v>0</v>
      </c>
      <c r="M28" s="211">
        <v>3</v>
      </c>
      <c r="N28" s="211"/>
      <c r="O28" s="195">
        <v>0.18714137745811937</v>
      </c>
      <c r="P28" s="195">
        <v>0.25397285438485101</v>
      </c>
      <c r="Q28" s="195">
        <v>0.24845956469587721</v>
      </c>
      <c r="R28" s="195">
        <v>0.28395703960145446</v>
      </c>
      <c r="S28" s="195">
        <v>0.26940211089954802</v>
      </c>
      <c r="T28" s="195">
        <v>0.25682814947340721</v>
      </c>
      <c r="U28" s="195">
        <v>0.27178222937135044</v>
      </c>
      <c r="V28" s="195">
        <v>0.23745316942956665</v>
      </c>
      <c r="W28" s="195">
        <v>0.25242728958828503</v>
      </c>
      <c r="X28" s="195">
        <v>0.27417721908210163</v>
      </c>
      <c r="Y28" s="195">
        <v>0.258157498562264</v>
      </c>
      <c r="Z28" s="195">
        <v>0.22963407362178559</v>
      </c>
      <c r="AA28" s="195">
        <f t="shared" si="5"/>
        <v>3.0233925761686105</v>
      </c>
    </row>
    <row r="29" spans="1:27" s="196" customFormat="1" ht="46" hidden="1" x14ac:dyDescent="0.35">
      <c r="A29" s="188" t="s">
        <v>102</v>
      </c>
      <c r="B29" s="189">
        <v>17</v>
      </c>
      <c r="C29" s="190" t="s">
        <v>108</v>
      </c>
      <c r="D29" s="190"/>
      <c r="E29" s="191" t="s">
        <v>109</v>
      </c>
      <c r="F29" s="191" t="s">
        <v>105</v>
      </c>
      <c r="G29" s="191" t="s">
        <v>110</v>
      </c>
      <c r="H29" s="192">
        <v>46113</v>
      </c>
      <c r="I29" s="191" t="s">
        <v>111</v>
      </c>
      <c r="J29" s="191"/>
      <c r="K29" s="193"/>
      <c r="L29" s="194">
        <v>0</v>
      </c>
      <c r="M29" s="211">
        <v>1.3</v>
      </c>
      <c r="N29" s="211"/>
      <c r="O29" s="195">
        <v>8.1094596898518403E-2</v>
      </c>
      <c r="P29" s="195">
        <v>0.11005490356676879</v>
      </c>
      <c r="Q29" s="195">
        <v>0.10766581136821347</v>
      </c>
      <c r="R29" s="195">
        <v>0.12304805049396363</v>
      </c>
      <c r="S29" s="195">
        <v>0.11674091472313751</v>
      </c>
      <c r="T29" s="195">
        <v>0.11129219810514315</v>
      </c>
      <c r="U29" s="195">
        <v>0.11777229939425189</v>
      </c>
      <c r="V29" s="195">
        <v>0.10289637341947891</v>
      </c>
      <c r="W29" s="195">
        <v>0.10938515882159019</v>
      </c>
      <c r="X29" s="195">
        <v>0.11881012826891074</v>
      </c>
      <c r="Y29" s="195">
        <v>0.11186824937698107</v>
      </c>
      <c r="Z29" s="195">
        <v>9.9508098569440442E-2</v>
      </c>
      <c r="AA29" s="195">
        <f t="shared" si="5"/>
        <v>1.3101367830063984</v>
      </c>
    </row>
    <row r="30" spans="1:27" s="196" customFormat="1" ht="34.5" hidden="1" x14ac:dyDescent="0.35">
      <c r="A30" s="188" t="s">
        <v>102</v>
      </c>
      <c r="B30" s="189">
        <v>18</v>
      </c>
      <c r="C30" s="190" t="s">
        <v>112</v>
      </c>
      <c r="D30" s="190"/>
      <c r="E30" s="191" t="s">
        <v>113</v>
      </c>
      <c r="F30" s="191" t="s">
        <v>105</v>
      </c>
      <c r="G30" s="191" t="s">
        <v>114</v>
      </c>
      <c r="H30" s="192">
        <v>46113</v>
      </c>
      <c r="I30" s="191" t="s">
        <v>115</v>
      </c>
      <c r="J30" s="191"/>
      <c r="K30" s="193"/>
      <c r="L30" s="194">
        <v>0</v>
      </c>
      <c r="M30" s="211">
        <v>0.8</v>
      </c>
      <c r="N30" s="211"/>
      <c r="O30" s="195">
        <v>4.9904367322165175E-2</v>
      </c>
      <c r="P30" s="195">
        <v>6.7726094502626955E-2</v>
      </c>
      <c r="Q30" s="195">
        <v>6.6255883918900596E-2</v>
      </c>
      <c r="R30" s="195">
        <v>7.5721877227054535E-2</v>
      </c>
      <c r="S30" s="195">
        <v>7.1840562906546154E-2</v>
      </c>
      <c r="T30" s="195">
        <v>6.8487506526241942E-2</v>
      </c>
      <c r="U30" s="195">
        <v>7.2475261165693458E-2</v>
      </c>
      <c r="V30" s="195">
        <v>6.3320845181217791E-2</v>
      </c>
      <c r="W30" s="195">
        <v>6.7313943890209352E-2</v>
      </c>
      <c r="X30" s="195">
        <v>7.3113925088560447E-2</v>
      </c>
      <c r="Y30" s="195">
        <v>6.8841999616603741E-2</v>
      </c>
      <c r="Z30" s="195">
        <v>6.1235752965809499E-2</v>
      </c>
      <c r="AA30" s="195">
        <f t="shared" si="5"/>
        <v>0.80623802031162972</v>
      </c>
    </row>
    <row r="31" spans="1:27" s="196" customFormat="1" ht="34.5" hidden="1" x14ac:dyDescent="0.35">
      <c r="A31" s="188" t="s">
        <v>102</v>
      </c>
      <c r="B31" s="189">
        <v>19</v>
      </c>
      <c r="C31" s="190" t="s">
        <v>116</v>
      </c>
      <c r="D31" s="190"/>
      <c r="E31" s="191" t="s">
        <v>117</v>
      </c>
      <c r="F31" s="191" t="s">
        <v>105</v>
      </c>
      <c r="G31" s="191" t="s">
        <v>118</v>
      </c>
      <c r="H31" s="192">
        <v>46174</v>
      </c>
      <c r="I31" s="191" t="s">
        <v>119</v>
      </c>
      <c r="J31" s="191"/>
      <c r="K31" s="193"/>
      <c r="L31" s="194">
        <v>0</v>
      </c>
      <c r="M31" s="211">
        <v>0.57499999999999996</v>
      </c>
      <c r="N31" s="211"/>
      <c r="O31" s="195">
        <v>3.7428275491623877E-2</v>
      </c>
      <c r="P31" s="195">
        <v>5.0794570876970209E-2</v>
      </c>
      <c r="Q31" s="195">
        <v>4.9691912939175444E-2</v>
      </c>
      <c r="R31" s="195">
        <v>5.6791407920290887E-2</v>
      </c>
      <c r="S31" s="195">
        <v>5.3880422179909612E-2</v>
      </c>
      <c r="T31" s="195">
        <v>5.1365629894681443E-2</v>
      </c>
      <c r="U31" s="195">
        <v>5.435644587427009E-2</v>
      </c>
      <c r="V31" s="195">
        <v>4.7490633885913333E-2</v>
      </c>
      <c r="W31" s="195">
        <v>5.0485457917657003E-2</v>
      </c>
      <c r="X31" s="195">
        <v>5.4835443816420332E-2</v>
      </c>
      <c r="Y31" s="195">
        <v>5.1631499712452796E-2</v>
      </c>
      <c r="Z31" s="195">
        <v>4.5926814724357119E-2</v>
      </c>
      <c r="AA31" s="195">
        <f t="shared" si="5"/>
        <v>0.60467851523372218</v>
      </c>
    </row>
    <row r="32" spans="1:27" s="196" customFormat="1" ht="172.5" hidden="1" x14ac:dyDescent="0.35">
      <c r="A32" s="188" t="s">
        <v>102</v>
      </c>
      <c r="B32" s="189">
        <v>20</v>
      </c>
      <c r="C32" s="190" t="s">
        <v>120</v>
      </c>
      <c r="D32" s="190"/>
      <c r="E32" s="191" t="s">
        <v>121</v>
      </c>
      <c r="F32" s="191" t="s">
        <v>105</v>
      </c>
      <c r="G32" s="191" t="s">
        <v>122</v>
      </c>
      <c r="H32" s="192">
        <v>46113</v>
      </c>
      <c r="I32" s="191" t="s">
        <v>123</v>
      </c>
      <c r="J32" s="191"/>
      <c r="K32" s="193"/>
      <c r="L32" s="194">
        <v>0</v>
      </c>
      <c r="M32" s="211">
        <v>0.7</v>
      </c>
      <c r="N32" s="211"/>
      <c r="O32" s="195">
        <v>4.3666321406894519E-2</v>
      </c>
      <c r="P32" s="195">
        <v>5.9260332689798578E-2</v>
      </c>
      <c r="Q32" s="195">
        <v>5.7973898429038016E-2</v>
      </c>
      <c r="R32" s="195">
        <v>6.6256642573672711E-2</v>
      </c>
      <c r="S32" s="195">
        <v>6.2860492543227883E-2</v>
      </c>
      <c r="T32" s="195">
        <v>5.9926568210461689E-2</v>
      </c>
      <c r="U32" s="195">
        <v>6.3415853519981774E-2</v>
      </c>
      <c r="V32" s="195">
        <v>5.5405739533565555E-2</v>
      </c>
      <c r="W32" s="195">
        <v>5.8899700903933171E-2</v>
      </c>
      <c r="X32" s="195">
        <v>6.3974684452490382E-2</v>
      </c>
      <c r="Y32" s="195">
        <v>6.0236749664528258E-2</v>
      </c>
      <c r="Z32" s="195">
        <v>5.3581283845083309E-2</v>
      </c>
      <c r="AA32" s="195">
        <f t="shared" si="5"/>
        <v>0.70545826777267584</v>
      </c>
    </row>
    <row r="33" spans="1:27" s="196" customFormat="1" ht="34.5" hidden="1" x14ac:dyDescent="0.35">
      <c r="A33" s="188" t="s">
        <v>102</v>
      </c>
      <c r="B33" s="189">
        <v>21</v>
      </c>
      <c r="C33" s="190" t="s">
        <v>124</v>
      </c>
      <c r="D33" s="190"/>
      <c r="E33" s="191" t="s">
        <v>125</v>
      </c>
      <c r="F33" s="191" t="s">
        <v>105</v>
      </c>
      <c r="G33" s="191" t="s">
        <v>126</v>
      </c>
      <c r="H33" s="192">
        <v>46113</v>
      </c>
      <c r="I33" s="191" t="s">
        <v>127</v>
      </c>
      <c r="J33" s="191"/>
      <c r="K33" s="193"/>
      <c r="L33" s="194">
        <v>0</v>
      </c>
      <c r="M33" s="211">
        <v>0.13500000000000001</v>
      </c>
      <c r="N33" s="211"/>
      <c r="O33" s="195">
        <f>+'C-06'!H5/10^7</f>
        <v>1.0778138240345037E-2</v>
      </c>
      <c r="P33" s="195">
        <f>+'C-06'!I5/10^7</f>
        <v>1.0776414262767956E-2</v>
      </c>
      <c r="Q33" s="195">
        <f>+'C-06'!J5/10^7</f>
        <v>1.0222621793540072E-2</v>
      </c>
      <c r="R33" s="195">
        <f>+'C-06'!K5/10^7</f>
        <v>1.1179146729545057E-2</v>
      </c>
      <c r="S33" s="195">
        <f>+'C-06'!L5/10^7</f>
        <v>1.5679307575239904E-2</v>
      </c>
      <c r="T33" s="195">
        <f>+'C-06'!M5/10^7</f>
        <v>6.4171673875538576E-3</v>
      </c>
      <c r="U33" s="195">
        <f>+'C-06'!N5/10^7</f>
        <v>1.0553441785810906E-2</v>
      </c>
      <c r="V33" s="195">
        <f>+'C-06'!O5/10^7</f>
        <v>1.2022228288592621E-2</v>
      </c>
      <c r="W33" s="195">
        <f>+'C-06'!P5/10^7</f>
        <v>1.0895255667876568E-2</v>
      </c>
      <c r="X33" s="195">
        <f>+'C-06'!Q5/10^7</f>
        <v>1.2035175784125413E-2</v>
      </c>
      <c r="Y33" s="195">
        <f>+'C-06'!R5/10^7</f>
        <v>1.3392762200444471E-2</v>
      </c>
      <c r="Z33" s="195">
        <f>+'C-06'!S5/10^7</f>
        <v>2.6048340284158138E-2</v>
      </c>
      <c r="AA33" s="195">
        <f t="shared" si="5"/>
        <v>0.15</v>
      </c>
    </row>
    <row r="34" spans="1:27" s="196" customFormat="1" ht="34.5" hidden="1" x14ac:dyDescent="0.35">
      <c r="A34" s="188" t="s">
        <v>102</v>
      </c>
      <c r="B34" s="189">
        <v>22</v>
      </c>
      <c r="C34" s="190" t="s">
        <v>128</v>
      </c>
      <c r="D34" s="190"/>
      <c r="E34" s="191" t="s">
        <v>129</v>
      </c>
      <c r="F34" s="191" t="s">
        <v>105</v>
      </c>
      <c r="G34" s="191" t="s">
        <v>130</v>
      </c>
      <c r="H34" s="192">
        <v>46143</v>
      </c>
      <c r="I34" s="191" t="s">
        <v>131</v>
      </c>
      <c r="J34" s="191"/>
      <c r="K34" s="193"/>
      <c r="L34" s="194">
        <v>0</v>
      </c>
      <c r="M34" s="211">
        <v>0.27500000000000002</v>
      </c>
      <c r="N34" s="211"/>
      <c r="O34" s="195">
        <f>+'C-07'!F6/10^7</f>
        <v>6.6868792999999968E-2</v>
      </c>
      <c r="P34" s="195">
        <f>+'C-07'!G6/10^7</f>
        <v>-0.35229928300000002</v>
      </c>
      <c r="Q34" s="195">
        <f>+'C-07'!H6/10^7</f>
        <v>2.0288968999999948E-2</v>
      </c>
      <c r="R34" s="195">
        <f>+'C-07'!I6/10^7</f>
        <v>-0.74145540300000001</v>
      </c>
      <c r="S34" s="195">
        <f>+'C-07'!J6/10^7</f>
        <v>-0.68174846500000008</v>
      </c>
      <c r="T34" s="195">
        <f>+'C-07'!K6/10^7</f>
        <v>-1.1148351730000001</v>
      </c>
      <c r="U34" s="195">
        <f>+'C-07'!L6/10^7</f>
        <v>0.76294880499999995</v>
      </c>
      <c r="V34" s="195">
        <f>+'C-07'!M6/10^7</f>
        <v>1.6039326470000002</v>
      </c>
      <c r="W34" s="195">
        <f>+'C-07'!N6/10^7</f>
        <v>-0.48216881500000003</v>
      </c>
      <c r="X34" s="195">
        <f>+'C-07'!O6/10^7</f>
        <v>0.4167514289999999</v>
      </c>
      <c r="Y34" s="195">
        <f>+'C-07'!P6/10^7</f>
        <v>-1.396325501</v>
      </c>
      <c r="Z34" s="195">
        <f>+'C-07'!Q6/10^7</f>
        <v>0.7984914689999999</v>
      </c>
      <c r="AA34" s="195">
        <f t="shared" si="5"/>
        <v>-1.0995505280000009</v>
      </c>
    </row>
    <row r="35" spans="1:27" s="196" customFormat="1" ht="34.5" hidden="1" x14ac:dyDescent="0.35">
      <c r="A35" s="188" t="s">
        <v>132</v>
      </c>
      <c r="B35" s="189">
        <v>23</v>
      </c>
      <c r="C35" s="190" t="s">
        <v>133</v>
      </c>
      <c r="D35" s="190"/>
      <c r="E35" s="191" t="s">
        <v>134</v>
      </c>
      <c r="F35" s="191" t="s">
        <v>135</v>
      </c>
      <c r="G35" s="191" t="s">
        <v>136</v>
      </c>
      <c r="H35" s="192">
        <v>46113</v>
      </c>
      <c r="I35" s="191" t="s">
        <v>137</v>
      </c>
      <c r="J35" s="191"/>
      <c r="K35" s="193"/>
      <c r="L35" s="194">
        <v>0</v>
      </c>
      <c r="M35" s="211">
        <v>1.5</v>
      </c>
      <c r="N35" s="211"/>
      <c r="O35" s="195">
        <v>0.73981206766353247</v>
      </c>
      <c r="P35" s="195">
        <v>0.83780464005275457</v>
      </c>
      <c r="Q35" s="195">
        <v>0.82399179119750476</v>
      </c>
      <c r="R35" s="195">
        <v>0.83842655863438165</v>
      </c>
      <c r="S35" s="195">
        <v>0.83034661583137992</v>
      </c>
      <c r="T35" s="195">
        <v>0.9089484914565068</v>
      </c>
      <c r="U35" s="195">
        <v>0.86150935026065711</v>
      </c>
      <c r="V35" s="195">
        <v>0.79498983241415322</v>
      </c>
      <c r="W35" s="195">
        <v>0.82753294235782027</v>
      </c>
      <c r="X35" s="195">
        <v>0.81319568254024344</v>
      </c>
      <c r="Y35" s="195">
        <v>0.85709359475591607</v>
      </c>
      <c r="Z35" s="195">
        <v>0.89100905408967757</v>
      </c>
      <c r="AA35" s="195">
        <f t="shared" si="5"/>
        <v>10.024660621254528</v>
      </c>
    </row>
    <row r="36" spans="1:27" s="196" customFormat="1" ht="34.5" hidden="1" x14ac:dyDescent="0.35">
      <c r="A36" s="188" t="s">
        <v>132</v>
      </c>
      <c r="B36" s="189">
        <v>24</v>
      </c>
      <c r="C36" s="190" t="s">
        <v>138</v>
      </c>
      <c r="D36" s="190"/>
      <c r="E36" s="191" t="s">
        <v>139</v>
      </c>
      <c r="F36" s="191" t="s">
        <v>135</v>
      </c>
      <c r="G36" s="191" t="s">
        <v>140</v>
      </c>
      <c r="H36" s="192">
        <v>46174</v>
      </c>
      <c r="I36" s="191" t="s">
        <v>141</v>
      </c>
      <c r="J36" s="191"/>
      <c r="K36" s="193"/>
      <c r="L36" s="194">
        <v>100</v>
      </c>
      <c r="M36" s="211">
        <v>1</v>
      </c>
      <c r="N36" s="211"/>
      <c r="O36" s="195">
        <v>0.49320804510902166</v>
      </c>
      <c r="P36" s="195">
        <v>0.55853642670183634</v>
      </c>
      <c r="Q36" s="195">
        <v>0.54932786079833651</v>
      </c>
      <c r="R36" s="195">
        <v>0.55895103908958776</v>
      </c>
      <c r="S36" s="195">
        <v>0.55356441055425343</v>
      </c>
      <c r="T36" s="195">
        <v>0.60596566097100457</v>
      </c>
      <c r="U36" s="195">
        <v>0.57433956684043808</v>
      </c>
      <c r="V36" s="195">
        <v>0.52999322160943552</v>
      </c>
      <c r="W36" s="195">
        <v>0.55168862823854681</v>
      </c>
      <c r="X36" s="195">
        <v>0.54213045502682911</v>
      </c>
      <c r="Y36" s="195">
        <v>0.57139572983727749</v>
      </c>
      <c r="Z36" s="195">
        <v>0.59400603605978508</v>
      </c>
      <c r="AA36" s="195">
        <f t="shared" si="5"/>
        <v>6.6831070808363524</v>
      </c>
    </row>
    <row r="37" spans="1:27" s="196" customFormat="1" ht="34.5" hidden="1" x14ac:dyDescent="0.35">
      <c r="A37" s="188" t="s">
        <v>132</v>
      </c>
      <c r="B37" s="189">
        <v>25</v>
      </c>
      <c r="C37" s="190" t="s">
        <v>142</v>
      </c>
      <c r="D37" s="190"/>
      <c r="E37" s="191" t="s">
        <v>143</v>
      </c>
      <c r="F37" s="191" t="s">
        <v>135</v>
      </c>
      <c r="G37" s="191" t="s">
        <v>144</v>
      </c>
      <c r="H37" s="192">
        <v>46174</v>
      </c>
      <c r="I37" s="191" t="s">
        <v>145</v>
      </c>
      <c r="J37" s="191"/>
      <c r="K37" s="193"/>
      <c r="L37" s="194">
        <v>0</v>
      </c>
      <c r="M37" s="211">
        <v>0.5</v>
      </c>
      <c r="N37" s="211"/>
      <c r="O37" s="195">
        <v>0.24660402255451083</v>
      </c>
      <c r="P37" s="195">
        <v>0.27926821335091817</v>
      </c>
      <c r="Q37" s="195">
        <v>0.27466393039916825</v>
      </c>
      <c r="R37" s="195">
        <v>0.27947551954479388</v>
      </c>
      <c r="S37" s="195">
        <v>0.27678220527712671</v>
      </c>
      <c r="T37" s="195">
        <v>0.30298283048550229</v>
      </c>
      <c r="U37" s="195">
        <v>0.28716978342021904</v>
      </c>
      <c r="V37" s="195">
        <v>0.26499661080471776</v>
      </c>
      <c r="W37" s="195">
        <v>0.2758443141192734</v>
      </c>
      <c r="X37" s="195">
        <v>0.27106522751341455</v>
      </c>
      <c r="Y37" s="195">
        <v>0.28569786491863874</v>
      </c>
      <c r="Z37" s="195">
        <v>0.29700301802989254</v>
      </c>
      <c r="AA37" s="195">
        <f t="shared" si="5"/>
        <v>3.3415535404181762</v>
      </c>
    </row>
    <row r="38" spans="1:27" s="229" customFormat="1" ht="34.5" hidden="1" x14ac:dyDescent="0.35">
      <c r="A38" s="220" t="s">
        <v>132</v>
      </c>
      <c r="B38" s="221">
        <v>26</v>
      </c>
      <c r="C38" s="222" t="s">
        <v>146</v>
      </c>
      <c r="D38" s="222"/>
      <c r="E38" s="223" t="s">
        <v>147</v>
      </c>
      <c r="F38" s="223" t="s">
        <v>135</v>
      </c>
      <c r="G38" s="223" t="s">
        <v>148</v>
      </c>
      <c r="H38" s="224">
        <v>46143</v>
      </c>
      <c r="I38" s="223" t="s">
        <v>149</v>
      </c>
      <c r="J38" s="223" t="s">
        <v>783</v>
      </c>
      <c r="K38" s="225"/>
      <c r="L38" s="226">
        <v>0</v>
      </c>
      <c r="M38" s="227">
        <v>0.375</v>
      </c>
      <c r="N38" s="227"/>
      <c r="O38" s="228">
        <v>0</v>
      </c>
      <c r="P38" s="228">
        <v>0</v>
      </c>
      <c r="Q38" s="228">
        <v>0</v>
      </c>
      <c r="R38" s="228">
        <v>0</v>
      </c>
      <c r="S38" s="228">
        <v>0</v>
      </c>
      <c r="T38" s="228">
        <v>0</v>
      </c>
      <c r="U38" s="228">
        <v>0</v>
      </c>
      <c r="V38" s="228">
        <v>0</v>
      </c>
      <c r="W38" s="228">
        <v>0</v>
      </c>
      <c r="X38" s="228">
        <v>0</v>
      </c>
      <c r="Y38" s="228">
        <v>0</v>
      </c>
      <c r="Z38" s="228">
        <v>0</v>
      </c>
      <c r="AA38" s="228">
        <f t="shared" si="5"/>
        <v>0</v>
      </c>
    </row>
    <row r="39" spans="1:27" s="229" customFormat="1" ht="34.5" hidden="1" x14ac:dyDescent="0.35">
      <c r="A39" s="220" t="s">
        <v>150</v>
      </c>
      <c r="B39" s="221">
        <v>27</v>
      </c>
      <c r="C39" s="222" t="s">
        <v>151</v>
      </c>
      <c r="D39" s="222"/>
      <c r="E39" s="223" t="s">
        <v>152</v>
      </c>
      <c r="F39" s="223" t="s">
        <v>153</v>
      </c>
      <c r="G39" s="223" t="s">
        <v>154</v>
      </c>
      <c r="H39" s="224">
        <v>46143</v>
      </c>
      <c r="I39" s="223" t="s">
        <v>155</v>
      </c>
      <c r="J39" s="223" t="s">
        <v>784</v>
      </c>
      <c r="K39" s="225"/>
      <c r="L39" s="226">
        <v>0</v>
      </c>
      <c r="M39" s="227">
        <v>0.2</v>
      </c>
      <c r="N39" s="227"/>
      <c r="O39" s="228">
        <v>0</v>
      </c>
      <c r="P39" s="228">
        <v>0</v>
      </c>
      <c r="Q39" s="228">
        <v>0</v>
      </c>
      <c r="R39" s="228">
        <v>0</v>
      </c>
      <c r="S39" s="228">
        <v>0</v>
      </c>
      <c r="T39" s="228">
        <v>0</v>
      </c>
      <c r="U39" s="228">
        <v>0</v>
      </c>
      <c r="V39" s="228">
        <v>0</v>
      </c>
      <c r="W39" s="228">
        <v>0</v>
      </c>
      <c r="X39" s="228">
        <v>0</v>
      </c>
      <c r="Y39" s="228">
        <v>0</v>
      </c>
      <c r="Z39" s="228">
        <v>0</v>
      </c>
      <c r="AA39" s="228">
        <f t="shared" si="5"/>
        <v>0</v>
      </c>
    </row>
    <row r="40" spans="1:27" s="196" customFormat="1" ht="241.5" hidden="1" x14ac:dyDescent="0.35">
      <c r="A40" s="188" t="s">
        <v>150</v>
      </c>
      <c r="B40" s="189">
        <v>28</v>
      </c>
      <c r="C40" s="190" t="s">
        <v>156</v>
      </c>
      <c r="D40" s="190"/>
      <c r="E40" s="191" t="s">
        <v>157</v>
      </c>
      <c r="F40" s="191" t="s">
        <v>153</v>
      </c>
      <c r="G40" s="191" t="s">
        <v>158</v>
      </c>
      <c r="H40" s="192">
        <v>46113</v>
      </c>
      <c r="I40" s="191" t="s">
        <v>159</v>
      </c>
      <c r="J40" s="191"/>
      <c r="K40" s="193"/>
      <c r="L40" s="194">
        <v>0</v>
      </c>
      <c r="M40" s="211">
        <v>0.15</v>
      </c>
      <c r="N40" s="211"/>
      <c r="O40" s="195">
        <f>+'C-13'!E4/10^5</f>
        <v>0</v>
      </c>
      <c r="P40" s="195">
        <f>+'C-13'!F4/10^5</f>
        <v>0</v>
      </c>
      <c r="Q40" s="195">
        <f>+'C-13'!G4/10^5</f>
        <v>0</v>
      </c>
      <c r="R40" s="195">
        <f>+'C-13'!H4/10^5</f>
        <v>0.45</v>
      </c>
      <c r="S40" s="195">
        <f>+'C-13'!I4/10^5</f>
        <v>0.75</v>
      </c>
      <c r="T40" s="195">
        <f>+'C-13'!J4/10^5</f>
        <v>1.05</v>
      </c>
      <c r="U40" s="195">
        <f>+'C-13'!K4/10^5</f>
        <v>1.35</v>
      </c>
      <c r="V40" s="195">
        <f>+'C-13'!L4/10^5</f>
        <v>1.65</v>
      </c>
      <c r="W40" s="195">
        <f>+'C-13'!M4/10^5</f>
        <v>1.95</v>
      </c>
      <c r="X40" s="195">
        <f>+'C-13'!N4/10^5</f>
        <v>2.25</v>
      </c>
      <c r="Y40" s="195">
        <f>+'C-13'!O4/10^5</f>
        <v>2.5500000000000003</v>
      </c>
      <c r="Z40" s="195">
        <f>+'C-13'!P4/10^5</f>
        <v>3</v>
      </c>
      <c r="AA40" s="195">
        <f t="shared" si="5"/>
        <v>15</v>
      </c>
    </row>
    <row r="41" spans="1:27" s="196" customFormat="1" ht="92" hidden="1" x14ac:dyDescent="0.35">
      <c r="A41" s="188" t="s">
        <v>160</v>
      </c>
      <c r="B41" s="189">
        <v>29</v>
      </c>
      <c r="C41" s="190" t="s">
        <v>161</v>
      </c>
      <c r="D41" s="190"/>
      <c r="E41" s="191" t="s">
        <v>162</v>
      </c>
      <c r="F41" s="191" t="s">
        <v>163</v>
      </c>
      <c r="G41" s="191" t="s">
        <v>164</v>
      </c>
      <c r="H41" s="192">
        <v>46143</v>
      </c>
      <c r="I41" s="191" t="s">
        <v>165</v>
      </c>
      <c r="J41" s="191"/>
      <c r="K41" s="193">
        <v>0</v>
      </c>
      <c r="L41" s="194">
        <v>0</v>
      </c>
      <c r="M41" s="191"/>
      <c r="N41" s="191"/>
      <c r="O41" s="195">
        <v>0</v>
      </c>
      <c r="P41" s="195">
        <v>0</v>
      </c>
      <c r="Q41" s="195">
        <v>0</v>
      </c>
      <c r="R41" s="195">
        <v>0</v>
      </c>
      <c r="S41" s="195">
        <v>0</v>
      </c>
      <c r="T41" s="195">
        <v>0</v>
      </c>
      <c r="U41" s="195">
        <v>0</v>
      </c>
      <c r="V41" s="195">
        <v>0</v>
      </c>
      <c r="W41" s="195">
        <v>0</v>
      </c>
      <c r="X41" s="195">
        <v>0</v>
      </c>
      <c r="Y41" s="195">
        <v>0</v>
      </c>
      <c r="Z41" s="195">
        <v>0</v>
      </c>
      <c r="AA41" s="195">
        <f t="shared" si="5"/>
        <v>0</v>
      </c>
    </row>
    <row r="42" spans="1:27" s="196" customFormat="1" ht="172.5" hidden="1" x14ac:dyDescent="0.35">
      <c r="A42" s="188" t="s">
        <v>160</v>
      </c>
      <c r="B42" s="189">
        <v>30</v>
      </c>
      <c r="C42" s="190" t="s">
        <v>166</v>
      </c>
      <c r="D42" s="190"/>
      <c r="E42" s="191" t="s">
        <v>167</v>
      </c>
      <c r="F42" s="191" t="s">
        <v>163</v>
      </c>
      <c r="G42" s="191" t="s">
        <v>168</v>
      </c>
      <c r="H42" s="192">
        <v>46143</v>
      </c>
      <c r="I42" s="191" t="s">
        <v>165</v>
      </c>
      <c r="J42" s="191"/>
      <c r="K42" s="193">
        <v>0</v>
      </c>
      <c r="L42" s="194">
        <v>0</v>
      </c>
      <c r="M42" s="191"/>
      <c r="N42" s="191"/>
      <c r="O42" s="195">
        <v>0</v>
      </c>
      <c r="P42" s="195">
        <v>0</v>
      </c>
      <c r="Q42" s="195">
        <v>0</v>
      </c>
      <c r="R42" s="195">
        <v>0</v>
      </c>
      <c r="S42" s="195">
        <v>0</v>
      </c>
      <c r="T42" s="195">
        <v>0</v>
      </c>
      <c r="U42" s="195">
        <v>0</v>
      </c>
      <c r="V42" s="195">
        <v>0</v>
      </c>
      <c r="W42" s="195">
        <v>0</v>
      </c>
      <c r="X42" s="195">
        <v>0</v>
      </c>
      <c r="Y42" s="195">
        <v>0</v>
      </c>
      <c r="Z42" s="195">
        <v>0</v>
      </c>
      <c r="AA42" s="195">
        <f t="shared" si="5"/>
        <v>0</v>
      </c>
    </row>
    <row r="43" spans="1:27" s="196" customFormat="1" ht="126.5" hidden="1" x14ac:dyDescent="0.35">
      <c r="A43" s="188" t="s">
        <v>160</v>
      </c>
      <c r="B43" s="189">
        <v>31</v>
      </c>
      <c r="C43" s="190" t="s">
        <v>169</v>
      </c>
      <c r="D43" s="190"/>
      <c r="E43" s="191" t="s">
        <v>170</v>
      </c>
      <c r="F43" s="191" t="s">
        <v>163</v>
      </c>
      <c r="G43" s="191" t="s">
        <v>171</v>
      </c>
      <c r="H43" s="192">
        <v>46143</v>
      </c>
      <c r="I43" s="191" t="s">
        <v>165</v>
      </c>
      <c r="J43" s="191"/>
      <c r="K43" s="193">
        <v>0</v>
      </c>
      <c r="L43" s="194">
        <v>0</v>
      </c>
      <c r="M43" s="191"/>
      <c r="N43" s="191"/>
      <c r="O43" s="195">
        <v>0</v>
      </c>
      <c r="P43" s="195">
        <v>0</v>
      </c>
      <c r="Q43" s="195">
        <v>0</v>
      </c>
      <c r="R43" s="195">
        <v>0</v>
      </c>
      <c r="S43" s="195">
        <v>0</v>
      </c>
      <c r="T43" s="195">
        <v>0</v>
      </c>
      <c r="U43" s="195">
        <v>0</v>
      </c>
      <c r="V43" s="195">
        <v>0</v>
      </c>
      <c r="W43" s="195">
        <v>0</v>
      </c>
      <c r="X43" s="195">
        <v>0</v>
      </c>
      <c r="Y43" s="195">
        <v>0</v>
      </c>
      <c r="Z43" s="195">
        <v>0</v>
      </c>
      <c r="AA43" s="195">
        <f t="shared" si="5"/>
        <v>0</v>
      </c>
    </row>
    <row r="44" spans="1:27" s="196" customFormat="1" ht="149.5" hidden="1" x14ac:dyDescent="0.35">
      <c r="A44" s="188" t="s">
        <v>160</v>
      </c>
      <c r="B44" s="189">
        <v>32</v>
      </c>
      <c r="C44" s="190" t="s">
        <v>172</v>
      </c>
      <c r="D44" s="190"/>
      <c r="E44" s="191" t="s">
        <v>173</v>
      </c>
      <c r="F44" s="191" t="s">
        <v>163</v>
      </c>
      <c r="G44" s="191" t="s">
        <v>174</v>
      </c>
      <c r="H44" s="192">
        <v>46143</v>
      </c>
      <c r="I44" s="191" t="s">
        <v>165</v>
      </c>
      <c r="J44" s="191"/>
      <c r="K44" s="193">
        <v>0</v>
      </c>
      <c r="L44" s="194">
        <v>0</v>
      </c>
      <c r="M44" s="191"/>
      <c r="N44" s="191"/>
      <c r="O44" s="195">
        <v>0</v>
      </c>
      <c r="P44" s="195">
        <v>0</v>
      </c>
      <c r="Q44" s="195">
        <v>0</v>
      </c>
      <c r="R44" s="195">
        <v>0</v>
      </c>
      <c r="S44" s="195">
        <v>0</v>
      </c>
      <c r="T44" s="195">
        <v>0</v>
      </c>
      <c r="U44" s="195">
        <v>0</v>
      </c>
      <c r="V44" s="195">
        <v>0</v>
      </c>
      <c r="W44" s="195">
        <v>0</v>
      </c>
      <c r="X44" s="195">
        <v>0</v>
      </c>
      <c r="Y44" s="195">
        <v>0</v>
      </c>
      <c r="Z44" s="195">
        <v>0</v>
      </c>
      <c r="AA44" s="195">
        <f t="shared" si="5"/>
        <v>0</v>
      </c>
    </row>
    <row r="45" spans="1:27" s="196" customFormat="1" ht="103.5" hidden="1" x14ac:dyDescent="0.35">
      <c r="A45" s="188" t="s">
        <v>160</v>
      </c>
      <c r="B45" s="189">
        <v>33</v>
      </c>
      <c r="C45" s="190" t="s">
        <v>175</v>
      </c>
      <c r="D45" s="190"/>
      <c r="E45" s="191" t="s">
        <v>176</v>
      </c>
      <c r="F45" s="191" t="s">
        <v>163</v>
      </c>
      <c r="G45" s="191" t="s">
        <v>177</v>
      </c>
      <c r="H45" s="192">
        <v>46143</v>
      </c>
      <c r="I45" s="191" t="s">
        <v>178</v>
      </c>
      <c r="J45" s="191"/>
      <c r="K45" s="193">
        <v>0</v>
      </c>
      <c r="L45" s="194">
        <v>20</v>
      </c>
      <c r="M45" s="191"/>
      <c r="N45" s="191"/>
      <c r="O45" s="195">
        <v>0</v>
      </c>
      <c r="P45" s="195">
        <v>0</v>
      </c>
      <c r="Q45" s="195">
        <v>0</v>
      </c>
      <c r="R45" s="195">
        <v>0</v>
      </c>
      <c r="S45" s="195">
        <v>0</v>
      </c>
      <c r="T45" s="195">
        <v>0</v>
      </c>
      <c r="U45" s="195">
        <v>0</v>
      </c>
      <c r="V45" s="195">
        <v>0</v>
      </c>
      <c r="W45" s="195">
        <v>0</v>
      </c>
      <c r="X45" s="195">
        <v>0</v>
      </c>
      <c r="Y45" s="195">
        <v>0</v>
      </c>
      <c r="Z45" s="195">
        <v>0</v>
      </c>
      <c r="AA45" s="195">
        <f t="shared" si="5"/>
        <v>0</v>
      </c>
    </row>
    <row r="46" spans="1:27" x14ac:dyDescent="0.35">
      <c r="A46" s="34"/>
      <c r="B46" s="15"/>
      <c r="C46" s="15"/>
      <c r="D46" s="15"/>
      <c r="E46" s="15"/>
      <c r="F46" s="15"/>
      <c r="G46" s="15"/>
      <c r="H46" s="15"/>
      <c r="I46" s="15"/>
      <c r="J46" s="15"/>
      <c r="K46" s="15"/>
      <c r="L46" s="15"/>
      <c r="M46" s="15"/>
      <c r="N46" s="15"/>
      <c r="O46" s="27"/>
      <c r="P46" s="27"/>
      <c r="Q46" s="27"/>
      <c r="R46" s="27"/>
      <c r="S46" s="27"/>
      <c r="T46" s="27"/>
      <c r="U46" s="27"/>
      <c r="V46" s="27"/>
      <c r="W46" s="27"/>
      <c r="X46" s="27"/>
      <c r="Y46" s="27"/>
      <c r="Z46" s="27"/>
      <c r="AA46" s="27">
        <f t="shared" si="5"/>
        <v>0</v>
      </c>
    </row>
    <row r="47" spans="1:27" x14ac:dyDescent="0.35">
      <c r="A47" s="35"/>
    </row>
    <row r="48" spans="1:27" s="196" customFormat="1" ht="101.5" hidden="1" x14ac:dyDescent="0.35">
      <c r="A48" s="215"/>
      <c r="C48" s="216" t="s">
        <v>773</v>
      </c>
      <c r="G48" s="217" t="s">
        <v>774</v>
      </c>
      <c r="O48" s="195">
        <v>0.63191405121691668</v>
      </c>
      <c r="P48" s="195">
        <v>0.85758167163951393</v>
      </c>
      <c r="Q48" s="195">
        <v>0.83896513012307905</v>
      </c>
      <c r="R48" s="195">
        <v>0.95882827038757823</v>
      </c>
      <c r="S48" s="195">
        <v>0.9096811278041409</v>
      </c>
      <c r="T48" s="195">
        <v>0.86722305138853883</v>
      </c>
      <c r="U48" s="195">
        <v>0.91771799451059377</v>
      </c>
      <c r="V48" s="195">
        <v>0.8018002021071704</v>
      </c>
      <c r="W48" s="195">
        <v>0.85236281450977602</v>
      </c>
      <c r="X48" s="195">
        <v>0.92580507643389687</v>
      </c>
      <c r="Y48" s="195">
        <v>0.87171182014524506</v>
      </c>
      <c r="Z48" s="195">
        <v>0.77539772192956302</v>
      </c>
      <c r="AA48" s="195">
        <v>10.208988932196014</v>
      </c>
    </row>
    <row r="49" spans="1:27" s="196" customFormat="1" ht="34.5" hidden="1" x14ac:dyDescent="0.35">
      <c r="A49" s="215"/>
      <c r="C49" s="216" t="s">
        <v>778</v>
      </c>
      <c r="G49" s="219" t="s">
        <v>779</v>
      </c>
      <c r="O49" s="195">
        <v>4.5608494910592787</v>
      </c>
      <c r="P49" s="195">
        <v>5.1649615263231281</v>
      </c>
      <c r="Q49" s="195">
        <v>5.0798070290864104</v>
      </c>
      <c r="R49" s="195">
        <v>5.1687955771185585</v>
      </c>
      <c r="S49" s="195">
        <v>5.1189837335009729</v>
      </c>
      <c r="T49" s="195">
        <v>5.603554532100337</v>
      </c>
      <c r="U49" s="195">
        <v>5.3110981199432654</v>
      </c>
      <c r="V49" s="195">
        <v>4.9010135560703283</v>
      </c>
      <c r="W49" s="195">
        <v>5.1016377860762168</v>
      </c>
      <c r="X49" s="195">
        <v>5.0132503604037835</v>
      </c>
      <c r="Y49" s="195">
        <v>5.2838755358212683</v>
      </c>
      <c r="Z49" s="195">
        <v>5.4929601293315455</v>
      </c>
      <c r="AA49" s="195">
        <f t="shared" ref="AA49" si="8">SUM(O49:Z49)</f>
        <v>61.800787376835082</v>
      </c>
    </row>
    <row r="50" spans="1:27" x14ac:dyDescent="0.35">
      <c r="A50" s="35"/>
    </row>
    <row r="51" spans="1:27" x14ac:dyDescent="0.35">
      <c r="A51" s="35"/>
    </row>
    <row r="52" spans="1:27" x14ac:dyDescent="0.35">
      <c r="A52" s="35"/>
    </row>
    <row r="53" spans="1:27" x14ac:dyDescent="0.35">
      <c r="A53" s="35"/>
    </row>
    <row r="54" spans="1:27" x14ac:dyDescent="0.35">
      <c r="A54" s="35"/>
    </row>
    <row r="55" spans="1:27" x14ac:dyDescent="0.35">
      <c r="A55" s="35"/>
    </row>
    <row r="56" spans="1:27" x14ac:dyDescent="0.35">
      <c r="A56" s="35"/>
    </row>
    <row r="57" spans="1:27" x14ac:dyDescent="0.35">
      <c r="A57" s="35"/>
    </row>
    <row r="58" spans="1:27" x14ac:dyDescent="0.35">
      <c r="A58" s="35"/>
    </row>
    <row r="59" spans="1:27" x14ac:dyDescent="0.35">
      <c r="A59" s="35"/>
    </row>
    <row r="60" spans="1:27" x14ac:dyDescent="0.35">
      <c r="A60" s="35"/>
    </row>
    <row r="61" spans="1:27" x14ac:dyDescent="0.35">
      <c r="A61" s="35"/>
    </row>
    <row r="62" spans="1:27" x14ac:dyDescent="0.35">
      <c r="A62" s="35"/>
    </row>
    <row r="63" spans="1:27" x14ac:dyDescent="0.35">
      <c r="A63" s="35"/>
    </row>
    <row r="64" spans="1:27" x14ac:dyDescent="0.35">
      <c r="A64" s="35"/>
    </row>
    <row r="65" spans="1:1" x14ac:dyDescent="0.35">
      <c r="A65" s="35"/>
    </row>
    <row r="66" spans="1:1" x14ac:dyDescent="0.35">
      <c r="A66" s="35"/>
    </row>
    <row r="67" spans="1:1" x14ac:dyDescent="0.35">
      <c r="A67" s="35"/>
    </row>
    <row r="68" spans="1:1" x14ac:dyDescent="0.35">
      <c r="A68" s="35"/>
    </row>
    <row r="69" spans="1:1" x14ac:dyDescent="0.35">
      <c r="A69" s="35"/>
    </row>
    <row r="70" spans="1:1" x14ac:dyDescent="0.35">
      <c r="A70" s="35"/>
    </row>
    <row r="71" spans="1:1" x14ac:dyDescent="0.35">
      <c r="A71" s="35"/>
    </row>
    <row r="72" spans="1:1" x14ac:dyDescent="0.35">
      <c r="A72" s="35"/>
    </row>
    <row r="73" spans="1:1" x14ac:dyDescent="0.35">
      <c r="A73" s="35"/>
    </row>
    <row r="74" spans="1:1" x14ac:dyDescent="0.35">
      <c r="A74" s="35"/>
    </row>
    <row r="75" spans="1:1" x14ac:dyDescent="0.35">
      <c r="A75" s="35"/>
    </row>
    <row r="76" spans="1:1" x14ac:dyDescent="0.35">
      <c r="A76" s="35"/>
    </row>
    <row r="77" spans="1:1" x14ac:dyDescent="0.35">
      <c r="A77" s="35"/>
    </row>
    <row r="78" spans="1:1" x14ac:dyDescent="0.35">
      <c r="A78" s="35"/>
    </row>
    <row r="79" spans="1:1" x14ac:dyDescent="0.35">
      <c r="A79" s="35"/>
    </row>
    <row r="80" spans="1:1" x14ac:dyDescent="0.35">
      <c r="A80" s="35"/>
    </row>
    <row r="81" spans="1:1" x14ac:dyDescent="0.35">
      <c r="A81" s="35"/>
    </row>
    <row r="82" spans="1:1" x14ac:dyDescent="0.35">
      <c r="A82" s="35"/>
    </row>
    <row r="83" spans="1:1" x14ac:dyDescent="0.35">
      <c r="A83" s="35"/>
    </row>
    <row r="84" spans="1:1" x14ac:dyDescent="0.35">
      <c r="A84" s="35"/>
    </row>
    <row r="85" spans="1:1" x14ac:dyDescent="0.35">
      <c r="A85" s="35"/>
    </row>
    <row r="86" spans="1:1" x14ac:dyDescent="0.35">
      <c r="A86" s="35"/>
    </row>
    <row r="87" spans="1:1" x14ac:dyDescent="0.35">
      <c r="A87" s="35"/>
    </row>
    <row r="88" spans="1:1" x14ac:dyDescent="0.35">
      <c r="A88" s="35"/>
    </row>
    <row r="89" spans="1:1" x14ac:dyDescent="0.35">
      <c r="A89" s="35"/>
    </row>
    <row r="90" spans="1:1" x14ac:dyDescent="0.35">
      <c r="A90" s="35"/>
    </row>
    <row r="91" spans="1:1" x14ac:dyDescent="0.35">
      <c r="A91" s="35"/>
    </row>
    <row r="92" spans="1:1" x14ac:dyDescent="0.35">
      <c r="A92" s="35"/>
    </row>
    <row r="93" spans="1:1" x14ac:dyDescent="0.35">
      <c r="A93" s="35"/>
    </row>
    <row r="94" spans="1:1" x14ac:dyDescent="0.35">
      <c r="A94" s="35"/>
    </row>
    <row r="95" spans="1:1" x14ac:dyDescent="0.35">
      <c r="A95" s="35"/>
    </row>
    <row r="96" spans="1:1" x14ac:dyDescent="0.35">
      <c r="A96" s="35"/>
    </row>
    <row r="97" spans="1:1" x14ac:dyDescent="0.35">
      <c r="A97" s="35"/>
    </row>
    <row r="98" spans="1:1" x14ac:dyDescent="0.35">
      <c r="A98" s="35"/>
    </row>
    <row r="99" spans="1:1" x14ac:dyDescent="0.35">
      <c r="A99" s="35"/>
    </row>
    <row r="100" spans="1:1" x14ac:dyDescent="0.35">
      <c r="A100" s="35"/>
    </row>
    <row r="101" spans="1:1" x14ac:dyDescent="0.35">
      <c r="A101" s="35"/>
    </row>
    <row r="102" spans="1:1" x14ac:dyDescent="0.35">
      <c r="A102" s="35"/>
    </row>
    <row r="103" spans="1:1" x14ac:dyDescent="0.35">
      <c r="A103" s="35"/>
    </row>
    <row r="104" spans="1:1" x14ac:dyDescent="0.35">
      <c r="A104" s="35"/>
    </row>
    <row r="105" spans="1:1" x14ac:dyDescent="0.35">
      <c r="A105" s="35"/>
    </row>
    <row r="106" spans="1:1" x14ac:dyDescent="0.35">
      <c r="A106" s="35"/>
    </row>
    <row r="107" spans="1:1" x14ac:dyDescent="0.35">
      <c r="A107" s="35"/>
    </row>
    <row r="108" spans="1:1" x14ac:dyDescent="0.35">
      <c r="A108" s="35"/>
    </row>
    <row r="109" spans="1:1" x14ac:dyDescent="0.35">
      <c r="A109" s="35"/>
    </row>
    <row r="110" spans="1:1" x14ac:dyDescent="0.35">
      <c r="A110" s="35"/>
    </row>
    <row r="111" spans="1:1" x14ac:dyDescent="0.35">
      <c r="A111" s="35"/>
    </row>
    <row r="112" spans="1:1" x14ac:dyDescent="0.35">
      <c r="A112" s="35"/>
    </row>
    <row r="113" spans="1:1" x14ac:dyDescent="0.35">
      <c r="A113" s="35"/>
    </row>
    <row r="114" spans="1:1" x14ac:dyDescent="0.35">
      <c r="A114" s="35"/>
    </row>
    <row r="115" spans="1:1" x14ac:dyDescent="0.35">
      <c r="A115" s="35"/>
    </row>
    <row r="116" spans="1:1" x14ac:dyDescent="0.35">
      <c r="A116" s="35"/>
    </row>
    <row r="117" spans="1:1" x14ac:dyDescent="0.35">
      <c r="A117" s="35"/>
    </row>
    <row r="118" spans="1:1" x14ac:dyDescent="0.35">
      <c r="A118" s="35"/>
    </row>
    <row r="119" spans="1:1" x14ac:dyDescent="0.35">
      <c r="A119" s="35"/>
    </row>
    <row r="120" spans="1:1" x14ac:dyDescent="0.35">
      <c r="A120" s="35"/>
    </row>
    <row r="121" spans="1:1" x14ac:dyDescent="0.35">
      <c r="A121" s="35"/>
    </row>
    <row r="122" spans="1:1" x14ac:dyDescent="0.35">
      <c r="A122" s="35"/>
    </row>
    <row r="123" spans="1:1" x14ac:dyDescent="0.35">
      <c r="A123" s="35"/>
    </row>
    <row r="124" spans="1:1" x14ac:dyDescent="0.35">
      <c r="A124" s="35"/>
    </row>
    <row r="125" spans="1:1" x14ac:dyDescent="0.35">
      <c r="A125" s="35"/>
    </row>
    <row r="126" spans="1:1" x14ac:dyDescent="0.35">
      <c r="A126" s="35"/>
    </row>
    <row r="127" spans="1:1" x14ac:dyDescent="0.35">
      <c r="A127" s="35"/>
    </row>
    <row r="128" spans="1:1" x14ac:dyDescent="0.35">
      <c r="A128" s="35"/>
    </row>
    <row r="129" spans="1:1" x14ac:dyDescent="0.35">
      <c r="A129" s="35"/>
    </row>
    <row r="130" spans="1:1" x14ac:dyDescent="0.35">
      <c r="A130" s="35"/>
    </row>
    <row r="131" spans="1:1" x14ac:dyDescent="0.35">
      <c r="A131" s="35"/>
    </row>
    <row r="132" spans="1:1" x14ac:dyDescent="0.35">
      <c r="A132" s="35"/>
    </row>
    <row r="133" spans="1:1" x14ac:dyDescent="0.35">
      <c r="A133" s="35"/>
    </row>
    <row r="134" spans="1:1" x14ac:dyDescent="0.35">
      <c r="A134" s="35"/>
    </row>
    <row r="135" spans="1:1" x14ac:dyDescent="0.35">
      <c r="A135" s="35"/>
    </row>
    <row r="136" spans="1:1" x14ac:dyDescent="0.35">
      <c r="A136" s="35"/>
    </row>
    <row r="137" spans="1:1" x14ac:dyDescent="0.35">
      <c r="A137" s="35"/>
    </row>
    <row r="138" spans="1:1" x14ac:dyDescent="0.35">
      <c r="A138" s="35"/>
    </row>
    <row r="139" spans="1:1" x14ac:dyDescent="0.35">
      <c r="A139" s="35"/>
    </row>
    <row r="140" spans="1:1" x14ac:dyDescent="0.35">
      <c r="A140" s="35"/>
    </row>
    <row r="141" spans="1:1" x14ac:dyDescent="0.35">
      <c r="A141" s="35"/>
    </row>
    <row r="142" spans="1:1" x14ac:dyDescent="0.35">
      <c r="A142" s="35"/>
    </row>
    <row r="143" spans="1:1" x14ac:dyDescent="0.35">
      <c r="A143" s="35"/>
    </row>
    <row r="144" spans="1:1" x14ac:dyDescent="0.35">
      <c r="A144" s="35"/>
    </row>
    <row r="145" spans="1:1" x14ac:dyDescent="0.35">
      <c r="A145" s="35"/>
    </row>
    <row r="146" spans="1:1" x14ac:dyDescent="0.35">
      <c r="A146" s="35"/>
    </row>
    <row r="147" spans="1:1" x14ac:dyDescent="0.35">
      <c r="A147" s="35"/>
    </row>
    <row r="148" spans="1:1" x14ac:dyDescent="0.35">
      <c r="A148" s="35"/>
    </row>
    <row r="149" spans="1:1" x14ac:dyDescent="0.35">
      <c r="A149" s="35"/>
    </row>
    <row r="150" spans="1:1" x14ac:dyDescent="0.35">
      <c r="A150" s="35"/>
    </row>
    <row r="151" spans="1:1" x14ac:dyDescent="0.35">
      <c r="A151" s="35"/>
    </row>
    <row r="152" spans="1:1" x14ac:dyDescent="0.35">
      <c r="A152" s="35"/>
    </row>
    <row r="153" spans="1:1" x14ac:dyDescent="0.35">
      <c r="A153" s="35"/>
    </row>
    <row r="154" spans="1:1" x14ac:dyDescent="0.35">
      <c r="A154" s="35"/>
    </row>
    <row r="155" spans="1:1" x14ac:dyDescent="0.35">
      <c r="A155" s="35"/>
    </row>
    <row r="156" spans="1:1" x14ac:dyDescent="0.35">
      <c r="A156" s="35"/>
    </row>
    <row r="157" spans="1:1" x14ac:dyDescent="0.35">
      <c r="A157" s="35"/>
    </row>
    <row r="158" spans="1:1" x14ac:dyDescent="0.35">
      <c r="A158" s="35"/>
    </row>
    <row r="159" spans="1:1" x14ac:dyDescent="0.35">
      <c r="A159" s="35"/>
    </row>
    <row r="160" spans="1:1" x14ac:dyDescent="0.35">
      <c r="A160" s="35"/>
    </row>
    <row r="161" spans="1:1" x14ac:dyDescent="0.35">
      <c r="A161" s="35"/>
    </row>
    <row r="162" spans="1:1" x14ac:dyDescent="0.35">
      <c r="A162" s="35"/>
    </row>
    <row r="163" spans="1:1" x14ac:dyDescent="0.35">
      <c r="A163" s="35"/>
    </row>
    <row r="164" spans="1:1" x14ac:dyDescent="0.35">
      <c r="A164" s="35"/>
    </row>
    <row r="165" spans="1:1" x14ac:dyDescent="0.35">
      <c r="A165" s="35"/>
    </row>
    <row r="166" spans="1:1" x14ac:dyDescent="0.35">
      <c r="A166" s="35"/>
    </row>
    <row r="167" spans="1:1" x14ac:dyDescent="0.35">
      <c r="A167" s="35"/>
    </row>
    <row r="168" spans="1:1" x14ac:dyDescent="0.35">
      <c r="A168" s="35"/>
    </row>
    <row r="169" spans="1:1" x14ac:dyDescent="0.35">
      <c r="A169" s="35"/>
    </row>
    <row r="170" spans="1:1" x14ac:dyDescent="0.35">
      <c r="A170" s="35"/>
    </row>
    <row r="171" spans="1:1" x14ac:dyDescent="0.35">
      <c r="A171" s="35"/>
    </row>
    <row r="172" spans="1:1" x14ac:dyDescent="0.35">
      <c r="A172" s="35"/>
    </row>
    <row r="173" spans="1:1" x14ac:dyDescent="0.35">
      <c r="A173" s="35"/>
    </row>
    <row r="174" spans="1:1" x14ac:dyDescent="0.35">
      <c r="A174" s="35"/>
    </row>
    <row r="175" spans="1:1" x14ac:dyDescent="0.35">
      <c r="A175" s="35"/>
    </row>
    <row r="176" spans="1:1" x14ac:dyDescent="0.35">
      <c r="A176" s="35"/>
    </row>
    <row r="177" spans="1:1" x14ac:dyDescent="0.35">
      <c r="A177" s="35"/>
    </row>
    <row r="178" spans="1:1" x14ac:dyDescent="0.35">
      <c r="A178" s="35"/>
    </row>
    <row r="179" spans="1:1" x14ac:dyDescent="0.35">
      <c r="A179" s="35"/>
    </row>
    <row r="180" spans="1:1" x14ac:dyDescent="0.35">
      <c r="A180" s="35"/>
    </row>
    <row r="181" spans="1:1" x14ac:dyDescent="0.35">
      <c r="A181" s="35"/>
    </row>
    <row r="182" spans="1:1" x14ac:dyDescent="0.35">
      <c r="A182" s="35"/>
    </row>
    <row r="183" spans="1:1" x14ac:dyDescent="0.35">
      <c r="A183" s="35"/>
    </row>
    <row r="184" spans="1:1" x14ac:dyDescent="0.35">
      <c r="A184" s="35"/>
    </row>
    <row r="185" spans="1:1" x14ac:dyDescent="0.35">
      <c r="A185" s="35"/>
    </row>
    <row r="186" spans="1:1" x14ac:dyDescent="0.35">
      <c r="A186" s="35"/>
    </row>
    <row r="187" spans="1:1" x14ac:dyDescent="0.35">
      <c r="A187" s="35"/>
    </row>
    <row r="188" spans="1:1" x14ac:dyDescent="0.35">
      <c r="A188" s="35"/>
    </row>
    <row r="189" spans="1:1" x14ac:dyDescent="0.35">
      <c r="A189" s="35"/>
    </row>
    <row r="190" spans="1:1" x14ac:dyDescent="0.35">
      <c r="A190" s="35"/>
    </row>
    <row r="191" spans="1:1" x14ac:dyDescent="0.35">
      <c r="A191" s="35"/>
    </row>
    <row r="192" spans="1:1" x14ac:dyDescent="0.35">
      <c r="A192" s="35"/>
    </row>
    <row r="193" spans="1:1" x14ac:dyDescent="0.35">
      <c r="A193" s="35"/>
    </row>
    <row r="194" spans="1:1" x14ac:dyDescent="0.35">
      <c r="A194" s="35"/>
    </row>
    <row r="195" spans="1:1" x14ac:dyDescent="0.35">
      <c r="A195" s="35"/>
    </row>
    <row r="196" spans="1:1" x14ac:dyDescent="0.35">
      <c r="A196" s="35"/>
    </row>
    <row r="197" spans="1:1" x14ac:dyDescent="0.35">
      <c r="A197" s="35"/>
    </row>
    <row r="198" spans="1:1" x14ac:dyDescent="0.35">
      <c r="A198" s="35"/>
    </row>
    <row r="199" spans="1:1" x14ac:dyDescent="0.35">
      <c r="A199" s="35"/>
    </row>
    <row r="200" spans="1:1" x14ac:dyDescent="0.35">
      <c r="A200" s="35"/>
    </row>
    <row r="201" spans="1:1" x14ac:dyDescent="0.35">
      <c r="A201" s="35"/>
    </row>
    <row r="202" spans="1:1" x14ac:dyDescent="0.35">
      <c r="A202" s="35"/>
    </row>
    <row r="203" spans="1:1" x14ac:dyDescent="0.35">
      <c r="A203" s="35"/>
    </row>
    <row r="204" spans="1:1" x14ac:dyDescent="0.35">
      <c r="A204" s="35"/>
    </row>
    <row r="205" spans="1:1" x14ac:dyDescent="0.35">
      <c r="A205" s="35"/>
    </row>
    <row r="206" spans="1:1" x14ac:dyDescent="0.35">
      <c r="A206" s="35"/>
    </row>
    <row r="207" spans="1:1" x14ac:dyDescent="0.35">
      <c r="A207" s="35"/>
    </row>
    <row r="208" spans="1:1" x14ac:dyDescent="0.35">
      <c r="A208" s="35"/>
    </row>
    <row r="209" spans="1:1" x14ac:dyDescent="0.35">
      <c r="A209" s="35"/>
    </row>
    <row r="210" spans="1:1" x14ac:dyDescent="0.35">
      <c r="A210" s="35"/>
    </row>
    <row r="211" spans="1:1" x14ac:dyDescent="0.35">
      <c r="A211" s="35"/>
    </row>
    <row r="212" spans="1:1" x14ac:dyDescent="0.35">
      <c r="A212" s="35"/>
    </row>
    <row r="213" spans="1:1" x14ac:dyDescent="0.35">
      <c r="A213" s="35"/>
    </row>
    <row r="214" spans="1:1" x14ac:dyDescent="0.35">
      <c r="A214" s="35"/>
    </row>
    <row r="215" spans="1:1" x14ac:dyDescent="0.35">
      <c r="A215" s="35"/>
    </row>
    <row r="216" spans="1:1" x14ac:dyDescent="0.35">
      <c r="A216" s="35"/>
    </row>
    <row r="217" spans="1:1" x14ac:dyDescent="0.35">
      <c r="A217" s="35"/>
    </row>
    <row r="218" spans="1:1" x14ac:dyDescent="0.35">
      <c r="A218" s="35"/>
    </row>
    <row r="219" spans="1:1" x14ac:dyDescent="0.35">
      <c r="A219" s="35"/>
    </row>
    <row r="220" spans="1:1" x14ac:dyDescent="0.35">
      <c r="A220" s="35"/>
    </row>
    <row r="221" spans="1:1" x14ac:dyDescent="0.35">
      <c r="A221" s="35"/>
    </row>
    <row r="222" spans="1:1" x14ac:dyDescent="0.35">
      <c r="A222" s="35"/>
    </row>
    <row r="223" spans="1:1" x14ac:dyDescent="0.35">
      <c r="A223" s="35"/>
    </row>
    <row r="224" spans="1:1" x14ac:dyDescent="0.35">
      <c r="A224" s="35"/>
    </row>
    <row r="225" spans="1:1" x14ac:dyDescent="0.35">
      <c r="A225" s="35"/>
    </row>
    <row r="226" spans="1:1" x14ac:dyDescent="0.35">
      <c r="A226" s="35"/>
    </row>
    <row r="227" spans="1:1" x14ac:dyDescent="0.35">
      <c r="A227" s="35"/>
    </row>
    <row r="228" spans="1:1" x14ac:dyDescent="0.35">
      <c r="A228" s="35"/>
    </row>
    <row r="229" spans="1:1" x14ac:dyDescent="0.35">
      <c r="A229" s="35"/>
    </row>
    <row r="230" spans="1:1" x14ac:dyDescent="0.35">
      <c r="A230" s="35"/>
    </row>
    <row r="231" spans="1:1" x14ac:dyDescent="0.35">
      <c r="A231" s="35"/>
    </row>
    <row r="232" spans="1:1" x14ac:dyDescent="0.35">
      <c r="A232" s="35"/>
    </row>
    <row r="233" spans="1:1" x14ac:dyDescent="0.35">
      <c r="A233" s="35"/>
    </row>
    <row r="234" spans="1:1" x14ac:dyDescent="0.35">
      <c r="A234" s="35"/>
    </row>
    <row r="235" spans="1:1" x14ac:dyDescent="0.35">
      <c r="A235" s="35"/>
    </row>
    <row r="236" spans="1:1" x14ac:dyDescent="0.35">
      <c r="A236" s="35"/>
    </row>
    <row r="237" spans="1:1" x14ac:dyDescent="0.35">
      <c r="A237" s="35"/>
    </row>
    <row r="238" spans="1:1" x14ac:dyDescent="0.35">
      <c r="A238" s="35"/>
    </row>
    <row r="239" spans="1:1" x14ac:dyDescent="0.35">
      <c r="A239" s="35"/>
    </row>
    <row r="240" spans="1:1" x14ac:dyDescent="0.35">
      <c r="A240" s="35"/>
    </row>
    <row r="241" spans="1:1" x14ac:dyDescent="0.35">
      <c r="A241" s="35"/>
    </row>
    <row r="242" spans="1:1" x14ac:dyDescent="0.35">
      <c r="A242" s="35"/>
    </row>
    <row r="243" spans="1:1" x14ac:dyDescent="0.35">
      <c r="A243" s="35"/>
    </row>
    <row r="244" spans="1:1" x14ac:dyDescent="0.35">
      <c r="A244" s="35"/>
    </row>
    <row r="245" spans="1:1" x14ac:dyDescent="0.35">
      <c r="A245" s="35"/>
    </row>
    <row r="246" spans="1:1" x14ac:dyDescent="0.35">
      <c r="A246" s="35"/>
    </row>
    <row r="247" spans="1:1" x14ac:dyDescent="0.35">
      <c r="A247" s="35"/>
    </row>
    <row r="248" spans="1:1" x14ac:dyDescent="0.35">
      <c r="A248" s="35"/>
    </row>
    <row r="249" spans="1:1" x14ac:dyDescent="0.35">
      <c r="A249" s="35"/>
    </row>
    <row r="250" spans="1:1" x14ac:dyDescent="0.35">
      <c r="A250" s="35"/>
    </row>
    <row r="251" spans="1:1" x14ac:dyDescent="0.35">
      <c r="A251" s="35"/>
    </row>
    <row r="252" spans="1:1" x14ac:dyDescent="0.35">
      <c r="A252" s="35"/>
    </row>
    <row r="253" spans="1:1" x14ac:dyDescent="0.35">
      <c r="A253" s="35"/>
    </row>
    <row r="254" spans="1:1" x14ac:dyDescent="0.35">
      <c r="A254" s="35"/>
    </row>
    <row r="255" spans="1:1" x14ac:dyDescent="0.35">
      <c r="A255" s="35"/>
    </row>
    <row r="256" spans="1:1" x14ac:dyDescent="0.35">
      <c r="A256" s="35"/>
    </row>
    <row r="257" spans="1:1" x14ac:dyDescent="0.35">
      <c r="A257" s="35"/>
    </row>
    <row r="258" spans="1:1" x14ac:dyDescent="0.35">
      <c r="A258" s="35"/>
    </row>
    <row r="259" spans="1:1" x14ac:dyDescent="0.35">
      <c r="A259" s="35"/>
    </row>
    <row r="260" spans="1:1" x14ac:dyDescent="0.35">
      <c r="A260" s="35"/>
    </row>
    <row r="261" spans="1:1" x14ac:dyDescent="0.35">
      <c r="A261" s="35"/>
    </row>
    <row r="262" spans="1:1" x14ac:dyDescent="0.35">
      <c r="A262" s="35"/>
    </row>
    <row r="263" spans="1:1" x14ac:dyDescent="0.35">
      <c r="A263" s="35"/>
    </row>
    <row r="264" spans="1:1" x14ac:dyDescent="0.35">
      <c r="A264" s="35"/>
    </row>
    <row r="265" spans="1:1" x14ac:dyDescent="0.35">
      <c r="A265" s="35"/>
    </row>
    <row r="266" spans="1:1" x14ac:dyDescent="0.35">
      <c r="A266" s="35"/>
    </row>
    <row r="267" spans="1:1" x14ac:dyDescent="0.35">
      <c r="A267" s="35"/>
    </row>
    <row r="268" spans="1:1" x14ac:dyDescent="0.35">
      <c r="A268" s="35"/>
    </row>
    <row r="269" spans="1:1" x14ac:dyDescent="0.35">
      <c r="A269" s="35"/>
    </row>
    <row r="270" spans="1:1" x14ac:dyDescent="0.35">
      <c r="A270" s="35"/>
    </row>
    <row r="271" spans="1:1" x14ac:dyDescent="0.35">
      <c r="A271" s="35"/>
    </row>
    <row r="272" spans="1:1" x14ac:dyDescent="0.35">
      <c r="A272" s="35"/>
    </row>
    <row r="273" spans="1:1" x14ac:dyDescent="0.35">
      <c r="A273" s="35"/>
    </row>
    <row r="274" spans="1:1" x14ac:dyDescent="0.35">
      <c r="A274" s="35"/>
    </row>
    <row r="275" spans="1:1" x14ac:dyDescent="0.35">
      <c r="A275" s="35"/>
    </row>
    <row r="276" spans="1:1" x14ac:dyDescent="0.35">
      <c r="A276" s="35"/>
    </row>
    <row r="277" spans="1:1" x14ac:dyDescent="0.35">
      <c r="A277" s="35"/>
    </row>
    <row r="278" spans="1:1" x14ac:dyDescent="0.35">
      <c r="A278" s="35"/>
    </row>
    <row r="279" spans="1:1" x14ac:dyDescent="0.35">
      <c r="A279" s="35"/>
    </row>
    <row r="280" spans="1:1" x14ac:dyDescent="0.35">
      <c r="A280" s="35"/>
    </row>
    <row r="281" spans="1:1" x14ac:dyDescent="0.35">
      <c r="A281" s="35"/>
    </row>
    <row r="282" spans="1:1" x14ac:dyDescent="0.35">
      <c r="A282" s="35"/>
    </row>
    <row r="283" spans="1:1" x14ac:dyDescent="0.35">
      <c r="A283" s="35"/>
    </row>
    <row r="284" spans="1:1" x14ac:dyDescent="0.35">
      <c r="A284" s="35"/>
    </row>
    <row r="285" spans="1:1" x14ac:dyDescent="0.35">
      <c r="A285" s="35"/>
    </row>
    <row r="286" spans="1:1" x14ac:dyDescent="0.35">
      <c r="A286" s="35"/>
    </row>
    <row r="287" spans="1:1" x14ac:dyDescent="0.35">
      <c r="A287" s="35"/>
    </row>
    <row r="288" spans="1:1" x14ac:dyDescent="0.35">
      <c r="A288" s="35"/>
    </row>
    <row r="289" spans="1:1" x14ac:dyDescent="0.35">
      <c r="A289" s="35"/>
    </row>
    <row r="290" spans="1:1" x14ac:dyDescent="0.35">
      <c r="A290" s="35"/>
    </row>
    <row r="291" spans="1:1" x14ac:dyDescent="0.35">
      <c r="A291" s="35"/>
    </row>
    <row r="292" spans="1:1" x14ac:dyDescent="0.35">
      <c r="A292" s="35"/>
    </row>
    <row r="293" spans="1:1" x14ac:dyDescent="0.35">
      <c r="A293" s="35"/>
    </row>
    <row r="294" spans="1:1" x14ac:dyDescent="0.35">
      <c r="A294" s="35"/>
    </row>
    <row r="295" spans="1:1" x14ac:dyDescent="0.35">
      <c r="A295" s="35"/>
    </row>
    <row r="296" spans="1:1" x14ac:dyDescent="0.35">
      <c r="A296" s="35"/>
    </row>
    <row r="297" spans="1:1" x14ac:dyDescent="0.35">
      <c r="A297" s="35"/>
    </row>
    <row r="298" spans="1:1" x14ac:dyDescent="0.35">
      <c r="A298" s="35"/>
    </row>
    <row r="299" spans="1:1" x14ac:dyDescent="0.35">
      <c r="A299" s="35"/>
    </row>
    <row r="300" spans="1:1" x14ac:dyDescent="0.35">
      <c r="A300" s="35"/>
    </row>
    <row r="301" spans="1:1" x14ac:dyDescent="0.35">
      <c r="A301" s="35"/>
    </row>
    <row r="302" spans="1:1" x14ac:dyDescent="0.35">
      <c r="A302" s="35"/>
    </row>
    <row r="303" spans="1:1" x14ac:dyDescent="0.35">
      <c r="A303" s="35"/>
    </row>
    <row r="304" spans="1:1" x14ac:dyDescent="0.35">
      <c r="A304" s="35"/>
    </row>
    <row r="305" spans="1:1" x14ac:dyDescent="0.35">
      <c r="A305" s="35"/>
    </row>
    <row r="306" spans="1:1" x14ac:dyDescent="0.35">
      <c r="A306" s="35"/>
    </row>
    <row r="307" spans="1:1" x14ac:dyDescent="0.35">
      <c r="A307" s="35"/>
    </row>
    <row r="308" spans="1:1" x14ac:dyDescent="0.35">
      <c r="A308" s="35"/>
    </row>
    <row r="309" spans="1:1" x14ac:dyDescent="0.35">
      <c r="A309" s="35"/>
    </row>
    <row r="310" spans="1:1" x14ac:dyDescent="0.35">
      <c r="A310" s="35"/>
    </row>
    <row r="311" spans="1:1" x14ac:dyDescent="0.35">
      <c r="A311" s="35"/>
    </row>
    <row r="312" spans="1:1" x14ac:dyDescent="0.35">
      <c r="A312" s="35"/>
    </row>
    <row r="313" spans="1:1" x14ac:dyDescent="0.35">
      <c r="A313" s="35"/>
    </row>
    <row r="314" spans="1:1" x14ac:dyDescent="0.35">
      <c r="A314" s="35"/>
    </row>
    <row r="315" spans="1:1" x14ac:dyDescent="0.35">
      <c r="A315" s="35"/>
    </row>
    <row r="316" spans="1:1" x14ac:dyDescent="0.35">
      <c r="A316" s="35"/>
    </row>
    <row r="317" spans="1:1" x14ac:dyDescent="0.35">
      <c r="A317" s="35"/>
    </row>
    <row r="318" spans="1:1" x14ac:dyDescent="0.35">
      <c r="A318" s="35"/>
    </row>
    <row r="319" spans="1:1" x14ac:dyDescent="0.35">
      <c r="A319" s="35"/>
    </row>
    <row r="320" spans="1:1" x14ac:dyDescent="0.35">
      <c r="A320" s="35"/>
    </row>
    <row r="321" spans="1:1" x14ac:dyDescent="0.35">
      <c r="A321" s="35"/>
    </row>
    <row r="322" spans="1:1" x14ac:dyDescent="0.35">
      <c r="A322" s="35"/>
    </row>
    <row r="323" spans="1:1" x14ac:dyDescent="0.35">
      <c r="A323" s="35"/>
    </row>
    <row r="324" spans="1:1" x14ac:dyDescent="0.35">
      <c r="A324" s="35"/>
    </row>
    <row r="325" spans="1:1" x14ac:dyDescent="0.35">
      <c r="A325" s="35"/>
    </row>
    <row r="326" spans="1:1" x14ac:dyDescent="0.35">
      <c r="A326" s="35"/>
    </row>
    <row r="327" spans="1:1" x14ac:dyDescent="0.35">
      <c r="A327" s="35"/>
    </row>
    <row r="328" spans="1:1" x14ac:dyDescent="0.35">
      <c r="A328" s="35"/>
    </row>
    <row r="329" spans="1:1" x14ac:dyDescent="0.35">
      <c r="A329" s="35"/>
    </row>
    <row r="330" spans="1:1" x14ac:dyDescent="0.35">
      <c r="A330" s="35"/>
    </row>
    <row r="331" spans="1:1" x14ac:dyDescent="0.35">
      <c r="A331" s="35"/>
    </row>
    <row r="332" spans="1:1" x14ac:dyDescent="0.35">
      <c r="A332" s="35"/>
    </row>
    <row r="333" spans="1:1" x14ac:dyDescent="0.35">
      <c r="A333" s="35"/>
    </row>
    <row r="334" spans="1:1" x14ac:dyDescent="0.35">
      <c r="A334" s="35"/>
    </row>
    <row r="335" spans="1:1" x14ac:dyDescent="0.35">
      <c r="A335" s="35"/>
    </row>
    <row r="336" spans="1:1" x14ac:dyDescent="0.35">
      <c r="A336" s="35"/>
    </row>
    <row r="337" spans="1:1" x14ac:dyDescent="0.35">
      <c r="A337" s="35"/>
    </row>
    <row r="338" spans="1:1" x14ac:dyDescent="0.35">
      <c r="A338" s="35"/>
    </row>
    <row r="339" spans="1:1" x14ac:dyDescent="0.35">
      <c r="A339" s="35"/>
    </row>
    <row r="340" spans="1:1" x14ac:dyDescent="0.35">
      <c r="A340" s="35"/>
    </row>
    <row r="341" spans="1:1" x14ac:dyDescent="0.35">
      <c r="A341" s="35"/>
    </row>
    <row r="342" spans="1:1" x14ac:dyDescent="0.35">
      <c r="A342" s="35"/>
    </row>
    <row r="343" spans="1:1" x14ac:dyDescent="0.35">
      <c r="A343" s="35"/>
    </row>
    <row r="344" spans="1:1" x14ac:dyDescent="0.35">
      <c r="A344" s="35"/>
    </row>
    <row r="345" spans="1:1" x14ac:dyDescent="0.35">
      <c r="A345" s="35"/>
    </row>
    <row r="346" spans="1:1" x14ac:dyDescent="0.35">
      <c r="A346" s="35"/>
    </row>
    <row r="347" spans="1:1" x14ac:dyDescent="0.35">
      <c r="A347" s="35"/>
    </row>
    <row r="348" spans="1:1" x14ac:dyDescent="0.35">
      <c r="A348" s="35"/>
    </row>
    <row r="349" spans="1:1" x14ac:dyDescent="0.35">
      <c r="A349" s="35"/>
    </row>
    <row r="350" spans="1:1" x14ac:dyDescent="0.35">
      <c r="A350" s="35"/>
    </row>
    <row r="351" spans="1:1" x14ac:dyDescent="0.35">
      <c r="A351" s="35"/>
    </row>
    <row r="352" spans="1:1" x14ac:dyDescent="0.35">
      <c r="A352" s="35"/>
    </row>
    <row r="353" spans="1:1" x14ac:dyDescent="0.35">
      <c r="A353" s="35"/>
    </row>
    <row r="354" spans="1:1" x14ac:dyDescent="0.35">
      <c r="A354" s="35"/>
    </row>
    <row r="355" spans="1:1" x14ac:dyDescent="0.35">
      <c r="A355" s="35"/>
    </row>
    <row r="356" spans="1:1" x14ac:dyDescent="0.35">
      <c r="A356" s="35"/>
    </row>
    <row r="357" spans="1:1" x14ac:dyDescent="0.35">
      <c r="A357" s="35"/>
    </row>
    <row r="358" spans="1:1" x14ac:dyDescent="0.35">
      <c r="A358" s="35"/>
    </row>
    <row r="359" spans="1:1" x14ac:dyDescent="0.35">
      <c r="A359" s="35"/>
    </row>
    <row r="360" spans="1:1" x14ac:dyDescent="0.35">
      <c r="A360" s="35"/>
    </row>
    <row r="361" spans="1:1" x14ac:dyDescent="0.35">
      <c r="A361" s="35"/>
    </row>
    <row r="362" spans="1:1" x14ac:dyDescent="0.35">
      <c r="A362" s="35"/>
    </row>
    <row r="363" spans="1:1" x14ac:dyDescent="0.35">
      <c r="A363" s="35"/>
    </row>
    <row r="364" spans="1:1" x14ac:dyDescent="0.35">
      <c r="A364" s="35"/>
    </row>
    <row r="365" spans="1:1" x14ac:dyDescent="0.35">
      <c r="A365" s="35"/>
    </row>
    <row r="366" spans="1:1" x14ac:dyDescent="0.35">
      <c r="A366" s="35"/>
    </row>
    <row r="367" spans="1:1" x14ac:dyDescent="0.35">
      <c r="A367" s="35"/>
    </row>
    <row r="368" spans="1:1" x14ac:dyDescent="0.35">
      <c r="A368" s="35"/>
    </row>
    <row r="369" spans="1:1" x14ac:dyDescent="0.35">
      <c r="A369" s="35"/>
    </row>
    <row r="370" spans="1:1" x14ac:dyDescent="0.35">
      <c r="A370" s="35"/>
    </row>
    <row r="371" spans="1:1" x14ac:dyDescent="0.35">
      <c r="A371" s="35"/>
    </row>
    <row r="372" spans="1:1" x14ac:dyDescent="0.35">
      <c r="A372" s="35"/>
    </row>
    <row r="373" spans="1:1" x14ac:dyDescent="0.35">
      <c r="A373" s="35"/>
    </row>
    <row r="374" spans="1:1" x14ac:dyDescent="0.35">
      <c r="A374" s="35"/>
    </row>
    <row r="375" spans="1:1" x14ac:dyDescent="0.35">
      <c r="A375" s="35"/>
    </row>
    <row r="376" spans="1:1" x14ac:dyDescent="0.35">
      <c r="A376" s="35"/>
    </row>
    <row r="377" spans="1:1" x14ac:dyDescent="0.35">
      <c r="A377" s="35"/>
    </row>
    <row r="378" spans="1:1" x14ac:dyDescent="0.35">
      <c r="A378" s="35"/>
    </row>
    <row r="379" spans="1:1" x14ac:dyDescent="0.35">
      <c r="A379" s="35"/>
    </row>
    <row r="380" spans="1:1" x14ac:dyDescent="0.35">
      <c r="A380" s="35"/>
    </row>
    <row r="381" spans="1:1" x14ac:dyDescent="0.35">
      <c r="A381" s="35"/>
    </row>
    <row r="382" spans="1:1" x14ac:dyDescent="0.35">
      <c r="A382" s="35"/>
    </row>
    <row r="383" spans="1:1" x14ac:dyDescent="0.35">
      <c r="A383" s="35"/>
    </row>
    <row r="384" spans="1:1" x14ac:dyDescent="0.35">
      <c r="A384" s="35"/>
    </row>
    <row r="385" spans="1:1" x14ac:dyDescent="0.35">
      <c r="A385" s="35"/>
    </row>
    <row r="386" spans="1:1" x14ac:dyDescent="0.35">
      <c r="A386" s="35"/>
    </row>
    <row r="387" spans="1:1" x14ac:dyDescent="0.35">
      <c r="A387" s="35"/>
    </row>
    <row r="388" spans="1:1" x14ac:dyDescent="0.35">
      <c r="A388" s="35"/>
    </row>
    <row r="389" spans="1:1" x14ac:dyDescent="0.35">
      <c r="A389" s="35"/>
    </row>
    <row r="390" spans="1:1" x14ac:dyDescent="0.35">
      <c r="A390" s="35"/>
    </row>
    <row r="391" spans="1:1" x14ac:dyDescent="0.35">
      <c r="A391" s="35"/>
    </row>
    <row r="392" spans="1:1" x14ac:dyDescent="0.35">
      <c r="A392" s="35"/>
    </row>
    <row r="393" spans="1:1" x14ac:dyDescent="0.35">
      <c r="A393" s="35"/>
    </row>
    <row r="394" spans="1:1" x14ac:dyDescent="0.35">
      <c r="A394" s="35"/>
    </row>
    <row r="395" spans="1:1" x14ac:dyDescent="0.35">
      <c r="A395" s="35"/>
    </row>
    <row r="396" spans="1:1" x14ac:dyDescent="0.35">
      <c r="A396" s="35"/>
    </row>
    <row r="397" spans="1:1" x14ac:dyDescent="0.35">
      <c r="A397" s="35"/>
    </row>
    <row r="398" spans="1:1" x14ac:dyDescent="0.35">
      <c r="A398" s="35"/>
    </row>
    <row r="399" spans="1:1" x14ac:dyDescent="0.35">
      <c r="A399" s="35"/>
    </row>
    <row r="400" spans="1:1" x14ac:dyDescent="0.35">
      <c r="A400" s="35"/>
    </row>
    <row r="401" spans="1:1" x14ac:dyDescent="0.35">
      <c r="A401" s="35"/>
    </row>
    <row r="402" spans="1:1" x14ac:dyDescent="0.35">
      <c r="A402" s="35"/>
    </row>
    <row r="403" spans="1:1" x14ac:dyDescent="0.35">
      <c r="A403" s="35"/>
    </row>
    <row r="404" spans="1:1" x14ac:dyDescent="0.35">
      <c r="A404" s="35"/>
    </row>
    <row r="405" spans="1:1" x14ac:dyDescent="0.35">
      <c r="A405" s="35"/>
    </row>
    <row r="406" spans="1:1" x14ac:dyDescent="0.35">
      <c r="A406" s="35"/>
    </row>
    <row r="407" spans="1:1" x14ac:dyDescent="0.35">
      <c r="A407" s="35"/>
    </row>
    <row r="408" spans="1:1" x14ac:dyDescent="0.35">
      <c r="A408" s="35"/>
    </row>
    <row r="409" spans="1:1" x14ac:dyDescent="0.35">
      <c r="A409" s="35"/>
    </row>
    <row r="410" spans="1:1" x14ac:dyDescent="0.35">
      <c r="A410" s="35"/>
    </row>
    <row r="411" spans="1:1" x14ac:dyDescent="0.35">
      <c r="A411" s="35"/>
    </row>
    <row r="412" spans="1:1" x14ac:dyDescent="0.35">
      <c r="A412" s="35"/>
    </row>
    <row r="413" spans="1:1" x14ac:dyDescent="0.35">
      <c r="A413" s="35"/>
    </row>
    <row r="414" spans="1:1" x14ac:dyDescent="0.35">
      <c r="A414" s="35"/>
    </row>
    <row r="415" spans="1:1" x14ac:dyDescent="0.35">
      <c r="A415" s="35"/>
    </row>
    <row r="416" spans="1:1" x14ac:dyDescent="0.35">
      <c r="A416" s="35"/>
    </row>
    <row r="417" spans="1:1" x14ac:dyDescent="0.35">
      <c r="A417" s="35"/>
    </row>
    <row r="418" spans="1:1" x14ac:dyDescent="0.35">
      <c r="A418" s="35"/>
    </row>
    <row r="419" spans="1:1" x14ac:dyDescent="0.35">
      <c r="A419" s="35"/>
    </row>
    <row r="420" spans="1:1" x14ac:dyDescent="0.35">
      <c r="A420" s="35"/>
    </row>
    <row r="421" spans="1:1" x14ac:dyDescent="0.35">
      <c r="A421" s="35"/>
    </row>
    <row r="422" spans="1:1" x14ac:dyDescent="0.35">
      <c r="A422" s="35"/>
    </row>
    <row r="423" spans="1:1" x14ac:dyDescent="0.35">
      <c r="A423" s="35"/>
    </row>
    <row r="424" spans="1:1" x14ac:dyDescent="0.35">
      <c r="A424" s="35"/>
    </row>
    <row r="425" spans="1:1" x14ac:dyDescent="0.35">
      <c r="A425" s="35"/>
    </row>
    <row r="426" spans="1:1" x14ac:dyDescent="0.35">
      <c r="A426" s="35"/>
    </row>
    <row r="427" spans="1:1" x14ac:dyDescent="0.35">
      <c r="A427" s="35"/>
    </row>
    <row r="428" spans="1:1" x14ac:dyDescent="0.35">
      <c r="A428" s="35"/>
    </row>
    <row r="429" spans="1:1" x14ac:dyDescent="0.35">
      <c r="A429" s="35"/>
    </row>
    <row r="430" spans="1:1" x14ac:dyDescent="0.35">
      <c r="A430" s="35"/>
    </row>
    <row r="431" spans="1:1" x14ac:dyDescent="0.35">
      <c r="A431" s="35"/>
    </row>
    <row r="432" spans="1:1" x14ac:dyDescent="0.35">
      <c r="A432" s="35"/>
    </row>
    <row r="433" spans="1:1" x14ac:dyDescent="0.35">
      <c r="A433" s="35"/>
    </row>
    <row r="434" spans="1:1" x14ac:dyDescent="0.35">
      <c r="A434" s="35"/>
    </row>
    <row r="435" spans="1:1" x14ac:dyDescent="0.35">
      <c r="A435" s="35"/>
    </row>
    <row r="436" spans="1:1" x14ac:dyDescent="0.35">
      <c r="A436" s="35"/>
    </row>
    <row r="437" spans="1:1" x14ac:dyDescent="0.35">
      <c r="A437" s="35"/>
    </row>
    <row r="438" spans="1:1" x14ac:dyDescent="0.35">
      <c r="A438" s="35"/>
    </row>
    <row r="439" spans="1:1" x14ac:dyDescent="0.35">
      <c r="A439" s="35"/>
    </row>
    <row r="440" spans="1:1" x14ac:dyDescent="0.35">
      <c r="A440" s="35"/>
    </row>
    <row r="441" spans="1:1" x14ac:dyDescent="0.35">
      <c r="A441" s="35"/>
    </row>
    <row r="442" spans="1:1" x14ac:dyDescent="0.35">
      <c r="A442" s="35"/>
    </row>
    <row r="443" spans="1:1" x14ac:dyDescent="0.35">
      <c r="A443" s="35"/>
    </row>
    <row r="444" spans="1:1" x14ac:dyDescent="0.35">
      <c r="A444" s="35"/>
    </row>
    <row r="445" spans="1:1" x14ac:dyDescent="0.35">
      <c r="A445" s="35"/>
    </row>
    <row r="446" spans="1:1" x14ac:dyDescent="0.35">
      <c r="A446" s="35"/>
    </row>
    <row r="447" spans="1:1" x14ac:dyDescent="0.35">
      <c r="A447" s="35"/>
    </row>
    <row r="448" spans="1:1" x14ac:dyDescent="0.35">
      <c r="A448" s="35"/>
    </row>
    <row r="449" spans="1:1" x14ac:dyDescent="0.35">
      <c r="A449" s="35"/>
    </row>
    <row r="450" spans="1:1" x14ac:dyDescent="0.35">
      <c r="A450" s="35"/>
    </row>
    <row r="451" spans="1:1" x14ac:dyDescent="0.35">
      <c r="A451" s="35"/>
    </row>
    <row r="452" spans="1:1" x14ac:dyDescent="0.35">
      <c r="A452" s="35"/>
    </row>
    <row r="453" spans="1:1" x14ac:dyDescent="0.35">
      <c r="A453" s="35"/>
    </row>
    <row r="454" spans="1:1" x14ac:dyDescent="0.35">
      <c r="A454" s="35"/>
    </row>
    <row r="455" spans="1:1" x14ac:dyDescent="0.35">
      <c r="A455" s="35"/>
    </row>
    <row r="456" spans="1:1" x14ac:dyDescent="0.35">
      <c r="A456" s="35"/>
    </row>
    <row r="457" spans="1:1" x14ac:dyDescent="0.35">
      <c r="A457" s="35"/>
    </row>
    <row r="458" spans="1:1" x14ac:dyDescent="0.35">
      <c r="A458" s="35"/>
    </row>
    <row r="459" spans="1:1" x14ac:dyDescent="0.35">
      <c r="A459" s="35"/>
    </row>
    <row r="460" spans="1:1" x14ac:dyDescent="0.35">
      <c r="A460" s="35"/>
    </row>
    <row r="461" spans="1:1" x14ac:dyDescent="0.35">
      <c r="A461" s="35"/>
    </row>
    <row r="462" spans="1:1" x14ac:dyDescent="0.35">
      <c r="A462" s="35"/>
    </row>
    <row r="463" spans="1:1" x14ac:dyDescent="0.35">
      <c r="A463" s="35"/>
    </row>
    <row r="464" spans="1:1" x14ac:dyDescent="0.35">
      <c r="A464" s="35"/>
    </row>
    <row r="465" spans="1:1" x14ac:dyDescent="0.35">
      <c r="A465" s="35"/>
    </row>
    <row r="466" spans="1:1" x14ac:dyDescent="0.35">
      <c r="A466" s="35"/>
    </row>
    <row r="467" spans="1:1" x14ac:dyDescent="0.35">
      <c r="A467" s="35"/>
    </row>
    <row r="468" spans="1:1" x14ac:dyDescent="0.35">
      <c r="A468" s="35"/>
    </row>
    <row r="469" spans="1:1" x14ac:dyDescent="0.35">
      <c r="A469" s="35"/>
    </row>
    <row r="470" spans="1:1" x14ac:dyDescent="0.35">
      <c r="A470" s="35"/>
    </row>
    <row r="471" spans="1:1" x14ac:dyDescent="0.35">
      <c r="A471" s="35"/>
    </row>
    <row r="472" spans="1:1" x14ac:dyDescent="0.35">
      <c r="A472" s="35"/>
    </row>
    <row r="473" spans="1:1" x14ac:dyDescent="0.35">
      <c r="A473" s="35"/>
    </row>
    <row r="474" spans="1:1" x14ac:dyDescent="0.35">
      <c r="A474" s="35"/>
    </row>
    <row r="475" spans="1:1" x14ac:dyDescent="0.35">
      <c r="A475" s="35"/>
    </row>
    <row r="476" spans="1:1" x14ac:dyDescent="0.35">
      <c r="A476" s="35"/>
    </row>
    <row r="477" spans="1:1" x14ac:dyDescent="0.35">
      <c r="A477" s="35"/>
    </row>
    <row r="478" spans="1:1" x14ac:dyDescent="0.35">
      <c r="A478" s="35"/>
    </row>
    <row r="479" spans="1:1" x14ac:dyDescent="0.35">
      <c r="A479" s="35"/>
    </row>
    <row r="480" spans="1:1" x14ac:dyDescent="0.35">
      <c r="A480" s="35"/>
    </row>
    <row r="481" spans="1:1" x14ac:dyDescent="0.35">
      <c r="A481" s="35"/>
    </row>
    <row r="482" spans="1:1" x14ac:dyDescent="0.35">
      <c r="A482" s="35"/>
    </row>
    <row r="483" spans="1:1" x14ac:dyDescent="0.35">
      <c r="A483" s="35"/>
    </row>
    <row r="484" spans="1:1" x14ac:dyDescent="0.35">
      <c r="A484" s="35"/>
    </row>
    <row r="485" spans="1:1" x14ac:dyDescent="0.35">
      <c r="A485" s="35"/>
    </row>
    <row r="486" spans="1:1" x14ac:dyDescent="0.35">
      <c r="A486" s="35"/>
    </row>
    <row r="487" spans="1:1" x14ac:dyDescent="0.35">
      <c r="A487" s="35"/>
    </row>
    <row r="488" spans="1:1" x14ac:dyDescent="0.35">
      <c r="A488" s="35"/>
    </row>
    <row r="489" spans="1:1" x14ac:dyDescent="0.35">
      <c r="A489" s="35"/>
    </row>
    <row r="490" spans="1:1" x14ac:dyDescent="0.35">
      <c r="A490" s="35"/>
    </row>
    <row r="491" spans="1:1" x14ac:dyDescent="0.35">
      <c r="A491" s="35"/>
    </row>
    <row r="492" spans="1:1" x14ac:dyDescent="0.35">
      <c r="A492" s="35"/>
    </row>
    <row r="493" spans="1:1" x14ac:dyDescent="0.35">
      <c r="A493" s="35"/>
    </row>
    <row r="494" spans="1:1" x14ac:dyDescent="0.35">
      <c r="A494" s="35"/>
    </row>
    <row r="495" spans="1:1" x14ac:dyDescent="0.35">
      <c r="A495" s="35"/>
    </row>
    <row r="496" spans="1:1" x14ac:dyDescent="0.35">
      <c r="A496" s="35"/>
    </row>
    <row r="497" spans="1:1" x14ac:dyDescent="0.35">
      <c r="A497" s="35"/>
    </row>
    <row r="498" spans="1:1" x14ac:dyDescent="0.35">
      <c r="A498" s="35"/>
    </row>
    <row r="499" spans="1:1" x14ac:dyDescent="0.35">
      <c r="A499" s="35"/>
    </row>
    <row r="500" spans="1:1" x14ac:dyDescent="0.35">
      <c r="A500" s="35"/>
    </row>
    <row r="501" spans="1:1" x14ac:dyDescent="0.35">
      <c r="A501" s="35"/>
    </row>
    <row r="502" spans="1:1" x14ac:dyDescent="0.35">
      <c r="A502" s="35"/>
    </row>
    <row r="503" spans="1:1" x14ac:dyDescent="0.35">
      <c r="A503" s="35"/>
    </row>
    <row r="504" spans="1:1" x14ac:dyDescent="0.35">
      <c r="A504" s="35"/>
    </row>
    <row r="505" spans="1:1" x14ac:dyDescent="0.35">
      <c r="A505" s="35"/>
    </row>
    <row r="506" spans="1:1" x14ac:dyDescent="0.35">
      <c r="A506" s="35"/>
    </row>
    <row r="507" spans="1:1" x14ac:dyDescent="0.35">
      <c r="A507" s="35"/>
    </row>
    <row r="508" spans="1:1" x14ac:dyDescent="0.35">
      <c r="A508" s="35"/>
    </row>
    <row r="509" spans="1:1" x14ac:dyDescent="0.35">
      <c r="A509" s="35"/>
    </row>
    <row r="510" spans="1:1" x14ac:dyDescent="0.35">
      <c r="A510" s="35"/>
    </row>
    <row r="511" spans="1:1" x14ac:dyDescent="0.35">
      <c r="A511" s="35"/>
    </row>
    <row r="512" spans="1:1" x14ac:dyDescent="0.35">
      <c r="A512" s="35"/>
    </row>
    <row r="513" spans="1:1" x14ac:dyDescent="0.35">
      <c r="A513" s="35"/>
    </row>
    <row r="514" spans="1:1" x14ac:dyDescent="0.35">
      <c r="A514" s="35"/>
    </row>
    <row r="515" spans="1:1" x14ac:dyDescent="0.35">
      <c r="A515" s="35"/>
    </row>
    <row r="516" spans="1:1" x14ac:dyDescent="0.35">
      <c r="A516" s="35"/>
    </row>
    <row r="517" spans="1:1" x14ac:dyDescent="0.35">
      <c r="A517" s="35"/>
    </row>
    <row r="518" spans="1:1" x14ac:dyDescent="0.35">
      <c r="A518" s="35"/>
    </row>
    <row r="519" spans="1:1" x14ac:dyDescent="0.35">
      <c r="A519" s="35"/>
    </row>
    <row r="520" spans="1:1" x14ac:dyDescent="0.35">
      <c r="A520" s="35"/>
    </row>
    <row r="521" spans="1:1" x14ac:dyDescent="0.35">
      <c r="A521" s="35"/>
    </row>
    <row r="522" spans="1:1" x14ac:dyDescent="0.35">
      <c r="A522" s="35"/>
    </row>
    <row r="523" spans="1:1" x14ac:dyDescent="0.35">
      <c r="A523" s="35"/>
    </row>
    <row r="524" spans="1:1" x14ac:dyDescent="0.35">
      <c r="A524" s="35"/>
    </row>
    <row r="525" spans="1:1" x14ac:dyDescent="0.35">
      <c r="A525" s="35"/>
    </row>
    <row r="526" spans="1:1" x14ac:dyDescent="0.35">
      <c r="A526" s="35"/>
    </row>
    <row r="527" spans="1:1" x14ac:dyDescent="0.35">
      <c r="A527" s="35"/>
    </row>
    <row r="528" spans="1:1" x14ac:dyDescent="0.35">
      <c r="A528" s="35"/>
    </row>
    <row r="529" spans="1:1" x14ac:dyDescent="0.35">
      <c r="A529" s="35"/>
    </row>
    <row r="530" spans="1:1" x14ac:dyDescent="0.35">
      <c r="A530" s="35"/>
    </row>
    <row r="531" spans="1:1" x14ac:dyDescent="0.35">
      <c r="A531" s="35"/>
    </row>
    <row r="532" spans="1:1" x14ac:dyDescent="0.35">
      <c r="A532" s="35"/>
    </row>
    <row r="533" spans="1:1" x14ac:dyDescent="0.35">
      <c r="A533" s="35"/>
    </row>
    <row r="534" spans="1:1" x14ac:dyDescent="0.35">
      <c r="A534" s="35"/>
    </row>
    <row r="535" spans="1:1" x14ac:dyDescent="0.35">
      <c r="A535" s="35"/>
    </row>
    <row r="536" spans="1:1" x14ac:dyDescent="0.35">
      <c r="A536" s="35"/>
    </row>
    <row r="537" spans="1:1" x14ac:dyDescent="0.35">
      <c r="A537" s="35"/>
    </row>
    <row r="538" spans="1:1" x14ac:dyDescent="0.35">
      <c r="A538" s="35"/>
    </row>
    <row r="539" spans="1:1" x14ac:dyDescent="0.35">
      <c r="A539" s="35"/>
    </row>
    <row r="540" spans="1:1" x14ac:dyDescent="0.35">
      <c r="A540" s="35"/>
    </row>
    <row r="541" spans="1:1" x14ac:dyDescent="0.35">
      <c r="A541" s="35"/>
    </row>
    <row r="542" spans="1:1" x14ac:dyDescent="0.35">
      <c r="A542" s="35"/>
    </row>
    <row r="543" spans="1:1" x14ac:dyDescent="0.35">
      <c r="A543" s="35"/>
    </row>
    <row r="544" spans="1:1" x14ac:dyDescent="0.35">
      <c r="A544" s="35"/>
    </row>
    <row r="545" spans="1:1" x14ac:dyDescent="0.35">
      <c r="A545" s="35"/>
    </row>
    <row r="546" spans="1:1" x14ac:dyDescent="0.35">
      <c r="A546" s="35"/>
    </row>
    <row r="547" spans="1:1" x14ac:dyDescent="0.35">
      <c r="A547" s="35"/>
    </row>
    <row r="548" spans="1:1" x14ac:dyDescent="0.35">
      <c r="A548" s="35"/>
    </row>
    <row r="549" spans="1:1" x14ac:dyDescent="0.35">
      <c r="A549" s="35"/>
    </row>
    <row r="550" spans="1:1" x14ac:dyDescent="0.35">
      <c r="A550" s="35"/>
    </row>
    <row r="551" spans="1:1" x14ac:dyDescent="0.35">
      <c r="A551" s="35"/>
    </row>
    <row r="552" spans="1:1" x14ac:dyDescent="0.35">
      <c r="A552" s="35"/>
    </row>
    <row r="553" spans="1:1" x14ac:dyDescent="0.35">
      <c r="A553" s="35"/>
    </row>
    <row r="554" spans="1:1" x14ac:dyDescent="0.35">
      <c r="A554" s="35"/>
    </row>
    <row r="555" spans="1:1" x14ac:dyDescent="0.35">
      <c r="A555" s="35"/>
    </row>
    <row r="556" spans="1:1" x14ac:dyDescent="0.35">
      <c r="A556" s="35"/>
    </row>
    <row r="557" spans="1:1" x14ac:dyDescent="0.35">
      <c r="A557" s="35"/>
    </row>
    <row r="558" spans="1:1" x14ac:dyDescent="0.35">
      <c r="A558" s="35"/>
    </row>
    <row r="559" spans="1:1" x14ac:dyDescent="0.35">
      <c r="A559" s="35"/>
    </row>
    <row r="560" spans="1:1" x14ac:dyDescent="0.35">
      <c r="A560" s="35"/>
    </row>
    <row r="561" spans="1:1" x14ac:dyDescent="0.35">
      <c r="A561" s="35"/>
    </row>
    <row r="562" spans="1:1" x14ac:dyDescent="0.35">
      <c r="A562" s="35"/>
    </row>
    <row r="563" spans="1:1" x14ac:dyDescent="0.35">
      <c r="A563" s="35"/>
    </row>
    <row r="564" spans="1:1" x14ac:dyDescent="0.35">
      <c r="A564" s="35"/>
    </row>
    <row r="565" spans="1:1" x14ac:dyDescent="0.35">
      <c r="A565" s="35"/>
    </row>
    <row r="566" spans="1:1" x14ac:dyDescent="0.35">
      <c r="A566" s="35"/>
    </row>
    <row r="567" spans="1:1" x14ac:dyDescent="0.35">
      <c r="A567" s="35"/>
    </row>
    <row r="568" spans="1:1" x14ac:dyDescent="0.35">
      <c r="A568" s="35"/>
    </row>
    <row r="569" spans="1:1" x14ac:dyDescent="0.35">
      <c r="A569" s="35"/>
    </row>
    <row r="570" spans="1:1" x14ac:dyDescent="0.35">
      <c r="A570" s="35"/>
    </row>
    <row r="571" spans="1:1" x14ac:dyDescent="0.35">
      <c r="A571" s="35"/>
    </row>
    <row r="572" spans="1:1" x14ac:dyDescent="0.35">
      <c r="A572" s="35"/>
    </row>
    <row r="573" spans="1:1" x14ac:dyDescent="0.35">
      <c r="A573" s="35"/>
    </row>
    <row r="574" spans="1:1" x14ac:dyDescent="0.35">
      <c r="A574" s="35"/>
    </row>
    <row r="575" spans="1:1" x14ac:dyDescent="0.35">
      <c r="A575" s="35"/>
    </row>
    <row r="576" spans="1:1" x14ac:dyDescent="0.35">
      <c r="A576" s="35"/>
    </row>
    <row r="577" spans="1:1" x14ac:dyDescent="0.35">
      <c r="A577" s="35"/>
    </row>
    <row r="578" spans="1:1" x14ac:dyDescent="0.35">
      <c r="A578" s="35"/>
    </row>
    <row r="579" spans="1:1" x14ac:dyDescent="0.35">
      <c r="A579" s="35"/>
    </row>
    <row r="580" spans="1:1" x14ac:dyDescent="0.35">
      <c r="A580" s="35"/>
    </row>
    <row r="581" spans="1:1" x14ac:dyDescent="0.35">
      <c r="A581" s="35"/>
    </row>
    <row r="582" spans="1:1" x14ac:dyDescent="0.35">
      <c r="A582" s="35"/>
    </row>
    <row r="583" spans="1:1" x14ac:dyDescent="0.35">
      <c r="A583" s="35"/>
    </row>
    <row r="584" spans="1:1" x14ac:dyDescent="0.35">
      <c r="A584" s="35"/>
    </row>
    <row r="585" spans="1:1" x14ac:dyDescent="0.35">
      <c r="A585" s="35"/>
    </row>
    <row r="586" spans="1:1" x14ac:dyDescent="0.35">
      <c r="A586" s="35"/>
    </row>
    <row r="587" spans="1:1" x14ac:dyDescent="0.35">
      <c r="A587" s="35"/>
    </row>
    <row r="588" spans="1:1" x14ac:dyDescent="0.35">
      <c r="A588" s="35"/>
    </row>
    <row r="589" spans="1:1" x14ac:dyDescent="0.35">
      <c r="A589" s="35"/>
    </row>
    <row r="590" spans="1:1" x14ac:dyDescent="0.35">
      <c r="A590" s="35"/>
    </row>
    <row r="591" spans="1:1" x14ac:dyDescent="0.35">
      <c r="A591" s="35"/>
    </row>
    <row r="592" spans="1:1" x14ac:dyDescent="0.35">
      <c r="A592" s="35"/>
    </row>
    <row r="593" spans="1:1" x14ac:dyDescent="0.35">
      <c r="A593" s="35"/>
    </row>
    <row r="594" spans="1:1" x14ac:dyDescent="0.35">
      <c r="A594" s="35"/>
    </row>
    <row r="595" spans="1:1" x14ac:dyDescent="0.35">
      <c r="A595" s="35"/>
    </row>
    <row r="596" spans="1:1" x14ac:dyDescent="0.35">
      <c r="A596" s="35"/>
    </row>
    <row r="597" spans="1:1" x14ac:dyDescent="0.35">
      <c r="A597" s="35"/>
    </row>
    <row r="598" spans="1:1" x14ac:dyDescent="0.35">
      <c r="A598" s="35"/>
    </row>
    <row r="599" spans="1:1" x14ac:dyDescent="0.35">
      <c r="A599" s="35"/>
    </row>
    <row r="600" spans="1:1" x14ac:dyDescent="0.35">
      <c r="A600" s="35"/>
    </row>
    <row r="601" spans="1:1" x14ac:dyDescent="0.35">
      <c r="A601" s="35"/>
    </row>
    <row r="602" spans="1:1" x14ac:dyDescent="0.35">
      <c r="A602" s="35"/>
    </row>
    <row r="603" spans="1:1" x14ac:dyDescent="0.35">
      <c r="A603" s="35"/>
    </row>
    <row r="604" spans="1:1" x14ac:dyDescent="0.35">
      <c r="A604" s="35"/>
    </row>
    <row r="605" spans="1:1" x14ac:dyDescent="0.35">
      <c r="A605" s="35"/>
    </row>
    <row r="606" spans="1:1" x14ac:dyDescent="0.35">
      <c r="A606" s="35"/>
    </row>
    <row r="607" spans="1:1" x14ac:dyDescent="0.35">
      <c r="A607" s="35"/>
    </row>
    <row r="608" spans="1:1" x14ac:dyDescent="0.35">
      <c r="A608" s="35"/>
    </row>
    <row r="609" spans="1:1" x14ac:dyDescent="0.35">
      <c r="A609" s="35"/>
    </row>
    <row r="610" spans="1:1" x14ac:dyDescent="0.35">
      <c r="A610" s="35"/>
    </row>
    <row r="611" spans="1:1" x14ac:dyDescent="0.35">
      <c r="A611" s="35"/>
    </row>
    <row r="612" spans="1:1" x14ac:dyDescent="0.35">
      <c r="A612" s="35"/>
    </row>
    <row r="613" spans="1:1" x14ac:dyDescent="0.35">
      <c r="A613" s="35"/>
    </row>
    <row r="614" spans="1:1" x14ac:dyDescent="0.35">
      <c r="A614" s="35"/>
    </row>
    <row r="615" spans="1:1" x14ac:dyDescent="0.35">
      <c r="A615" s="35"/>
    </row>
    <row r="616" spans="1:1" x14ac:dyDescent="0.35">
      <c r="A616" s="35"/>
    </row>
    <row r="617" spans="1:1" x14ac:dyDescent="0.35">
      <c r="A617" s="35"/>
    </row>
    <row r="618" spans="1:1" x14ac:dyDescent="0.35">
      <c r="A618" s="35"/>
    </row>
    <row r="619" spans="1:1" x14ac:dyDescent="0.35">
      <c r="A619" s="35"/>
    </row>
    <row r="620" spans="1:1" x14ac:dyDescent="0.35">
      <c r="A620" s="35"/>
    </row>
    <row r="621" spans="1:1" x14ac:dyDescent="0.35">
      <c r="A621" s="35"/>
    </row>
    <row r="622" spans="1:1" x14ac:dyDescent="0.35">
      <c r="A622" s="35"/>
    </row>
    <row r="623" spans="1:1" x14ac:dyDescent="0.35">
      <c r="A623" s="35"/>
    </row>
    <row r="624" spans="1:1" x14ac:dyDescent="0.35">
      <c r="A624" s="35"/>
    </row>
    <row r="625" spans="1:1" x14ac:dyDescent="0.35">
      <c r="A625" s="35"/>
    </row>
    <row r="626" spans="1:1" x14ac:dyDescent="0.35">
      <c r="A626" s="35"/>
    </row>
    <row r="627" spans="1:1" x14ac:dyDescent="0.35">
      <c r="A627" s="35"/>
    </row>
    <row r="628" spans="1:1" x14ac:dyDescent="0.35">
      <c r="A628" s="35"/>
    </row>
    <row r="629" spans="1:1" x14ac:dyDescent="0.35">
      <c r="A629" s="35"/>
    </row>
    <row r="630" spans="1:1" x14ac:dyDescent="0.35">
      <c r="A630" s="35"/>
    </row>
    <row r="631" spans="1:1" x14ac:dyDescent="0.35">
      <c r="A631" s="35"/>
    </row>
    <row r="632" spans="1:1" x14ac:dyDescent="0.35">
      <c r="A632" s="35"/>
    </row>
    <row r="633" spans="1:1" x14ac:dyDescent="0.35">
      <c r="A633" s="35"/>
    </row>
    <row r="634" spans="1:1" x14ac:dyDescent="0.35">
      <c r="A634" s="35"/>
    </row>
    <row r="635" spans="1:1" x14ac:dyDescent="0.35">
      <c r="A635" s="35"/>
    </row>
    <row r="636" spans="1:1" x14ac:dyDescent="0.35">
      <c r="A636" s="35"/>
    </row>
    <row r="637" spans="1:1" x14ac:dyDescent="0.35">
      <c r="A637" s="35"/>
    </row>
    <row r="638" spans="1:1" x14ac:dyDescent="0.35">
      <c r="A638" s="35"/>
    </row>
    <row r="639" spans="1:1" x14ac:dyDescent="0.35">
      <c r="A639" s="35"/>
    </row>
    <row r="640" spans="1:1" x14ac:dyDescent="0.35">
      <c r="A640" s="35"/>
    </row>
    <row r="641" spans="1:1" x14ac:dyDescent="0.35">
      <c r="A641" s="35"/>
    </row>
    <row r="642" spans="1:1" x14ac:dyDescent="0.35">
      <c r="A642" s="35"/>
    </row>
    <row r="643" spans="1:1" x14ac:dyDescent="0.35">
      <c r="A643" s="35"/>
    </row>
    <row r="644" spans="1:1" x14ac:dyDescent="0.35">
      <c r="A644" s="35"/>
    </row>
    <row r="645" spans="1:1" x14ac:dyDescent="0.35">
      <c r="A645" s="35"/>
    </row>
    <row r="646" spans="1:1" x14ac:dyDescent="0.35">
      <c r="A646" s="35"/>
    </row>
    <row r="647" spans="1:1" x14ac:dyDescent="0.35">
      <c r="A647" s="35"/>
    </row>
    <row r="648" spans="1:1" x14ac:dyDescent="0.35">
      <c r="A648" s="35"/>
    </row>
    <row r="649" spans="1:1" x14ac:dyDescent="0.35">
      <c r="A649" s="35"/>
    </row>
    <row r="650" spans="1:1" x14ac:dyDescent="0.35">
      <c r="A650" s="35"/>
    </row>
    <row r="651" spans="1:1" x14ac:dyDescent="0.35">
      <c r="A651" s="35"/>
    </row>
    <row r="652" spans="1:1" x14ac:dyDescent="0.35">
      <c r="A652" s="35"/>
    </row>
    <row r="653" spans="1:1" x14ac:dyDescent="0.35">
      <c r="A653" s="35"/>
    </row>
    <row r="654" spans="1:1" x14ac:dyDescent="0.35">
      <c r="A654" s="35"/>
    </row>
    <row r="655" spans="1:1" x14ac:dyDescent="0.35">
      <c r="A655" s="35"/>
    </row>
    <row r="656" spans="1:1" x14ac:dyDescent="0.35">
      <c r="A656" s="35"/>
    </row>
    <row r="657" spans="1:1" x14ac:dyDescent="0.35">
      <c r="A657" s="35"/>
    </row>
    <row r="658" spans="1:1" x14ac:dyDescent="0.35">
      <c r="A658" s="35"/>
    </row>
    <row r="659" spans="1:1" x14ac:dyDescent="0.35">
      <c r="A659" s="35"/>
    </row>
    <row r="660" spans="1:1" x14ac:dyDescent="0.35">
      <c r="A660" s="35"/>
    </row>
    <row r="661" spans="1:1" x14ac:dyDescent="0.35">
      <c r="A661" s="35"/>
    </row>
    <row r="662" spans="1:1" x14ac:dyDescent="0.35">
      <c r="A662" s="35"/>
    </row>
    <row r="663" spans="1:1" x14ac:dyDescent="0.35">
      <c r="A663" s="35"/>
    </row>
    <row r="664" spans="1:1" x14ac:dyDescent="0.35">
      <c r="A664" s="35"/>
    </row>
    <row r="665" spans="1:1" x14ac:dyDescent="0.35">
      <c r="A665" s="35"/>
    </row>
    <row r="666" spans="1:1" x14ac:dyDescent="0.35">
      <c r="A666" s="35"/>
    </row>
    <row r="667" spans="1:1" x14ac:dyDescent="0.35">
      <c r="A667" s="35"/>
    </row>
    <row r="668" spans="1:1" x14ac:dyDescent="0.35">
      <c r="A668" s="35"/>
    </row>
    <row r="669" spans="1:1" x14ac:dyDescent="0.35">
      <c r="A669" s="35"/>
    </row>
    <row r="670" spans="1:1" x14ac:dyDescent="0.35">
      <c r="A670" s="35"/>
    </row>
    <row r="671" spans="1:1" x14ac:dyDescent="0.35">
      <c r="A671" s="35"/>
    </row>
    <row r="672" spans="1:1" x14ac:dyDescent="0.35">
      <c r="A672" s="35"/>
    </row>
    <row r="673" spans="1:1" x14ac:dyDescent="0.35">
      <c r="A673" s="35"/>
    </row>
    <row r="674" spans="1:1" x14ac:dyDescent="0.35">
      <c r="A674" s="35"/>
    </row>
    <row r="675" spans="1:1" x14ac:dyDescent="0.35">
      <c r="A675" s="35"/>
    </row>
    <row r="676" spans="1:1" x14ac:dyDescent="0.35">
      <c r="A676" s="35"/>
    </row>
    <row r="677" spans="1:1" x14ac:dyDescent="0.35">
      <c r="A677" s="35"/>
    </row>
    <row r="678" spans="1:1" x14ac:dyDescent="0.35">
      <c r="A678" s="35"/>
    </row>
    <row r="679" spans="1:1" x14ac:dyDescent="0.35">
      <c r="A679" s="35"/>
    </row>
    <row r="680" spans="1:1" x14ac:dyDescent="0.35">
      <c r="A680" s="35"/>
    </row>
    <row r="681" spans="1:1" x14ac:dyDescent="0.35">
      <c r="A681" s="35"/>
    </row>
    <row r="682" spans="1:1" x14ac:dyDescent="0.35">
      <c r="A682" s="35"/>
    </row>
    <row r="683" spans="1:1" x14ac:dyDescent="0.35">
      <c r="A683" s="35"/>
    </row>
    <row r="684" spans="1:1" x14ac:dyDescent="0.35">
      <c r="A684" s="35"/>
    </row>
    <row r="685" spans="1:1" x14ac:dyDescent="0.35">
      <c r="A685" s="35"/>
    </row>
    <row r="686" spans="1:1" x14ac:dyDescent="0.35">
      <c r="A686" s="35"/>
    </row>
    <row r="687" spans="1:1" x14ac:dyDescent="0.35">
      <c r="A687" s="35"/>
    </row>
    <row r="688" spans="1:1" x14ac:dyDescent="0.35">
      <c r="A688" s="35"/>
    </row>
    <row r="689" spans="1:1" x14ac:dyDescent="0.35">
      <c r="A689" s="35"/>
    </row>
    <row r="690" spans="1:1" x14ac:dyDescent="0.35">
      <c r="A690" s="35"/>
    </row>
    <row r="691" spans="1:1" x14ac:dyDescent="0.35">
      <c r="A691" s="35"/>
    </row>
    <row r="692" spans="1:1" x14ac:dyDescent="0.35">
      <c r="A692" s="35"/>
    </row>
    <row r="693" spans="1:1" x14ac:dyDescent="0.35">
      <c r="A693" s="35"/>
    </row>
    <row r="694" spans="1:1" x14ac:dyDescent="0.35">
      <c r="A694" s="35"/>
    </row>
    <row r="695" spans="1:1" x14ac:dyDescent="0.35">
      <c r="A695" s="35"/>
    </row>
    <row r="696" spans="1:1" x14ac:dyDescent="0.35">
      <c r="A696" s="35"/>
    </row>
    <row r="697" spans="1:1" x14ac:dyDescent="0.35">
      <c r="A697" s="35"/>
    </row>
    <row r="698" spans="1:1" x14ac:dyDescent="0.35">
      <c r="A698" s="35"/>
    </row>
    <row r="699" spans="1:1" x14ac:dyDescent="0.35">
      <c r="A699" s="35"/>
    </row>
    <row r="700" spans="1:1" x14ac:dyDescent="0.35">
      <c r="A700" s="35"/>
    </row>
    <row r="701" spans="1:1" x14ac:dyDescent="0.35">
      <c r="A701" s="35"/>
    </row>
    <row r="702" spans="1:1" x14ac:dyDescent="0.35">
      <c r="A702" s="35"/>
    </row>
    <row r="703" spans="1:1" x14ac:dyDescent="0.35">
      <c r="A703" s="35"/>
    </row>
    <row r="704" spans="1:1" x14ac:dyDescent="0.35">
      <c r="A704" s="35"/>
    </row>
    <row r="705" spans="1:1" x14ac:dyDescent="0.35">
      <c r="A705" s="35"/>
    </row>
    <row r="706" spans="1:1" x14ac:dyDescent="0.35">
      <c r="A706" s="35"/>
    </row>
    <row r="707" spans="1:1" x14ac:dyDescent="0.35">
      <c r="A707" s="35"/>
    </row>
    <row r="708" spans="1:1" x14ac:dyDescent="0.35">
      <c r="A708" s="35"/>
    </row>
    <row r="709" spans="1:1" x14ac:dyDescent="0.35">
      <c r="A709" s="35"/>
    </row>
    <row r="710" spans="1:1" x14ac:dyDescent="0.35">
      <c r="A710" s="35"/>
    </row>
    <row r="711" spans="1:1" x14ac:dyDescent="0.35">
      <c r="A711" s="35"/>
    </row>
    <row r="712" spans="1:1" x14ac:dyDescent="0.35">
      <c r="A712" s="35"/>
    </row>
    <row r="713" spans="1:1" x14ac:dyDescent="0.35">
      <c r="A713" s="35"/>
    </row>
    <row r="714" spans="1:1" x14ac:dyDescent="0.35">
      <c r="A714" s="35"/>
    </row>
    <row r="715" spans="1:1" x14ac:dyDescent="0.35">
      <c r="A715" s="35"/>
    </row>
    <row r="716" spans="1:1" x14ac:dyDescent="0.35">
      <c r="A716" s="35"/>
    </row>
    <row r="717" spans="1:1" x14ac:dyDescent="0.35">
      <c r="A717" s="35"/>
    </row>
    <row r="718" spans="1:1" x14ac:dyDescent="0.35">
      <c r="A718" s="35"/>
    </row>
    <row r="719" spans="1:1" x14ac:dyDescent="0.35">
      <c r="A719" s="35"/>
    </row>
    <row r="720" spans="1:1" x14ac:dyDescent="0.35">
      <c r="A720" s="35"/>
    </row>
    <row r="721" spans="1:1" x14ac:dyDescent="0.35">
      <c r="A721" s="35"/>
    </row>
    <row r="722" spans="1:1" x14ac:dyDescent="0.35">
      <c r="A722" s="35"/>
    </row>
    <row r="723" spans="1:1" x14ac:dyDescent="0.35">
      <c r="A723" s="35"/>
    </row>
    <row r="724" spans="1:1" x14ac:dyDescent="0.35">
      <c r="A724" s="35"/>
    </row>
    <row r="725" spans="1:1" x14ac:dyDescent="0.35">
      <c r="A725" s="35"/>
    </row>
    <row r="726" spans="1:1" x14ac:dyDescent="0.35">
      <c r="A726" s="35"/>
    </row>
    <row r="727" spans="1:1" x14ac:dyDescent="0.35">
      <c r="A727" s="35"/>
    </row>
    <row r="728" spans="1:1" x14ac:dyDescent="0.35">
      <c r="A728" s="35"/>
    </row>
    <row r="729" spans="1:1" x14ac:dyDescent="0.35">
      <c r="A729" s="35"/>
    </row>
    <row r="730" spans="1:1" x14ac:dyDescent="0.35">
      <c r="A730" s="35"/>
    </row>
    <row r="731" spans="1:1" x14ac:dyDescent="0.35">
      <c r="A731" s="35"/>
    </row>
    <row r="732" spans="1:1" x14ac:dyDescent="0.35">
      <c r="A732" s="35"/>
    </row>
    <row r="733" spans="1:1" x14ac:dyDescent="0.35">
      <c r="A733" s="35"/>
    </row>
    <row r="734" spans="1:1" x14ac:dyDescent="0.35">
      <c r="A734" s="35"/>
    </row>
    <row r="735" spans="1:1" x14ac:dyDescent="0.35">
      <c r="A735" s="35"/>
    </row>
    <row r="736" spans="1:1" x14ac:dyDescent="0.35">
      <c r="A736" s="35"/>
    </row>
    <row r="737" spans="1:1" x14ac:dyDescent="0.35">
      <c r="A737" s="35"/>
    </row>
    <row r="738" spans="1:1" x14ac:dyDescent="0.35">
      <c r="A738" s="35"/>
    </row>
    <row r="739" spans="1:1" x14ac:dyDescent="0.35">
      <c r="A739" s="35"/>
    </row>
    <row r="740" spans="1:1" x14ac:dyDescent="0.35">
      <c r="A740" s="35"/>
    </row>
    <row r="741" spans="1:1" x14ac:dyDescent="0.35">
      <c r="A741" s="35"/>
    </row>
    <row r="742" spans="1:1" x14ac:dyDescent="0.35">
      <c r="A742" s="35"/>
    </row>
    <row r="743" spans="1:1" x14ac:dyDescent="0.35">
      <c r="A743" s="35"/>
    </row>
    <row r="744" spans="1:1" x14ac:dyDescent="0.35">
      <c r="A744" s="35"/>
    </row>
    <row r="745" spans="1:1" x14ac:dyDescent="0.35">
      <c r="A745" s="35"/>
    </row>
    <row r="746" spans="1:1" x14ac:dyDescent="0.35">
      <c r="A746" s="35"/>
    </row>
    <row r="747" spans="1:1" x14ac:dyDescent="0.35">
      <c r="A747" s="35"/>
    </row>
    <row r="748" spans="1:1" x14ac:dyDescent="0.35">
      <c r="A748" s="35"/>
    </row>
    <row r="749" spans="1:1" x14ac:dyDescent="0.35">
      <c r="A749" s="35"/>
    </row>
    <row r="750" spans="1:1" x14ac:dyDescent="0.35">
      <c r="A750" s="35"/>
    </row>
    <row r="751" spans="1:1" x14ac:dyDescent="0.35">
      <c r="A751" s="35"/>
    </row>
    <row r="752" spans="1:1" x14ac:dyDescent="0.35">
      <c r="A752" s="35"/>
    </row>
    <row r="753" spans="1:1" x14ac:dyDescent="0.35">
      <c r="A753" s="35"/>
    </row>
    <row r="754" spans="1:1" x14ac:dyDescent="0.35">
      <c r="A754" s="35"/>
    </row>
    <row r="755" spans="1:1" x14ac:dyDescent="0.35">
      <c r="A755" s="35"/>
    </row>
    <row r="756" spans="1:1" x14ac:dyDescent="0.35">
      <c r="A756" s="35"/>
    </row>
    <row r="757" spans="1:1" x14ac:dyDescent="0.35">
      <c r="A757" s="35"/>
    </row>
    <row r="758" spans="1:1" x14ac:dyDescent="0.35">
      <c r="A758" s="35"/>
    </row>
    <row r="759" spans="1:1" x14ac:dyDescent="0.35">
      <c r="A759" s="35"/>
    </row>
    <row r="760" spans="1:1" x14ac:dyDescent="0.35">
      <c r="A760" s="35"/>
    </row>
    <row r="761" spans="1:1" x14ac:dyDescent="0.35">
      <c r="A761" s="35"/>
    </row>
    <row r="762" spans="1:1" x14ac:dyDescent="0.35">
      <c r="A762" s="35"/>
    </row>
    <row r="763" spans="1:1" x14ac:dyDescent="0.35">
      <c r="A763" s="35"/>
    </row>
    <row r="764" spans="1:1" x14ac:dyDescent="0.35">
      <c r="A764" s="35"/>
    </row>
    <row r="765" spans="1:1" x14ac:dyDescent="0.35">
      <c r="A765" s="35"/>
    </row>
    <row r="766" spans="1:1" x14ac:dyDescent="0.35">
      <c r="A766" s="35"/>
    </row>
    <row r="767" spans="1:1" x14ac:dyDescent="0.35">
      <c r="A767" s="35"/>
    </row>
    <row r="768" spans="1:1" x14ac:dyDescent="0.35">
      <c r="A768" s="35"/>
    </row>
    <row r="769" spans="1:1" x14ac:dyDescent="0.35">
      <c r="A769" s="35"/>
    </row>
    <row r="770" spans="1:1" x14ac:dyDescent="0.35">
      <c r="A770" s="35"/>
    </row>
    <row r="771" spans="1:1" x14ac:dyDescent="0.35">
      <c r="A771" s="35"/>
    </row>
    <row r="772" spans="1:1" x14ac:dyDescent="0.35">
      <c r="A772" s="35"/>
    </row>
    <row r="773" spans="1:1" x14ac:dyDescent="0.35">
      <c r="A773" s="35"/>
    </row>
    <row r="774" spans="1:1" x14ac:dyDescent="0.35">
      <c r="A774" s="35"/>
    </row>
    <row r="775" spans="1:1" x14ac:dyDescent="0.35">
      <c r="A775" s="35"/>
    </row>
    <row r="776" spans="1:1" x14ac:dyDescent="0.35">
      <c r="A776" s="35"/>
    </row>
    <row r="777" spans="1:1" x14ac:dyDescent="0.35">
      <c r="A777" s="35"/>
    </row>
    <row r="778" spans="1:1" x14ac:dyDescent="0.35">
      <c r="A778" s="35"/>
    </row>
    <row r="779" spans="1:1" x14ac:dyDescent="0.35">
      <c r="A779" s="35"/>
    </row>
    <row r="780" spans="1:1" x14ac:dyDescent="0.35">
      <c r="A780" s="35"/>
    </row>
    <row r="781" spans="1:1" x14ac:dyDescent="0.35">
      <c r="A781" s="35"/>
    </row>
    <row r="782" spans="1:1" x14ac:dyDescent="0.35">
      <c r="A782" s="35"/>
    </row>
    <row r="783" spans="1:1" x14ac:dyDescent="0.35">
      <c r="A783" s="35"/>
    </row>
    <row r="784" spans="1:1" x14ac:dyDescent="0.35">
      <c r="A784" s="35"/>
    </row>
    <row r="785" spans="1:1" x14ac:dyDescent="0.35">
      <c r="A785" s="35"/>
    </row>
    <row r="786" spans="1:1" x14ac:dyDescent="0.35">
      <c r="A786" s="35"/>
    </row>
    <row r="787" spans="1:1" x14ac:dyDescent="0.35">
      <c r="A787" s="35"/>
    </row>
    <row r="788" spans="1:1" x14ac:dyDescent="0.35">
      <c r="A788" s="35"/>
    </row>
    <row r="789" spans="1:1" x14ac:dyDescent="0.35">
      <c r="A789" s="35"/>
    </row>
    <row r="790" spans="1:1" x14ac:dyDescent="0.35">
      <c r="A790" s="35"/>
    </row>
    <row r="791" spans="1:1" x14ac:dyDescent="0.35">
      <c r="A791" s="35"/>
    </row>
    <row r="792" spans="1:1" x14ac:dyDescent="0.35">
      <c r="A792" s="35"/>
    </row>
    <row r="793" spans="1:1" x14ac:dyDescent="0.35">
      <c r="A793" s="35"/>
    </row>
    <row r="794" spans="1:1" x14ac:dyDescent="0.35">
      <c r="A794" s="35"/>
    </row>
    <row r="795" spans="1:1" x14ac:dyDescent="0.35">
      <c r="A795" s="35"/>
    </row>
    <row r="796" spans="1:1" x14ac:dyDescent="0.35">
      <c r="A796" s="35"/>
    </row>
    <row r="797" spans="1:1" x14ac:dyDescent="0.35">
      <c r="A797" s="35"/>
    </row>
    <row r="798" spans="1:1" x14ac:dyDescent="0.35">
      <c r="A798" s="35"/>
    </row>
    <row r="799" spans="1:1" x14ac:dyDescent="0.35">
      <c r="A799" s="35"/>
    </row>
    <row r="800" spans="1:1" x14ac:dyDescent="0.35">
      <c r="A800" s="35"/>
    </row>
    <row r="801" spans="1:1" x14ac:dyDescent="0.35">
      <c r="A801" s="35"/>
    </row>
    <row r="802" spans="1:1" x14ac:dyDescent="0.35">
      <c r="A802" s="35"/>
    </row>
    <row r="803" spans="1:1" x14ac:dyDescent="0.35">
      <c r="A803" s="35"/>
    </row>
    <row r="804" spans="1:1" x14ac:dyDescent="0.35">
      <c r="A804" s="35"/>
    </row>
    <row r="805" spans="1:1" x14ac:dyDescent="0.35">
      <c r="A805" s="35"/>
    </row>
    <row r="806" spans="1:1" x14ac:dyDescent="0.35">
      <c r="A806" s="35"/>
    </row>
    <row r="807" spans="1:1" x14ac:dyDescent="0.35">
      <c r="A807" s="35"/>
    </row>
    <row r="808" spans="1:1" x14ac:dyDescent="0.35">
      <c r="A808" s="35"/>
    </row>
    <row r="809" spans="1:1" x14ac:dyDescent="0.35">
      <c r="A809" s="35"/>
    </row>
    <row r="810" spans="1:1" x14ac:dyDescent="0.35">
      <c r="A810" s="35"/>
    </row>
    <row r="811" spans="1:1" x14ac:dyDescent="0.35">
      <c r="A811" s="35"/>
    </row>
    <row r="812" spans="1:1" x14ac:dyDescent="0.35">
      <c r="A812" s="35"/>
    </row>
    <row r="813" spans="1:1" x14ac:dyDescent="0.35">
      <c r="A813" s="35"/>
    </row>
    <row r="814" spans="1:1" x14ac:dyDescent="0.35">
      <c r="A814" s="35"/>
    </row>
    <row r="815" spans="1:1" x14ac:dyDescent="0.35">
      <c r="A815" s="35"/>
    </row>
    <row r="816" spans="1:1" x14ac:dyDescent="0.35">
      <c r="A816" s="35"/>
    </row>
    <row r="817" spans="1:1" x14ac:dyDescent="0.35">
      <c r="A817" s="35"/>
    </row>
    <row r="818" spans="1:1" x14ac:dyDescent="0.35">
      <c r="A818" s="35"/>
    </row>
    <row r="819" spans="1:1" x14ac:dyDescent="0.35">
      <c r="A819" s="35"/>
    </row>
    <row r="820" spans="1:1" x14ac:dyDescent="0.35">
      <c r="A820" s="35"/>
    </row>
    <row r="821" spans="1:1" x14ac:dyDescent="0.35">
      <c r="A821" s="35"/>
    </row>
    <row r="822" spans="1:1" x14ac:dyDescent="0.35">
      <c r="A822" s="35"/>
    </row>
    <row r="823" spans="1:1" x14ac:dyDescent="0.35">
      <c r="A823" s="35"/>
    </row>
    <row r="824" spans="1:1" x14ac:dyDescent="0.35">
      <c r="A824" s="35"/>
    </row>
    <row r="825" spans="1:1" x14ac:dyDescent="0.35">
      <c r="A825" s="35"/>
    </row>
    <row r="826" spans="1:1" x14ac:dyDescent="0.35">
      <c r="A826" s="35"/>
    </row>
    <row r="827" spans="1:1" x14ac:dyDescent="0.35">
      <c r="A827" s="35"/>
    </row>
    <row r="828" spans="1:1" x14ac:dyDescent="0.35">
      <c r="A828" s="35"/>
    </row>
    <row r="829" spans="1:1" x14ac:dyDescent="0.35">
      <c r="A829" s="35"/>
    </row>
    <row r="830" spans="1:1" x14ac:dyDescent="0.35">
      <c r="A830" s="35"/>
    </row>
    <row r="831" spans="1:1" x14ac:dyDescent="0.35">
      <c r="A831" s="35"/>
    </row>
    <row r="832" spans="1:1" x14ac:dyDescent="0.35">
      <c r="A832" s="35"/>
    </row>
    <row r="833" spans="1:1" x14ac:dyDescent="0.35">
      <c r="A833" s="35"/>
    </row>
    <row r="834" spans="1:1" x14ac:dyDescent="0.35">
      <c r="A834" s="35"/>
    </row>
    <row r="835" spans="1:1" x14ac:dyDescent="0.35">
      <c r="A835" s="35"/>
    </row>
    <row r="836" spans="1:1" x14ac:dyDescent="0.35">
      <c r="A836" s="35"/>
    </row>
    <row r="837" spans="1:1" x14ac:dyDescent="0.35">
      <c r="A837" s="35"/>
    </row>
    <row r="838" spans="1:1" x14ac:dyDescent="0.35">
      <c r="A838" s="35"/>
    </row>
    <row r="839" spans="1:1" x14ac:dyDescent="0.35">
      <c r="A839" s="35"/>
    </row>
    <row r="840" spans="1:1" x14ac:dyDescent="0.35">
      <c r="A840" s="35"/>
    </row>
    <row r="841" spans="1:1" x14ac:dyDescent="0.35">
      <c r="A841" s="35"/>
    </row>
    <row r="842" spans="1:1" x14ac:dyDescent="0.35">
      <c r="A842" s="35"/>
    </row>
    <row r="843" spans="1:1" x14ac:dyDescent="0.35">
      <c r="A843" s="35"/>
    </row>
    <row r="844" spans="1:1" x14ac:dyDescent="0.35">
      <c r="A844" s="35"/>
    </row>
    <row r="845" spans="1:1" x14ac:dyDescent="0.35">
      <c r="A845" s="35"/>
    </row>
    <row r="846" spans="1:1" x14ac:dyDescent="0.35">
      <c r="A846" s="35"/>
    </row>
    <row r="847" spans="1:1" x14ac:dyDescent="0.35">
      <c r="A847" s="35"/>
    </row>
    <row r="848" spans="1:1" x14ac:dyDescent="0.35">
      <c r="A848" s="35"/>
    </row>
    <row r="849" spans="1:1" x14ac:dyDescent="0.35">
      <c r="A849" s="35"/>
    </row>
    <row r="850" spans="1:1" x14ac:dyDescent="0.35">
      <c r="A850" s="35"/>
    </row>
    <row r="851" spans="1:1" x14ac:dyDescent="0.35">
      <c r="A851" s="35"/>
    </row>
    <row r="852" spans="1:1" x14ac:dyDescent="0.35">
      <c r="A852" s="35"/>
    </row>
    <row r="853" spans="1:1" x14ac:dyDescent="0.35">
      <c r="A853" s="35"/>
    </row>
    <row r="854" spans="1:1" x14ac:dyDescent="0.35">
      <c r="A854" s="35"/>
    </row>
    <row r="855" spans="1:1" x14ac:dyDescent="0.35">
      <c r="A855" s="35"/>
    </row>
    <row r="856" spans="1:1" x14ac:dyDescent="0.35">
      <c r="A856" s="35"/>
    </row>
    <row r="857" spans="1:1" x14ac:dyDescent="0.35">
      <c r="A857" s="35"/>
    </row>
    <row r="858" spans="1:1" x14ac:dyDescent="0.35">
      <c r="A858" s="35"/>
    </row>
    <row r="859" spans="1:1" x14ac:dyDescent="0.35">
      <c r="A859" s="35"/>
    </row>
    <row r="860" spans="1:1" x14ac:dyDescent="0.35">
      <c r="A860" s="35"/>
    </row>
    <row r="861" spans="1:1" x14ac:dyDescent="0.35">
      <c r="A861" s="35"/>
    </row>
    <row r="862" spans="1:1" x14ac:dyDescent="0.35">
      <c r="A862" s="35"/>
    </row>
    <row r="863" spans="1:1" x14ac:dyDescent="0.35">
      <c r="A863" s="35"/>
    </row>
    <row r="864" spans="1:1" x14ac:dyDescent="0.35">
      <c r="A864" s="35"/>
    </row>
    <row r="865" spans="1:1" x14ac:dyDescent="0.35">
      <c r="A865" s="35"/>
    </row>
    <row r="866" spans="1:1" x14ac:dyDescent="0.35">
      <c r="A866" s="35"/>
    </row>
    <row r="867" spans="1:1" x14ac:dyDescent="0.35">
      <c r="A867" s="35"/>
    </row>
    <row r="868" spans="1:1" x14ac:dyDescent="0.35">
      <c r="A868" s="35"/>
    </row>
    <row r="869" spans="1:1" x14ac:dyDescent="0.35">
      <c r="A869" s="35"/>
    </row>
    <row r="870" spans="1:1" x14ac:dyDescent="0.35">
      <c r="A870" s="35"/>
    </row>
    <row r="871" spans="1:1" x14ac:dyDescent="0.35">
      <c r="A871" s="35"/>
    </row>
    <row r="872" spans="1:1" x14ac:dyDescent="0.35">
      <c r="A872" s="35"/>
    </row>
    <row r="873" spans="1:1" x14ac:dyDescent="0.35">
      <c r="A873" s="35"/>
    </row>
    <row r="874" spans="1:1" x14ac:dyDescent="0.35">
      <c r="A874" s="35"/>
    </row>
    <row r="875" spans="1:1" x14ac:dyDescent="0.35">
      <c r="A875" s="35"/>
    </row>
    <row r="876" spans="1:1" x14ac:dyDescent="0.35">
      <c r="A876" s="35"/>
    </row>
    <row r="877" spans="1:1" x14ac:dyDescent="0.35">
      <c r="A877" s="35"/>
    </row>
    <row r="878" spans="1:1" x14ac:dyDescent="0.35">
      <c r="A878" s="35"/>
    </row>
    <row r="879" spans="1:1" x14ac:dyDescent="0.35">
      <c r="A879" s="35"/>
    </row>
    <row r="880" spans="1:1" x14ac:dyDescent="0.35">
      <c r="A880" s="35"/>
    </row>
    <row r="881" spans="1:1" x14ac:dyDescent="0.35">
      <c r="A881" s="35"/>
    </row>
    <row r="882" spans="1:1" x14ac:dyDescent="0.35">
      <c r="A882" s="35"/>
    </row>
    <row r="883" spans="1:1" x14ac:dyDescent="0.35">
      <c r="A883" s="35"/>
    </row>
    <row r="884" spans="1:1" x14ac:dyDescent="0.35">
      <c r="A884" s="35"/>
    </row>
    <row r="885" spans="1:1" x14ac:dyDescent="0.35">
      <c r="A885" s="35"/>
    </row>
    <row r="886" spans="1:1" x14ac:dyDescent="0.35">
      <c r="A886" s="35"/>
    </row>
    <row r="887" spans="1:1" x14ac:dyDescent="0.35">
      <c r="A887" s="35"/>
    </row>
    <row r="888" spans="1:1" x14ac:dyDescent="0.35">
      <c r="A888" s="35"/>
    </row>
    <row r="889" spans="1:1" x14ac:dyDescent="0.35">
      <c r="A889" s="35"/>
    </row>
    <row r="890" spans="1:1" x14ac:dyDescent="0.35">
      <c r="A890" s="35"/>
    </row>
    <row r="891" spans="1:1" x14ac:dyDescent="0.35">
      <c r="A891" s="35"/>
    </row>
    <row r="892" spans="1:1" x14ac:dyDescent="0.35">
      <c r="A892" s="35"/>
    </row>
    <row r="893" spans="1:1" x14ac:dyDescent="0.35">
      <c r="A893" s="35"/>
    </row>
    <row r="894" spans="1:1" x14ac:dyDescent="0.35">
      <c r="A894" s="35"/>
    </row>
    <row r="895" spans="1:1" x14ac:dyDescent="0.35">
      <c r="A895" s="35"/>
    </row>
    <row r="896" spans="1:1" x14ac:dyDescent="0.35">
      <c r="A896" s="35"/>
    </row>
    <row r="897" spans="1:1" x14ac:dyDescent="0.35">
      <c r="A897" s="35"/>
    </row>
    <row r="898" spans="1:1" x14ac:dyDescent="0.35">
      <c r="A898" s="35"/>
    </row>
    <row r="899" spans="1:1" x14ac:dyDescent="0.35">
      <c r="A899" s="35"/>
    </row>
    <row r="900" spans="1:1" x14ac:dyDescent="0.35">
      <c r="A900" s="35"/>
    </row>
    <row r="901" spans="1:1" x14ac:dyDescent="0.35">
      <c r="A901" s="35"/>
    </row>
    <row r="902" spans="1:1" x14ac:dyDescent="0.35">
      <c r="A902" s="35"/>
    </row>
    <row r="903" spans="1:1" x14ac:dyDescent="0.35">
      <c r="A903" s="35"/>
    </row>
    <row r="904" spans="1:1" x14ac:dyDescent="0.35">
      <c r="A904" s="35"/>
    </row>
    <row r="905" spans="1:1" x14ac:dyDescent="0.35">
      <c r="A905" s="35"/>
    </row>
    <row r="906" spans="1:1" x14ac:dyDescent="0.35">
      <c r="A906" s="35"/>
    </row>
    <row r="907" spans="1:1" x14ac:dyDescent="0.35">
      <c r="A907" s="35"/>
    </row>
    <row r="908" spans="1:1" x14ac:dyDescent="0.35">
      <c r="A908" s="35"/>
    </row>
    <row r="909" spans="1:1" x14ac:dyDescent="0.35">
      <c r="A909" s="35"/>
    </row>
    <row r="910" spans="1:1" x14ac:dyDescent="0.35">
      <c r="A910" s="35"/>
    </row>
    <row r="911" spans="1:1" x14ac:dyDescent="0.35">
      <c r="A911" s="35"/>
    </row>
    <row r="912" spans="1:1" x14ac:dyDescent="0.35">
      <c r="A912" s="35"/>
    </row>
    <row r="913" spans="1:1" x14ac:dyDescent="0.35">
      <c r="A913" s="35"/>
    </row>
    <row r="914" spans="1:1" x14ac:dyDescent="0.35">
      <c r="A914" s="35"/>
    </row>
    <row r="915" spans="1:1" x14ac:dyDescent="0.35">
      <c r="A915" s="35"/>
    </row>
    <row r="916" spans="1:1" x14ac:dyDescent="0.35">
      <c r="A916" s="35"/>
    </row>
    <row r="917" spans="1:1" x14ac:dyDescent="0.35">
      <c r="A917" s="35"/>
    </row>
    <row r="918" spans="1:1" x14ac:dyDescent="0.35">
      <c r="A918" s="35"/>
    </row>
    <row r="919" spans="1:1" x14ac:dyDescent="0.35">
      <c r="A919" s="35"/>
    </row>
    <row r="920" spans="1:1" x14ac:dyDescent="0.35">
      <c r="A920" s="35"/>
    </row>
    <row r="921" spans="1:1" x14ac:dyDescent="0.35">
      <c r="A921" s="35"/>
    </row>
    <row r="922" spans="1:1" x14ac:dyDescent="0.35">
      <c r="A922" s="35"/>
    </row>
    <row r="923" spans="1:1" x14ac:dyDescent="0.35">
      <c r="A923" s="35"/>
    </row>
    <row r="924" spans="1:1" x14ac:dyDescent="0.35">
      <c r="A924" s="35"/>
    </row>
    <row r="925" spans="1:1" x14ac:dyDescent="0.35">
      <c r="A925" s="35"/>
    </row>
    <row r="926" spans="1:1" x14ac:dyDescent="0.35">
      <c r="A926" s="35"/>
    </row>
    <row r="927" spans="1:1" x14ac:dyDescent="0.35">
      <c r="A927" s="35"/>
    </row>
    <row r="928" spans="1:1" x14ac:dyDescent="0.35">
      <c r="A928" s="35"/>
    </row>
    <row r="929" spans="1:1" x14ac:dyDescent="0.35">
      <c r="A929" s="35"/>
    </row>
    <row r="930" spans="1:1" x14ac:dyDescent="0.35">
      <c r="A930" s="35"/>
    </row>
    <row r="931" spans="1:1" x14ac:dyDescent="0.35">
      <c r="A931" s="35"/>
    </row>
    <row r="932" spans="1:1" x14ac:dyDescent="0.35">
      <c r="A932" s="35"/>
    </row>
    <row r="933" spans="1:1" x14ac:dyDescent="0.35">
      <c r="A933" s="35"/>
    </row>
    <row r="934" spans="1:1" x14ac:dyDescent="0.35">
      <c r="A934" s="35"/>
    </row>
    <row r="935" spans="1:1" x14ac:dyDescent="0.35">
      <c r="A935" s="35"/>
    </row>
    <row r="936" spans="1:1" x14ac:dyDescent="0.35">
      <c r="A936" s="35"/>
    </row>
    <row r="937" spans="1:1" x14ac:dyDescent="0.35">
      <c r="A937" s="35"/>
    </row>
    <row r="938" spans="1:1" x14ac:dyDescent="0.35">
      <c r="A938" s="35"/>
    </row>
    <row r="939" spans="1:1" x14ac:dyDescent="0.35">
      <c r="A939" s="35"/>
    </row>
    <row r="940" spans="1:1" x14ac:dyDescent="0.35">
      <c r="A940" s="35"/>
    </row>
    <row r="941" spans="1:1" x14ac:dyDescent="0.35">
      <c r="A941" s="35"/>
    </row>
    <row r="942" spans="1:1" x14ac:dyDescent="0.35">
      <c r="A942" s="35"/>
    </row>
    <row r="943" spans="1:1" x14ac:dyDescent="0.35">
      <c r="A943" s="35"/>
    </row>
    <row r="944" spans="1:1" x14ac:dyDescent="0.35">
      <c r="A944" s="35"/>
    </row>
    <row r="945" spans="1:1" x14ac:dyDescent="0.35">
      <c r="A945" s="35"/>
    </row>
    <row r="946" spans="1:1" x14ac:dyDescent="0.35">
      <c r="A946" s="35"/>
    </row>
    <row r="947" spans="1:1" x14ac:dyDescent="0.35">
      <c r="A947" s="35"/>
    </row>
    <row r="948" spans="1:1" x14ac:dyDescent="0.35">
      <c r="A948" s="35"/>
    </row>
    <row r="949" spans="1:1" x14ac:dyDescent="0.35">
      <c r="A949" s="35"/>
    </row>
    <row r="950" spans="1:1" x14ac:dyDescent="0.35">
      <c r="A950" s="35"/>
    </row>
    <row r="951" spans="1:1" x14ac:dyDescent="0.35">
      <c r="A951" s="35"/>
    </row>
    <row r="952" spans="1:1" x14ac:dyDescent="0.35">
      <c r="A952" s="35"/>
    </row>
    <row r="953" spans="1:1" x14ac:dyDescent="0.35">
      <c r="A953" s="35"/>
    </row>
    <row r="954" spans="1:1" x14ac:dyDescent="0.35">
      <c r="A954" s="35"/>
    </row>
    <row r="955" spans="1:1" x14ac:dyDescent="0.35">
      <c r="A955" s="35"/>
    </row>
    <row r="956" spans="1:1" x14ac:dyDescent="0.35">
      <c r="A956" s="35"/>
    </row>
    <row r="957" spans="1:1" x14ac:dyDescent="0.35">
      <c r="A957" s="35"/>
    </row>
    <row r="958" spans="1:1" x14ac:dyDescent="0.35">
      <c r="A958" s="35"/>
    </row>
    <row r="959" spans="1:1" x14ac:dyDescent="0.35">
      <c r="A959" s="35"/>
    </row>
    <row r="960" spans="1:1" x14ac:dyDescent="0.35">
      <c r="A960" s="35"/>
    </row>
    <row r="961" spans="1:1" x14ac:dyDescent="0.35">
      <c r="A961" s="35"/>
    </row>
    <row r="962" spans="1:1" x14ac:dyDescent="0.35">
      <c r="A962" s="35"/>
    </row>
    <row r="963" spans="1:1" x14ac:dyDescent="0.35">
      <c r="A963" s="35"/>
    </row>
    <row r="964" spans="1:1" x14ac:dyDescent="0.35">
      <c r="A964" s="35"/>
    </row>
    <row r="965" spans="1:1" x14ac:dyDescent="0.35">
      <c r="A965" s="35"/>
    </row>
    <row r="966" spans="1:1" x14ac:dyDescent="0.35">
      <c r="A966" s="35"/>
    </row>
    <row r="967" spans="1:1" x14ac:dyDescent="0.35">
      <c r="A967" s="35"/>
    </row>
    <row r="968" spans="1:1" x14ac:dyDescent="0.35">
      <c r="A968" s="35"/>
    </row>
    <row r="969" spans="1:1" x14ac:dyDescent="0.35">
      <c r="A969" s="35"/>
    </row>
    <row r="970" spans="1:1" x14ac:dyDescent="0.35">
      <c r="A970" s="35"/>
    </row>
    <row r="971" spans="1:1" x14ac:dyDescent="0.35">
      <c r="A971" s="35"/>
    </row>
    <row r="972" spans="1:1" x14ac:dyDescent="0.35">
      <c r="A972" s="35"/>
    </row>
    <row r="973" spans="1:1" x14ac:dyDescent="0.35">
      <c r="A973" s="35"/>
    </row>
    <row r="974" spans="1:1" x14ac:dyDescent="0.35">
      <c r="A974" s="35"/>
    </row>
    <row r="975" spans="1:1" x14ac:dyDescent="0.35">
      <c r="A975" s="35"/>
    </row>
    <row r="976" spans="1:1" x14ac:dyDescent="0.35">
      <c r="A976" s="35"/>
    </row>
    <row r="977" spans="1:1" x14ac:dyDescent="0.35">
      <c r="A977" s="35"/>
    </row>
    <row r="978" spans="1:1" x14ac:dyDescent="0.35">
      <c r="A978" s="35"/>
    </row>
    <row r="979" spans="1:1" x14ac:dyDescent="0.35">
      <c r="A979" s="35"/>
    </row>
    <row r="980" spans="1:1" x14ac:dyDescent="0.35">
      <c r="A980" s="35"/>
    </row>
    <row r="981" spans="1:1" x14ac:dyDescent="0.35">
      <c r="A981" s="35"/>
    </row>
    <row r="982" spans="1:1" x14ac:dyDescent="0.35">
      <c r="A982" s="35"/>
    </row>
    <row r="983" spans="1:1" x14ac:dyDescent="0.35">
      <c r="A983" s="35"/>
    </row>
    <row r="984" spans="1:1" x14ac:dyDescent="0.35">
      <c r="A984" s="35"/>
    </row>
    <row r="985" spans="1:1" x14ac:dyDescent="0.35">
      <c r="A985" s="35"/>
    </row>
    <row r="986" spans="1:1" x14ac:dyDescent="0.35">
      <c r="A986" s="35"/>
    </row>
    <row r="987" spans="1:1" x14ac:dyDescent="0.35">
      <c r="A987" s="35"/>
    </row>
    <row r="988" spans="1:1" x14ac:dyDescent="0.35">
      <c r="A988" s="35"/>
    </row>
    <row r="989" spans="1:1" x14ac:dyDescent="0.35">
      <c r="A989" s="35"/>
    </row>
    <row r="990" spans="1:1" x14ac:dyDescent="0.35">
      <c r="A990" s="35"/>
    </row>
    <row r="991" spans="1:1" x14ac:dyDescent="0.35">
      <c r="A991" s="35"/>
    </row>
    <row r="992" spans="1:1" x14ac:dyDescent="0.35">
      <c r="A992" s="35"/>
    </row>
    <row r="993" spans="1:1" x14ac:dyDescent="0.35">
      <c r="A993" s="35"/>
    </row>
    <row r="994" spans="1:1" x14ac:dyDescent="0.35">
      <c r="A994" s="35"/>
    </row>
    <row r="995" spans="1:1" x14ac:dyDescent="0.35">
      <c r="A995" s="35"/>
    </row>
    <row r="996" spans="1:1" x14ac:dyDescent="0.35">
      <c r="A996" s="35"/>
    </row>
    <row r="997" spans="1:1" x14ac:dyDescent="0.35">
      <c r="A997" s="35"/>
    </row>
    <row r="998" spans="1:1" x14ac:dyDescent="0.35">
      <c r="A998" s="35"/>
    </row>
    <row r="999" spans="1:1" x14ac:dyDescent="0.35">
      <c r="A999" s="35"/>
    </row>
    <row r="1000" spans="1:1" x14ac:dyDescent="0.35">
      <c r="A1000" s="35"/>
    </row>
    <row r="1001" spans="1:1" x14ac:dyDescent="0.35">
      <c r="A1001" s="35"/>
    </row>
    <row r="1002" spans="1:1" x14ac:dyDescent="0.35">
      <c r="A1002" s="35"/>
    </row>
  </sheetData>
  <autoFilter ref="A7:AA67" xr:uid="{00000000-0001-0000-0100-000000000000}">
    <filterColumn colId="7">
      <colorFilter dxfId="0"/>
    </filterColumn>
  </autoFilter>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topLeftCell="A29" workbookViewId="0">
      <selection activeCell="A22" sqref="A22"/>
    </sheetView>
  </sheetViews>
  <sheetFormatPr defaultColWidth="14.453125" defaultRowHeight="15" customHeight="1" x14ac:dyDescent="0.35"/>
  <cols>
    <col min="1" max="1" width="45.453125" customWidth="1"/>
    <col min="2" max="2" width="27.54296875" customWidth="1"/>
    <col min="3" max="3" width="15.453125" customWidth="1"/>
    <col min="4" max="4" width="14.54296875" customWidth="1"/>
    <col min="5" max="8" width="16.453125" customWidth="1"/>
    <col min="9" max="9" width="12.7265625" customWidth="1"/>
    <col min="10" max="10" width="17.54296875" customWidth="1"/>
    <col min="11" max="11" width="5.7265625" customWidth="1"/>
    <col min="12" max="12" width="13.81640625" customWidth="1"/>
    <col min="13" max="26" width="8.7265625" customWidth="1"/>
  </cols>
  <sheetData>
    <row r="1" spans="1:2" ht="30" customHeight="1" x14ac:dyDescent="0.35">
      <c r="A1" s="160" t="s">
        <v>179</v>
      </c>
      <c r="B1" s="161"/>
    </row>
    <row r="2" spans="1:2" ht="18" customHeight="1" x14ac:dyDescent="0.35">
      <c r="A2" s="162" t="s">
        <v>30</v>
      </c>
      <c r="B2" s="163"/>
    </row>
    <row r="3" spans="1:2" ht="13.5" customHeight="1" x14ac:dyDescent="0.35">
      <c r="A3" s="164" t="s">
        <v>180</v>
      </c>
      <c r="B3" s="163"/>
    </row>
    <row r="4" spans="1:2" ht="72" customHeight="1" x14ac:dyDescent="0.35">
      <c r="A4" s="36" t="s">
        <v>181</v>
      </c>
      <c r="B4" s="37" t="s">
        <v>182</v>
      </c>
    </row>
    <row r="5" spans="1:2" ht="18" customHeight="1" x14ac:dyDescent="0.35">
      <c r="A5" s="38" t="s">
        <v>19</v>
      </c>
      <c r="B5" s="39">
        <v>46113</v>
      </c>
    </row>
    <row r="6" spans="1:2" ht="18" customHeight="1" x14ac:dyDescent="0.35">
      <c r="A6" s="38" t="s">
        <v>183</v>
      </c>
      <c r="B6" s="37" t="s">
        <v>32</v>
      </c>
    </row>
    <row r="7" spans="1:2" ht="33" customHeight="1" x14ac:dyDescent="0.35">
      <c r="A7" s="38" t="s">
        <v>184</v>
      </c>
      <c r="B7" s="37" t="s">
        <v>185</v>
      </c>
    </row>
    <row r="8" spans="1:2" ht="18" customHeight="1" x14ac:dyDescent="0.35"/>
    <row r="9" spans="1:2" ht="13.5" customHeight="1" x14ac:dyDescent="0.35">
      <c r="A9" s="164" t="s">
        <v>186</v>
      </c>
      <c r="B9" s="163"/>
    </row>
    <row r="10" spans="1:2" ht="147.75" customHeight="1" x14ac:dyDescent="0.35">
      <c r="A10" s="165" t="s">
        <v>187</v>
      </c>
      <c r="B10" s="163"/>
    </row>
    <row r="11" spans="1:2" ht="13.5" customHeight="1" x14ac:dyDescent="0.35">
      <c r="A11" s="164" t="s">
        <v>188</v>
      </c>
      <c r="B11" s="163"/>
    </row>
    <row r="12" spans="1:2" ht="18" customHeight="1" x14ac:dyDescent="0.35">
      <c r="A12" s="38" t="s">
        <v>189</v>
      </c>
      <c r="B12" s="40" t="s">
        <v>190</v>
      </c>
    </row>
    <row r="13" spans="1:2" ht="58.5" customHeight="1" x14ac:dyDescent="0.35">
      <c r="A13" s="38" t="s">
        <v>191</v>
      </c>
      <c r="B13" s="40" t="s">
        <v>192</v>
      </c>
    </row>
    <row r="14" spans="1:2" ht="97.5" customHeight="1" x14ac:dyDescent="0.35">
      <c r="A14" s="38" t="s">
        <v>193</v>
      </c>
      <c r="B14" s="40" t="s">
        <v>194</v>
      </c>
    </row>
    <row r="15" spans="1:2" ht="52.5" customHeight="1" x14ac:dyDescent="0.35">
      <c r="A15" s="38" t="s">
        <v>195</v>
      </c>
      <c r="B15" s="40" t="s">
        <v>196</v>
      </c>
    </row>
    <row r="16" spans="1:2" ht="14.25" customHeight="1" x14ac:dyDescent="0.35"/>
    <row r="17" spans="1:9" ht="14.25" customHeight="1" x14ac:dyDescent="0.35"/>
    <row r="18" spans="1:9" ht="14.25" customHeight="1" x14ac:dyDescent="0.35">
      <c r="A18" s="166" t="s">
        <v>197</v>
      </c>
      <c r="B18" s="167"/>
      <c r="C18" s="167"/>
      <c r="D18" s="167"/>
      <c r="E18" s="167"/>
      <c r="F18" s="167"/>
      <c r="G18" s="167"/>
      <c r="H18" s="167"/>
      <c r="I18" s="168"/>
    </row>
    <row r="19" spans="1:9" ht="14.25" customHeight="1" x14ac:dyDescent="0.35">
      <c r="A19" s="169" t="s">
        <v>198</v>
      </c>
      <c r="B19" s="167"/>
      <c r="C19" s="167"/>
      <c r="D19" s="167"/>
      <c r="E19" s="167"/>
      <c r="F19" s="167"/>
      <c r="G19" s="167"/>
      <c r="H19" s="167"/>
      <c r="I19" s="168"/>
    </row>
    <row r="20" spans="1:9" ht="14.25" customHeight="1" x14ac:dyDescent="0.35"/>
    <row r="21" spans="1:9" ht="14.25" customHeight="1" x14ac:dyDescent="0.35">
      <c r="A21" s="41" t="s">
        <v>199</v>
      </c>
      <c r="B21" s="42" t="s">
        <v>200</v>
      </c>
      <c r="C21" s="42" t="s">
        <v>201</v>
      </c>
      <c r="D21" s="43" t="s">
        <v>202</v>
      </c>
      <c r="E21" s="44" t="s">
        <v>203</v>
      </c>
      <c r="F21" s="44" t="s">
        <v>204</v>
      </c>
      <c r="G21" s="44" t="s">
        <v>205</v>
      </c>
      <c r="H21" s="44" t="s">
        <v>206</v>
      </c>
      <c r="I21" s="45" t="s">
        <v>207</v>
      </c>
    </row>
    <row r="22" spans="1:9" ht="14.25" customHeight="1" x14ac:dyDescent="0.35">
      <c r="A22" s="46" t="s">
        <v>208</v>
      </c>
      <c r="B22" s="47">
        <v>3400</v>
      </c>
      <c r="C22" s="47">
        <v>3750</v>
      </c>
      <c r="D22" s="48">
        <f t="shared" ref="D22:D40" si="0">(C22-B22)/B22</f>
        <v>0.10294117647058823</v>
      </c>
      <c r="E22" s="49" t="s">
        <v>209</v>
      </c>
      <c r="F22" s="49" t="s">
        <v>209</v>
      </c>
      <c r="G22" s="49">
        <v>4000</v>
      </c>
      <c r="H22" s="49">
        <v>3500</v>
      </c>
      <c r="I22" s="50" t="s">
        <v>209</v>
      </c>
    </row>
    <row r="23" spans="1:9" ht="14.25" customHeight="1" x14ac:dyDescent="0.35">
      <c r="A23" s="51" t="s">
        <v>210</v>
      </c>
      <c r="B23" s="52">
        <v>1200</v>
      </c>
      <c r="C23" s="52">
        <v>1500</v>
      </c>
      <c r="D23" s="53">
        <f t="shared" si="0"/>
        <v>0.25</v>
      </c>
      <c r="E23" s="54">
        <v>2250</v>
      </c>
      <c r="F23" s="54" t="s">
        <v>209</v>
      </c>
      <c r="G23" s="54" t="s">
        <v>209</v>
      </c>
      <c r="H23" s="54" t="s">
        <v>209</v>
      </c>
      <c r="I23" s="55">
        <f>(C23-E23)/E23</f>
        <v>-0.33333333333333331</v>
      </c>
    </row>
    <row r="24" spans="1:9" ht="14.25" customHeight="1" x14ac:dyDescent="0.35">
      <c r="A24" s="51" t="s">
        <v>211</v>
      </c>
      <c r="B24" s="52">
        <v>1800</v>
      </c>
      <c r="C24" s="52">
        <v>2000</v>
      </c>
      <c r="D24" s="53">
        <f t="shared" si="0"/>
        <v>0.1111111111111111</v>
      </c>
      <c r="E24" s="54" t="s">
        <v>209</v>
      </c>
      <c r="F24" s="54" t="s">
        <v>209</v>
      </c>
      <c r="G24" s="54" t="s">
        <v>209</v>
      </c>
      <c r="H24" s="54" t="s">
        <v>209</v>
      </c>
      <c r="I24" s="55" t="s">
        <v>209</v>
      </c>
    </row>
    <row r="25" spans="1:9" ht="14.25" customHeight="1" x14ac:dyDescent="0.35">
      <c r="A25" s="51" t="s">
        <v>212</v>
      </c>
      <c r="B25" s="52">
        <v>3100</v>
      </c>
      <c r="C25" s="52">
        <v>3500</v>
      </c>
      <c r="D25" s="53">
        <f t="shared" si="0"/>
        <v>0.12903225806451613</v>
      </c>
      <c r="E25" s="54">
        <v>4500</v>
      </c>
      <c r="F25" s="54">
        <v>3150</v>
      </c>
      <c r="G25" s="54" t="s">
        <v>209</v>
      </c>
      <c r="H25" s="54" t="s">
        <v>209</v>
      </c>
      <c r="I25" s="55">
        <f>(C25-E25)/E25</f>
        <v>-0.22222222222222221</v>
      </c>
    </row>
    <row r="26" spans="1:9" ht="14.25" customHeight="1" x14ac:dyDescent="0.35">
      <c r="A26" s="51" t="s">
        <v>213</v>
      </c>
      <c r="B26" s="52">
        <v>2450</v>
      </c>
      <c r="C26" s="52">
        <v>3000</v>
      </c>
      <c r="D26" s="53">
        <f t="shared" si="0"/>
        <v>0.22448979591836735</v>
      </c>
      <c r="E26" s="54" t="s">
        <v>209</v>
      </c>
      <c r="F26" s="54" t="s">
        <v>209</v>
      </c>
      <c r="G26" s="54" t="s">
        <v>209</v>
      </c>
      <c r="H26" s="54" t="s">
        <v>209</v>
      </c>
      <c r="I26" s="55" t="s">
        <v>209</v>
      </c>
    </row>
    <row r="27" spans="1:9" ht="14.25" customHeight="1" x14ac:dyDescent="0.35">
      <c r="A27" s="51" t="s">
        <v>214</v>
      </c>
      <c r="B27" s="52">
        <v>6250</v>
      </c>
      <c r="C27" s="52">
        <v>6500</v>
      </c>
      <c r="D27" s="53">
        <f t="shared" si="0"/>
        <v>0.04</v>
      </c>
      <c r="E27" s="54">
        <v>7500</v>
      </c>
      <c r="F27" s="54">
        <v>4900</v>
      </c>
      <c r="G27" s="54">
        <v>4500</v>
      </c>
      <c r="H27" s="54">
        <v>4500</v>
      </c>
      <c r="I27" s="55">
        <f t="shared" ref="I27:I29" si="1">(C27-E27)/E27</f>
        <v>-0.13333333333333333</v>
      </c>
    </row>
    <row r="28" spans="1:9" ht="14.25" customHeight="1" x14ac:dyDescent="0.35">
      <c r="A28" s="51" t="s">
        <v>215</v>
      </c>
      <c r="B28" s="52">
        <v>6760</v>
      </c>
      <c r="C28" s="52">
        <v>7500</v>
      </c>
      <c r="D28" s="53">
        <f t="shared" si="0"/>
        <v>0.10946745562130178</v>
      </c>
      <c r="E28" s="54">
        <v>12500</v>
      </c>
      <c r="F28" s="54">
        <v>5800</v>
      </c>
      <c r="G28" s="54">
        <v>7300</v>
      </c>
      <c r="H28" s="54" t="s">
        <v>209</v>
      </c>
      <c r="I28" s="55">
        <f t="shared" si="1"/>
        <v>-0.4</v>
      </c>
    </row>
    <row r="29" spans="1:9" ht="14.25" customHeight="1" x14ac:dyDescent="0.35">
      <c r="A29" s="51" t="s">
        <v>216</v>
      </c>
      <c r="B29" s="52">
        <v>9175</v>
      </c>
      <c r="C29" s="52">
        <v>10100</v>
      </c>
      <c r="D29" s="53">
        <f t="shared" si="0"/>
        <v>0.1008174386920981</v>
      </c>
      <c r="E29" s="54">
        <v>16000</v>
      </c>
      <c r="F29" s="54" t="s">
        <v>209</v>
      </c>
      <c r="G29" s="54" t="s">
        <v>209</v>
      </c>
      <c r="H29" s="54">
        <v>6000</v>
      </c>
      <c r="I29" s="55">
        <f t="shared" si="1"/>
        <v>-0.36875000000000002</v>
      </c>
    </row>
    <row r="30" spans="1:9" ht="14.25" customHeight="1" x14ac:dyDescent="0.35">
      <c r="A30" s="51" t="s">
        <v>217</v>
      </c>
      <c r="B30" s="52">
        <v>30200</v>
      </c>
      <c r="C30" s="52">
        <v>33500</v>
      </c>
      <c r="D30" s="53">
        <f t="shared" si="0"/>
        <v>0.10927152317880795</v>
      </c>
      <c r="E30" s="54" t="s">
        <v>209</v>
      </c>
      <c r="F30" s="54">
        <v>11000</v>
      </c>
      <c r="G30" s="54" t="s">
        <v>209</v>
      </c>
      <c r="H30" s="54" t="s">
        <v>209</v>
      </c>
      <c r="I30" s="55" t="s">
        <v>209</v>
      </c>
    </row>
    <row r="31" spans="1:9" ht="14.25" customHeight="1" x14ac:dyDescent="0.35">
      <c r="A31" s="51" t="s">
        <v>218</v>
      </c>
      <c r="B31" s="52">
        <v>42200</v>
      </c>
      <c r="C31" s="52">
        <v>46500</v>
      </c>
      <c r="D31" s="53">
        <f t="shared" si="0"/>
        <v>0.1018957345971564</v>
      </c>
      <c r="E31" s="54">
        <v>75000</v>
      </c>
      <c r="F31" s="54" t="s">
        <v>209</v>
      </c>
      <c r="G31" s="54" t="s">
        <v>209</v>
      </c>
      <c r="H31" s="54" t="s">
        <v>209</v>
      </c>
      <c r="I31" s="55">
        <f t="shared" ref="I31:I33" si="2">(C31-E31)/E31</f>
        <v>-0.38</v>
      </c>
    </row>
    <row r="32" spans="1:9" ht="14.25" customHeight="1" x14ac:dyDescent="0.35">
      <c r="A32" s="51" t="s">
        <v>219</v>
      </c>
      <c r="B32" s="52">
        <v>1700</v>
      </c>
      <c r="C32" s="52">
        <v>1700</v>
      </c>
      <c r="D32" s="53">
        <f t="shared" si="0"/>
        <v>0</v>
      </c>
      <c r="E32" s="54">
        <v>1250</v>
      </c>
      <c r="F32" s="54" t="s">
        <v>209</v>
      </c>
      <c r="G32" s="54" t="s">
        <v>209</v>
      </c>
      <c r="H32" s="54" t="s">
        <v>209</v>
      </c>
      <c r="I32" s="55">
        <f t="shared" si="2"/>
        <v>0.36</v>
      </c>
    </row>
    <row r="33" spans="1:12" ht="14.25" customHeight="1" x14ac:dyDescent="0.35">
      <c r="A33" s="51" t="s">
        <v>220</v>
      </c>
      <c r="B33" s="52">
        <v>1800</v>
      </c>
      <c r="C33" s="52">
        <v>2000</v>
      </c>
      <c r="D33" s="53">
        <f t="shared" si="0"/>
        <v>0.1111111111111111</v>
      </c>
      <c r="E33" s="54">
        <v>1250</v>
      </c>
      <c r="F33" s="54" t="s">
        <v>209</v>
      </c>
      <c r="G33" s="54" t="s">
        <v>209</v>
      </c>
      <c r="H33" s="54" t="s">
        <v>209</v>
      </c>
      <c r="I33" s="55">
        <f t="shared" si="2"/>
        <v>0.6</v>
      </c>
    </row>
    <row r="34" spans="1:12" ht="14.25" customHeight="1" x14ac:dyDescent="0.35">
      <c r="A34" s="51" t="s">
        <v>221</v>
      </c>
      <c r="B34" s="52">
        <v>5200</v>
      </c>
      <c r="C34" s="52">
        <v>6000</v>
      </c>
      <c r="D34" s="53">
        <f t="shared" si="0"/>
        <v>0.15384615384615385</v>
      </c>
      <c r="E34" s="54" t="s">
        <v>209</v>
      </c>
      <c r="F34" s="54" t="s">
        <v>209</v>
      </c>
      <c r="G34" s="54" t="s">
        <v>209</v>
      </c>
      <c r="H34" s="54" t="s">
        <v>209</v>
      </c>
      <c r="I34" s="55" t="s">
        <v>209</v>
      </c>
    </row>
    <row r="35" spans="1:12" ht="14.25" customHeight="1" x14ac:dyDescent="0.35">
      <c r="A35" s="51" t="s">
        <v>222</v>
      </c>
      <c r="B35" s="52">
        <v>5650</v>
      </c>
      <c r="C35" s="52">
        <v>6500</v>
      </c>
      <c r="D35" s="53">
        <f t="shared" si="0"/>
        <v>0.15044247787610621</v>
      </c>
      <c r="E35" s="54" t="s">
        <v>209</v>
      </c>
      <c r="F35" s="54" t="s">
        <v>209</v>
      </c>
      <c r="G35" s="54" t="s">
        <v>209</v>
      </c>
      <c r="H35" s="54" t="s">
        <v>209</v>
      </c>
      <c r="I35" s="55" t="s">
        <v>209</v>
      </c>
    </row>
    <row r="36" spans="1:12" ht="14.25" customHeight="1" x14ac:dyDescent="0.35">
      <c r="A36" s="51" t="s">
        <v>223</v>
      </c>
      <c r="B36" s="52">
        <v>7300</v>
      </c>
      <c r="C36" s="52">
        <v>8000</v>
      </c>
      <c r="D36" s="53">
        <f t="shared" si="0"/>
        <v>9.5890410958904104E-2</v>
      </c>
      <c r="E36" s="54" t="s">
        <v>209</v>
      </c>
      <c r="F36" s="54" t="s">
        <v>209</v>
      </c>
      <c r="G36" s="54" t="s">
        <v>209</v>
      </c>
      <c r="H36" s="54" t="s">
        <v>209</v>
      </c>
      <c r="I36" s="55" t="s">
        <v>209</v>
      </c>
    </row>
    <row r="37" spans="1:12" ht="14.25" customHeight="1" x14ac:dyDescent="0.35">
      <c r="A37" s="51" t="s">
        <v>224</v>
      </c>
      <c r="B37" s="52">
        <v>7500</v>
      </c>
      <c r="C37" s="52">
        <v>8500</v>
      </c>
      <c r="D37" s="53">
        <f t="shared" si="0"/>
        <v>0.13333333333333333</v>
      </c>
      <c r="E37" s="54" t="s">
        <v>209</v>
      </c>
      <c r="F37" s="54" t="s">
        <v>209</v>
      </c>
      <c r="G37" s="54" t="s">
        <v>209</v>
      </c>
      <c r="H37" s="54" t="s">
        <v>209</v>
      </c>
      <c r="I37" s="55" t="s">
        <v>209</v>
      </c>
    </row>
    <row r="38" spans="1:12" ht="14.25" customHeight="1" x14ac:dyDescent="0.35">
      <c r="A38" s="51" t="s">
        <v>225</v>
      </c>
      <c r="B38" s="52">
        <v>8650</v>
      </c>
      <c r="C38" s="52">
        <v>10000</v>
      </c>
      <c r="D38" s="53">
        <f t="shared" si="0"/>
        <v>0.15606936416184972</v>
      </c>
      <c r="E38" s="54" t="s">
        <v>209</v>
      </c>
      <c r="F38" s="54" t="s">
        <v>209</v>
      </c>
      <c r="G38" s="54" t="s">
        <v>209</v>
      </c>
      <c r="H38" s="54" t="s">
        <v>209</v>
      </c>
      <c r="I38" s="55" t="s">
        <v>209</v>
      </c>
    </row>
    <row r="39" spans="1:12" ht="14.25" customHeight="1" x14ac:dyDescent="0.35">
      <c r="A39" s="51" t="s">
        <v>226</v>
      </c>
      <c r="B39" s="52">
        <v>13000</v>
      </c>
      <c r="C39" s="52">
        <v>14500</v>
      </c>
      <c r="D39" s="53">
        <f t="shared" si="0"/>
        <v>0.11538461538461539</v>
      </c>
      <c r="E39" s="54" t="s">
        <v>209</v>
      </c>
      <c r="F39" s="54" t="s">
        <v>209</v>
      </c>
      <c r="G39" s="54" t="s">
        <v>209</v>
      </c>
      <c r="H39" s="54" t="s">
        <v>209</v>
      </c>
      <c r="I39" s="55" t="s">
        <v>209</v>
      </c>
    </row>
    <row r="40" spans="1:12" ht="14.25" customHeight="1" x14ac:dyDescent="0.35">
      <c r="A40" s="56" t="s">
        <v>227</v>
      </c>
      <c r="B40" s="57">
        <v>21000</v>
      </c>
      <c r="C40" s="57">
        <v>23500</v>
      </c>
      <c r="D40" s="58">
        <f t="shared" si="0"/>
        <v>0.11904761904761904</v>
      </c>
      <c r="E40" s="59" t="s">
        <v>209</v>
      </c>
      <c r="F40" s="59" t="s">
        <v>209</v>
      </c>
      <c r="G40" s="59" t="s">
        <v>209</v>
      </c>
      <c r="H40" s="59" t="s">
        <v>209</v>
      </c>
      <c r="I40" s="60" t="s">
        <v>209</v>
      </c>
    </row>
    <row r="41" spans="1:12" ht="14.25" customHeight="1" x14ac:dyDescent="0.35"/>
    <row r="42" spans="1:12" ht="14.25" customHeight="1" x14ac:dyDescent="0.35"/>
    <row r="43" spans="1:12" ht="14.25" customHeight="1" x14ac:dyDescent="0.35"/>
    <row r="44" spans="1:12" ht="14.25" customHeight="1" x14ac:dyDescent="0.35">
      <c r="A44" s="61" t="s">
        <v>228</v>
      </c>
    </row>
    <row r="45" spans="1:12" ht="14.25" customHeight="1" x14ac:dyDescent="0.35">
      <c r="A45" s="62" t="s">
        <v>229</v>
      </c>
    </row>
    <row r="46" spans="1:12" ht="14.25" customHeight="1" x14ac:dyDescent="0.35"/>
    <row r="47" spans="1:12" ht="14.25" customHeight="1" x14ac:dyDescent="0.35">
      <c r="A47" s="63" t="s">
        <v>13</v>
      </c>
      <c r="B47" s="41" t="s">
        <v>230</v>
      </c>
      <c r="C47" s="41" t="s">
        <v>231</v>
      </c>
      <c r="D47" s="43" t="s">
        <v>232</v>
      </c>
      <c r="E47" s="43" t="s">
        <v>233</v>
      </c>
      <c r="F47" s="43" t="s">
        <v>234</v>
      </c>
      <c r="G47" s="64" t="s">
        <v>235</v>
      </c>
      <c r="H47" s="64" t="s">
        <v>236</v>
      </c>
      <c r="I47" s="64" t="s">
        <v>237</v>
      </c>
      <c r="J47" s="43" t="s">
        <v>238</v>
      </c>
      <c r="K47" s="43" t="s">
        <v>239</v>
      </c>
      <c r="L47" s="43" t="s">
        <v>240</v>
      </c>
    </row>
    <row r="48" spans="1:12" ht="14.25" customHeight="1" x14ac:dyDescent="0.35">
      <c r="A48" s="65">
        <v>1</v>
      </c>
      <c r="B48" s="66" t="s">
        <v>241</v>
      </c>
      <c r="C48" s="66" t="s">
        <v>242</v>
      </c>
      <c r="D48" s="67">
        <v>355</v>
      </c>
      <c r="E48" s="67">
        <v>1846</v>
      </c>
      <c r="F48" s="67">
        <v>19000</v>
      </c>
      <c r="G48" s="68">
        <v>23750</v>
      </c>
      <c r="H48" s="68">
        <v>18050</v>
      </c>
      <c r="I48" s="68">
        <v>15200</v>
      </c>
      <c r="J48" s="69">
        <f t="shared" ref="J48:J97" si="3">ROUND((F48+MAX(G48,H48,I48))/2,0)</f>
        <v>21375</v>
      </c>
      <c r="K48" s="70">
        <f t="shared" ref="K48:K97" si="4">(J48-F48)/F48</f>
        <v>0.125</v>
      </c>
      <c r="L48" s="71">
        <f t="shared" ref="L48:L97" si="5">(J48-F48)*E48/100000</f>
        <v>43.842500000000001</v>
      </c>
    </row>
    <row r="49" spans="1:12" ht="14.25" customHeight="1" x14ac:dyDescent="0.35">
      <c r="A49" s="72">
        <v>2</v>
      </c>
      <c r="B49" s="73" t="s">
        <v>243</v>
      </c>
      <c r="C49" s="73" t="s">
        <v>244</v>
      </c>
      <c r="D49" s="74">
        <v>333</v>
      </c>
      <c r="E49" s="74">
        <v>16375</v>
      </c>
      <c r="F49" s="74">
        <v>2040</v>
      </c>
      <c r="G49" s="68">
        <v>2448</v>
      </c>
      <c r="H49" s="68">
        <v>1938</v>
      </c>
      <c r="I49" s="68">
        <v>1734</v>
      </c>
      <c r="J49" s="75">
        <f t="shared" si="3"/>
        <v>2244</v>
      </c>
      <c r="K49" s="76">
        <f t="shared" si="4"/>
        <v>0.1</v>
      </c>
      <c r="L49" s="77">
        <f t="shared" si="5"/>
        <v>33.405000000000001</v>
      </c>
    </row>
    <row r="50" spans="1:12" ht="14.25" customHeight="1" x14ac:dyDescent="0.35">
      <c r="A50" s="65">
        <v>3</v>
      </c>
      <c r="B50" s="66" t="s">
        <v>245</v>
      </c>
      <c r="C50" s="66" t="s">
        <v>246</v>
      </c>
      <c r="D50" s="67">
        <v>329</v>
      </c>
      <c r="E50" s="67">
        <v>37375</v>
      </c>
      <c r="F50" s="67">
        <v>810</v>
      </c>
      <c r="G50" s="68">
        <v>931</v>
      </c>
      <c r="H50" s="68">
        <v>770</v>
      </c>
      <c r="I50" s="68">
        <v>689</v>
      </c>
      <c r="J50" s="69">
        <f t="shared" si="3"/>
        <v>871</v>
      </c>
      <c r="K50" s="70">
        <f t="shared" si="4"/>
        <v>7.5308641975308649E-2</v>
      </c>
      <c r="L50" s="71">
        <f t="shared" si="5"/>
        <v>22.798749999999998</v>
      </c>
    </row>
    <row r="51" spans="1:12" ht="14.25" customHeight="1" x14ac:dyDescent="0.35">
      <c r="A51" s="72">
        <v>4</v>
      </c>
      <c r="B51" s="73" t="s">
        <v>247</v>
      </c>
      <c r="C51" s="73" t="s">
        <v>248</v>
      </c>
      <c r="D51" s="74">
        <v>287</v>
      </c>
      <c r="E51" s="74">
        <v>18803</v>
      </c>
      <c r="F51" s="74">
        <v>1440</v>
      </c>
      <c r="G51" s="68">
        <v>1584</v>
      </c>
      <c r="H51" s="68">
        <v>1368</v>
      </c>
      <c r="I51" s="68">
        <v>1296</v>
      </c>
      <c r="J51" s="75">
        <f t="shared" si="3"/>
        <v>1512</v>
      </c>
      <c r="K51" s="76">
        <f t="shared" si="4"/>
        <v>0.05</v>
      </c>
      <c r="L51" s="77">
        <f t="shared" si="5"/>
        <v>13.53816</v>
      </c>
    </row>
    <row r="52" spans="1:12" ht="14.25" customHeight="1" x14ac:dyDescent="0.35">
      <c r="A52" s="65">
        <v>5</v>
      </c>
      <c r="B52" s="66" t="s">
        <v>249</v>
      </c>
      <c r="C52" s="66" t="s">
        <v>246</v>
      </c>
      <c r="D52" s="67">
        <v>264</v>
      </c>
      <c r="E52" s="67">
        <v>78254</v>
      </c>
      <c r="F52" s="67">
        <v>290</v>
      </c>
      <c r="G52" s="68">
        <v>334</v>
      </c>
      <c r="H52" s="68">
        <v>276</v>
      </c>
      <c r="I52" s="68">
        <v>247</v>
      </c>
      <c r="J52" s="69">
        <f t="shared" si="3"/>
        <v>312</v>
      </c>
      <c r="K52" s="70">
        <f t="shared" si="4"/>
        <v>7.586206896551724E-2</v>
      </c>
      <c r="L52" s="71">
        <f t="shared" si="5"/>
        <v>17.215879999999999</v>
      </c>
    </row>
    <row r="53" spans="1:12" ht="14.25" customHeight="1" x14ac:dyDescent="0.35">
      <c r="A53" s="72">
        <v>6</v>
      </c>
      <c r="B53" s="73" t="s">
        <v>250</v>
      </c>
      <c r="C53" s="73" t="s">
        <v>246</v>
      </c>
      <c r="D53" s="74">
        <v>242</v>
      </c>
      <c r="E53" s="74">
        <v>171088</v>
      </c>
      <c r="F53" s="74">
        <v>110</v>
      </c>
      <c r="G53" s="68">
        <v>126</v>
      </c>
      <c r="H53" s="68">
        <v>105</v>
      </c>
      <c r="I53" s="68">
        <v>94</v>
      </c>
      <c r="J53" s="75">
        <f t="shared" si="3"/>
        <v>118</v>
      </c>
      <c r="K53" s="76">
        <f t="shared" si="4"/>
        <v>7.2727272727272724E-2</v>
      </c>
      <c r="L53" s="77">
        <f t="shared" si="5"/>
        <v>13.68704</v>
      </c>
    </row>
    <row r="54" spans="1:12" ht="14.25" customHeight="1" x14ac:dyDescent="0.35">
      <c r="A54" s="65">
        <v>7</v>
      </c>
      <c r="B54" s="66" t="s">
        <v>251</v>
      </c>
      <c r="C54" s="66" t="s">
        <v>252</v>
      </c>
      <c r="D54" s="67">
        <v>239</v>
      </c>
      <c r="E54" s="67">
        <v>21531</v>
      </c>
      <c r="F54" s="67">
        <v>1250</v>
      </c>
      <c r="G54" s="68">
        <v>1563</v>
      </c>
      <c r="H54" s="68">
        <v>1188</v>
      </c>
      <c r="I54" s="68">
        <v>1000</v>
      </c>
      <c r="J54" s="69">
        <f t="shared" si="3"/>
        <v>1407</v>
      </c>
      <c r="K54" s="70">
        <f t="shared" si="4"/>
        <v>0.12559999999999999</v>
      </c>
      <c r="L54" s="71">
        <f t="shared" si="5"/>
        <v>33.803669999999997</v>
      </c>
    </row>
    <row r="55" spans="1:12" ht="14.25" customHeight="1" x14ac:dyDescent="0.35">
      <c r="A55" s="72">
        <v>8</v>
      </c>
      <c r="B55" s="73" t="s">
        <v>253</v>
      </c>
      <c r="C55" s="73" t="s">
        <v>254</v>
      </c>
      <c r="D55" s="74">
        <v>217</v>
      </c>
      <c r="E55" s="74">
        <v>272</v>
      </c>
      <c r="F55" s="74">
        <v>99710</v>
      </c>
      <c r="G55" s="68">
        <v>129623</v>
      </c>
      <c r="H55" s="68">
        <v>99710</v>
      </c>
      <c r="I55" s="68">
        <v>84754</v>
      </c>
      <c r="J55" s="75">
        <f t="shared" si="3"/>
        <v>114667</v>
      </c>
      <c r="K55" s="76">
        <f t="shared" si="4"/>
        <v>0.1500050145421723</v>
      </c>
      <c r="L55" s="77">
        <f t="shared" si="5"/>
        <v>40.683039999999998</v>
      </c>
    </row>
    <row r="56" spans="1:12" ht="14.25" customHeight="1" x14ac:dyDescent="0.35">
      <c r="A56" s="65">
        <v>9</v>
      </c>
      <c r="B56" s="66" t="s">
        <v>255</v>
      </c>
      <c r="C56" s="66" t="s">
        <v>256</v>
      </c>
      <c r="D56" s="67">
        <v>201</v>
      </c>
      <c r="E56" s="67">
        <v>1974</v>
      </c>
      <c r="F56" s="67">
        <v>9500</v>
      </c>
      <c r="G56" s="68">
        <v>11875</v>
      </c>
      <c r="H56" s="68">
        <v>9025</v>
      </c>
      <c r="I56" s="68">
        <v>7600</v>
      </c>
      <c r="J56" s="69">
        <f t="shared" si="3"/>
        <v>10688</v>
      </c>
      <c r="K56" s="70">
        <f t="shared" si="4"/>
        <v>0.12505263157894736</v>
      </c>
      <c r="L56" s="71">
        <f t="shared" si="5"/>
        <v>23.45112</v>
      </c>
    </row>
    <row r="57" spans="1:12" ht="14.25" customHeight="1" x14ac:dyDescent="0.35">
      <c r="A57" s="72">
        <v>10</v>
      </c>
      <c r="B57" s="73" t="s">
        <v>257</v>
      </c>
      <c r="C57" s="73" t="s">
        <v>258</v>
      </c>
      <c r="D57" s="74">
        <v>172</v>
      </c>
      <c r="E57" s="74">
        <v>4420</v>
      </c>
      <c r="F57" s="74">
        <v>4000</v>
      </c>
      <c r="G57" s="68">
        <v>4800</v>
      </c>
      <c r="H57" s="68">
        <v>4000</v>
      </c>
      <c r="I57" s="68">
        <v>3400</v>
      </c>
      <c r="J57" s="75">
        <f t="shared" si="3"/>
        <v>4400</v>
      </c>
      <c r="K57" s="76">
        <f t="shared" si="4"/>
        <v>0.1</v>
      </c>
      <c r="L57" s="77">
        <f t="shared" si="5"/>
        <v>17.68</v>
      </c>
    </row>
    <row r="58" spans="1:12" ht="14.25" customHeight="1" x14ac:dyDescent="0.35">
      <c r="A58" s="65">
        <v>11</v>
      </c>
      <c r="B58" s="66" t="s">
        <v>259</v>
      </c>
      <c r="C58" s="66" t="s">
        <v>246</v>
      </c>
      <c r="D58" s="67">
        <v>172</v>
      </c>
      <c r="E58" s="67">
        <v>4489</v>
      </c>
      <c r="F58" s="67">
        <v>3540</v>
      </c>
      <c r="G58" s="68">
        <v>4071</v>
      </c>
      <c r="H58" s="68">
        <v>3363</v>
      </c>
      <c r="I58" s="68">
        <v>3009</v>
      </c>
      <c r="J58" s="69">
        <f t="shared" si="3"/>
        <v>3806</v>
      </c>
      <c r="K58" s="70">
        <f t="shared" si="4"/>
        <v>7.5141242937853112E-2</v>
      </c>
      <c r="L58" s="71">
        <f t="shared" si="5"/>
        <v>11.94074</v>
      </c>
    </row>
    <row r="59" spans="1:12" ht="14.25" customHeight="1" x14ac:dyDescent="0.35">
      <c r="A59" s="72">
        <v>12</v>
      </c>
      <c r="B59" s="73" t="s">
        <v>260</v>
      </c>
      <c r="C59" s="73" t="s">
        <v>261</v>
      </c>
      <c r="D59" s="74">
        <v>159</v>
      </c>
      <c r="E59" s="74">
        <v>26048</v>
      </c>
      <c r="F59" s="74">
        <v>560</v>
      </c>
      <c r="G59" s="68">
        <v>644</v>
      </c>
      <c r="H59" s="68">
        <v>532</v>
      </c>
      <c r="I59" s="68">
        <v>476</v>
      </c>
      <c r="J59" s="75">
        <f t="shared" si="3"/>
        <v>602</v>
      </c>
      <c r="K59" s="76">
        <f t="shared" si="4"/>
        <v>7.4999999999999997E-2</v>
      </c>
      <c r="L59" s="77">
        <f t="shared" si="5"/>
        <v>10.940160000000001</v>
      </c>
    </row>
    <row r="60" spans="1:12" ht="14.25" customHeight="1" x14ac:dyDescent="0.35">
      <c r="A60" s="65">
        <v>13</v>
      </c>
      <c r="B60" s="66" t="s">
        <v>262</v>
      </c>
      <c r="C60" s="66" t="s">
        <v>256</v>
      </c>
      <c r="D60" s="67">
        <v>135</v>
      </c>
      <c r="E60" s="67">
        <v>1230</v>
      </c>
      <c r="F60" s="67">
        <v>13500</v>
      </c>
      <c r="G60" s="68">
        <v>16875</v>
      </c>
      <c r="H60" s="68">
        <v>12825</v>
      </c>
      <c r="I60" s="68">
        <v>10800</v>
      </c>
      <c r="J60" s="69">
        <f t="shared" si="3"/>
        <v>15188</v>
      </c>
      <c r="K60" s="70">
        <f t="shared" si="4"/>
        <v>0.12503703703703703</v>
      </c>
      <c r="L60" s="71">
        <f t="shared" si="5"/>
        <v>20.7624</v>
      </c>
    </row>
    <row r="61" spans="1:12" ht="14.25" customHeight="1" x14ac:dyDescent="0.35">
      <c r="A61" s="72">
        <v>14</v>
      </c>
      <c r="B61" s="73" t="s">
        <v>263</v>
      </c>
      <c r="C61" s="73" t="s">
        <v>258</v>
      </c>
      <c r="D61" s="74">
        <v>129</v>
      </c>
      <c r="E61" s="74">
        <v>96</v>
      </c>
      <c r="F61" s="74">
        <v>140000</v>
      </c>
      <c r="G61" s="68">
        <v>168000</v>
      </c>
      <c r="H61" s="68">
        <v>140000</v>
      </c>
      <c r="I61" s="68">
        <v>119000</v>
      </c>
      <c r="J61" s="75">
        <f t="shared" si="3"/>
        <v>154000</v>
      </c>
      <c r="K61" s="76">
        <f t="shared" si="4"/>
        <v>0.1</v>
      </c>
      <c r="L61" s="77">
        <f t="shared" si="5"/>
        <v>13.44</v>
      </c>
    </row>
    <row r="62" spans="1:12" ht="14.25" customHeight="1" x14ac:dyDescent="0.35">
      <c r="A62" s="65">
        <v>15</v>
      </c>
      <c r="B62" s="66" t="s">
        <v>264</v>
      </c>
      <c r="C62" s="66" t="s">
        <v>265</v>
      </c>
      <c r="D62" s="67">
        <v>126</v>
      </c>
      <c r="E62" s="67">
        <v>1627</v>
      </c>
      <c r="F62" s="67">
        <v>6560</v>
      </c>
      <c r="G62" s="68">
        <v>8528</v>
      </c>
      <c r="H62" s="68">
        <v>6560</v>
      </c>
      <c r="I62" s="68">
        <v>5576</v>
      </c>
      <c r="J62" s="69">
        <f t="shared" si="3"/>
        <v>7544</v>
      </c>
      <c r="K62" s="70">
        <f t="shared" si="4"/>
        <v>0.15</v>
      </c>
      <c r="L62" s="71">
        <f t="shared" si="5"/>
        <v>16.009679999999999</v>
      </c>
    </row>
    <row r="63" spans="1:12" ht="14.25" customHeight="1" x14ac:dyDescent="0.35">
      <c r="A63" s="72">
        <v>16</v>
      </c>
      <c r="B63" s="73" t="s">
        <v>266</v>
      </c>
      <c r="C63" s="73" t="s">
        <v>267</v>
      </c>
      <c r="D63" s="74">
        <v>123</v>
      </c>
      <c r="E63" s="74">
        <v>1548</v>
      </c>
      <c r="F63" s="74">
        <v>7500</v>
      </c>
      <c r="G63" s="68">
        <v>9375</v>
      </c>
      <c r="H63" s="68">
        <v>7125</v>
      </c>
      <c r="I63" s="68">
        <v>6000</v>
      </c>
      <c r="J63" s="75">
        <f t="shared" si="3"/>
        <v>8438</v>
      </c>
      <c r="K63" s="76">
        <f t="shared" si="4"/>
        <v>0.12506666666666666</v>
      </c>
      <c r="L63" s="77">
        <f t="shared" si="5"/>
        <v>14.520239999999999</v>
      </c>
    </row>
    <row r="64" spans="1:12" ht="14.25" customHeight="1" x14ac:dyDescent="0.35">
      <c r="A64" s="65">
        <v>17</v>
      </c>
      <c r="B64" s="66" t="s">
        <v>268</v>
      </c>
      <c r="C64" s="66" t="s">
        <v>261</v>
      </c>
      <c r="D64" s="67">
        <v>120</v>
      </c>
      <c r="E64" s="67">
        <v>4149</v>
      </c>
      <c r="F64" s="67">
        <v>2900</v>
      </c>
      <c r="G64" s="68">
        <v>3335</v>
      </c>
      <c r="H64" s="68">
        <v>2755</v>
      </c>
      <c r="I64" s="68">
        <v>2465</v>
      </c>
      <c r="J64" s="69">
        <f t="shared" si="3"/>
        <v>3118</v>
      </c>
      <c r="K64" s="70">
        <f t="shared" si="4"/>
        <v>7.5172413793103451E-2</v>
      </c>
      <c r="L64" s="71">
        <f t="shared" si="5"/>
        <v>9.0448199999999996</v>
      </c>
    </row>
    <row r="65" spans="1:12" ht="14.25" customHeight="1" x14ac:dyDescent="0.35">
      <c r="A65" s="72">
        <v>18</v>
      </c>
      <c r="B65" s="73" t="s">
        <v>269</v>
      </c>
      <c r="C65" s="73" t="s">
        <v>246</v>
      </c>
      <c r="D65" s="74">
        <v>120</v>
      </c>
      <c r="E65" s="74">
        <v>20102</v>
      </c>
      <c r="F65" s="74">
        <v>510</v>
      </c>
      <c r="G65" s="68">
        <v>587</v>
      </c>
      <c r="H65" s="68">
        <v>485</v>
      </c>
      <c r="I65" s="68">
        <v>434</v>
      </c>
      <c r="J65" s="75">
        <f t="shared" si="3"/>
        <v>549</v>
      </c>
      <c r="K65" s="76">
        <f t="shared" si="4"/>
        <v>7.6470588235294124E-2</v>
      </c>
      <c r="L65" s="77">
        <f t="shared" si="5"/>
        <v>7.8397800000000002</v>
      </c>
    </row>
    <row r="66" spans="1:12" ht="14.25" customHeight="1" x14ac:dyDescent="0.35">
      <c r="A66" s="65">
        <v>19</v>
      </c>
      <c r="B66" s="66" t="s">
        <v>270</v>
      </c>
      <c r="C66" s="66" t="s">
        <v>246</v>
      </c>
      <c r="D66" s="67">
        <v>118</v>
      </c>
      <c r="E66" s="67">
        <v>20488</v>
      </c>
      <c r="F66" s="67">
        <v>610</v>
      </c>
      <c r="G66" s="68">
        <v>702</v>
      </c>
      <c r="H66" s="68">
        <v>580</v>
      </c>
      <c r="I66" s="68">
        <v>519</v>
      </c>
      <c r="J66" s="69">
        <f t="shared" si="3"/>
        <v>656</v>
      </c>
      <c r="K66" s="70">
        <f t="shared" si="4"/>
        <v>7.5409836065573776E-2</v>
      </c>
      <c r="L66" s="71">
        <f t="shared" si="5"/>
        <v>9.4244800000000009</v>
      </c>
    </row>
    <row r="67" spans="1:12" ht="14.25" customHeight="1" x14ac:dyDescent="0.35">
      <c r="A67" s="72">
        <v>20</v>
      </c>
      <c r="B67" s="73" t="s">
        <v>271</v>
      </c>
      <c r="C67" s="73" t="s">
        <v>267</v>
      </c>
      <c r="D67" s="74">
        <v>114</v>
      </c>
      <c r="E67" s="74">
        <v>1533</v>
      </c>
      <c r="F67" s="74">
        <v>7000</v>
      </c>
      <c r="G67" s="68">
        <v>8750</v>
      </c>
      <c r="H67" s="68">
        <v>6650</v>
      </c>
      <c r="I67" s="68">
        <v>5600</v>
      </c>
      <c r="J67" s="75">
        <f t="shared" si="3"/>
        <v>7875</v>
      </c>
      <c r="K67" s="76">
        <f t="shared" si="4"/>
        <v>0.125</v>
      </c>
      <c r="L67" s="77">
        <f t="shared" si="5"/>
        <v>13.41375</v>
      </c>
    </row>
    <row r="68" spans="1:12" ht="14.25" customHeight="1" x14ac:dyDescent="0.35">
      <c r="A68" s="65">
        <v>21</v>
      </c>
      <c r="B68" s="66" t="s">
        <v>272</v>
      </c>
      <c r="C68" s="66" t="s">
        <v>273</v>
      </c>
      <c r="D68" s="67">
        <v>112</v>
      </c>
      <c r="E68" s="67">
        <v>11369</v>
      </c>
      <c r="F68" s="67">
        <v>970</v>
      </c>
      <c r="G68" s="68">
        <v>1116</v>
      </c>
      <c r="H68" s="68">
        <v>922</v>
      </c>
      <c r="I68" s="68">
        <v>825</v>
      </c>
      <c r="J68" s="69">
        <f t="shared" si="3"/>
        <v>1043</v>
      </c>
      <c r="K68" s="70">
        <f t="shared" si="4"/>
        <v>7.5257731958762883E-2</v>
      </c>
      <c r="L68" s="71">
        <f t="shared" si="5"/>
        <v>8.2993699999999997</v>
      </c>
    </row>
    <row r="69" spans="1:12" ht="14.25" customHeight="1" x14ac:dyDescent="0.35">
      <c r="A69" s="72">
        <v>22</v>
      </c>
      <c r="B69" s="73" t="s">
        <v>274</v>
      </c>
      <c r="C69" s="73" t="s">
        <v>246</v>
      </c>
      <c r="D69" s="74">
        <v>105</v>
      </c>
      <c r="E69" s="74">
        <v>51966</v>
      </c>
      <c r="F69" s="74">
        <v>170</v>
      </c>
      <c r="G69" s="68">
        <v>195</v>
      </c>
      <c r="H69" s="68">
        <v>162</v>
      </c>
      <c r="I69" s="68">
        <v>145</v>
      </c>
      <c r="J69" s="75">
        <f t="shared" si="3"/>
        <v>183</v>
      </c>
      <c r="K69" s="76">
        <f t="shared" si="4"/>
        <v>7.6470588235294124E-2</v>
      </c>
      <c r="L69" s="77">
        <f t="shared" si="5"/>
        <v>6.7555800000000001</v>
      </c>
    </row>
    <row r="70" spans="1:12" ht="14.25" customHeight="1" x14ac:dyDescent="0.35">
      <c r="A70" s="65">
        <v>23</v>
      </c>
      <c r="B70" s="66" t="s">
        <v>275</v>
      </c>
      <c r="C70" s="66" t="s">
        <v>246</v>
      </c>
      <c r="D70" s="67">
        <v>104</v>
      </c>
      <c r="E70" s="67">
        <v>19391</v>
      </c>
      <c r="F70" s="67">
        <v>450</v>
      </c>
      <c r="G70" s="68">
        <v>518</v>
      </c>
      <c r="H70" s="68">
        <v>428</v>
      </c>
      <c r="I70" s="68">
        <v>383</v>
      </c>
      <c r="J70" s="69">
        <f t="shared" si="3"/>
        <v>484</v>
      </c>
      <c r="K70" s="70">
        <f t="shared" si="4"/>
        <v>7.5555555555555556E-2</v>
      </c>
      <c r="L70" s="71">
        <f t="shared" si="5"/>
        <v>6.5929399999999996</v>
      </c>
    </row>
    <row r="71" spans="1:12" ht="14.25" customHeight="1" x14ac:dyDescent="0.35">
      <c r="A71" s="72">
        <v>24</v>
      </c>
      <c r="B71" s="73" t="s">
        <v>276</v>
      </c>
      <c r="C71" s="73" t="s">
        <v>277</v>
      </c>
      <c r="D71" s="74">
        <v>104</v>
      </c>
      <c r="E71" s="74">
        <v>768</v>
      </c>
      <c r="F71" s="74">
        <v>13440</v>
      </c>
      <c r="G71" s="68">
        <v>15456</v>
      </c>
      <c r="H71" s="68">
        <v>12768</v>
      </c>
      <c r="I71" s="68">
        <v>11424</v>
      </c>
      <c r="J71" s="75">
        <f t="shared" si="3"/>
        <v>14448</v>
      </c>
      <c r="K71" s="76">
        <f t="shared" si="4"/>
        <v>7.4999999999999997E-2</v>
      </c>
      <c r="L71" s="77">
        <f t="shared" si="5"/>
        <v>7.7414399999999999</v>
      </c>
    </row>
    <row r="72" spans="1:12" ht="14.25" customHeight="1" x14ac:dyDescent="0.35">
      <c r="A72" s="65">
        <v>25</v>
      </c>
      <c r="B72" s="66" t="s">
        <v>278</v>
      </c>
      <c r="C72" s="66" t="s">
        <v>279</v>
      </c>
      <c r="D72" s="67">
        <v>103</v>
      </c>
      <c r="E72" s="67">
        <v>36413</v>
      </c>
      <c r="F72" s="67">
        <v>240</v>
      </c>
      <c r="G72" s="68">
        <v>276</v>
      </c>
      <c r="H72" s="68">
        <v>228</v>
      </c>
      <c r="I72" s="68">
        <v>204</v>
      </c>
      <c r="J72" s="69">
        <f t="shared" si="3"/>
        <v>258</v>
      </c>
      <c r="K72" s="70">
        <f t="shared" si="4"/>
        <v>7.4999999999999997E-2</v>
      </c>
      <c r="L72" s="71">
        <f t="shared" si="5"/>
        <v>6.5543399999999998</v>
      </c>
    </row>
    <row r="73" spans="1:12" ht="14.25" customHeight="1" x14ac:dyDescent="0.35">
      <c r="A73" s="72">
        <v>26</v>
      </c>
      <c r="B73" s="73" t="s">
        <v>280</v>
      </c>
      <c r="C73" s="73" t="s">
        <v>246</v>
      </c>
      <c r="D73" s="74">
        <v>103</v>
      </c>
      <c r="E73" s="74">
        <v>50745</v>
      </c>
      <c r="F73" s="74">
        <v>170</v>
      </c>
      <c r="G73" s="68">
        <v>195</v>
      </c>
      <c r="H73" s="68">
        <v>162</v>
      </c>
      <c r="I73" s="68">
        <v>145</v>
      </c>
      <c r="J73" s="75">
        <f t="shared" si="3"/>
        <v>183</v>
      </c>
      <c r="K73" s="76">
        <f t="shared" si="4"/>
        <v>7.6470588235294124E-2</v>
      </c>
      <c r="L73" s="77">
        <f t="shared" si="5"/>
        <v>6.5968499999999999</v>
      </c>
    </row>
    <row r="74" spans="1:12" ht="14.25" customHeight="1" x14ac:dyDescent="0.35">
      <c r="A74" s="65">
        <v>27</v>
      </c>
      <c r="B74" s="66" t="s">
        <v>281</v>
      </c>
      <c r="C74" s="66" t="s">
        <v>246</v>
      </c>
      <c r="D74" s="67">
        <v>103</v>
      </c>
      <c r="E74" s="67">
        <v>5952</v>
      </c>
      <c r="F74" s="67">
        <v>2660</v>
      </c>
      <c r="G74" s="68">
        <v>3059</v>
      </c>
      <c r="H74" s="68">
        <v>2527</v>
      </c>
      <c r="I74" s="68">
        <v>2261</v>
      </c>
      <c r="J74" s="69">
        <f t="shared" si="3"/>
        <v>2860</v>
      </c>
      <c r="K74" s="70">
        <f t="shared" si="4"/>
        <v>7.5187969924812026E-2</v>
      </c>
      <c r="L74" s="71">
        <f t="shared" si="5"/>
        <v>11.904</v>
      </c>
    </row>
    <row r="75" spans="1:12" ht="14.25" customHeight="1" x14ac:dyDescent="0.35">
      <c r="A75" s="72">
        <v>28</v>
      </c>
      <c r="B75" s="73" t="s">
        <v>282</v>
      </c>
      <c r="C75" s="73" t="s">
        <v>273</v>
      </c>
      <c r="D75" s="74">
        <v>97</v>
      </c>
      <c r="E75" s="74">
        <v>12550</v>
      </c>
      <c r="F75" s="74">
        <v>820</v>
      </c>
      <c r="G75" s="68">
        <v>943</v>
      </c>
      <c r="H75" s="68">
        <v>779</v>
      </c>
      <c r="I75" s="68">
        <v>697</v>
      </c>
      <c r="J75" s="75">
        <f t="shared" si="3"/>
        <v>882</v>
      </c>
      <c r="K75" s="76">
        <f t="shared" si="4"/>
        <v>7.5609756097560973E-2</v>
      </c>
      <c r="L75" s="77">
        <f t="shared" si="5"/>
        <v>7.7809999999999997</v>
      </c>
    </row>
    <row r="76" spans="1:12" ht="14.25" customHeight="1" x14ac:dyDescent="0.35">
      <c r="A76" s="65">
        <v>29</v>
      </c>
      <c r="B76" s="66" t="s">
        <v>283</v>
      </c>
      <c r="C76" s="66" t="s">
        <v>246</v>
      </c>
      <c r="D76" s="67">
        <v>92</v>
      </c>
      <c r="E76" s="67">
        <v>22637</v>
      </c>
      <c r="F76" s="67">
        <v>400</v>
      </c>
      <c r="G76" s="68">
        <v>460</v>
      </c>
      <c r="H76" s="68">
        <v>380</v>
      </c>
      <c r="I76" s="68">
        <v>340</v>
      </c>
      <c r="J76" s="69">
        <f t="shared" si="3"/>
        <v>430</v>
      </c>
      <c r="K76" s="70">
        <f t="shared" si="4"/>
        <v>7.4999999999999997E-2</v>
      </c>
      <c r="L76" s="71">
        <f t="shared" si="5"/>
        <v>6.7911000000000001</v>
      </c>
    </row>
    <row r="77" spans="1:12" ht="14.25" customHeight="1" x14ac:dyDescent="0.35">
      <c r="A77" s="72">
        <v>30</v>
      </c>
      <c r="B77" s="73" t="s">
        <v>284</v>
      </c>
      <c r="C77" s="73" t="s">
        <v>279</v>
      </c>
      <c r="D77" s="74">
        <v>90</v>
      </c>
      <c r="E77" s="74">
        <v>30493</v>
      </c>
      <c r="F77" s="74">
        <v>260</v>
      </c>
      <c r="G77" s="68">
        <v>299</v>
      </c>
      <c r="H77" s="68">
        <v>247</v>
      </c>
      <c r="I77" s="68">
        <v>221</v>
      </c>
      <c r="J77" s="75">
        <f t="shared" si="3"/>
        <v>280</v>
      </c>
      <c r="K77" s="76">
        <f t="shared" si="4"/>
        <v>7.6923076923076927E-2</v>
      </c>
      <c r="L77" s="77">
        <f t="shared" si="5"/>
        <v>6.0986000000000002</v>
      </c>
    </row>
    <row r="78" spans="1:12" ht="14.25" customHeight="1" x14ac:dyDescent="0.35">
      <c r="A78" s="65">
        <v>31</v>
      </c>
      <c r="B78" s="66" t="s">
        <v>285</v>
      </c>
      <c r="C78" s="66" t="s">
        <v>246</v>
      </c>
      <c r="D78" s="67">
        <v>89</v>
      </c>
      <c r="E78" s="67">
        <v>15521</v>
      </c>
      <c r="F78" s="67">
        <v>650</v>
      </c>
      <c r="G78" s="68">
        <v>747</v>
      </c>
      <c r="H78" s="68">
        <v>618</v>
      </c>
      <c r="I78" s="68">
        <v>553</v>
      </c>
      <c r="J78" s="69">
        <f t="shared" si="3"/>
        <v>699</v>
      </c>
      <c r="K78" s="70">
        <f t="shared" si="4"/>
        <v>7.5384615384615383E-2</v>
      </c>
      <c r="L78" s="71">
        <f t="shared" si="5"/>
        <v>7.6052900000000001</v>
      </c>
    </row>
    <row r="79" spans="1:12" ht="14.25" customHeight="1" x14ac:dyDescent="0.35">
      <c r="A79" s="72">
        <v>32</v>
      </c>
      <c r="B79" s="73" t="s">
        <v>286</v>
      </c>
      <c r="C79" s="73" t="s">
        <v>273</v>
      </c>
      <c r="D79" s="74">
        <v>89</v>
      </c>
      <c r="E79" s="74">
        <v>11474</v>
      </c>
      <c r="F79" s="74">
        <v>820</v>
      </c>
      <c r="G79" s="68">
        <v>943</v>
      </c>
      <c r="H79" s="68">
        <v>779</v>
      </c>
      <c r="I79" s="68">
        <v>697</v>
      </c>
      <c r="J79" s="75">
        <f t="shared" si="3"/>
        <v>882</v>
      </c>
      <c r="K79" s="76">
        <f t="shared" si="4"/>
        <v>7.5609756097560973E-2</v>
      </c>
      <c r="L79" s="77">
        <f t="shared" si="5"/>
        <v>7.11388</v>
      </c>
    </row>
    <row r="80" spans="1:12" ht="14.25" customHeight="1" x14ac:dyDescent="0.35">
      <c r="A80" s="65">
        <v>33</v>
      </c>
      <c r="B80" s="66" t="s">
        <v>287</v>
      </c>
      <c r="C80" s="66" t="s">
        <v>254</v>
      </c>
      <c r="D80" s="67">
        <v>85</v>
      </c>
      <c r="E80" s="67">
        <v>661</v>
      </c>
      <c r="F80" s="67">
        <v>19190</v>
      </c>
      <c r="G80" s="68">
        <v>24947</v>
      </c>
      <c r="H80" s="68">
        <v>19190</v>
      </c>
      <c r="I80" s="68">
        <v>16312</v>
      </c>
      <c r="J80" s="69">
        <f t="shared" si="3"/>
        <v>22069</v>
      </c>
      <c r="K80" s="70">
        <f t="shared" si="4"/>
        <v>0.15002605523710266</v>
      </c>
      <c r="L80" s="71">
        <f t="shared" si="5"/>
        <v>19.030190000000001</v>
      </c>
    </row>
    <row r="81" spans="1:12" ht="14.25" customHeight="1" x14ac:dyDescent="0.35">
      <c r="A81" s="72">
        <v>34</v>
      </c>
      <c r="B81" s="73" t="s">
        <v>288</v>
      </c>
      <c r="C81" s="73" t="s">
        <v>258</v>
      </c>
      <c r="D81" s="74">
        <v>85</v>
      </c>
      <c r="E81" s="74">
        <v>1702</v>
      </c>
      <c r="F81" s="74">
        <v>5000</v>
      </c>
      <c r="G81" s="68">
        <v>6000</v>
      </c>
      <c r="H81" s="68">
        <v>5000</v>
      </c>
      <c r="I81" s="68">
        <v>4250</v>
      </c>
      <c r="J81" s="75">
        <f t="shared" si="3"/>
        <v>5500</v>
      </c>
      <c r="K81" s="76">
        <f t="shared" si="4"/>
        <v>0.1</v>
      </c>
      <c r="L81" s="77">
        <f t="shared" si="5"/>
        <v>8.51</v>
      </c>
    </row>
    <row r="82" spans="1:12" ht="14.25" customHeight="1" x14ac:dyDescent="0.35">
      <c r="A82" s="65">
        <v>35</v>
      </c>
      <c r="B82" s="66" t="s">
        <v>289</v>
      </c>
      <c r="C82" s="66" t="s">
        <v>244</v>
      </c>
      <c r="D82" s="67">
        <v>84</v>
      </c>
      <c r="E82" s="67">
        <v>29433</v>
      </c>
      <c r="F82" s="67">
        <v>240</v>
      </c>
      <c r="G82" s="68">
        <v>288</v>
      </c>
      <c r="H82" s="68">
        <v>228</v>
      </c>
      <c r="I82" s="68">
        <v>204</v>
      </c>
      <c r="J82" s="69">
        <f t="shared" si="3"/>
        <v>264</v>
      </c>
      <c r="K82" s="70">
        <f t="shared" si="4"/>
        <v>0.1</v>
      </c>
      <c r="L82" s="71">
        <f t="shared" si="5"/>
        <v>7.0639200000000004</v>
      </c>
    </row>
    <row r="83" spans="1:12" ht="14.25" customHeight="1" x14ac:dyDescent="0.35">
      <c r="A83" s="72">
        <v>36</v>
      </c>
      <c r="B83" s="73" t="s">
        <v>290</v>
      </c>
      <c r="C83" s="73" t="s">
        <v>258</v>
      </c>
      <c r="D83" s="74">
        <v>75</v>
      </c>
      <c r="E83" s="74">
        <v>40</v>
      </c>
      <c r="F83" s="74">
        <v>185000</v>
      </c>
      <c r="G83" s="68">
        <v>222000</v>
      </c>
      <c r="H83" s="68">
        <v>185000</v>
      </c>
      <c r="I83" s="68">
        <v>157250</v>
      </c>
      <c r="J83" s="75">
        <f t="shared" si="3"/>
        <v>203500</v>
      </c>
      <c r="K83" s="76">
        <f t="shared" si="4"/>
        <v>0.1</v>
      </c>
      <c r="L83" s="77">
        <f t="shared" si="5"/>
        <v>7.4</v>
      </c>
    </row>
    <row r="84" spans="1:12" ht="14.25" customHeight="1" x14ac:dyDescent="0.35">
      <c r="A84" s="65">
        <v>37</v>
      </c>
      <c r="B84" s="66" t="s">
        <v>291</v>
      </c>
      <c r="C84" s="66" t="s">
        <v>292</v>
      </c>
      <c r="D84" s="67">
        <v>72</v>
      </c>
      <c r="E84" s="67">
        <v>21875</v>
      </c>
      <c r="F84" s="67">
        <v>310</v>
      </c>
      <c r="G84" s="68">
        <v>388</v>
      </c>
      <c r="H84" s="68">
        <v>295</v>
      </c>
      <c r="I84" s="68">
        <v>248</v>
      </c>
      <c r="J84" s="69">
        <f t="shared" si="3"/>
        <v>349</v>
      </c>
      <c r="K84" s="70">
        <f t="shared" si="4"/>
        <v>0.12580645161290321</v>
      </c>
      <c r="L84" s="71">
        <f t="shared" si="5"/>
        <v>8.53125</v>
      </c>
    </row>
    <row r="85" spans="1:12" ht="14.25" customHeight="1" x14ac:dyDescent="0.35">
      <c r="A85" s="72">
        <v>38</v>
      </c>
      <c r="B85" s="73" t="s">
        <v>293</v>
      </c>
      <c r="C85" s="73" t="s">
        <v>294</v>
      </c>
      <c r="D85" s="74">
        <v>70</v>
      </c>
      <c r="E85" s="74">
        <v>2528</v>
      </c>
      <c r="F85" s="74">
        <v>2340</v>
      </c>
      <c r="G85" s="68">
        <v>3042</v>
      </c>
      <c r="H85" s="68">
        <v>2340</v>
      </c>
      <c r="I85" s="68">
        <v>1989</v>
      </c>
      <c r="J85" s="75">
        <f t="shared" si="3"/>
        <v>2691</v>
      </c>
      <c r="K85" s="76">
        <f t="shared" si="4"/>
        <v>0.15</v>
      </c>
      <c r="L85" s="77">
        <f t="shared" si="5"/>
        <v>8.8732799999999994</v>
      </c>
    </row>
    <row r="86" spans="1:12" ht="14.25" customHeight="1" x14ac:dyDescent="0.35">
      <c r="A86" s="65">
        <v>39</v>
      </c>
      <c r="B86" s="66" t="s">
        <v>295</v>
      </c>
      <c r="C86" s="66" t="s">
        <v>246</v>
      </c>
      <c r="D86" s="67">
        <v>70</v>
      </c>
      <c r="E86" s="67">
        <v>3394</v>
      </c>
      <c r="F86" s="67">
        <v>1830</v>
      </c>
      <c r="G86" s="68">
        <v>2105</v>
      </c>
      <c r="H86" s="68">
        <v>1739</v>
      </c>
      <c r="I86" s="68">
        <v>1556</v>
      </c>
      <c r="J86" s="69">
        <f t="shared" si="3"/>
        <v>1968</v>
      </c>
      <c r="K86" s="70">
        <f t="shared" si="4"/>
        <v>7.5409836065573776E-2</v>
      </c>
      <c r="L86" s="71">
        <f t="shared" si="5"/>
        <v>4.6837200000000001</v>
      </c>
    </row>
    <row r="87" spans="1:12" ht="14.25" customHeight="1" x14ac:dyDescent="0.35">
      <c r="A87" s="72">
        <v>40</v>
      </c>
      <c r="B87" s="73" t="s">
        <v>296</v>
      </c>
      <c r="C87" s="73" t="s">
        <v>297</v>
      </c>
      <c r="D87" s="74">
        <v>70</v>
      </c>
      <c r="E87" s="74">
        <v>3415</v>
      </c>
      <c r="F87" s="74">
        <v>1890</v>
      </c>
      <c r="G87" s="68">
        <v>2174</v>
      </c>
      <c r="H87" s="68">
        <v>1796</v>
      </c>
      <c r="I87" s="68">
        <v>1607</v>
      </c>
      <c r="J87" s="75">
        <f t="shared" si="3"/>
        <v>2032</v>
      </c>
      <c r="K87" s="76">
        <f t="shared" si="4"/>
        <v>7.5132275132275134E-2</v>
      </c>
      <c r="L87" s="77">
        <f t="shared" si="5"/>
        <v>4.8493000000000004</v>
      </c>
    </row>
    <row r="88" spans="1:12" ht="14.25" customHeight="1" x14ac:dyDescent="0.35">
      <c r="A88" s="65">
        <v>41</v>
      </c>
      <c r="B88" s="66" t="s">
        <v>298</v>
      </c>
      <c r="C88" s="66" t="s">
        <v>267</v>
      </c>
      <c r="D88" s="67">
        <v>69</v>
      </c>
      <c r="E88" s="67">
        <v>1759</v>
      </c>
      <c r="F88" s="67">
        <v>4000</v>
      </c>
      <c r="G88" s="68">
        <v>5000</v>
      </c>
      <c r="H88" s="68">
        <v>3800</v>
      </c>
      <c r="I88" s="68">
        <v>3200</v>
      </c>
      <c r="J88" s="69">
        <f t="shared" si="3"/>
        <v>4500</v>
      </c>
      <c r="K88" s="70">
        <f t="shared" si="4"/>
        <v>0.125</v>
      </c>
      <c r="L88" s="71">
        <f t="shared" si="5"/>
        <v>8.7949999999999999</v>
      </c>
    </row>
    <row r="89" spans="1:12" ht="14.25" customHeight="1" x14ac:dyDescent="0.35">
      <c r="A89" s="72">
        <v>42</v>
      </c>
      <c r="B89" s="73" t="s">
        <v>299</v>
      </c>
      <c r="C89" s="73" t="s">
        <v>246</v>
      </c>
      <c r="D89" s="74">
        <v>69</v>
      </c>
      <c r="E89" s="74">
        <v>22439</v>
      </c>
      <c r="F89" s="74">
        <v>300</v>
      </c>
      <c r="G89" s="68">
        <v>345</v>
      </c>
      <c r="H89" s="68">
        <v>285</v>
      </c>
      <c r="I89" s="68">
        <v>255</v>
      </c>
      <c r="J89" s="75">
        <f t="shared" si="3"/>
        <v>323</v>
      </c>
      <c r="K89" s="76">
        <f t="shared" si="4"/>
        <v>7.6666666666666661E-2</v>
      </c>
      <c r="L89" s="77">
        <f t="shared" si="5"/>
        <v>5.1609699999999998</v>
      </c>
    </row>
    <row r="90" spans="1:12" ht="14.25" customHeight="1" x14ac:dyDescent="0.35">
      <c r="A90" s="65">
        <v>43</v>
      </c>
      <c r="B90" s="66" t="s">
        <v>300</v>
      </c>
      <c r="C90" s="66" t="s">
        <v>301</v>
      </c>
      <c r="D90" s="67">
        <v>67</v>
      </c>
      <c r="E90" s="67">
        <v>111</v>
      </c>
      <c r="F90" s="67">
        <v>40000</v>
      </c>
      <c r="G90" s="68">
        <v>52000</v>
      </c>
      <c r="H90" s="68">
        <v>40000</v>
      </c>
      <c r="I90" s="68">
        <v>34000</v>
      </c>
      <c r="J90" s="69">
        <f t="shared" si="3"/>
        <v>46000</v>
      </c>
      <c r="K90" s="70">
        <f t="shared" si="4"/>
        <v>0.15</v>
      </c>
      <c r="L90" s="71">
        <f t="shared" si="5"/>
        <v>6.66</v>
      </c>
    </row>
    <row r="91" spans="1:12" ht="14.25" customHeight="1" x14ac:dyDescent="0.35">
      <c r="A91" s="72">
        <v>44</v>
      </c>
      <c r="B91" s="73" t="s">
        <v>302</v>
      </c>
      <c r="C91" s="73" t="s">
        <v>301</v>
      </c>
      <c r="D91" s="74">
        <v>66</v>
      </c>
      <c r="E91" s="74">
        <v>116</v>
      </c>
      <c r="F91" s="74">
        <v>40000</v>
      </c>
      <c r="G91" s="68">
        <v>52000</v>
      </c>
      <c r="H91" s="68">
        <v>40000</v>
      </c>
      <c r="I91" s="68">
        <v>34000</v>
      </c>
      <c r="J91" s="75">
        <f t="shared" si="3"/>
        <v>46000</v>
      </c>
      <c r="K91" s="76">
        <f t="shared" si="4"/>
        <v>0.15</v>
      </c>
      <c r="L91" s="77">
        <f t="shared" si="5"/>
        <v>6.96</v>
      </c>
    </row>
    <row r="92" spans="1:12" ht="14.25" customHeight="1" x14ac:dyDescent="0.35">
      <c r="A92" s="65">
        <v>45</v>
      </c>
      <c r="B92" s="66" t="s">
        <v>303</v>
      </c>
      <c r="C92" s="66" t="s">
        <v>256</v>
      </c>
      <c r="D92" s="67">
        <v>63</v>
      </c>
      <c r="E92" s="67">
        <v>1031</v>
      </c>
      <c r="F92" s="67">
        <v>6000</v>
      </c>
      <c r="G92" s="68">
        <v>7500</v>
      </c>
      <c r="H92" s="68">
        <v>5700</v>
      </c>
      <c r="I92" s="68">
        <v>4800</v>
      </c>
      <c r="J92" s="69">
        <f t="shared" si="3"/>
        <v>6750</v>
      </c>
      <c r="K92" s="70">
        <f t="shared" si="4"/>
        <v>0.125</v>
      </c>
      <c r="L92" s="71">
        <f t="shared" si="5"/>
        <v>7.7324999999999999</v>
      </c>
    </row>
    <row r="93" spans="1:12" ht="14.25" customHeight="1" x14ac:dyDescent="0.35">
      <c r="A93" s="72">
        <v>46</v>
      </c>
      <c r="B93" s="73" t="s">
        <v>304</v>
      </c>
      <c r="C93" s="73" t="s">
        <v>267</v>
      </c>
      <c r="D93" s="74">
        <v>62</v>
      </c>
      <c r="E93" s="74">
        <v>541</v>
      </c>
      <c r="F93" s="74">
        <v>11000</v>
      </c>
      <c r="G93" s="68">
        <v>13750</v>
      </c>
      <c r="H93" s="68">
        <v>10450</v>
      </c>
      <c r="I93" s="68">
        <v>8800</v>
      </c>
      <c r="J93" s="75">
        <f t="shared" si="3"/>
        <v>12375</v>
      </c>
      <c r="K93" s="76">
        <f t="shared" si="4"/>
        <v>0.125</v>
      </c>
      <c r="L93" s="77">
        <f t="shared" si="5"/>
        <v>7.4387499999999998</v>
      </c>
    </row>
    <row r="94" spans="1:12" ht="14.25" customHeight="1" x14ac:dyDescent="0.35">
      <c r="A94" s="65">
        <v>47</v>
      </c>
      <c r="B94" s="66" t="s">
        <v>305</v>
      </c>
      <c r="C94" s="66" t="s">
        <v>246</v>
      </c>
      <c r="D94" s="67">
        <v>60</v>
      </c>
      <c r="E94" s="67">
        <v>5303</v>
      </c>
      <c r="F94" s="67">
        <v>1130</v>
      </c>
      <c r="G94" s="68">
        <v>1300</v>
      </c>
      <c r="H94" s="68">
        <v>1074</v>
      </c>
      <c r="I94" s="68">
        <v>961</v>
      </c>
      <c r="J94" s="69">
        <f t="shared" si="3"/>
        <v>1215</v>
      </c>
      <c r="K94" s="70">
        <f t="shared" si="4"/>
        <v>7.5221238938053103E-2</v>
      </c>
      <c r="L94" s="71">
        <f t="shared" si="5"/>
        <v>4.5075500000000002</v>
      </c>
    </row>
    <row r="95" spans="1:12" ht="14.25" customHeight="1" x14ac:dyDescent="0.35">
      <c r="A95" s="72">
        <v>48</v>
      </c>
      <c r="B95" s="73" t="s">
        <v>306</v>
      </c>
      <c r="C95" s="73" t="s">
        <v>252</v>
      </c>
      <c r="D95" s="74">
        <v>59</v>
      </c>
      <c r="E95" s="74">
        <v>5653</v>
      </c>
      <c r="F95" s="74">
        <v>1050</v>
      </c>
      <c r="G95" s="68">
        <v>1313</v>
      </c>
      <c r="H95" s="68">
        <v>998</v>
      </c>
      <c r="I95" s="68">
        <v>840</v>
      </c>
      <c r="J95" s="75">
        <f t="shared" si="3"/>
        <v>1182</v>
      </c>
      <c r="K95" s="76">
        <f t="shared" si="4"/>
        <v>0.12571428571428572</v>
      </c>
      <c r="L95" s="77">
        <f t="shared" si="5"/>
        <v>7.4619600000000004</v>
      </c>
    </row>
    <row r="96" spans="1:12" ht="14.25" customHeight="1" x14ac:dyDescent="0.35">
      <c r="A96" s="65">
        <v>49</v>
      </c>
      <c r="B96" s="66" t="s">
        <v>307</v>
      </c>
      <c r="C96" s="66" t="s">
        <v>279</v>
      </c>
      <c r="D96" s="67">
        <v>57</v>
      </c>
      <c r="E96" s="67">
        <v>18835</v>
      </c>
      <c r="F96" s="67">
        <v>300</v>
      </c>
      <c r="G96" s="68">
        <v>345</v>
      </c>
      <c r="H96" s="68">
        <v>285</v>
      </c>
      <c r="I96" s="68">
        <v>255</v>
      </c>
      <c r="J96" s="69">
        <f t="shared" si="3"/>
        <v>323</v>
      </c>
      <c r="K96" s="70">
        <f t="shared" si="4"/>
        <v>7.6666666666666661E-2</v>
      </c>
      <c r="L96" s="71">
        <f t="shared" si="5"/>
        <v>4.3320499999999997</v>
      </c>
    </row>
    <row r="97" spans="1:12" ht="14.25" customHeight="1" x14ac:dyDescent="0.35">
      <c r="A97" s="72">
        <v>50</v>
      </c>
      <c r="B97" s="73" t="s">
        <v>308</v>
      </c>
      <c r="C97" s="73" t="s">
        <v>246</v>
      </c>
      <c r="D97" s="74">
        <v>56</v>
      </c>
      <c r="E97" s="74">
        <v>3323</v>
      </c>
      <c r="F97" s="74">
        <v>950</v>
      </c>
      <c r="G97" s="68">
        <v>1093</v>
      </c>
      <c r="H97" s="68">
        <v>903</v>
      </c>
      <c r="I97" s="68">
        <v>808</v>
      </c>
      <c r="J97" s="75">
        <f t="shared" si="3"/>
        <v>1022</v>
      </c>
      <c r="K97" s="76">
        <f t="shared" si="4"/>
        <v>7.5789473684210532E-2</v>
      </c>
      <c r="L97" s="77">
        <f t="shared" si="5"/>
        <v>2.39256</v>
      </c>
    </row>
    <row r="98" spans="1:12" ht="14.25" customHeight="1" x14ac:dyDescent="0.35">
      <c r="I98" s="78" t="s">
        <v>309</v>
      </c>
      <c r="J98" s="79"/>
      <c r="K98" s="79"/>
      <c r="L98" s="80">
        <f>SUM(L48:L97)</f>
        <v>607.65860000000009</v>
      </c>
    </row>
    <row r="99" spans="1:12" ht="14.25" customHeight="1" x14ac:dyDescent="0.35">
      <c r="A99" s="81" t="s">
        <v>310</v>
      </c>
    </row>
    <row r="100" spans="1:12" ht="14.25" customHeight="1" x14ac:dyDescent="0.35">
      <c r="A100" s="82" t="s">
        <v>311</v>
      </c>
    </row>
    <row r="101" spans="1:12" ht="14.25" customHeight="1" x14ac:dyDescent="0.35">
      <c r="A101" s="83" t="s">
        <v>312</v>
      </c>
    </row>
    <row r="102" spans="1:12" ht="14.25" customHeight="1" x14ac:dyDescent="0.35"/>
    <row r="103" spans="1:12" ht="14.25" customHeight="1" x14ac:dyDescent="0.35">
      <c r="A103" s="41" t="s">
        <v>313</v>
      </c>
      <c r="B103" s="43" t="s">
        <v>314</v>
      </c>
      <c r="D103" s="41" t="s">
        <v>315</v>
      </c>
    </row>
    <row r="104" spans="1:12" ht="14.25" customHeight="1" x14ac:dyDescent="0.35">
      <c r="A104" s="66" t="s">
        <v>316</v>
      </c>
      <c r="B104" s="84" t="s">
        <v>317</v>
      </c>
      <c r="D104" s="85" t="s">
        <v>318</v>
      </c>
    </row>
    <row r="105" spans="1:12" ht="14.25" customHeight="1" x14ac:dyDescent="0.35">
      <c r="A105" s="73" t="s">
        <v>319</v>
      </c>
      <c r="B105" s="86" t="s">
        <v>320</v>
      </c>
      <c r="D105" s="87" t="s">
        <v>321</v>
      </c>
    </row>
    <row r="106" spans="1:12" ht="14.25" customHeight="1" x14ac:dyDescent="0.35">
      <c r="A106" s="88" t="s">
        <v>309</v>
      </c>
      <c r="B106" s="89" t="s">
        <v>322</v>
      </c>
      <c r="D106" s="79"/>
    </row>
    <row r="107" spans="1:12" ht="14.25" customHeight="1" x14ac:dyDescent="0.35"/>
    <row r="108" spans="1:12" ht="14.25" customHeight="1" x14ac:dyDescent="0.35">
      <c r="A108" s="62" t="s">
        <v>323</v>
      </c>
    </row>
    <row r="109" spans="1:12" ht="14.25" customHeight="1" x14ac:dyDescent="0.35"/>
    <row r="110" spans="1:12" ht="14.25" customHeight="1" x14ac:dyDescent="0.35"/>
    <row r="111" spans="1:12" ht="14.25" customHeight="1" x14ac:dyDescent="0.35"/>
    <row r="112" spans="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8">
    <mergeCell ref="A11:B11"/>
    <mergeCell ref="A18:I18"/>
    <mergeCell ref="A19:I19"/>
    <mergeCell ref="A1:B1"/>
    <mergeCell ref="A2:B2"/>
    <mergeCell ref="A3:B3"/>
    <mergeCell ref="A9:B9"/>
    <mergeCell ref="A10:B10"/>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499984740745262"/>
  </sheetPr>
  <dimension ref="A1:Q1000"/>
  <sheetViews>
    <sheetView workbookViewId="0">
      <selection activeCell="F6" sqref="F6"/>
    </sheetView>
  </sheetViews>
  <sheetFormatPr defaultColWidth="14.453125" defaultRowHeight="15" customHeight="1" x14ac:dyDescent="0.35"/>
  <cols>
    <col min="1" max="1" width="22" customWidth="1"/>
    <col min="2" max="2" width="70" customWidth="1"/>
    <col min="3" max="3" width="43.1796875" bestFit="1" customWidth="1"/>
    <col min="4" max="4" width="13.7265625" bestFit="1" customWidth="1"/>
    <col min="5" max="26" width="8.7265625" customWidth="1"/>
  </cols>
  <sheetData>
    <row r="1" spans="1:17" ht="30" customHeight="1" x14ac:dyDescent="0.35">
      <c r="A1" s="160" t="s">
        <v>324</v>
      </c>
      <c r="B1" s="161"/>
    </row>
    <row r="2" spans="1:17" ht="18" customHeight="1" x14ac:dyDescent="0.35">
      <c r="A2" s="162" t="s">
        <v>30</v>
      </c>
      <c r="B2" s="163"/>
      <c r="H2" s="207">
        <v>0.03</v>
      </c>
      <c r="I2" s="207">
        <v>0.05</v>
      </c>
      <c r="J2" s="207">
        <v>7.0000000000000007E-2</v>
      </c>
      <c r="K2" s="207">
        <v>0.09</v>
      </c>
      <c r="L2" s="207">
        <v>0.11</v>
      </c>
      <c r="M2" s="207">
        <v>0.13</v>
      </c>
      <c r="N2" s="207">
        <v>0.15</v>
      </c>
      <c r="O2" s="207">
        <v>0.17</v>
      </c>
      <c r="P2" s="207">
        <v>0.2</v>
      </c>
      <c r="Q2" s="206">
        <f>SUM(H2:P2)</f>
        <v>1</v>
      </c>
    </row>
    <row r="3" spans="1:17" ht="13.5" customHeight="1" x14ac:dyDescent="0.35">
      <c r="A3" s="164" t="s">
        <v>180</v>
      </c>
      <c r="B3" s="163"/>
      <c r="D3" t="s">
        <v>760</v>
      </c>
      <c r="E3" t="s">
        <v>433</v>
      </c>
      <c r="F3" t="s">
        <v>434</v>
      </c>
      <c r="G3" t="s">
        <v>513</v>
      </c>
      <c r="H3" t="s">
        <v>436</v>
      </c>
      <c r="I3" t="s">
        <v>437</v>
      </c>
      <c r="J3" t="s">
        <v>438</v>
      </c>
      <c r="K3" t="s">
        <v>439</v>
      </c>
      <c r="L3" t="s">
        <v>440</v>
      </c>
      <c r="M3" t="s">
        <v>441</v>
      </c>
      <c r="N3" t="s">
        <v>442</v>
      </c>
      <c r="O3" t="s">
        <v>443</v>
      </c>
      <c r="P3" t="s">
        <v>444</v>
      </c>
    </row>
    <row r="4" spans="1:17" ht="72" customHeight="1" x14ac:dyDescent="0.35">
      <c r="A4" s="36" t="s">
        <v>181</v>
      </c>
      <c r="B4" s="37" t="s">
        <v>325</v>
      </c>
      <c r="C4" t="s">
        <v>756</v>
      </c>
      <c r="D4" s="208">
        <v>25000000</v>
      </c>
      <c r="E4">
        <v>0</v>
      </c>
      <c r="F4">
        <v>0</v>
      </c>
      <c r="G4">
        <v>0</v>
      </c>
      <c r="H4">
        <f>+H$2*$D$4</f>
        <v>750000</v>
      </c>
      <c r="I4">
        <f t="shared" ref="I4:P4" si="0">+I$2*$D$4</f>
        <v>1250000</v>
      </c>
      <c r="J4">
        <f t="shared" si="0"/>
        <v>1750000.0000000002</v>
      </c>
      <c r="K4">
        <f t="shared" si="0"/>
        <v>2250000</v>
      </c>
      <c r="L4">
        <f t="shared" si="0"/>
        <v>2750000</v>
      </c>
      <c r="M4">
        <f t="shared" si="0"/>
        <v>3250000</v>
      </c>
      <c r="N4">
        <f t="shared" si="0"/>
        <v>3750000</v>
      </c>
      <c r="O4">
        <f t="shared" si="0"/>
        <v>4250000</v>
      </c>
      <c r="P4">
        <f t="shared" si="0"/>
        <v>5000000</v>
      </c>
    </row>
    <row r="5" spans="1:17" ht="18" customHeight="1" x14ac:dyDescent="0.35">
      <c r="A5" s="38" t="s">
        <v>19</v>
      </c>
      <c r="B5" s="39">
        <v>46113</v>
      </c>
      <c r="C5" t="s">
        <v>757</v>
      </c>
    </row>
    <row r="6" spans="1:17" ht="18" customHeight="1" x14ac:dyDescent="0.35">
      <c r="A6" s="38" t="s">
        <v>183</v>
      </c>
      <c r="B6" s="37" t="s">
        <v>36</v>
      </c>
      <c r="C6" t="s">
        <v>758</v>
      </c>
      <c r="D6" s="208">
        <f>+SUM(E6:P6)</f>
        <v>1650000</v>
      </c>
      <c r="F6">
        <v>150000</v>
      </c>
      <c r="G6">
        <v>150000</v>
      </c>
      <c r="H6">
        <v>150000</v>
      </c>
      <c r="I6">
        <v>150000</v>
      </c>
      <c r="J6">
        <v>150000</v>
      </c>
      <c r="K6">
        <v>150000</v>
      </c>
      <c r="L6">
        <v>150000</v>
      </c>
      <c r="M6">
        <v>150000</v>
      </c>
      <c r="N6">
        <v>150000</v>
      </c>
      <c r="O6">
        <v>150000</v>
      </c>
      <c r="P6">
        <v>150000</v>
      </c>
    </row>
    <row r="7" spans="1:17" ht="18" customHeight="1" x14ac:dyDescent="0.35">
      <c r="A7" s="38" t="s">
        <v>184</v>
      </c>
      <c r="B7" s="37" t="s">
        <v>326</v>
      </c>
      <c r="C7" t="s">
        <v>759</v>
      </c>
      <c r="D7" s="209"/>
    </row>
    <row r="8" spans="1:17" ht="18" customHeight="1" x14ac:dyDescent="0.35"/>
    <row r="9" spans="1:17" ht="13.5" customHeight="1" x14ac:dyDescent="0.35">
      <c r="A9" s="164" t="s">
        <v>186</v>
      </c>
      <c r="B9" s="163"/>
    </row>
    <row r="10" spans="1:17" ht="160.5" customHeight="1" x14ac:dyDescent="0.35">
      <c r="A10" s="165" t="s">
        <v>327</v>
      </c>
      <c r="B10" s="163"/>
    </row>
    <row r="11" spans="1:17" ht="13.5" customHeight="1" x14ac:dyDescent="0.35">
      <c r="A11" s="164" t="s">
        <v>188</v>
      </c>
      <c r="B11" s="163"/>
    </row>
    <row r="12" spans="1:17" ht="18" customHeight="1" x14ac:dyDescent="0.35">
      <c r="A12" s="38" t="s">
        <v>189</v>
      </c>
      <c r="B12" s="40" t="s">
        <v>328</v>
      </c>
    </row>
    <row r="13" spans="1:17" ht="24" customHeight="1" x14ac:dyDescent="0.35">
      <c r="A13" s="38" t="s">
        <v>191</v>
      </c>
      <c r="B13" s="40" t="s">
        <v>329</v>
      </c>
    </row>
    <row r="14" spans="1:17" ht="24" customHeight="1" x14ac:dyDescent="0.35">
      <c r="A14" s="38" t="s">
        <v>193</v>
      </c>
      <c r="B14" s="40" t="s">
        <v>330</v>
      </c>
    </row>
    <row r="15" spans="1:17" ht="42.75" customHeight="1" x14ac:dyDescent="0.35">
      <c r="A15" s="38" t="s">
        <v>195</v>
      </c>
      <c r="B15" s="40" t="s">
        <v>331</v>
      </c>
    </row>
    <row r="16" spans="1:17" ht="38.5" customHeight="1" x14ac:dyDescent="0.35">
      <c r="A16" s="113" t="s">
        <v>546</v>
      </c>
      <c r="B16" s="114" t="s">
        <v>755</v>
      </c>
    </row>
    <row r="17" spans="1:2" ht="79" customHeight="1" x14ac:dyDescent="0.35">
      <c r="A17" s="113" t="s">
        <v>546</v>
      </c>
      <c r="B17" s="114" t="s">
        <v>762</v>
      </c>
    </row>
    <row r="18" spans="1:2" ht="14.25" customHeight="1" x14ac:dyDescent="0.35"/>
    <row r="19" spans="1:2" ht="14.25" customHeight="1" x14ac:dyDescent="0.35"/>
    <row r="20" spans="1:2" ht="14.25" customHeight="1" x14ac:dyDescent="0.35"/>
    <row r="21" spans="1:2" ht="14.25" customHeight="1" x14ac:dyDescent="0.35"/>
    <row r="22" spans="1:2" ht="14.25" customHeight="1" x14ac:dyDescent="0.35"/>
    <row r="23" spans="1:2" ht="14.25" customHeight="1" x14ac:dyDescent="0.35"/>
    <row r="24" spans="1:2" ht="14.25" customHeight="1" x14ac:dyDescent="0.35"/>
    <row r="25" spans="1:2" ht="14.25" customHeight="1" x14ac:dyDescent="0.35"/>
    <row r="26" spans="1:2" ht="14.25" customHeight="1" x14ac:dyDescent="0.35"/>
    <row r="27" spans="1:2" ht="14.25" customHeight="1" x14ac:dyDescent="0.35"/>
    <row r="28" spans="1:2" ht="14.25" customHeight="1" x14ac:dyDescent="0.35"/>
    <row r="29" spans="1:2" ht="14.25" customHeight="1" x14ac:dyDescent="0.35"/>
    <row r="30" spans="1:2" ht="14.25" customHeight="1" x14ac:dyDescent="0.35"/>
    <row r="31" spans="1:2" ht="14.25" customHeight="1" x14ac:dyDescent="0.35"/>
    <row r="32" spans="1: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honeticPr fontId="36" type="noConversion"/>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B18" sqref="B18"/>
    </sheetView>
  </sheetViews>
  <sheetFormatPr defaultColWidth="14.453125" defaultRowHeight="15" customHeight="1" x14ac:dyDescent="0.35"/>
  <cols>
    <col min="1" max="1" width="36.453125" customWidth="1"/>
    <col min="2" max="2" width="42.54296875" customWidth="1"/>
    <col min="3" max="3" width="14.54296875" customWidth="1"/>
    <col min="4" max="4" width="9.08984375" customWidth="1"/>
    <col min="5" max="5" width="45.453125" customWidth="1"/>
    <col min="6" max="26" width="8.7265625" customWidth="1"/>
  </cols>
  <sheetData>
    <row r="1" spans="1:2" ht="30" customHeight="1" x14ac:dyDescent="0.35">
      <c r="A1" s="160" t="s">
        <v>332</v>
      </c>
      <c r="B1" s="161"/>
    </row>
    <row r="2" spans="1:2" ht="18" customHeight="1" x14ac:dyDescent="0.35">
      <c r="A2" s="162" t="s">
        <v>30</v>
      </c>
      <c r="B2" s="163"/>
    </row>
    <row r="3" spans="1:2" ht="13.5" customHeight="1" x14ac:dyDescent="0.35">
      <c r="A3" s="164" t="s">
        <v>180</v>
      </c>
      <c r="B3" s="163"/>
    </row>
    <row r="4" spans="1:2" ht="72" customHeight="1" x14ac:dyDescent="0.35">
      <c r="A4" s="36" t="s">
        <v>181</v>
      </c>
      <c r="B4" s="37" t="s">
        <v>333</v>
      </c>
    </row>
    <row r="5" spans="1:2" ht="18" customHeight="1" x14ac:dyDescent="0.35">
      <c r="A5" s="38" t="s">
        <v>19</v>
      </c>
      <c r="B5" s="39">
        <v>46113</v>
      </c>
    </row>
    <row r="6" spans="1:2" ht="36" customHeight="1" x14ac:dyDescent="0.35">
      <c r="A6" s="38" t="s">
        <v>183</v>
      </c>
      <c r="B6" s="37" t="s">
        <v>40</v>
      </c>
    </row>
    <row r="7" spans="1:2" ht="21" customHeight="1" x14ac:dyDescent="0.35">
      <c r="A7" s="38" t="s">
        <v>184</v>
      </c>
      <c r="B7" s="37" t="s">
        <v>334</v>
      </c>
    </row>
    <row r="8" spans="1:2" ht="18" customHeight="1" x14ac:dyDescent="0.35"/>
    <row r="9" spans="1:2" ht="13.5" customHeight="1" x14ac:dyDescent="0.35">
      <c r="A9" s="164" t="s">
        <v>186</v>
      </c>
      <c r="B9" s="163"/>
    </row>
    <row r="10" spans="1:2" ht="153" customHeight="1" x14ac:dyDescent="0.35">
      <c r="A10" s="165" t="s">
        <v>335</v>
      </c>
      <c r="B10" s="163"/>
    </row>
    <row r="11" spans="1:2" ht="13.5" customHeight="1" x14ac:dyDescent="0.35">
      <c r="A11" s="164" t="s">
        <v>188</v>
      </c>
      <c r="B11" s="163"/>
    </row>
    <row r="12" spans="1:2" ht="18" customHeight="1" x14ac:dyDescent="0.35">
      <c r="A12" s="38" t="s">
        <v>189</v>
      </c>
      <c r="B12" s="40" t="s">
        <v>336</v>
      </c>
    </row>
    <row r="13" spans="1:2" ht="24" customHeight="1" x14ac:dyDescent="0.35">
      <c r="A13" s="38" t="s">
        <v>191</v>
      </c>
      <c r="B13" s="40" t="s">
        <v>337</v>
      </c>
    </row>
    <row r="14" spans="1:2" ht="24" customHeight="1" x14ac:dyDescent="0.35">
      <c r="A14" s="38" t="s">
        <v>193</v>
      </c>
      <c r="B14" s="40" t="s">
        <v>338</v>
      </c>
    </row>
    <row r="15" spans="1:2" ht="24.75" customHeight="1" x14ac:dyDescent="0.35">
      <c r="A15" s="38" t="s">
        <v>195</v>
      </c>
      <c r="B15" s="40" t="s">
        <v>339</v>
      </c>
    </row>
    <row r="16" spans="1:2" ht="14.25" customHeight="1" x14ac:dyDescent="0.35"/>
    <row r="17" spans="1:5" ht="14.25" customHeight="1" x14ac:dyDescent="0.35">
      <c r="A17" s="90" t="s">
        <v>340</v>
      </c>
    </row>
    <row r="18" spans="1:5" ht="44.5" customHeight="1" x14ac:dyDescent="0.35">
      <c r="A18" s="91" t="s">
        <v>341</v>
      </c>
    </row>
    <row r="19" spans="1:5" ht="14.25" customHeight="1" x14ac:dyDescent="0.35"/>
    <row r="20" spans="1:5" ht="14.25" customHeight="1" x14ac:dyDescent="0.35">
      <c r="A20" s="92" t="s">
        <v>342</v>
      </c>
      <c r="B20" s="93" t="s">
        <v>343</v>
      </c>
      <c r="C20" s="93" t="s">
        <v>344</v>
      </c>
      <c r="D20" s="93" t="s">
        <v>345</v>
      </c>
      <c r="E20" s="93" t="s">
        <v>346</v>
      </c>
    </row>
    <row r="21" spans="1:5" ht="14.25" customHeight="1" x14ac:dyDescent="0.35">
      <c r="A21" s="94" t="s">
        <v>347</v>
      </c>
      <c r="B21" s="95" t="s">
        <v>209</v>
      </c>
      <c r="C21" s="96" t="s">
        <v>348</v>
      </c>
      <c r="D21" s="96" t="s">
        <v>348</v>
      </c>
      <c r="E21" s="94" t="s">
        <v>349</v>
      </c>
    </row>
    <row r="22" spans="1:5" ht="14.25" customHeight="1" x14ac:dyDescent="0.35">
      <c r="A22" s="97" t="s">
        <v>350</v>
      </c>
      <c r="B22" s="98" t="s">
        <v>209</v>
      </c>
      <c r="C22" s="99" t="s">
        <v>348</v>
      </c>
      <c r="D22" s="100" t="s">
        <v>351</v>
      </c>
      <c r="E22" s="97" t="s">
        <v>352</v>
      </c>
    </row>
    <row r="23" spans="1:5" ht="14.25" customHeight="1" x14ac:dyDescent="0.35">
      <c r="A23" s="94" t="s">
        <v>353</v>
      </c>
      <c r="B23" s="95" t="s">
        <v>209</v>
      </c>
      <c r="C23" s="96" t="s">
        <v>348</v>
      </c>
      <c r="D23" s="101" t="s">
        <v>351</v>
      </c>
      <c r="E23" s="94" t="s">
        <v>354</v>
      </c>
    </row>
    <row r="24" spans="1:5" ht="14.25" customHeight="1" x14ac:dyDescent="0.35">
      <c r="A24" s="97" t="s">
        <v>355</v>
      </c>
      <c r="B24" s="98" t="s">
        <v>209</v>
      </c>
      <c r="C24" s="99" t="s">
        <v>348</v>
      </c>
      <c r="D24" s="100" t="s">
        <v>351</v>
      </c>
      <c r="E24" s="97" t="s">
        <v>356</v>
      </c>
    </row>
    <row r="25" spans="1:5" ht="14.25" customHeight="1" x14ac:dyDescent="0.35">
      <c r="A25" s="94" t="s">
        <v>357</v>
      </c>
      <c r="B25" s="95" t="s">
        <v>209</v>
      </c>
      <c r="C25" s="96" t="s">
        <v>348</v>
      </c>
      <c r="D25" s="101" t="s">
        <v>351</v>
      </c>
      <c r="E25" s="94" t="s">
        <v>358</v>
      </c>
    </row>
    <row r="26" spans="1:5" ht="14.25" customHeight="1" x14ac:dyDescent="0.35">
      <c r="A26" s="97" t="s">
        <v>359</v>
      </c>
      <c r="B26" s="98" t="s">
        <v>209</v>
      </c>
      <c r="C26" s="99" t="s">
        <v>348</v>
      </c>
      <c r="D26" s="100" t="s">
        <v>351</v>
      </c>
      <c r="E26" s="97" t="s">
        <v>360</v>
      </c>
    </row>
    <row r="27" spans="1:5" ht="14.25" customHeight="1" x14ac:dyDescent="0.35">
      <c r="A27" s="94" t="s">
        <v>361</v>
      </c>
      <c r="B27" s="95" t="s">
        <v>209</v>
      </c>
      <c r="C27" s="96" t="s">
        <v>348</v>
      </c>
      <c r="D27" s="101" t="s">
        <v>351</v>
      </c>
      <c r="E27" s="94" t="s">
        <v>362</v>
      </c>
    </row>
    <row r="28" spans="1:5" ht="14.25" customHeight="1" x14ac:dyDescent="0.35">
      <c r="A28" s="97" t="s">
        <v>363</v>
      </c>
      <c r="B28" s="98" t="s">
        <v>209</v>
      </c>
      <c r="C28" s="99" t="s">
        <v>348</v>
      </c>
      <c r="D28" s="100" t="s">
        <v>351</v>
      </c>
      <c r="E28" s="97" t="s">
        <v>364</v>
      </c>
    </row>
    <row r="29" spans="1:5" ht="14.25" customHeight="1" x14ac:dyDescent="0.35">
      <c r="A29" s="94" t="s">
        <v>365</v>
      </c>
      <c r="B29" s="95" t="s">
        <v>209</v>
      </c>
      <c r="C29" s="96" t="s">
        <v>348</v>
      </c>
      <c r="D29" s="101" t="s">
        <v>351</v>
      </c>
      <c r="E29" s="94" t="s">
        <v>366</v>
      </c>
    </row>
    <row r="30" spans="1:5" ht="14.25" customHeight="1" x14ac:dyDescent="0.35">
      <c r="A30" s="97" t="s">
        <v>367</v>
      </c>
      <c r="B30" s="98" t="s">
        <v>209</v>
      </c>
      <c r="C30" s="99" t="s">
        <v>348</v>
      </c>
      <c r="D30" s="100" t="s">
        <v>351</v>
      </c>
      <c r="E30" s="97" t="s">
        <v>368</v>
      </c>
    </row>
    <row r="31" spans="1:5" ht="14.25" customHeight="1" x14ac:dyDescent="0.35"/>
    <row r="32" spans="1:5" ht="14.25" customHeight="1" x14ac:dyDescent="0.35">
      <c r="A32" s="81" t="s">
        <v>369</v>
      </c>
    </row>
    <row r="33" spans="1:1" ht="14.25" customHeight="1" x14ac:dyDescent="0.35">
      <c r="A33" s="102" t="s">
        <v>370</v>
      </c>
    </row>
    <row r="34" spans="1:1" ht="14.25" customHeight="1" x14ac:dyDescent="0.35">
      <c r="A34" s="102" t="s">
        <v>371</v>
      </c>
    </row>
    <row r="35" spans="1:1" ht="14.25" customHeight="1" x14ac:dyDescent="0.35">
      <c r="A35" s="62" t="s">
        <v>372</v>
      </c>
    </row>
    <row r="36" spans="1:1" ht="14.25" customHeight="1" x14ac:dyDescent="0.35"/>
    <row r="37" spans="1:1" ht="14.25" customHeight="1" x14ac:dyDescent="0.35"/>
    <row r="38" spans="1:1" ht="14.25" customHeight="1" x14ac:dyDescent="0.35"/>
    <row r="39" spans="1:1" ht="14.25" customHeight="1" x14ac:dyDescent="0.35"/>
    <row r="40" spans="1:1" ht="14.25" customHeight="1" x14ac:dyDescent="0.35"/>
    <row r="41" spans="1:1" ht="14.25" customHeight="1" x14ac:dyDescent="0.35"/>
    <row r="42" spans="1:1" ht="14.25" customHeight="1" x14ac:dyDescent="0.35"/>
    <row r="43" spans="1:1" ht="14.25" customHeight="1" x14ac:dyDescent="0.35"/>
    <row r="44" spans="1:1" ht="14.25" customHeight="1" x14ac:dyDescent="0.35"/>
    <row r="45" spans="1:1" ht="14.25" customHeight="1" x14ac:dyDescent="0.35"/>
    <row r="46" spans="1:1" ht="14.25" customHeight="1" x14ac:dyDescent="0.35"/>
    <row r="47" spans="1:1" ht="14.25" customHeight="1" x14ac:dyDescent="0.35"/>
    <row r="48" spans="1:1"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selection sqref="A1:B1"/>
    </sheetView>
  </sheetViews>
  <sheetFormatPr defaultColWidth="14.453125" defaultRowHeight="15" customHeight="1" x14ac:dyDescent="0.35"/>
  <cols>
    <col min="1" max="1" width="22" customWidth="1"/>
    <col min="2" max="2" width="70" customWidth="1"/>
    <col min="3" max="26" width="8.7265625" customWidth="1"/>
  </cols>
  <sheetData>
    <row r="1" spans="1:2" ht="30" customHeight="1" x14ac:dyDescent="0.35">
      <c r="A1" s="160" t="s">
        <v>373</v>
      </c>
      <c r="B1" s="161"/>
    </row>
    <row r="2" spans="1:2" ht="18" customHeight="1" x14ac:dyDescent="0.35">
      <c r="A2" s="162" t="s">
        <v>44</v>
      </c>
      <c r="B2" s="163"/>
    </row>
    <row r="3" spans="1:2" ht="13.5" customHeight="1" x14ac:dyDescent="0.35">
      <c r="A3" s="164" t="s">
        <v>180</v>
      </c>
      <c r="B3" s="163"/>
    </row>
    <row r="4" spans="1:2" ht="72" customHeight="1" x14ac:dyDescent="0.35">
      <c r="A4" s="36" t="s">
        <v>181</v>
      </c>
      <c r="B4" s="37" t="s">
        <v>374</v>
      </c>
    </row>
    <row r="5" spans="1:2" ht="18" customHeight="1" x14ac:dyDescent="0.35">
      <c r="A5" s="38" t="s">
        <v>19</v>
      </c>
      <c r="B5" s="39">
        <v>46143</v>
      </c>
    </row>
    <row r="6" spans="1:2" ht="18" customHeight="1" x14ac:dyDescent="0.35">
      <c r="A6" s="38" t="s">
        <v>183</v>
      </c>
      <c r="B6" s="37" t="s">
        <v>46</v>
      </c>
    </row>
    <row r="7" spans="1:2" ht="18" customHeight="1" x14ac:dyDescent="0.35">
      <c r="A7" s="38" t="s">
        <v>184</v>
      </c>
      <c r="B7" s="37" t="s">
        <v>375</v>
      </c>
    </row>
    <row r="8" spans="1:2" ht="18" customHeight="1" x14ac:dyDescent="0.35"/>
    <row r="9" spans="1:2" ht="13.5" customHeight="1" x14ac:dyDescent="0.35">
      <c r="A9" s="164" t="s">
        <v>186</v>
      </c>
      <c r="B9" s="163"/>
    </row>
    <row r="10" spans="1:2" ht="211.5" customHeight="1" x14ac:dyDescent="0.35">
      <c r="A10" s="165" t="s">
        <v>376</v>
      </c>
      <c r="B10" s="163"/>
    </row>
    <row r="11" spans="1:2" ht="13.5" customHeight="1" x14ac:dyDescent="0.35">
      <c r="A11" s="164" t="s">
        <v>188</v>
      </c>
      <c r="B11" s="163"/>
    </row>
    <row r="12" spans="1:2" ht="18" customHeight="1" x14ac:dyDescent="0.35">
      <c r="A12" s="38" t="s">
        <v>189</v>
      </c>
      <c r="B12" s="40" t="s">
        <v>377</v>
      </c>
    </row>
    <row r="13" spans="1:2" ht="24" customHeight="1" x14ac:dyDescent="0.35">
      <c r="A13" s="38" t="s">
        <v>191</v>
      </c>
      <c r="B13" s="40" t="s">
        <v>378</v>
      </c>
    </row>
    <row r="14" spans="1:2" ht="24" customHeight="1" x14ac:dyDescent="0.35">
      <c r="A14" s="38" t="s">
        <v>193</v>
      </c>
      <c r="B14" s="40" t="s">
        <v>379</v>
      </c>
    </row>
    <row r="15" spans="1:2" ht="18" customHeight="1" x14ac:dyDescent="0.35">
      <c r="A15" s="38" t="s">
        <v>195</v>
      </c>
      <c r="B15" s="40" t="s">
        <v>380</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0"/>
  <sheetViews>
    <sheetView workbookViewId="0">
      <selection sqref="A1:B1"/>
    </sheetView>
  </sheetViews>
  <sheetFormatPr defaultColWidth="14.453125" defaultRowHeight="15" customHeight="1" x14ac:dyDescent="0.35"/>
  <cols>
    <col min="1" max="1" width="22" customWidth="1"/>
    <col min="2" max="2" width="70" customWidth="1"/>
    <col min="3" max="26" width="8.7265625" customWidth="1"/>
  </cols>
  <sheetData>
    <row r="1" spans="1:2" ht="30" customHeight="1" x14ac:dyDescent="0.35">
      <c r="A1" s="160" t="s">
        <v>381</v>
      </c>
      <c r="B1" s="161"/>
    </row>
    <row r="2" spans="1:2" ht="18" customHeight="1" x14ac:dyDescent="0.35">
      <c r="A2" s="162" t="s">
        <v>44</v>
      </c>
      <c r="B2" s="163"/>
    </row>
    <row r="3" spans="1:2" ht="13.5" customHeight="1" x14ac:dyDescent="0.35">
      <c r="A3" s="164" t="s">
        <v>180</v>
      </c>
      <c r="B3" s="163"/>
    </row>
    <row r="4" spans="1:2" ht="72" customHeight="1" x14ac:dyDescent="0.35">
      <c r="A4" s="36" t="s">
        <v>181</v>
      </c>
      <c r="B4" s="37" t="s">
        <v>382</v>
      </c>
    </row>
    <row r="5" spans="1:2" ht="18" customHeight="1" x14ac:dyDescent="0.35">
      <c r="A5" s="38" t="s">
        <v>19</v>
      </c>
      <c r="B5" s="39">
        <v>46143</v>
      </c>
    </row>
    <row r="6" spans="1:2" ht="18" customHeight="1" x14ac:dyDescent="0.35">
      <c r="A6" s="38" t="s">
        <v>183</v>
      </c>
      <c r="B6" s="37" t="s">
        <v>50</v>
      </c>
    </row>
    <row r="7" spans="1:2" ht="18" customHeight="1" x14ac:dyDescent="0.35">
      <c r="A7" s="38" t="s">
        <v>184</v>
      </c>
      <c r="B7" s="37" t="s">
        <v>383</v>
      </c>
    </row>
    <row r="8" spans="1:2" ht="18" customHeight="1" x14ac:dyDescent="0.35"/>
    <row r="9" spans="1:2" ht="13.5" customHeight="1" x14ac:dyDescent="0.35">
      <c r="A9" s="164" t="s">
        <v>186</v>
      </c>
      <c r="B9" s="163"/>
    </row>
    <row r="10" spans="1:2" ht="129.75" customHeight="1" x14ac:dyDescent="0.35">
      <c r="A10" s="165" t="s">
        <v>384</v>
      </c>
      <c r="B10" s="163"/>
    </row>
    <row r="11" spans="1:2" ht="13.5" customHeight="1" x14ac:dyDescent="0.35">
      <c r="A11" s="164" t="s">
        <v>188</v>
      </c>
      <c r="B11" s="163"/>
    </row>
    <row r="12" spans="1:2" ht="18" customHeight="1" x14ac:dyDescent="0.35">
      <c r="A12" s="38" t="s">
        <v>189</v>
      </c>
      <c r="B12" s="40" t="s">
        <v>385</v>
      </c>
    </row>
    <row r="13" spans="1:2" ht="24" customHeight="1" x14ac:dyDescent="0.35">
      <c r="A13" s="38" t="s">
        <v>191</v>
      </c>
      <c r="B13" s="40" t="s">
        <v>386</v>
      </c>
    </row>
    <row r="14" spans="1:2" ht="24" customHeight="1" x14ac:dyDescent="0.35">
      <c r="A14" s="38" t="s">
        <v>193</v>
      </c>
      <c r="B14" s="40" t="s">
        <v>387</v>
      </c>
    </row>
    <row r="15" spans="1:2" ht="18" customHeight="1" x14ac:dyDescent="0.35">
      <c r="A15" s="38" t="s">
        <v>195</v>
      </c>
      <c r="B15" s="40" t="s">
        <v>388</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000"/>
  <sheetViews>
    <sheetView topLeftCell="A2" workbookViewId="0">
      <selection activeCell="F6" sqref="F6"/>
    </sheetView>
  </sheetViews>
  <sheetFormatPr defaultColWidth="14.453125" defaultRowHeight="15" customHeight="1" x14ac:dyDescent="0.35"/>
  <cols>
    <col min="1" max="1" width="22" customWidth="1"/>
    <col min="2" max="2" width="70" customWidth="1"/>
    <col min="3" max="7" width="8.7265625" customWidth="1"/>
    <col min="8" max="8" width="12.1796875" bestFit="1" customWidth="1"/>
    <col min="9" max="10" width="8.7265625" customWidth="1"/>
    <col min="11" max="11" width="12.1796875" bestFit="1" customWidth="1"/>
    <col min="12" max="12" width="12.54296875" customWidth="1"/>
    <col min="13" max="13" width="13.26953125" customWidth="1"/>
    <col min="14" max="14" width="12.1796875" bestFit="1" customWidth="1"/>
    <col min="15" max="16" width="8.7265625" customWidth="1"/>
    <col min="17" max="17" width="12.1796875" bestFit="1" customWidth="1"/>
    <col min="18" max="26" width="8.7265625" customWidth="1"/>
  </cols>
  <sheetData>
    <row r="1" spans="1:17" ht="30" customHeight="1" x14ac:dyDescent="0.35">
      <c r="A1" s="160" t="s">
        <v>389</v>
      </c>
      <c r="B1" s="161"/>
    </row>
    <row r="2" spans="1:17" ht="18" customHeight="1" x14ac:dyDescent="0.35">
      <c r="A2" s="162" t="s">
        <v>44</v>
      </c>
      <c r="B2" s="163"/>
    </row>
    <row r="3" spans="1:17" ht="13.5" customHeight="1" x14ac:dyDescent="0.35">
      <c r="A3" s="164" t="s">
        <v>180</v>
      </c>
      <c r="B3" s="163"/>
    </row>
    <row r="4" spans="1:17" ht="72" customHeight="1" x14ac:dyDescent="0.35">
      <c r="A4" s="36" t="s">
        <v>181</v>
      </c>
      <c r="B4" s="37" t="s">
        <v>390</v>
      </c>
      <c r="F4" s="212" t="s">
        <v>433</v>
      </c>
      <c r="G4" s="212" t="s">
        <v>434</v>
      </c>
      <c r="H4" s="212" t="s">
        <v>513</v>
      </c>
      <c r="I4" s="212" t="s">
        <v>436</v>
      </c>
      <c r="J4" s="212" t="s">
        <v>437</v>
      </c>
      <c r="K4" s="212" t="s">
        <v>438</v>
      </c>
      <c r="L4" s="212" t="s">
        <v>439</v>
      </c>
      <c r="M4" s="212" t="s">
        <v>440</v>
      </c>
      <c r="N4" s="212" t="s">
        <v>441</v>
      </c>
      <c r="O4" s="212" t="s">
        <v>442</v>
      </c>
      <c r="P4" s="212" t="s">
        <v>443</v>
      </c>
      <c r="Q4" s="212" t="s">
        <v>444</v>
      </c>
    </row>
    <row r="5" spans="1:17" ht="18" customHeight="1" x14ac:dyDescent="0.35">
      <c r="A5" s="38" t="s">
        <v>19</v>
      </c>
      <c r="B5" s="39">
        <v>46143</v>
      </c>
      <c r="H5" s="208">
        <v>3000000</v>
      </c>
      <c r="K5" s="208">
        <v>3000000</v>
      </c>
      <c r="N5" s="208">
        <v>3000000</v>
      </c>
      <c r="Q5" s="208">
        <v>3000000</v>
      </c>
    </row>
    <row r="6" spans="1:17" ht="18" customHeight="1" x14ac:dyDescent="0.35">
      <c r="A6" s="38" t="s">
        <v>183</v>
      </c>
      <c r="B6" s="37" t="s">
        <v>54</v>
      </c>
    </row>
    <row r="7" spans="1:17" ht="18" customHeight="1" x14ac:dyDescent="0.35">
      <c r="A7" s="38" t="s">
        <v>184</v>
      </c>
      <c r="B7" s="37" t="s">
        <v>391</v>
      </c>
    </row>
    <row r="8" spans="1:17" ht="18" customHeight="1" x14ac:dyDescent="0.35"/>
    <row r="9" spans="1:17" ht="13.5" customHeight="1" x14ac:dyDescent="0.35">
      <c r="A9" s="164" t="s">
        <v>186</v>
      </c>
      <c r="B9" s="163"/>
    </row>
    <row r="10" spans="1:17" ht="306" customHeight="1" x14ac:dyDescent="0.35">
      <c r="A10" s="165" t="s">
        <v>392</v>
      </c>
      <c r="B10" s="163"/>
    </row>
    <row r="11" spans="1:17" ht="13.5" customHeight="1" x14ac:dyDescent="0.35">
      <c r="A11" s="164" t="s">
        <v>188</v>
      </c>
      <c r="B11" s="163"/>
    </row>
    <row r="12" spans="1:17" ht="18" customHeight="1" x14ac:dyDescent="0.35">
      <c r="A12" s="38" t="s">
        <v>189</v>
      </c>
      <c r="B12" s="40" t="s">
        <v>393</v>
      </c>
    </row>
    <row r="13" spans="1:17" ht="24" customHeight="1" x14ac:dyDescent="0.35">
      <c r="A13" s="38" t="s">
        <v>191</v>
      </c>
      <c r="B13" s="40" t="s">
        <v>394</v>
      </c>
    </row>
    <row r="14" spans="1:17" ht="33.5" customHeight="1" x14ac:dyDescent="0.35">
      <c r="A14" s="38" t="s">
        <v>193</v>
      </c>
      <c r="B14" s="40" t="s">
        <v>395</v>
      </c>
    </row>
    <row r="15" spans="1:17" ht="69.5" customHeight="1" x14ac:dyDescent="0.35">
      <c r="A15" s="38" t="s">
        <v>195</v>
      </c>
      <c r="B15" s="40" t="s">
        <v>396</v>
      </c>
    </row>
    <row r="16" spans="1: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honeticPr fontId="37" type="noConversion"/>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00"/>
  <sheetViews>
    <sheetView workbookViewId="0">
      <selection sqref="A1:B1"/>
    </sheetView>
  </sheetViews>
  <sheetFormatPr defaultColWidth="14.453125" defaultRowHeight="15" customHeight="1" x14ac:dyDescent="0.35"/>
  <cols>
    <col min="1" max="1" width="22" customWidth="1"/>
    <col min="2" max="2" width="70" customWidth="1"/>
    <col min="3" max="26" width="8.7265625" customWidth="1"/>
  </cols>
  <sheetData>
    <row r="1" spans="1:2" ht="30" customHeight="1" x14ac:dyDescent="0.35">
      <c r="A1" s="160" t="s">
        <v>397</v>
      </c>
      <c r="B1" s="161"/>
    </row>
    <row r="2" spans="1:2" ht="18" customHeight="1" x14ac:dyDescent="0.35">
      <c r="A2" s="162" t="s">
        <v>58</v>
      </c>
      <c r="B2" s="163"/>
    </row>
    <row r="3" spans="1:2" ht="13.5" customHeight="1" x14ac:dyDescent="0.35">
      <c r="A3" s="164" t="s">
        <v>180</v>
      </c>
      <c r="B3" s="163"/>
    </row>
    <row r="4" spans="1:2" ht="72" customHeight="1" x14ac:dyDescent="0.35">
      <c r="A4" s="36" t="s">
        <v>181</v>
      </c>
      <c r="B4" s="37" t="s">
        <v>398</v>
      </c>
    </row>
    <row r="5" spans="1:2" ht="18" customHeight="1" x14ac:dyDescent="0.35">
      <c r="A5" s="38" t="s">
        <v>19</v>
      </c>
      <c r="B5" s="39">
        <v>46143</v>
      </c>
    </row>
    <row r="6" spans="1:2" ht="18" customHeight="1" x14ac:dyDescent="0.35">
      <c r="A6" s="38" t="s">
        <v>183</v>
      </c>
      <c r="B6" s="37" t="s">
        <v>60</v>
      </c>
    </row>
    <row r="7" spans="1:2" ht="18" customHeight="1" x14ac:dyDescent="0.35">
      <c r="A7" s="38" t="s">
        <v>184</v>
      </c>
      <c r="B7" s="37" t="s">
        <v>399</v>
      </c>
    </row>
    <row r="8" spans="1:2" ht="18" customHeight="1" x14ac:dyDescent="0.35"/>
    <row r="9" spans="1:2" ht="13.5" customHeight="1" x14ac:dyDescent="0.35">
      <c r="A9" s="164" t="s">
        <v>186</v>
      </c>
      <c r="B9" s="163"/>
    </row>
    <row r="10" spans="1:2" ht="294" customHeight="1" x14ac:dyDescent="0.35">
      <c r="A10" s="165" t="s">
        <v>400</v>
      </c>
      <c r="B10" s="163"/>
    </row>
    <row r="11" spans="1:2" ht="13.5" customHeight="1" x14ac:dyDescent="0.35">
      <c r="A11" s="164" t="s">
        <v>188</v>
      </c>
      <c r="B11" s="163"/>
    </row>
    <row r="12" spans="1:2" ht="18" customHeight="1" x14ac:dyDescent="0.35">
      <c r="A12" s="38" t="s">
        <v>189</v>
      </c>
      <c r="B12" s="40" t="s">
        <v>401</v>
      </c>
    </row>
    <row r="13" spans="1:2" ht="24" customHeight="1" x14ac:dyDescent="0.35">
      <c r="A13" s="38" t="s">
        <v>191</v>
      </c>
      <c r="B13" s="40" t="s">
        <v>402</v>
      </c>
    </row>
    <row r="14" spans="1:2" ht="24" customHeight="1" x14ac:dyDescent="0.35">
      <c r="A14" s="38" t="s">
        <v>193</v>
      </c>
      <c r="B14" s="40" t="s">
        <v>403</v>
      </c>
    </row>
    <row r="15" spans="1:2" ht="18" customHeight="1" x14ac:dyDescent="0.35">
      <c r="A15" s="38" t="s">
        <v>195</v>
      </c>
      <c r="B15" s="40" t="s">
        <v>404</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00"/>
  <sheetViews>
    <sheetView workbookViewId="0">
      <selection sqref="A1:B1"/>
    </sheetView>
  </sheetViews>
  <sheetFormatPr defaultColWidth="14.453125" defaultRowHeight="15" customHeight="1" x14ac:dyDescent="0.35"/>
  <cols>
    <col min="1" max="1" width="22" customWidth="1"/>
    <col min="2" max="2" width="70" customWidth="1"/>
    <col min="3" max="26" width="8.7265625" customWidth="1"/>
  </cols>
  <sheetData>
    <row r="1" spans="1:2" ht="30" customHeight="1" x14ac:dyDescent="0.35">
      <c r="A1" s="160" t="s">
        <v>405</v>
      </c>
      <c r="B1" s="161"/>
    </row>
    <row r="2" spans="1:2" ht="18" customHeight="1" x14ac:dyDescent="0.35">
      <c r="A2" s="162" t="s">
        <v>58</v>
      </c>
      <c r="B2" s="163"/>
    </row>
    <row r="3" spans="1:2" ht="13.5" customHeight="1" x14ac:dyDescent="0.35">
      <c r="A3" s="164" t="s">
        <v>180</v>
      </c>
      <c r="B3" s="163"/>
    </row>
    <row r="4" spans="1:2" ht="72" customHeight="1" x14ac:dyDescent="0.35">
      <c r="A4" s="36" t="s">
        <v>181</v>
      </c>
      <c r="B4" s="37" t="s">
        <v>406</v>
      </c>
    </row>
    <row r="5" spans="1:2" ht="18" customHeight="1" x14ac:dyDescent="0.35">
      <c r="A5" s="38" t="s">
        <v>19</v>
      </c>
      <c r="B5" s="39">
        <v>46143</v>
      </c>
    </row>
    <row r="6" spans="1:2" ht="18" customHeight="1" x14ac:dyDescent="0.35">
      <c r="A6" s="38" t="s">
        <v>183</v>
      </c>
      <c r="B6" s="37" t="s">
        <v>64</v>
      </c>
    </row>
    <row r="7" spans="1:2" ht="18" customHeight="1" x14ac:dyDescent="0.35">
      <c r="A7" s="38" t="s">
        <v>184</v>
      </c>
      <c r="B7" s="37" t="s">
        <v>391</v>
      </c>
    </row>
    <row r="8" spans="1:2" ht="18" customHeight="1" x14ac:dyDescent="0.35"/>
    <row r="9" spans="1:2" ht="13.5" customHeight="1" x14ac:dyDescent="0.35">
      <c r="A9" s="164" t="s">
        <v>186</v>
      </c>
      <c r="B9" s="163"/>
    </row>
    <row r="10" spans="1:2" ht="129.75" customHeight="1" x14ac:dyDescent="0.35">
      <c r="A10" s="165" t="s">
        <v>407</v>
      </c>
      <c r="B10" s="163"/>
    </row>
    <row r="11" spans="1:2" ht="13.5" customHeight="1" x14ac:dyDescent="0.35">
      <c r="A11" s="164" t="s">
        <v>188</v>
      </c>
      <c r="B11" s="163"/>
    </row>
    <row r="12" spans="1:2" ht="18" customHeight="1" x14ac:dyDescent="0.35">
      <c r="A12" s="38" t="s">
        <v>189</v>
      </c>
      <c r="B12" s="40" t="s">
        <v>408</v>
      </c>
    </row>
    <row r="13" spans="1:2" ht="24" customHeight="1" x14ac:dyDescent="0.35">
      <c r="A13" s="38" t="s">
        <v>191</v>
      </c>
      <c r="B13" s="40" t="s">
        <v>409</v>
      </c>
    </row>
    <row r="14" spans="1:2" ht="24" customHeight="1" x14ac:dyDescent="0.35">
      <c r="A14" s="38" t="s">
        <v>193</v>
      </c>
      <c r="B14" s="40" t="s">
        <v>410</v>
      </c>
    </row>
    <row r="15" spans="1:2" ht="18" customHeight="1" x14ac:dyDescent="0.35">
      <c r="A15" s="38" t="s">
        <v>195</v>
      </c>
      <c r="B15" s="40" t="s">
        <v>411</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00"/>
  <sheetViews>
    <sheetView workbookViewId="0">
      <selection sqref="A1:B1"/>
    </sheetView>
  </sheetViews>
  <sheetFormatPr defaultColWidth="14.453125" defaultRowHeight="15" customHeight="1" x14ac:dyDescent="0.35"/>
  <cols>
    <col min="1" max="1" width="22" customWidth="1"/>
    <col min="2" max="2" width="70" customWidth="1"/>
    <col min="3" max="26" width="8.7265625" customWidth="1"/>
  </cols>
  <sheetData>
    <row r="1" spans="1:2" ht="30" customHeight="1" x14ac:dyDescent="0.35">
      <c r="A1" s="160" t="s">
        <v>412</v>
      </c>
      <c r="B1" s="161"/>
    </row>
    <row r="2" spans="1:2" ht="18" customHeight="1" x14ac:dyDescent="0.35">
      <c r="A2" s="162" t="s">
        <v>58</v>
      </c>
      <c r="B2" s="163"/>
    </row>
    <row r="3" spans="1:2" ht="13.5" customHeight="1" x14ac:dyDescent="0.35">
      <c r="A3" s="164" t="s">
        <v>180</v>
      </c>
      <c r="B3" s="163"/>
    </row>
    <row r="4" spans="1:2" ht="72" customHeight="1" x14ac:dyDescent="0.35">
      <c r="A4" s="36" t="s">
        <v>181</v>
      </c>
      <c r="B4" s="37" t="s">
        <v>413</v>
      </c>
    </row>
    <row r="5" spans="1:2" ht="18" customHeight="1" x14ac:dyDescent="0.35">
      <c r="A5" s="38" t="s">
        <v>19</v>
      </c>
      <c r="B5" s="39">
        <v>46113</v>
      </c>
    </row>
    <row r="6" spans="1:2" ht="18" customHeight="1" x14ac:dyDescent="0.35">
      <c r="A6" s="38" t="s">
        <v>183</v>
      </c>
      <c r="B6" s="37" t="s">
        <v>68</v>
      </c>
    </row>
    <row r="7" spans="1:2" ht="18" customHeight="1" x14ac:dyDescent="0.35">
      <c r="A7" s="38" t="s">
        <v>184</v>
      </c>
      <c r="B7" s="37" t="s">
        <v>414</v>
      </c>
    </row>
    <row r="8" spans="1:2" ht="18" customHeight="1" x14ac:dyDescent="0.35"/>
    <row r="9" spans="1:2" ht="13.5" customHeight="1" x14ac:dyDescent="0.35">
      <c r="A9" s="164" t="s">
        <v>186</v>
      </c>
      <c r="B9" s="163"/>
    </row>
    <row r="10" spans="1:2" ht="129.75" customHeight="1" x14ac:dyDescent="0.35">
      <c r="A10" s="165" t="s">
        <v>415</v>
      </c>
      <c r="B10" s="163"/>
    </row>
    <row r="11" spans="1:2" ht="13.5" customHeight="1" x14ac:dyDescent="0.35">
      <c r="A11" s="164" t="s">
        <v>188</v>
      </c>
      <c r="B11" s="163"/>
    </row>
    <row r="12" spans="1:2" ht="18" customHeight="1" x14ac:dyDescent="0.35">
      <c r="A12" s="38" t="s">
        <v>189</v>
      </c>
      <c r="B12" s="40" t="s">
        <v>416</v>
      </c>
    </row>
    <row r="13" spans="1:2" ht="24" customHeight="1" x14ac:dyDescent="0.35">
      <c r="A13" s="38" t="s">
        <v>191</v>
      </c>
      <c r="B13" s="40" t="s">
        <v>417</v>
      </c>
    </row>
    <row r="14" spans="1:2" ht="24" customHeight="1" x14ac:dyDescent="0.35">
      <c r="A14" s="38" t="s">
        <v>193</v>
      </c>
      <c r="B14" s="40" t="s">
        <v>418</v>
      </c>
    </row>
    <row r="15" spans="1:2" ht="18" customHeight="1" x14ac:dyDescent="0.35">
      <c r="A15" s="38" t="s">
        <v>195</v>
      </c>
      <c r="B15" s="40" t="s">
        <v>419</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499984740745262"/>
  </sheetPr>
  <dimension ref="A1:W1000"/>
  <sheetViews>
    <sheetView topLeftCell="C1" workbookViewId="0">
      <selection activeCell="H6" sqref="H6"/>
    </sheetView>
  </sheetViews>
  <sheetFormatPr defaultColWidth="14.453125" defaultRowHeight="15" customHeight="1" x14ac:dyDescent="0.35"/>
  <cols>
    <col min="1" max="1" width="22" customWidth="1"/>
    <col min="2" max="2" width="70" customWidth="1"/>
    <col min="3" max="4" width="8.7265625" customWidth="1"/>
    <col min="5" max="8" width="18.6328125" customWidth="1"/>
    <col min="9" max="29" width="8.7265625" customWidth="1"/>
  </cols>
  <sheetData>
    <row r="1" spans="1:23" ht="30" customHeight="1" x14ac:dyDescent="0.35">
      <c r="A1" s="160" t="s">
        <v>420</v>
      </c>
      <c r="B1" s="161"/>
    </row>
    <row r="2" spans="1:23" ht="18" customHeight="1" x14ac:dyDescent="0.35">
      <c r="A2" s="162" t="s">
        <v>58</v>
      </c>
      <c r="B2" s="163"/>
    </row>
    <row r="3" spans="1:23" ht="13.5" customHeight="1" x14ac:dyDescent="0.35">
      <c r="A3" s="164" t="s">
        <v>180</v>
      </c>
      <c r="B3" s="163"/>
      <c r="H3" s="212" t="s">
        <v>765</v>
      </c>
      <c r="J3" s="212" t="s">
        <v>433</v>
      </c>
      <c r="K3" s="212" t="s">
        <v>434</v>
      </c>
      <c r="L3" s="212" t="s">
        <v>513</v>
      </c>
      <c r="M3" s="212" t="s">
        <v>436</v>
      </c>
      <c r="N3" s="212" t="s">
        <v>437</v>
      </c>
      <c r="O3" s="212" t="s">
        <v>438</v>
      </c>
      <c r="P3" s="212" t="s">
        <v>439</v>
      </c>
      <c r="Q3" s="212" t="s">
        <v>440</v>
      </c>
      <c r="R3" s="212" t="s">
        <v>441</v>
      </c>
      <c r="S3" s="212" t="s">
        <v>442</v>
      </c>
      <c r="T3" s="212" t="s">
        <v>443</v>
      </c>
      <c r="U3" s="212" t="s">
        <v>444</v>
      </c>
    </row>
    <row r="4" spans="1:23" ht="72" customHeight="1" x14ac:dyDescent="0.35">
      <c r="A4" s="36" t="s">
        <v>181</v>
      </c>
      <c r="B4" s="37" t="s">
        <v>421</v>
      </c>
      <c r="E4" s="212" t="s">
        <v>763</v>
      </c>
      <c r="F4" s="212"/>
      <c r="G4" s="212"/>
      <c r="H4" s="212"/>
    </row>
    <row r="5" spans="1:23" ht="18" customHeight="1" x14ac:dyDescent="0.35">
      <c r="A5" s="38" t="s">
        <v>19</v>
      </c>
      <c r="B5" s="39">
        <v>46143</v>
      </c>
      <c r="E5" s="212" t="s">
        <v>764</v>
      </c>
      <c r="F5" s="212"/>
      <c r="G5" s="212"/>
      <c r="H5" s="212"/>
      <c r="J5">
        <f>35000*4</f>
        <v>140000</v>
      </c>
      <c r="K5">
        <f t="shared" ref="K5:U5" si="0">35000*4</f>
        <v>140000</v>
      </c>
      <c r="L5">
        <f t="shared" si="0"/>
        <v>140000</v>
      </c>
      <c r="M5">
        <f t="shared" si="0"/>
        <v>140000</v>
      </c>
      <c r="N5">
        <f t="shared" si="0"/>
        <v>140000</v>
      </c>
      <c r="O5">
        <f t="shared" si="0"/>
        <v>140000</v>
      </c>
      <c r="P5">
        <f t="shared" si="0"/>
        <v>140000</v>
      </c>
      <c r="Q5">
        <f t="shared" si="0"/>
        <v>140000</v>
      </c>
      <c r="R5">
        <f t="shared" si="0"/>
        <v>140000</v>
      </c>
      <c r="S5">
        <f t="shared" si="0"/>
        <v>140000</v>
      </c>
      <c r="T5">
        <f t="shared" si="0"/>
        <v>140000</v>
      </c>
      <c r="U5">
        <f t="shared" si="0"/>
        <v>140000</v>
      </c>
    </row>
    <row r="6" spans="1:23" ht="18" customHeight="1" x14ac:dyDescent="0.35">
      <c r="A6" s="38" t="s">
        <v>183</v>
      </c>
      <c r="B6" s="37" t="s">
        <v>72</v>
      </c>
      <c r="I6">
        <f>SUM(I8:I30)</f>
        <v>178468</v>
      </c>
      <c r="J6" s="207">
        <v>7.6812096674980151E-2</v>
      </c>
      <c r="K6" s="207">
        <v>7.7329359265431205E-2</v>
      </c>
      <c r="L6" s="207">
        <v>7.6557659400758274E-2</v>
      </c>
      <c r="M6" s="207">
        <v>8.9827541856329615E-2</v>
      </c>
      <c r="N6" s="207">
        <v>8.5669869034704124E-2</v>
      </c>
      <c r="O6" s="207">
        <v>8.5516088264570023E-2</v>
      </c>
      <c r="P6" s="207">
        <v>8.6564593515484331E-2</v>
      </c>
      <c r="Q6" s="207">
        <v>7.9879324035654772E-2</v>
      </c>
      <c r="R6" s="207">
        <v>8.4291434131502127E-2</v>
      </c>
      <c r="S6" s="207">
        <v>9.2083925156297181E-2</v>
      </c>
      <c r="T6" s="207">
        <v>8.3019247760392781E-2</v>
      </c>
      <c r="U6" s="207">
        <v>8.2448860903895402E-2</v>
      </c>
    </row>
    <row r="7" spans="1:23" ht="18" customHeight="1" x14ac:dyDescent="0.35">
      <c r="A7" s="38" t="s">
        <v>184</v>
      </c>
      <c r="B7" s="37" t="s">
        <v>422</v>
      </c>
      <c r="E7" t="s">
        <v>432</v>
      </c>
      <c r="F7" s="212" t="s">
        <v>766</v>
      </c>
      <c r="G7" s="213" t="s">
        <v>768</v>
      </c>
      <c r="H7" s="213" t="s">
        <v>767</v>
      </c>
      <c r="I7" s="213" t="s">
        <v>769</v>
      </c>
      <c r="V7">
        <f>SUM(V8:V39)</f>
        <v>2057</v>
      </c>
      <c r="W7" s="212" t="s">
        <v>770</v>
      </c>
    </row>
    <row r="8" spans="1:23" ht="18" customHeight="1" x14ac:dyDescent="0.35">
      <c r="E8" t="s">
        <v>248</v>
      </c>
      <c r="F8" s="207">
        <v>6.8685244730260803E-2</v>
      </c>
      <c r="G8" s="207">
        <f>+F8</f>
        <v>6.8685244730260803E-2</v>
      </c>
      <c r="H8" s="206">
        <f>+G8-F8</f>
        <v>0</v>
      </c>
      <c r="I8">
        <v>25620</v>
      </c>
      <c r="J8">
        <f>ROUND($V8*J$6,0)</f>
        <v>0</v>
      </c>
      <c r="K8">
        <f t="shared" ref="K8:U23" si="1">ROUND($V8*K$6,0)</f>
        <v>0</v>
      </c>
      <c r="L8">
        <f t="shared" si="1"/>
        <v>0</v>
      </c>
      <c r="M8">
        <f t="shared" si="1"/>
        <v>0</v>
      </c>
      <c r="N8">
        <f t="shared" si="1"/>
        <v>0</v>
      </c>
      <c r="O8">
        <f t="shared" si="1"/>
        <v>0</v>
      </c>
      <c r="P8">
        <f t="shared" si="1"/>
        <v>0</v>
      </c>
      <c r="Q8">
        <f t="shared" si="1"/>
        <v>0</v>
      </c>
      <c r="R8">
        <f t="shared" si="1"/>
        <v>0</v>
      </c>
      <c r="S8">
        <f t="shared" si="1"/>
        <v>0</v>
      </c>
      <c r="T8">
        <f t="shared" si="1"/>
        <v>0</v>
      </c>
      <c r="U8">
        <f>+V8-SUM(J8:T8)</f>
        <v>0</v>
      </c>
      <c r="V8">
        <f>ROUND(+I8*H8,0)</f>
        <v>0</v>
      </c>
      <c r="W8" s="206">
        <v>0.1</v>
      </c>
    </row>
    <row r="9" spans="1:23" ht="13.5" customHeight="1" x14ac:dyDescent="0.35">
      <c r="A9" s="164" t="s">
        <v>186</v>
      </c>
      <c r="B9" s="163"/>
      <c r="E9" t="s">
        <v>446</v>
      </c>
      <c r="F9" s="207">
        <v>0.16295327952711153</v>
      </c>
      <c r="G9" s="207">
        <f>+F9</f>
        <v>0.16295327952711153</v>
      </c>
      <c r="H9" s="206">
        <f t="shared" ref="H9:H30" si="2">+G9-F9</f>
        <v>0</v>
      </c>
      <c r="I9">
        <v>35190</v>
      </c>
      <c r="J9">
        <f t="shared" ref="J9:U24" si="3">ROUND($V9*J$6,0)</f>
        <v>0</v>
      </c>
      <c r="K9">
        <f t="shared" si="1"/>
        <v>0</v>
      </c>
      <c r="L9">
        <f t="shared" si="1"/>
        <v>0</v>
      </c>
      <c r="M9">
        <f t="shared" si="1"/>
        <v>0</v>
      </c>
      <c r="N9">
        <f t="shared" si="1"/>
        <v>0</v>
      </c>
      <c r="O9">
        <f t="shared" si="1"/>
        <v>0</v>
      </c>
      <c r="P9">
        <f t="shared" si="1"/>
        <v>0</v>
      </c>
      <c r="Q9">
        <f t="shared" si="1"/>
        <v>0</v>
      </c>
      <c r="R9">
        <f t="shared" si="1"/>
        <v>0</v>
      </c>
      <c r="S9">
        <f t="shared" si="1"/>
        <v>0</v>
      </c>
      <c r="T9">
        <f t="shared" si="1"/>
        <v>0</v>
      </c>
      <c r="U9">
        <f t="shared" ref="U9:U30" si="4">+V9-SUM(J9:T9)</f>
        <v>0</v>
      </c>
      <c r="V9">
        <f>ROUND(+I9*H9,0)</f>
        <v>0</v>
      </c>
      <c r="W9" s="206">
        <v>0.1</v>
      </c>
    </row>
    <row r="10" spans="1:23" ht="178.5" customHeight="1" x14ac:dyDescent="0.35">
      <c r="A10" s="165" t="s">
        <v>423</v>
      </c>
      <c r="B10" s="163"/>
      <c r="E10" t="s">
        <v>448</v>
      </c>
      <c r="F10" s="207">
        <v>5.8978873239436617E-2</v>
      </c>
      <c r="G10" s="207">
        <f>+F10+4%</f>
        <v>9.8978873239436618E-2</v>
      </c>
      <c r="H10" s="206">
        <f t="shared" si="2"/>
        <v>0.04</v>
      </c>
      <c r="I10">
        <v>4312</v>
      </c>
      <c r="J10">
        <f t="shared" si="3"/>
        <v>13</v>
      </c>
      <c r="K10">
        <f t="shared" si="1"/>
        <v>13</v>
      </c>
      <c r="L10">
        <f t="shared" si="1"/>
        <v>13</v>
      </c>
      <c r="M10">
        <f t="shared" si="1"/>
        <v>15</v>
      </c>
      <c r="N10">
        <f t="shared" si="1"/>
        <v>15</v>
      </c>
      <c r="O10">
        <f t="shared" si="1"/>
        <v>15</v>
      </c>
      <c r="P10">
        <f t="shared" si="1"/>
        <v>15</v>
      </c>
      <c r="Q10">
        <f t="shared" si="1"/>
        <v>14</v>
      </c>
      <c r="R10">
        <f t="shared" si="1"/>
        <v>14</v>
      </c>
      <c r="S10">
        <f t="shared" si="1"/>
        <v>16</v>
      </c>
      <c r="T10">
        <f t="shared" si="1"/>
        <v>14</v>
      </c>
      <c r="U10">
        <f t="shared" si="4"/>
        <v>15</v>
      </c>
      <c r="V10">
        <f t="shared" ref="V9:V30" si="5">ROUND(+I10*H10,0)</f>
        <v>172</v>
      </c>
      <c r="W10" s="206">
        <v>0.1</v>
      </c>
    </row>
    <row r="11" spans="1:23" ht="13.5" customHeight="1" x14ac:dyDescent="0.35">
      <c r="A11" s="164" t="s">
        <v>188</v>
      </c>
      <c r="B11" s="163"/>
      <c r="E11" t="s">
        <v>449</v>
      </c>
      <c r="F11" s="207">
        <v>0.10117145899893504</v>
      </c>
      <c r="G11" s="207">
        <f>+F11+3%</f>
        <v>0.13117145899893504</v>
      </c>
      <c r="H11" s="206">
        <f t="shared" si="2"/>
        <v>0.03</v>
      </c>
      <c r="I11">
        <v>9378</v>
      </c>
      <c r="J11">
        <f t="shared" si="3"/>
        <v>22</v>
      </c>
      <c r="K11">
        <f t="shared" si="1"/>
        <v>22</v>
      </c>
      <c r="L11">
        <f t="shared" si="1"/>
        <v>22</v>
      </c>
      <c r="M11">
        <f t="shared" si="1"/>
        <v>25</v>
      </c>
      <c r="N11">
        <f t="shared" si="1"/>
        <v>24</v>
      </c>
      <c r="O11">
        <f t="shared" si="1"/>
        <v>24</v>
      </c>
      <c r="P11">
        <f t="shared" si="1"/>
        <v>24</v>
      </c>
      <c r="Q11">
        <f t="shared" si="1"/>
        <v>22</v>
      </c>
      <c r="R11">
        <f t="shared" si="1"/>
        <v>24</v>
      </c>
      <c r="S11">
        <f t="shared" si="1"/>
        <v>26</v>
      </c>
      <c r="T11">
        <f t="shared" si="1"/>
        <v>23</v>
      </c>
      <c r="U11">
        <f t="shared" si="4"/>
        <v>23</v>
      </c>
      <c r="V11">
        <f t="shared" si="5"/>
        <v>281</v>
      </c>
      <c r="W11" s="206">
        <v>0.1</v>
      </c>
    </row>
    <row r="12" spans="1:23" ht="18" customHeight="1" x14ac:dyDescent="0.35">
      <c r="A12" s="38" t="s">
        <v>189</v>
      </c>
      <c r="B12" s="40" t="s">
        <v>424</v>
      </c>
      <c r="E12" t="s">
        <v>451</v>
      </c>
      <c r="F12" s="207">
        <v>4.3478260869565216E-2</v>
      </c>
      <c r="G12" s="207">
        <f>+F12+1%</f>
        <v>5.3478260869565218E-2</v>
      </c>
      <c r="H12" s="206">
        <f t="shared" si="2"/>
        <v>1.0000000000000002E-2</v>
      </c>
      <c r="I12">
        <v>13651</v>
      </c>
      <c r="J12">
        <f t="shared" si="3"/>
        <v>11</v>
      </c>
      <c r="K12">
        <f t="shared" si="1"/>
        <v>11</v>
      </c>
      <c r="L12">
        <f t="shared" si="1"/>
        <v>10</v>
      </c>
      <c r="M12">
        <f t="shared" si="1"/>
        <v>12</v>
      </c>
      <c r="N12">
        <f t="shared" si="1"/>
        <v>12</v>
      </c>
      <c r="O12">
        <f t="shared" si="1"/>
        <v>12</v>
      </c>
      <c r="P12">
        <f t="shared" si="1"/>
        <v>12</v>
      </c>
      <c r="Q12">
        <f t="shared" si="1"/>
        <v>11</v>
      </c>
      <c r="R12">
        <f t="shared" si="1"/>
        <v>12</v>
      </c>
      <c r="S12">
        <f t="shared" si="1"/>
        <v>13</v>
      </c>
      <c r="T12">
        <f t="shared" si="1"/>
        <v>11</v>
      </c>
      <c r="U12">
        <f t="shared" si="4"/>
        <v>10</v>
      </c>
      <c r="V12">
        <f t="shared" si="5"/>
        <v>137</v>
      </c>
      <c r="W12" s="206">
        <v>0.1</v>
      </c>
    </row>
    <row r="13" spans="1:23" ht="24" customHeight="1" x14ac:dyDescent="0.35">
      <c r="A13" s="38" t="s">
        <v>191</v>
      </c>
      <c r="B13" s="40" t="s">
        <v>425</v>
      </c>
      <c r="E13" t="s">
        <v>453</v>
      </c>
      <c r="F13" s="207">
        <v>3.2544378698224852E-2</v>
      </c>
      <c r="G13" s="207">
        <f>+F13+1%</f>
        <v>4.2544378698224854E-2</v>
      </c>
      <c r="H13" s="206">
        <f t="shared" si="2"/>
        <v>1.0000000000000002E-2</v>
      </c>
      <c r="I13">
        <v>22007</v>
      </c>
      <c r="J13">
        <f t="shared" si="3"/>
        <v>17</v>
      </c>
      <c r="K13">
        <f t="shared" si="1"/>
        <v>17</v>
      </c>
      <c r="L13">
        <f t="shared" si="1"/>
        <v>17</v>
      </c>
      <c r="M13">
        <f t="shared" si="1"/>
        <v>20</v>
      </c>
      <c r="N13">
        <f t="shared" si="1"/>
        <v>19</v>
      </c>
      <c r="O13">
        <f t="shared" si="1"/>
        <v>19</v>
      </c>
      <c r="P13">
        <f t="shared" si="1"/>
        <v>19</v>
      </c>
      <c r="Q13">
        <f t="shared" si="1"/>
        <v>18</v>
      </c>
      <c r="R13">
        <f t="shared" si="1"/>
        <v>19</v>
      </c>
      <c r="S13">
        <f t="shared" si="1"/>
        <v>20</v>
      </c>
      <c r="T13">
        <f t="shared" si="1"/>
        <v>18</v>
      </c>
      <c r="U13">
        <f t="shared" si="4"/>
        <v>17</v>
      </c>
      <c r="V13">
        <f t="shared" si="5"/>
        <v>220</v>
      </c>
      <c r="W13" s="206">
        <v>0.1</v>
      </c>
    </row>
    <row r="14" spans="1:23" ht="24" customHeight="1" x14ac:dyDescent="0.35">
      <c r="A14" s="38" t="s">
        <v>193</v>
      </c>
      <c r="B14" s="40" t="s">
        <v>426</v>
      </c>
      <c r="E14" t="s">
        <v>244</v>
      </c>
      <c r="F14" s="207">
        <v>8.720059880239521E-2</v>
      </c>
      <c r="G14" s="207">
        <f>+F14+1%</f>
        <v>9.7200598802395205E-2</v>
      </c>
      <c r="H14" s="206">
        <f t="shared" si="2"/>
        <v>9.999999999999995E-3</v>
      </c>
      <c r="I14">
        <v>16627</v>
      </c>
      <c r="J14">
        <f t="shared" si="3"/>
        <v>13</v>
      </c>
      <c r="K14">
        <f t="shared" si="1"/>
        <v>13</v>
      </c>
      <c r="L14">
        <f t="shared" si="1"/>
        <v>13</v>
      </c>
      <c r="M14">
        <f t="shared" si="1"/>
        <v>15</v>
      </c>
      <c r="N14">
        <f t="shared" si="1"/>
        <v>14</v>
      </c>
      <c r="O14">
        <f t="shared" si="1"/>
        <v>14</v>
      </c>
      <c r="P14">
        <f t="shared" si="1"/>
        <v>14</v>
      </c>
      <c r="Q14">
        <f t="shared" si="1"/>
        <v>13</v>
      </c>
      <c r="R14">
        <f t="shared" si="1"/>
        <v>14</v>
      </c>
      <c r="S14">
        <f t="shared" si="1"/>
        <v>15</v>
      </c>
      <c r="T14">
        <f t="shared" si="1"/>
        <v>14</v>
      </c>
      <c r="U14">
        <f t="shared" si="4"/>
        <v>14</v>
      </c>
      <c r="V14">
        <f t="shared" si="5"/>
        <v>166</v>
      </c>
      <c r="W14" s="206">
        <v>0.1</v>
      </c>
    </row>
    <row r="15" spans="1:23" ht="18" customHeight="1" x14ac:dyDescent="0.35">
      <c r="A15" s="38" t="s">
        <v>195</v>
      </c>
      <c r="B15" s="40" t="s">
        <v>427</v>
      </c>
      <c r="E15" t="s">
        <v>301</v>
      </c>
      <c r="F15" s="207">
        <v>6.0563380281690143E-2</v>
      </c>
      <c r="G15" s="207">
        <f>+F15+2%</f>
        <v>8.0563380281690147E-2</v>
      </c>
      <c r="H15" s="206">
        <f t="shared" si="2"/>
        <v>2.0000000000000004E-2</v>
      </c>
      <c r="I15">
        <v>13810</v>
      </c>
      <c r="J15">
        <f t="shared" si="3"/>
        <v>21</v>
      </c>
      <c r="K15">
        <f t="shared" si="1"/>
        <v>21</v>
      </c>
      <c r="L15">
        <f t="shared" si="1"/>
        <v>21</v>
      </c>
      <c r="M15">
        <f t="shared" si="1"/>
        <v>25</v>
      </c>
      <c r="N15">
        <f t="shared" si="1"/>
        <v>24</v>
      </c>
      <c r="O15">
        <f t="shared" si="1"/>
        <v>24</v>
      </c>
      <c r="P15">
        <f t="shared" si="1"/>
        <v>24</v>
      </c>
      <c r="Q15">
        <f t="shared" si="1"/>
        <v>22</v>
      </c>
      <c r="R15">
        <f t="shared" si="1"/>
        <v>23</v>
      </c>
      <c r="S15">
        <f t="shared" si="1"/>
        <v>25</v>
      </c>
      <c r="T15">
        <f t="shared" si="1"/>
        <v>23</v>
      </c>
      <c r="U15">
        <f t="shared" si="4"/>
        <v>23</v>
      </c>
      <c r="V15">
        <f t="shared" si="5"/>
        <v>276</v>
      </c>
      <c r="W15" s="206">
        <v>0.1</v>
      </c>
    </row>
    <row r="16" spans="1:23" ht="14.25" customHeight="1" x14ac:dyDescent="0.35">
      <c r="E16" t="s">
        <v>456</v>
      </c>
      <c r="F16" s="207">
        <v>4.1666666666666664E-2</v>
      </c>
      <c r="G16" s="207">
        <f>+F16+2%</f>
        <v>6.1666666666666661E-2</v>
      </c>
      <c r="H16" s="206">
        <f t="shared" si="2"/>
        <v>1.9999999999999997E-2</v>
      </c>
      <c r="I16">
        <v>12863</v>
      </c>
      <c r="J16">
        <f t="shared" si="3"/>
        <v>20</v>
      </c>
      <c r="K16">
        <f t="shared" si="1"/>
        <v>20</v>
      </c>
      <c r="L16">
        <f t="shared" si="1"/>
        <v>20</v>
      </c>
      <c r="M16">
        <f t="shared" si="1"/>
        <v>23</v>
      </c>
      <c r="N16">
        <f t="shared" si="1"/>
        <v>22</v>
      </c>
      <c r="O16">
        <f t="shared" si="1"/>
        <v>22</v>
      </c>
      <c r="P16">
        <f t="shared" si="1"/>
        <v>22</v>
      </c>
      <c r="Q16">
        <f t="shared" si="1"/>
        <v>21</v>
      </c>
      <c r="R16">
        <f t="shared" si="1"/>
        <v>22</v>
      </c>
      <c r="S16">
        <f t="shared" si="1"/>
        <v>24</v>
      </c>
      <c r="T16">
        <f t="shared" si="1"/>
        <v>21</v>
      </c>
      <c r="U16">
        <f t="shared" si="4"/>
        <v>20</v>
      </c>
      <c r="V16">
        <f t="shared" si="5"/>
        <v>257</v>
      </c>
      <c r="W16" s="206">
        <v>0.1</v>
      </c>
    </row>
    <row r="17" spans="5:23" ht="14.25" customHeight="1" x14ac:dyDescent="0.35">
      <c r="E17" t="s">
        <v>457</v>
      </c>
      <c r="F17" s="207">
        <v>0.18642005354100755</v>
      </c>
      <c r="G17" s="207">
        <f t="shared" ref="G9:G30" si="6">+F17+5%</f>
        <v>0.23642005354100754</v>
      </c>
      <c r="H17" s="206">
        <f t="shared" si="2"/>
        <v>4.9999999999999989E-2</v>
      </c>
      <c r="I17">
        <v>4110</v>
      </c>
      <c r="J17">
        <f t="shared" si="3"/>
        <v>16</v>
      </c>
      <c r="K17">
        <f t="shared" si="1"/>
        <v>16</v>
      </c>
      <c r="L17">
        <f t="shared" si="1"/>
        <v>16</v>
      </c>
      <c r="M17">
        <f t="shared" si="1"/>
        <v>19</v>
      </c>
      <c r="N17">
        <f t="shared" si="1"/>
        <v>18</v>
      </c>
      <c r="O17">
        <f t="shared" si="1"/>
        <v>18</v>
      </c>
      <c r="P17">
        <f t="shared" si="1"/>
        <v>18</v>
      </c>
      <c r="Q17">
        <f t="shared" si="1"/>
        <v>16</v>
      </c>
      <c r="R17">
        <f t="shared" si="1"/>
        <v>17</v>
      </c>
      <c r="S17">
        <f t="shared" si="1"/>
        <v>19</v>
      </c>
      <c r="T17">
        <f t="shared" si="1"/>
        <v>17</v>
      </c>
      <c r="U17">
        <f t="shared" si="4"/>
        <v>16</v>
      </c>
      <c r="V17">
        <f t="shared" si="5"/>
        <v>206</v>
      </c>
      <c r="W17" s="206">
        <v>0.1</v>
      </c>
    </row>
    <row r="18" spans="5:23" ht="14.25" customHeight="1" x14ac:dyDescent="0.35">
      <c r="E18" t="s">
        <v>458</v>
      </c>
      <c r="F18" s="207">
        <v>0</v>
      </c>
      <c r="G18" s="207">
        <f t="shared" si="6"/>
        <v>0.05</v>
      </c>
      <c r="H18" s="206">
        <f t="shared" si="2"/>
        <v>0.05</v>
      </c>
      <c r="I18">
        <v>364</v>
      </c>
      <c r="J18">
        <f t="shared" si="3"/>
        <v>1</v>
      </c>
      <c r="K18">
        <f t="shared" si="1"/>
        <v>1</v>
      </c>
      <c r="L18">
        <f t="shared" si="1"/>
        <v>1</v>
      </c>
      <c r="M18">
        <f t="shared" si="1"/>
        <v>2</v>
      </c>
      <c r="N18">
        <f t="shared" si="1"/>
        <v>2</v>
      </c>
      <c r="O18">
        <f t="shared" si="1"/>
        <v>2</v>
      </c>
      <c r="P18">
        <f t="shared" si="1"/>
        <v>2</v>
      </c>
      <c r="Q18">
        <f t="shared" si="1"/>
        <v>1</v>
      </c>
      <c r="R18">
        <f t="shared" si="1"/>
        <v>2</v>
      </c>
      <c r="S18">
        <f t="shared" si="1"/>
        <v>2</v>
      </c>
      <c r="T18">
        <f t="shared" si="1"/>
        <v>1</v>
      </c>
      <c r="U18">
        <f t="shared" si="4"/>
        <v>1</v>
      </c>
      <c r="V18">
        <f t="shared" si="5"/>
        <v>18</v>
      </c>
      <c r="W18" s="206">
        <v>0.1</v>
      </c>
    </row>
    <row r="19" spans="5:23" ht="14.25" customHeight="1" x14ac:dyDescent="0.35">
      <c r="F19" s="207"/>
      <c r="G19" s="207"/>
      <c r="H19" s="206"/>
      <c r="W19" s="206">
        <v>0.1</v>
      </c>
    </row>
    <row r="20" spans="5:23" ht="14.25" customHeight="1" x14ac:dyDescent="0.35">
      <c r="F20" s="207"/>
      <c r="G20" s="207"/>
      <c r="H20" s="206"/>
      <c r="W20" s="206">
        <v>0.1</v>
      </c>
    </row>
    <row r="21" spans="5:23" ht="14.25" customHeight="1" x14ac:dyDescent="0.35">
      <c r="F21" s="207"/>
      <c r="G21" s="207"/>
      <c r="H21" s="206"/>
      <c r="W21" s="206">
        <v>0.1</v>
      </c>
    </row>
    <row r="22" spans="5:23" ht="14.25" customHeight="1" x14ac:dyDescent="0.35">
      <c r="F22" s="207"/>
      <c r="G22" s="207"/>
      <c r="H22" s="206"/>
      <c r="W22" s="206">
        <v>0.1</v>
      </c>
    </row>
    <row r="23" spans="5:23" ht="14.25" customHeight="1" x14ac:dyDescent="0.35">
      <c r="E23" t="s">
        <v>483</v>
      </c>
      <c r="F23" s="207">
        <v>8.7692307692307694E-2</v>
      </c>
      <c r="G23" s="207">
        <f>+F23+1%</f>
        <v>9.7692307692307689E-2</v>
      </c>
      <c r="H23" s="206">
        <f t="shared" si="2"/>
        <v>9.999999999999995E-3</v>
      </c>
      <c r="I23">
        <v>9336</v>
      </c>
      <c r="J23">
        <f t="shared" si="3"/>
        <v>7</v>
      </c>
      <c r="K23">
        <f t="shared" si="1"/>
        <v>7</v>
      </c>
      <c r="L23">
        <f t="shared" si="1"/>
        <v>7</v>
      </c>
      <c r="M23">
        <f t="shared" si="1"/>
        <v>8</v>
      </c>
      <c r="N23">
        <f t="shared" si="1"/>
        <v>8</v>
      </c>
      <c r="O23">
        <f t="shared" si="1"/>
        <v>8</v>
      </c>
      <c r="P23">
        <f t="shared" si="1"/>
        <v>8</v>
      </c>
      <c r="Q23">
        <f t="shared" si="1"/>
        <v>7</v>
      </c>
      <c r="R23">
        <f t="shared" si="1"/>
        <v>8</v>
      </c>
      <c r="S23">
        <f t="shared" si="1"/>
        <v>9</v>
      </c>
      <c r="T23">
        <f t="shared" si="1"/>
        <v>8</v>
      </c>
      <c r="U23">
        <f t="shared" si="4"/>
        <v>8</v>
      </c>
      <c r="V23">
        <f t="shared" si="5"/>
        <v>93</v>
      </c>
      <c r="W23" s="206">
        <v>0.1</v>
      </c>
    </row>
    <row r="24" spans="5:23" ht="14.25" customHeight="1" x14ac:dyDescent="0.35">
      <c r="E24" t="s">
        <v>484</v>
      </c>
      <c r="F24" s="207">
        <v>0</v>
      </c>
      <c r="G24" s="207">
        <f>+F24+1%</f>
        <v>0.01</v>
      </c>
      <c r="H24" s="206">
        <f t="shared" si="2"/>
        <v>0.01</v>
      </c>
      <c r="I24">
        <v>7701</v>
      </c>
      <c r="J24">
        <f t="shared" si="3"/>
        <v>6</v>
      </c>
      <c r="K24">
        <f t="shared" si="3"/>
        <v>6</v>
      </c>
      <c r="L24">
        <f t="shared" si="3"/>
        <v>6</v>
      </c>
      <c r="M24">
        <f t="shared" si="3"/>
        <v>7</v>
      </c>
      <c r="N24">
        <f t="shared" si="3"/>
        <v>7</v>
      </c>
      <c r="O24">
        <f t="shared" si="3"/>
        <v>7</v>
      </c>
      <c r="P24">
        <f t="shared" si="3"/>
        <v>7</v>
      </c>
      <c r="Q24">
        <f t="shared" si="3"/>
        <v>6</v>
      </c>
      <c r="R24">
        <f t="shared" si="3"/>
        <v>6</v>
      </c>
      <c r="S24">
        <f t="shared" si="3"/>
        <v>7</v>
      </c>
      <c r="T24">
        <f t="shared" si="3"/>
        <v>6</v>
      </c>
      <c r="U24">
        <f t="shared" si="4"/>
        <v>6</v>
      </c>
      <c r="V24">
        <f t="shared" si="5"/>
        <v>77</v>
      </c>
      <c r="W24" s="206">
        <v>0.1</v>
      </c>
    </row>
    <row r="25" spans="5:23" ht="14.25" customHeight="1" x14ac:dyDescent="0.35">
      <c r="E25" t="s">
        <v>485</v>
      </c>
      <c r="F25" s="207">
        <v>0</v>
      </c>
      <c r="G25" s="207">
        <f>+F25+1%</f>
        <v>0.01</v>
      </c>
      <c r="H25" s="206">
        <f t="shared" si="2"/>
        <v>0.01</v>
      </c>
      <c r="I25">
        <v>516</v>
      </c>
      <c r="J25">
        <f t="shared" ref="J25:U30" si="7">ROUND($V25*J$6,0)</f>
        <v>0</v>
      </c>
      <c r="K25">
        <f t="shared" si="7"/>
        <v>0</v>
      </c>
      <c r="L25">
        <f t="shared" si="7"/>
        <v>0</v>
      </c>
      <c r="M25">
        <f t="shared" si="7"/>
        <v>0</v>
      </c>
      <c r="N25">
        <f t="shared" si="7"/>
        <v>0</v>
      </c>
      <c r="O25">
        <f t="shared" si="7"/>
        <v>0</v>
      </c>
      <c r="P25">
        <f t="shared" si="7"/>
        <v>0</v>
      </c>
      <c r="Q25">
        <f t="shared" si="7"/>
        <v>0</v>
      </c>
      <c r="R25">
        <f t="shared" si="7"/>
        <v>0</v>
      </c>
      <c r="S25">
        <f t="shared" si="7"/>
        <v>0</v>
      </c>
      <c r="T25">
        <f t="shared" si="7"/>
        <v>0</v>
      </c>
      <c r="U25">
        <f t="shared" si="4"/>
        <v>5</v>
      </c>
      <c r="V25">
        <f t="shared" si="5"/>
        <v>5</v>
      </c>
      <c r="W25" s="206">
        <v>0.1</v>
      </c>
    </row>
    <row r="26" spans="5:23" ht="14.25" customHeight="1" x14ac:dyDescent="0.35">
      <c r="E26" t="s">
        <v>486</v>
      </c>
      <c r="F26" s="207">
        <v>0</v>
      </c>
      <c r="G26" s="207">
        <f t="shared" si="6"/>
        <v>0.05</v>
      </c>
      <c r="H26" s="206">
        <f t="shared" si="2"/>
        <v>0.05</v>
      </c>
      <c r="I26">
        <v>1925</v>
      </c>
      <c r="J26">
        <f t="shared" si="7"/>
        <v>7</v>
      </c>
      <c r="K26">
        <f t="shared" si="7"/>
        <v>7</v>
      </c>
      <c r="L26">
        <f t="shared" si="7"/>
        <v>7</v>
      </c>
      <c r="M26">
        <f t="shared" si="7"/>
        <v>9</v>
      </c>
      <c r="N26">
        <f t="shared" si="7"/>
        <v>8</v>
      </c>
      <c r="O26">
        <f t="shared" si="7"/>
        <v>8</v>
      </c>
      <c r="P26">
        <f t="shared" si="7"/>
        <v>8</v>
      </c>
      <c r="Q26">
        <f t="shared" si="7"/>
        <v>8</v>
      </c>
      <c r="R26">
        <f t="shared" si="7"/>
        <v>8</v>
      </c>
      <c r="S26">
        <f t="shared" si="7"/>
        <v>9</v>
      </c>
      <c r="T26">
        <f t="shared" si="7"/>
        <v>8</v>
      </c>
      <c r="U26">
        <f t="shared" si="4"/>
        <v>9</v>
      </c>
      <c r="V26">
        <f t="shared" si="5"/>
        <v>96</v>
      </c>
      <c r="W26" s="206">
        <v>0.1</v>
      </c>
    </row>
    <row r="27" spans="5:23" ht="14.25" customHeight="1" x14ac:dyDescent="0.35">
      <c r="F27" s="207"/>
      <c r="G27" s="207"/>
      <c r="H27" s="206"/>
      <c r="W27" s="206">
        <v>0.1</v>
      </c>
    </row>
    <row r="28" spans="5:23" ht="14.25" customHeight="1" x14ac:dyDescent="0.35">
      <c r="E28" t="s">
        <v>488</v>
      </c>
      <c r="F28" s="207">
        <v>0</v>
      </c>
      <c r="G28" s="207">
        <f t="shared" si="6"/>
        <v>0.05</v>
      </c>
      <c r="H28" s="206">
        <f t="shared" si="2"/>
        <v>0.05</v>
      </c>
      <c r="I28">
        <v>22</v>
      </c>
      <c r="J28">
        <f t="shared" si="7"/>
        <v>0</v>
      </c>
      <c r="K28">
        <f t="shared" si="7"/>
        <v>0</v>
      </c>
      <c r="L28">
        <f t="shared" si="7"/>
        <v>0</v>
      </c>
      <c r="M28">
        <f t="shared" si="7"/>
        <v>0</v>
      </c>
      <c r="N28">
        <f t="shared" si="7"/>
        <v>0</v>
      </c>
      <c r="O28">
        <f t="shared" si="7"/>
        <v>0</v>
      </c>
      <c r="P28">
        <f t="shared" si="7"/>
        <v>0</v>
      </c>
      <c r="Q28">
        <f t="shared" si="7"/>
        <v>0</v>
      </c>
      <c r="R28">
        <f t="shared" si="7"/>
        <v>0</v>
      </c>
      <c r="S28">
        <f t="shared" si="7"/>
        <v>0</v>
      </c>
      <c r="T28">
        <f t="shared" si="7"/>
        <v>0</v>
      </c>
      <c r="U28">
        <f t="shared" si="4"/>
        <v>1</v>
      </c>
      <c r="V28">
        <f t="shared" si="5"/>
        <v>1</v>
      </c>
      <c r="W28" s="206">
        <v>0.1</v>
      </c>
    </row>
    <row r="29" spans="5:23" ht="14.25" customHeight="1" x14ac:dyDescent="0.35">
      <c r="E29" t="s">
        <v>489</v>
      </c>
      <c r="F29" s="207">
        <v>0</v>
      </c>
      <c r="G29" s="207">
        <f t="shared" si="6"/>
        <v>0.05</v>
      </c>
      <c r="H29" s="206">
        <f t="shared" si="2"/>
        <v>0.05</v>
      </c>
      <c r="I29">
        <v>1036</v>
      </c>
      <c r="J29">
        <f t="shared" si="7"/>
        <v>4</v>
      </c>
      <c r="K29">
        <f t="shared" si="7"/>
        <v>4</v>
      </c>
      <c r="L29">
        <f t="shared" si="7"/>
        <v>4</v>
      </c>
      <c r="M29">
        <f t="shared" si="7"/>
        <v>5</v>
      </c>
      <c r="N29">
        <f t="shared" si="7"/>
        <v>4</v>
      </c>
      <c r="O29">
        <f t="shared" si="7"/>
        <v>4</v>
      </c>
      <c r="P29">
        <f t="shared" si="7"/>
        <v>5</v>
      </c>
      <c r="Q29">
        <f t="shared" si="7"/>
        <v>4</v>
      </c>
      <c r="R29">
        <f t="shared" si="7"/>
        <v>4</v>
      </c>
      <c r="S29">
        <f t="shared" si="7"/>
        <v>5</v>
      </c>
      <c r="T29">
        <f t="shared" si="7"/>
        <v>4</v>
      </c>
      <c r="U29">
        <f t="shared" si="4"/>
        <v>5</v>
      </c>
      <c r="V29">
        <f t="shared" si="5"/>
        <v>52</v>
      </c>
      <c r="W29" s="206">
        <v>0.1</v>
      </c>
    </row>
    <row r="30" spans="5:23" ht="14.25" customHeight="1" x14ac:dyDescent="0.35">
      <c r="F30" s="207"/>
      <c r="G30" s="207"/>
      <c r="H30" s="206"/>
    </row>
    <row r="31" spans="5:23" ht="14.25" customHeight="1" x14ac:dyDescent="0.35"/>
    <row r="32" spans="5:2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honeticPr fontId="37" type="noConversion"/>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632423"/>
  </sheetPr>
  <dimension ref="A1:AE1000"/>
  <sheetViews>
    <sheetView topLeftCell="F92" workbookViewId="0">
      <selection activeCell="G55" sqref="G55:R98"/>
    </sheetView>
  </sheetViews>
  <sheetFormatPr defaultColWidth="14.453125" defaultRowHeight="15" customHeight="1" x14ac:dyDescent="0.35"/>
  <cols>
    <col min="1" max="1" width="22" customWidth="1"/>
    <col min="2" max="2" width="70" customWidth="1"/>
    <col min="3" max="4" width="8.7265625" customWidth="1"/>
    <col min="5" max="6" width="46.81640625" customWidth="1"/>
    <col min="7" max="18" width="8.7265625" customWidth="1"/>
    <col min="19" max="19" width="9.7265625" customWidth="1"/>
    <col min="20" max="20" width="14.7265625" customWidth="1"/>
    <col min="21" max="22" width="13.7265625" customWidth="1"/>
    <col min="23" max="23" width="15" customWidth="1"/>
    <col min="24" max="24" width="13.7265625" customWidth="1"/>
    <col min="25" max="26" width="15" customWidth="1"/>
    <col min="27" max="27" width="13.7265625" customWidth="1"/>
    <col min="28" max="31" width="15" customWidth="1"/>
  </cols>
  <sheetData>
    <row r="1" spans="1:31" ht="30" customHeight="1" x14ac:dyDescent="0.35">
      <c r="A1" s="160" t="s">
        <v>428</v>
      </c>
      <c r="B1" s="161"/>
    </row>
    <row r="2" spans="1:31" ht="18" customHeight="1" x14ac:dyDescent="0.35">
      <c r="A2" s="162" t="s">
        <v>76</v>
      </c>
      <c r="B2" s="163"/>
    </row>
    <row r="3" spans="1:31" ht="13.5" customHeight="1" x14ac:dyDescent="0.35">
      <c r="A3" s="164" t="s">
        <v>180</v>
      </c>
      <c r="B3" s="163"/>
    </row>
    <row r="4" spans="1:31" ht="72" customHeight="1" x14ac:dyDescent="0.35">
      <c r="A4" s="36" t="s">
        <v>181</v>
      </c>
      <c r="B4" s="37" t="s">
        <v>429</v>
      </c>
      <c r="E4" s="1" t="s">
        <v>26</v>
      </c>
      <c r="F4" s="1"/>
      <c r="T4" s="6">
        <f t="shared" ref="T4:AE4" si="0">+T5+T54</f>
        <v>0</v>
      </c>
      <c r="U4" s="6">
        <f t="shared" si="0"/>
        <v>3139430.8943177518</v>
      </c>
      <c r="V4" s="6">
        <f t="shared" si="0"/>
        <v>10036636.606892278</v>
      </c>
      <c r="W4" s="6">
        <f t="shared" si="0"/>
        <v>18401195.81830027</v>
      </c>
      <c r="X4" s="6">
        <f t="shared" si="0"/>
        <v>24398645.28985716</v>
      </c>
      <c r="Y4" s="6">
        <f t="shared" si="0"/>
        <v>31779269.365410887</v>
      </c>
      <c r="Z4" s="6">
        <f t="shared" si="0"/>
        <v>39264252.70170401</v>
      </c>
      <c r="AA4" s="6">
        <f t="shared" si="0"/>
        <v>42155960.234243721</v>
      </c>
      <c r="AB4" s="6">
        <f t="shared" si="0"/>
        <v>52913124.221712857</v>
      </c>
      <c r="AC4" s="6">
        <f t="shared" si="0"/>
        <v>66879887.519775286</v>
      </c>
      <c r="AD4" s="6">
        <f t="shared" si="0"/>
        <v>65258944.332774267</v>
      </c>
      <c r="AE4" s="6">
        <f t="shared" si="0"/>
        <v>73996918.458954096</v>
      </c>
    </row>
    <row r="5" spans="1:31" ht="18" customHeight="1" x14ac:dyDescent="0.35">
      <c r="A5" s="38" t="s">
        <v>19</v>
      </c>
      <c r="B5" s="39">
        <v>46143</v>
      </c>
      <c r="T5" s="103">
        <f t="shared" ref="T5:AE5" si="1">SUM(T8:T51)</f>
        <v>0</v>
      </c>
      <c r="U5" s="103">
        <f t="shared" si="1"/>
        <v>858987.93198921671</v>
      </c>
      <c r="V5" s="103">
        <f t="shared" si="1"/>
        <v>2592190.1172432541</v>
      </c>
      <c r="W5" s="103">
        <f t="shared" si="1"/>
        <v>4980080.6967431773</v>
      </c>
      <c r="X5" s="103">
        <f t="shared" si="1"/>
        <v>6494690.7884930968</v>
      </c>
      <c r="Y5" s="103">
        <f t="shared" si="1"/>
        <v>8383562.1557366485</v>
      </c>
      <c r="Z5" s="103">
        <f t="shared" si="1"/>
        <v>10508926.35573508</v>
      </c>
      <c r="AA5" s="103">
        <f t="shared" si="1"/>
        <v>11081716.22818986</v>
      </c>
      <c r="AB5" s="103">
        <f t="shared" si="1"/>
        <v>13835760.568563186</v>
      </c>
      <c r="AC5" s="103">
        <f t="shared" si="1"/>
        <v>17563362.840906505</v>
      </c>
      <c r="AD5" s="103">
        <f t="shared" si="1"/>
        <v>17322617.975340698</v>
      </c>
      <c r="AE5" s="103">
        <f t="shared" si="1"/>
        <v>19793710.61069303</v>
      </c>
    </row>
    <row r="6" spans="1:31" ht="18" customHeight="1" x14ac:dyDescent="0.35">
      <c r="A6" s="38" t="s">
        <v>183</v>
      </c>
      <c r="B6" s="37" t="s">
        <v>78</v>
      </c>
      <c r="G6" s="1" t="s">
        <v>430</v>
      </c>
      <c r="S6" s="6"/>
      <c r="T6" s="1" t="s">
        <v>430</v>
      </c>
    </row>
    <row r="7" spans="1:31" ht="18" customHeight="1" x14ac:dyDescent="0.35">
      <c r="A7" s="38" t="s">
        <v>184</v>
      </c>
      <c r="B7" s="37" t="s">
        <v>431</v>
      </c>
      <c r="E7" s="1" t="s">
        <v>432</v>
      </c>
      <c r="F7" s="1"/>
      <c r="G7" s="1" t="s">
        <v>433</v>
      </c>
      <c r="H7" s="1" t="s">
        <v>434</v>
      </c>
      <c r="I7" s="1" t="s">
        <v>435</v>
      </c>
      <c r="J7" s="1" t="s">
        <v>436</v>
      </c>
      <c r="K7" s="1" t="s">
        <v>437</v>
      </c>
      <c r="L7" s="1" t="s">
        <v>438</v>
      </c>
      <c r="M7" s="1" t="s">
        <v>439</v>
      </c>
      <c r="N7" s="1" t="s">
        <v>440</v>
      </c>
      <c r="O7" s="1" t="s">
        <v>441</v>
      </c>
      <c r="P7" s="1" t="s">
        <v>442</v>
      </c>
      <c r="Q7" s="1" t="s">
        <v>443</v>
      </c>
      <c r="R7" s="1" t="s">
        <v>444</v>
      </c>
      <c r="S7" s="6" t="s">
        <v>445</v>
      </c>
      <c r="T7" s="1" t="s">
        <v>433</v>
      </c>
      <c r="U7" s="1" t="s">
        <v>434</v>
      </c>
      <c r="V7" s="1" t="s">
        <v>435</v>
      </c>
      <c r="W7" s="1" t="s">
        <v>436</v>
      </c>
      <c r="X7" s="1" t="s">
        <v>437</v>
      </c>
      <c r="Y7" s="1" t="s">
        <v>438</v>
      </c>
      <c r="Z7" s="1" t="s">
        <v>439</v>
      </c>
      <c r="AA7" s="1" t="s">
        <v>440</v>
      </c>
      <c r="AB7" s="1" t="s">
        <v>441</v>
      </c>
      <c r="AC7" s="1" t="s">
        <v>442</v>
      </c>
      <c r="AD7" s="1" t="s">
        <v>443</v>
      </c>
      <c r="AE7" s="1" t="s">
        <v>444</v>
      </c>
    </row>
    <row r="8" spans="1:31" ht="18" customHeight="1" x14ac:dyDescent="0.35">
      <c r="E8" s="1" t="s">
        <v>248</v>
      </c>
      <c r="F8" s="1"/>
      <c r="G8" s="1">
        <v>0</v>
      </c>
      <c r="H8" s="1">
        <v>16</v>
      </c>
      <c r="I8" s="1">
        <v>61</v>
      </c>
      <c r="J8" s="1">
        <v>112</v>
      </c>
      <c r="K8" s="1">
        <v>126</v>
      </c>
      <c r="L8" s="1">
        <v>175</v>
      </c>
      <c r="M8" s="1">
        <v>232</v>
      </c>
      <c r="N8" s="1">
        <v>256</v>
      </c>
      <c r="O8" s="1">
        <v>362</v>
      </c>
      <c r="P8" s="1">
        <v>479</v>
      </c>
      <c r="Q8" s="1">
        <v>468</v>
      </c>
      <c r="R8" s="1">
        <v>564</v>
      </c>
      <c r="S8" s="6">
        <v>7661.9248507139755</v>
      </c>
      <c r="T8" s="6">
        <f>+G8*$S8</f>
        <v>0</v>
      </c>
      <c r="U8" s="6">
        <f>+H8*$S8</f>
        <v>122590.79761142361</v>
      </c>
      <c r="V8" s="6">
        <f>+I8*$S8</f>
        <v>467377.41589355253</v>
      </c>
      <c r="W8" s="6">
        <f>+J8*$S8</f>
        <v>858135.58327996521</v>
      </c>
      <c r="X8" s="6">
        <f>+K8*$S8</f>
        <v>965402.53118996089</v>
      </c>
      <c r="Y8" s="6">
        <f>+L8*$S8</f>
        <v>1340836.8488749457</v>
      </c>
      <c r="Z8" s="6">
        <f>+M8*$S8</f>
        <v>1777566.5653656423</v>
      </c>
      <c r="AA8" s="6">
        <f>+N8*$S8</f>
        <v>1961452.7617827777</v>
      </c>
      <c r="AB8" s="6">
        <f>+O8*$S8</f>
        <v>2773616.7959584589</v>
      </c>
      <c r="AC8" s="6">
        <f>+P8*$S8</f>
        <v>3670062.0034919945</v>
      </c>
      <c r="AD8" s="6">
        <f>+Q8*$S8</f>
        <v>3585780.8301341403</v>
      </c>
      <c r="AE8" s="6">
        <f>+R8*$S8</f>
        <v>4321325.615802682</v>
      </c>
    </row>
    <row r="9" spans="1:31" ht="13.5" customHeight="1" x14ac:dyDescent="0.35">
      <c r="A9" s="164" t="s">
        <v>186</v>
      </c>
      <c r="B9" s="163"/>
      <c r="E9" s="1" t="s">
        <v>446</v>
      </c>
      <c r="F9" s="1"/>
      <c r="G9" s="1">
        <v>0</v>
      </c>
      <c r="H9" s="1">
        <v>30</v>
      </c>
      <c r="I9" s="1">
        <v>88</v>
      </c>
      <c r="J9" s="1">
        <v>157</v>
      </c>
      <c r="K9" s="1">
        <v>198</v>
      </c>
      <c r="L9" s="1">
        <v>266</v>
      </c>
      <c r="M9" s="1">
        <v>345</v>
      </c>
      <c r="N9" s="1">
        <v>345</v>
      </c>
      <c r="O9" s="1">
        <v>440</v>
      </c>
      <c r="P9" s="1">
        <v>504</v>
      </c>
      <c r="Q9" s="1">
        <v>523</v>
      </c>
      <c r="R9" s="1">
        <v>601</v>
      </c>
      <c r="S9" s="6">
        <v>6302.7976073395475</v>
      </c>
      <c r="T9" s="6">
        <f>+G9*$S9</f>
        <v>0</v>
      </c>
      <c r="U9" s="6">
        <f>+H9*$S9</f>
        <v>189083.92822018644</v>
      </c>
      <c r="V9" s="6">
        <f>+I9*$S9</f>
        <v>554646.18944588024</v>
      </c>
      <c r="W9" s="6">
        <f>+J9*$S9</f>
        <v>989539.22435230901</v>
      </c>
      <c r="X9" s="6">
        <f>+K9*$S9</f>
        <v>1247953.9262532303</v>
      </c>
      <c r="Y9" s="6">
        <f>+L9*$S9</f>
        <v>1676544.1635523196</v>
      </c>
      <c r="Z9" s="6">
        <f>+M9*$S9</f>
        <v>2174465.1745321439</v>
      </c>
      <c r="AA9" s="6">
        <f>+N9*$S9</f>
        <v>2174465.1745321439</v>
      </c>
      <c r="AB9" s="6">
        <f>+O9*$S9</f>
        <v>2773230.9472294007</v>
      </c>
      <c r="AC9" s="6">
        <f>+P9*$S9</f>
        <v>3176609.9940991318</v>
      </c>
      <c r="AD9" s="6">
        <f>+Q9*$S9</f>
        <v>3296363.1486385833</v>
      </c>
      <c r="AE9" s="6">
        <f>+R9*$S9</f>
        <v>3787981.362011068</v>
      </c>
    </row>
    <row r="10" spans="1:31" ht="129.75" customHeight="1" x14ac:dyDescent="0.35">
      <c r="A10" s="165" t="s">
        <v>447</v>
      </c>
      <c r="B10" s="163"/>
      <c r="E10" s="1" t="s">
        <v>448</v>
      </c>
      <c r="F10" s="1"/>
      <c r="G10" s="1">
        <v>0</v>
      </c>
      <c r="H10" s="1">
        <v>3</v>
      </c>
      <c r="I10" s="1">
        <v>8</v>
      </c>
      <c r="J10" s="1">
        <v>15</v>
      </c>
      <c r="K10" s="1">
        <v>16</v>
      </c>
      <c r="L10" s="1">
        <v>28</v>
      </c>
      <c r="M10" s="1">
        <v>41</v>
      </c>
      <c r="N10" s="1">
        <v>48</v>
      </c>
      <c r="O10" s="1">
        <v>67</v>
      </c>
      <c r="P10" s="1">
        <v>84</v>
      </c>
      <c r="Q10" s="1">
        <v>87</v>
      </c>
      <c r="R10" s="1">
        <v>99</v>
      </c>
      <c r="S10" s="6">
        <v>2232.0359860117792</v>
      </c>
      <c r="T10" s="6">
        <f>+G10*$S10</f>
        <v>0</v>
      </c>
      <c r="U10" s="6">
        <f>+H10*$S10</f>
        <v>6696.107958035338</v>
      </c>
      <c r="V10" s="6">
        <f>+I10*$S10</f>
        <v>17856.287888094233</v>
      </c>
      <c r="W10" s="6">
        <f>+J10*$S10</f>
        <v>33480.539790176685</v>
      </c>
      <c r="X10" s="6">
        <f>+K10*$S10</f>
        <v>35712.575776188467</v>
      </c>
      <c r="Y10" s="6">
        <f>+L10*$S10</f>
        <v>62497.007608329819</v>
      </c>
      <c r="Z10" s="6">
        <f>+M10*$S10</f>
        <v>91513.475426482953</v>
      </c>
      <c r="AA10" s="6">
        <f>+N10*$S10</f>
        <v>107137.72732856541</v>
      </c>
      <c r="AB10" s="6">
        <f>+O10*$S10</f>
        <v>149546.41106278921</v>
      </c>
      <c r="AC10" s="6">
        <f>+P10*$S10</f>
        <v>187491.02282498946</v>
      </c>
      <c r="AD10" s="6">
        <f>+Q10*$S10</f>
        <v>194187.1307830248</v>
      </c>
      <c r="AE10" s="6">
        <f>+R10*$S10</f>
        <v>220971.56261516613</v>
      </c>
    </row>
    <row r="11" spans="1:31" ht="13.5" customHeight="1" x14ac:dyDescent="0.35">
      <c r="A11" s="164" t="s">
        <v>188</v>
      </c>
      <c r="B11" s="163"/>
      <c r="E11" s="1" t="s">
        <v>449</v>
      </c>
      <c r="F11" s="1"/>
      <c r="G11" s="1">
        <v>0</v>
      </c>
      <c r="H11" s="1">
        <v>7</v>
      </c>
      <c r="I11" s="1">
        <v>20</v>
      </c>
      <c r="J11" s="1">
        <v>39</v>
      </c>
      <c r="K11" s="1">
        <v>62</v>
      </c>
      <c r="L11" s="1">
        <v>79</v>
      </c>
      <c r="M11" s="1">
        <v>88</v>
      </c>
      <c r="N11" s="1">
        <v>95</v>
      </c>
      <c r="O11" s="1">
        <v>112</v>
      </c>
      <c r="P11" s="1">
        <v>152</v>
      </c>
      <c r="Q11" s="1">
        <v>146</v>
      </c>
      <c r="R11" s="1">
        <v>161</v>
      </c>
      <c r="S11" s="6">
        <v>3008.9909242927497</v>
      </c>
      <c r="T11" s="6">
        <f>+G11*$S11</f>
        <v>0</v>
      </c>
      <c r="U11" s="6">
        <f>+H11*$S11</f>
        <v>21062.936470049248</v>
      </c>
      <c r="V11" s="6">
        <f>+I11*$S11</f>
        <v>60179.818485854994</v>
      </c>
      <c r="W11" s="6">
        <f>+J11*$S11</f>
        <v>117350.64604741723</v>
      </c>
      <c r="X11" s="6">
        <f>+K11*$S11</f>
        <v>186557.43730615047</v>
      </c>
      <c r="Y11" s="6">
        <f>+L11*$S11</f>
        <v>237710.28301912724</v>
      </c>
      <c r="Z11" s="6">
        <f>+M11*$S11</f>
        <v>264791.20133776194</v>
      </c>
      <c r="AA11" s="6">
        <f>+N11*$S11</f>
        <v>285854.1378078112</v>
      </c>
      <c r="AB11" s="6">
        <f>+O11*$S11</f>
        <v>337006.98352078797</v>
      </c>
      <c r="AC11" s="6">
        <f>+P11*$S11</f>
        <v>457366.62049249792</v>
      </c>
      <c r="AD11" s="6">
        <f>+Q11*$S11</f>
        <v>439312.67494674143</v>
      </c>
      <c r="AE11" s="6">
        <f>+R11*$S11</f>
        <v>484447.53881113272</v>
      </c>
    </row>
    <row r="12" spans="1:31" ht="18" customHeight="1" x14ac:dyDescent="0.35">
      <c r="A12" s="38" t="s">
        <v>189</v>
      </c>
      <c r="B12" s="40" t="s">
        <v>450</v>
      </c>
      <c r="E12" s="1" t="s">
        <v>451</v>
      </c>
      <c r="F12" s="1"/>
      <c r="G12" s="1">
        <v>0</v>
      </c>
      <c r="H12" s="1">
        <v>12</v>
      </c>
      <c r="I12" s="1">
        <v>35</v>
      </c>
      <c r="J12" s="1">
        <v>59</v>
      </c>
      <c r="K12" s="1">
        <v>80</v>
      </c>
      <c r="L12" s="1">
        <v>104</v>
      </c>
      <c r="M12" s="1">
        <v>148</v>
      </c>
      <c r="N12" s="1">
        <v>125</v>
      </c>
      <c r="O12" s="1">
        <v>156</v>
      </c>
      <c r="P12" s="1">
        <v>212</v>
      </c>
      <c r="Q12" s="1">
        <v>207</v>
      </c>
      <c r="R12" s="1">
        <v>219</v>
      </c>
      <c r="S12" s="6">
        <v>1810.4889436411918</v>
      </c>
      <c r="T12" s="6">
        <f>+G12*$S12</f>
        <v>0</v>
      </c>
      <c r="U12" s="6">
        <f>+H12*$S12</f>
        <v>21725.8673236943</v>
      </c>
      <c r="V12" s="6">
        <f>+I12*$S12</f>
        <v>63367.113027441716</v>
      </c>
      <c r="W12" s="6">
        <f>+J12*$S12</f>
        <v>106818.84767483032</v>
      </c>
      <c r="X12" s="6">
        <f>+K12*$S12</f>
        <v>144839.11549129535</v>
      </c>
      <c r="Y12" s="6">
        <f>+L12*$S12</f>
        <v>188290.85013868395</v>
      </c>
      <c r="Z12" s="6">
        <f>+M12*$S12</f>
        <v>267952.36365889636</v>
      </c>
      <c r="AA12" s="6">
        <f>+N12*$S12</f>
        <v>226311.11795514898</v>
      </c>
      <c r="AB12" s="6">
        <f>+O12*$S12</f>
        <v>282436.27520802594</v>
      </c>
      <c r="AC12" s="6">
        <f>+P12*$S12</f>
        <v>383823.65605193266</v>
      </c>
      <c r="AD12" s="6">
        <f>+Q12*$S12</f>
        <v>374771.21133372671</v>
      </c>
      <c r="AE12" s="6">
        <f>+R12*$S12</f>
        <v>396497.07865742099</v>
      </c>
    </row>
    <row r="13" spans="1:31" ht="24" customHeight="1" x14ac:dyDescent="0.35">
      <c r="A13" s="38" t="s">
        <v>191</v>
      </c>
      <c r="B13" s="40" t="s">
        <v>452</v>
      </c>
      <c r="E13" s="1" t="s">
        <v>453</v>
      </c>
      <c r="F13" s="1"/>
      <c r="G13" s="1">
        <v>0</v>
      </c>
      <c r="H13" s="1">
        <v>19</v>
      </c>
      <c r="I13" s="1">
        <v>51</v>
      </c>
      <c r="J13" s="1">
        <v>107</v>
      </c>
      <c r="K13" s="1">
        <v>150</v>
      </c>
      <c r="L13" s="1">
        <v>177</v>
      </c>
      <c r="M13" s="1">
        <v>211</v>
      </c>
      <c r="N13" s="1">
        <v>203</v>
      </c>
      <c r="O13" s="1">
        <v>248</v>
      </c>
      <c r="P13" s="1">
        <v>320</v>
      </c>
      <c r="Q13" s="1">
        <v>322</v>
      </c>
      <c r="R13" s="1">
        <v>316</v>
      </c>
      <c r="S13" s="6">
        <v>3813.2544133303509</v>
      </c>
      <c r="T13" s="6">
        <f>+G13*$S13</f>
        <v>0</v>
      </c>
      <c r="U13" s="6">
        <f>+H13*$S13</f>
        <v>72451.833853276665</v>
      </c>
      <c r="V13" s="6">
        <f>+I13*$S13</f>
        <v>194475.97507984791</v>
      </c>
      <c r="W13" s="6">
        <f>+J13*$S13</f>
        <v>408018.22222634754</v>
      </c>
      <c r="X13" s="6">
        <f>+K13*$S13</f>
        <v>571988.16199955263</v>
      </c>
      <c r="Y13" s="6">
        <f>+L13*$S13</f>
        <v>674946.03115947207</v>
      </c>
      <c r="Z13" s="6">
        <f>+M13*$S13</f>
        <v>804596.68121270405</v>
      </c>
      <c r="AA13" s="6">
        <f>+N13*$S13</f>
        <v>774090.64590606128</v>
      </c>
      <c r="AB13" s="6">
        <f>+O13*$S13</f>
        <v>945687.09450592706</v>
      </c>
      <c r="AC13" s="6">
        <f>+P13*$S13</f>
        <v>1220241.4122657124</v>
      </c>
      <c r="AD13" s="6">
        <f>+Q13*$S13</f>
        <v>1227867.9210923731</v>
      </c>
      <c r="AE13" s="6">
        <f>+R13*$S13</f>
        <v>1204988.3946123908</v>
      </c>
    </row>
    <row r="14" spans="1:31" ht="24" customHeight="1" x14ac:dyDescent="0.35">
      <c r="A14" s="38" t="s">
        <v>193</v>
      </c>
      <c r="B14" s="40" t="s">
        <v>454</v>
      </c>
      <c r="E14" s="1" t="s">
        <v>244</v>
      </c>
      <c r="F14" s="1"/>
      <c r="G14" s="1">
        <v>0</v>
      </c>
      <c r="H14" s="1">
        <v>12</v>
      </c>
      <c r="I14" s="1">
        <v>37</v>
      </c>
      <c r="J14" s="1">
        <v>73</v>
      </c>
      <c r="K14" s="1">
        <v>99</v>
      </c>
      <c r="L14" s="1">
        <v>138</v>
      </c>
      <c r="M14" s="1">
        <v>165</v>
      </c>
      <c r="N14" s="1">
        <v>181</v>
      </c>
      <c r="O14" s="1">
        <v>204</v>
      </c>
      <c r="P14" s="1">
        <v>263</v>
      </c>
      <c r="Q14" s="1">
        <v>252</v>
      </c>
      <c r="R14" s="1">
        <v>298</v>
      </c>
      <c r="S14" s="6">
        <v>2618.3826246870785</v>
      </c>
      <c r="T14" s="6">
        <f>+G14*$S14</f>
        <v>0</v>
      </c>
      <c r="U14" s="6">
        <f>+H14*$S14</f>
        <v>31420.591496244942</v>
      </c>
      <c r="V14" s="6">
        <f>+I14*$S14</f>
        <v>96880.157113421912</v>
      </c>
      <c r="W14" s="6">
        <f>+J14*$S14</f>
        <v>191141.93160215672</v>
      </c>
      <c r="X14" s="6">
        <f>+K14*$S14</f>
        <v>259219.87984402076</v>
      </c>
      <c r="Y14" s="6">
        <f>+L14*$S14</f>
        <v>361336.80220681685</v>
      </c>
      <c r="Z14" s="6">
        <f>+M14*$S14</f>
        <v>432033.13307336794</v>
      </c>
      <c r="AA14" s="6">
        <f>+N14*$S14</f>
        <v>473927.25506836124</v>
      </c>
      <c r="AB14" s="6">
        <f>+O14*$S14</f>
        <v>534150.05543616402</v>
      </c>
      <c r="AC14" s="6">
        <f>+P14*$S14</f>
        <v>688634.63029270165</v>
      </c>
      <c r="AD14" s="6">
        <f>+Q14*$S14</f>
        <v>659832.42142114381</v>
      </c>
      <c r="AE14" s="6">
        <f>+R14*$S14</f>
        <v>780278.02215674939</v>
      </c>
    </row>
    <row r="15" spans="1:31" ht="18" customHeight="1" x14ac:dyDescent="0.35">
      <c r="A15" s="38" t="s">
        <v>195</v>
      </c>
      <c r="B15" s="40" t="s">
        <v>455</v>
      </c>
      <c r="E15" s="1" t="s">
        <v>301</v>
      </c>
      <c r="F15" s="1"/>
      <c r="G15" s="1">
        <v>0</v>
      </c>
      <c r="H15" s="1">
        <v>11</v>
      </c>
      <c r="I15" s="1">
        <v>31</v>
      </c>
      <c r="J15" s="1">
        <v>65</v>
      </c>
      <c r="K15" s="1">
        <v>82</v>
      </c>
      <c r="L15" s="1">
        <v>107</v>
      </c>
      <c r="M15" s="1">
        <v>133</v>
      </c>
      <c r="N15" s="1">
        <v>141</v>
      </c>
      <c r="O15" s="1">
        <v>172</v>
      </c>
      <c r="P15" s="1">
        <v>213</v>
      </c>
      <c r="Q15" s="1">
        <v>212</v>
      </c>
      <c r="R15" s="1">
        <v>233</v>
      </c>
      <c r="S15" s="6">
        <v>2548.7508935801043</v>
      </c>
      <c r="T15" s="6">
        <f>+G15*$S15</f>
        <v>0</v>
      </c>
      <c r="U15" s="6">
        <f>+H15*$S15</f>
        <v>28036.259829381146</v>
      </c>
      <c r="V15" s="6">
        <f>+I15*$S15</f>
        <v>79011.277700983235</v>
      </c>
      <c r="W15" s="6">
        <f>+J15*$S15</f>
        <v>165668.80808270679</v>
      </c>
      <c r="X15" s="6">
        <f>+K15*$S15</f>
        <v>208997.57327356856</v>
      </c>
      <c r="Y15" s="6">
        <f>+L15*$S15</f>
        <v>272716.34561307117</v>
      </c>
      <c r="Z15" s="6">
        <f>+M15*$S15</f>
        <v>338983.86884615384</v>
      </c>
      <c r="AA15" s="6">
        <f>+N15*$S15</f>
        <v>359373.87599479471</v>
      </c>
      <c r="AB15" s="6">
        <f>+O15*$S15</f>
        <v>438385.15369577793</v>
      </c>
      <c r="AC15" s="6">
        <f>+P15*$S15</f>
        <v>542883.9403325622</v>
      </c>
      <c r="AD15" s="6">
        <f>+Q15*$S15</f>
        <v>540335.18943898205</v>
      </c>
      <c r="AE15" s="6">
        <f>+R15*$S15</f>
        <v>593858.95820416429</v>
      </c>
    </row>
    <row r="16" spans="1:31" ht="14.25" customHeight="1" x14ac:dyDescent="0.35">
      <c r="E16" s="1" t="s">
        <v>456</v>
      </c>
      <c r="F16" s="1"/>
      <c r="G16" s="1">
        <v>0</v>
      </c>
      <c r="H16" s="1">
        <v>12</v>
      </c>
      <c r="I16" s="1">
        <v>35</v>
      </c>
      <c r="J16" s="1">
        <v>70</v>
      </c>
      <c r="K16" s="1">
        <v>87</v>
      </c>
      <c r="L16" s="1">
        <v>110</v>
      </c>
      <c r="M16" s="1">
        <v>108</v>
      </c>
      <c r="N16" s="1">
        <v>101</v>
      </c>
      <c r="O16" s="1">
        <v>128</v>
      </c>
      <c r="P16" s="1">
        <v>170</v>
      </c>
      <c r="Q16" s="1">
        <v>171</v>
      </c>
      <c r="R16" s="1">
        <v>175</v>
      </c>
      <c r="S16" s="6">
        <v>2465.6794349860952</v>
      </c>
      <c r="T16" s="6">
        <f>+G16*$S16</f>
        <v>0</v>
      </c>
      <c r="U16" s="6">
        <f>+H16*$S16</f>
        <v>29588.153219833141</v>
      </c>
      <c r="V16" s="6">
        <f>+I16*$S16</f>
        <v>86298.780224513335</v>
      </c>
      <c r="W16" s="6">
        <f>+J16*$S16</f>
        <v>172597.56044902667</v>
      </c>
      <c r="X16" s="6">
        <f>+K16*$S16</f>
        <v>214514.11084379029</v>
      </c>
      <c r="Y16" s="6">
        <f>+L16*$S16</f>
        <v>271224.73784847045</v>
      </c>
      <c r="Z16" s="6">
        <f>+M16*$S16</f>
        <v>266293.37897849828</v>
      </c>
      <c r="AA16" s="6">
        <f>+N16*$S16</f>
        <v>249033.62293359562</v>
      </c>
      <c r="AB16" s="6">
        <f>+O16*$S16</f>
        <v>315606.96767822019</v>
      </c>
      <c r="AC16" s="6">
        <f>+P16*$S16</f>
        <v>419165.50394763617</v>
      </c>
      <c r="AD16" s="6">
        <f>+Q16*$S16</f>
        <v>421631.18338262226</v>
      </c>
      <c r="AE16" s="6">
        <f>+R16*$S16</f>
        <v>431493.90112256666</v>
      </c>
    </row>
    <row r="17" spans="5:31" ht="14.25" customHeight="1" x14ac:dyDescent="0.35">
      <c r="E17" s="1" t="s">
        <v>457</v>
      </c>
      <c r="F17" s="1"/>
      <c r="G17" s="1">
        <v>0</v>
      </c>
      <c r="H17" s="1">
        <v>3</v>
      </c>
      <c r="I17" s="1">
        <v>8</v>
      </c>
      <c r="J17" s="1">
        <v>21</v>
      </c>
      <c r="K17" s="1">
        <v>23</v>
      </c>
      <c r="L17" s="1">
        <v>29</v>
      </c>
      <c r="M17" s="1">
        <v>39</v>
      </c>
      <c r="N17" s="1">
        <v>44</v>
      </c>
      <c r="O17" s="1">
        <v>65</v>
      </c>
      <c r="P17" s="1">
        <v>64</v>
      </c>
      <c r="Q17" s="1">
        <v>54</v>
      </c>
      <c r="R17" s="1">
        <v>71</v>
      </c>
      <c r="S17" s="6">
        <v>2200.2123020569175</v>
      </c>
      <c r="T17" s="6">
        <f>+G17*$S17</f>
        <v>0</v>
      </c>
      <c r="U17" s="6">
        <f>+H17*$S17</f>
        <v>6600.6369061707519</v>
      </c>
      <c r="V17" s="6">
        <f>+I17*$S17</f>
        <v>17601.69841645534</v>
      </c>
      <c r="W17" s="6">
        <f>+J17*$S17</f>
        <v>46204.458343195263</v>
      </c>
      <c r="X17" s="6">
        <f>+K17*$S17</f>
        <v>50604.882947309103</v>
      </c>
      <c r="Y17" s="6">
        <f>+L17*$S17</f>
        <v>63806.156759650607</v>
      </c>
      <c r="Z17" s="6">
        <f>+M17*$S17</f>
        <v>85808.279780219775</v>
      </c>
      <c r="AA17" s="6">
        <f>+N17*$S17</f>
        <v>96809.341290504366</v>
      </c>
      <c r="AB17" s="6">
        <f>+O17*$S17</f>
        <v>143013.79963369964</v>
      </c>
      <c r="AC17" s="6">
        <f>+P17*$S17</f>
        <v>140813.58733164272</v>
      </c>
      <c r="AD17" s="6">
        <f>+Q17*$S17</f>
        <v>118811.46431107355</v>
      </c>
      <c r="AE17" s="6">
        <f>+R17*$S17</f>
        <v>156215.07344604115</v>
      </c>
    </row>
    <row r="18" spans="5:31" ht="14.25" customHeight="1" x14ac:dyDescent="0.35">
      <c r="E18" s="1" t="s">
        <v>458</v>
      </c>
      <c r="F18" s="1"/>
      <c r="G18" s="1">
        <v>0</v>
      </c>
      <c r="H18" s="1">
        <v>0</v>
      </c>
      <c r="I18" s="1">
        <v>0</v>
      </c>
      <c r="J18" s="1">
        <v>0</v>
      </c>
      <c r="K18" s="1">
        <v>0</v>
      </c>
      <c r="L18" s="1">
        <v>1</v>
      </c>
      <c r="M18" s="1">
        <v>3</v>
      </c>
      <c r="N18" s="1">
        <v>3</v>
      </c>
      <c r="O18" s="1">
        <v>10</v>
      </c>
      <c r="P18" s="1">
        <v>11</v>
      </c>
      <c r="Q18" s="1">
        <v>13</v>
      </c>
      <c r="R18" s="1">
        <v>21</v>
      </c>
      <c r="S18" s="6">
        <v>5942.9578359511343</v>
      </c>
      <c r="T18" s="6">
        <f>+G18*$S18</f>
        <v>0</v>
      </c>
      <c r="U18" s="6">
        <f>+H18*$S18</f>
        <v>0</v>
      </c>
      <c r="V18" s="6">
        <f>+I18*$S18</f>
        <v>0</v>
      </c>
      <c r="W18" s="6">
        <f>+J18*$S18</f>
        <v>0</v>
      </c>
      <c r="X18" s="6">
        <f>+K18*$S18</f>
        <v>0</v>
      </c>
      <c r="Y18" s="6">
        <f>+L18*$S18</f>
        <v>5942.9578359511343</v>
      </c>
      <c r="Z18" s="6">
        <f>+M18*$S18</f>
        <v>17828.873507853401</v>
      </c>
      <c r="AA18" s="6">
        <f>+N18*$S18</f>
        <v>17828.873507853401</v>
      </c>
      <c r="AB18" s="6">
        <f>+O18*$S18</f>
        <v>59429.578359511346</v>
      </c>
      <c r="AC18" s="6">
        <f>+P18*$S18</f>
        <v>65372.536195462475</v>
      </c>
      <c r="AD18" s="6">
        <f>+Q18*$S18</f>
        <v>77258.45186736474</v>
      </c>
      <c r="AE18" s="6">
        <f>+R18*$S18</f>
        <v>124802.11455497381</v>
      </c>
    </row>
    <row r="19" spans="5:31" ht="14.25" customHeight="1" x14ac:dyDescent="0.35">
      <c r="E19" s="1" t="s">
        <v>459</v>
      </c>
      <c r="F19" s="1"/>
      <c r="G19" s="1">
        <v>0</v>
      </c>
      <c r="H19" s="1">
        <v>12</v>
      </c>
      <c r="I19" s="1">
        <v>33</v>
      </c>
      <c r="J19" s="1">
        <v>57</v>
      </c>
      <c r="K19" s="1">
        <v>85</v>
      </c>
      <c r="L19" s="1">
        <v>103</v>
      </c>
      <c r="M19" s="1">
        <v>139</v>
      </c>
      <c r="N19" s="1">
        <v>151</v>
      </c>
      <c r="O19" s="1">
        <v>154</v>
      </c>
      <c r="P19" s="1">
        <v>235</v>
      </c>
      <c r="Q19" s="1">
        <v>208</v>
      </c>
      <c r="R19" s="1">
        <v>222</v>
      </c>
      <c r="S19" s="6">
        <v>2228.7648777108016</v>
      </c>
      <c r="T19" s="6">
        <f>+G19*$S19</f>
        <v>0</v>
      </c>
      <c r="U19" s="6">
        <f>+H19*$S19</f>
        <v>26745.178532529619</v>
      </c>
      <c r="V19" s="6">
        <f>+I19*$S19</f>
        <v>73549.240964456447</v>
      </c>
      <c r="W19" s="6">
        <f>+J19*$S19</f>
        <v>127039.59802951569</v>
      </c>
      <c r="X19" s="6">
        <f>+K19*$S19</f>
        <v>189445.01460541814</v>
      </c>
      <c r="Y19" s="6">
        <f>+L19*$S19</f>
        <v>229562.78240421257</v>
      </c>
      <c r="Z19" s="6">
        <f>+M19*$S19</f>
        <v>309798.31800180144</v>
      </c>
      <c r="AA19" s="6">
        <f>+N19*$S19</f>
        <v>336543.49653433106</v>
      </c>
      <c r="AB19" s="6">
        <f>+O19*$S19</f>
        <v>343229.79116746347</v>
      </c>
      <c r="AC19" s="6">
        <f>+P19*$S19</f>
        <v>523759.74626203836</v>
      </c>
      <c r="AD19" s="6">
        <f>+Q19*$S19</f>
        <v>463583.09456384671</v>
      </c>
      <c r="AE19" s="6">
        <f>+R19*$S19</f>
        <v>494785.80285179795</v>
      </c>
    </row>
    <row r="20" spans="5:31" ht="14.25" customHeight="1" x14ac:dyDescent="0.35">
      <c r="E20" s="1" t="s">
        <v>460</v>
      </c>
      <c r="F20" s="1"/>
      <c r="G20" s="1">
        <v>0</v>
      </c>
      <c r="H20" s="1">
        <v>8</v>
      </c>
      <c r="I20" s="1">
        <v>25</v>
      </c>
      <c r="J20" s="1">
        <v>48</v>
      </c>
      <c r="K20" s="1">
        <v>61</v>
      </c>
      <c r="L20" s="1">
        <v>83</v>
      </c>
      <c r="M20" s="1">
        <v>101</v>
      </c>
      <c r="N20" s="1">
        <v>116</v>
      </c>
      <c r="O20" s="1">
        <v>132</v>
      </c>
      <c r="P20" s="1">
        <v>169</v>
      </c>
      <c r="Q20" s="1">
        <v>173</v>
      </c>
      <c r="R20" s="1">
        <v>164</v>
      </c>
      <c r="S20" s="6">
        <v>2680.6749710197423</v>
      </c>
      <c r="T20" s="6">
        <f>+G20*$S20</f>
        <v>0</v>
      </c>
      <c r="U20" s="6">
        <f>+H20*$S20</f>
        <v>21445.399768157939</v>
      </c>
      <c r="V20" s="6">
        <f>+I20*$S20</f>
        <v>67016.874275493552</v>
      </c>
      <c r="W20" s="6">
        <f>+J20*$S20</f>
        <v>128672.39860894764</v>
      </c>
      <c r="X20" s="6">
        <f>+K20*$S20</f>
        <v>163521.17323220428</v>
      </c>
      <c r="Y20" s="6">
        <f>+L20*$S20</f>
        <v>222496.02259463861</v>
      </c>
      <c r="Z20" s="6">
        <f>+M20*$S20</f>
        <v>270748.172072994</v>
      </c>
      <c r="AA20" s="6">
        <f>+N20*$S20</f>
        <v>310958.29663829011</v>
      </c>
      <c r="AB20" s="6">
        <f>+O20*$S20</f>
        <v>353849.09617460601</v>
      </c>
      <c r="AC20" s="6">
        <f>+P20*$S20</f>
        <v>453034.07010233647</v>
      </c>
      <c r="AD20" s="6">
        <f>+Q20*$S20</f>
        <v>463756.7699864154</v>
      </c>
      <c r="AE20" s="6">
        <f>+R20*$S20</f>
        <v>439630.69524723775</v>
      </c>
    </row>
    <row r="21" spans="5:31" ht="14.25" customHeight="1" x14ac:dyDescent="0.35">
      <c r="E21" s="1" t="s">
        <v>461</v>
      </c>
      <c r="F21" s="1"/>
      <c r="G21" s="1">
        <v>0</v>
      </c>
      <c r="H21" s="1">
        <v>8</v>
      </c>
      <c r="I21" s="1">
        <v>27</v>
      </c>
      <c r="J21" s="1">
        <v>53</v>
      </c>
      <c r="K21" s="1">
        <v>70</v>
      </c>
      <c r="L21" s="1">
        <v>89</v>
      </c>
      <c r="M21" s="1">
        <v>127</v>
      </c>
      <c r="N21" s="1">
        <v>124</v>
      </c>
      <c r="O21" s="1">
        <v>145</v>
      </c>
      <c r="P21" s="1">
        <v>190</v>
      </c>
      <c r="Q21" s="1">
        <v>176</v>
      </c>
      <c r="R21" s="1">
        <v>200</v>
      </c>
      <c r="S21" s="6">
        <v>1611.8339740372135</v>
      </c>
      <c r="T21" s="6">
        <f>+G21*$S21</f>
        <v>0</v>
      </c>
      <c r="U21" s="6">
        <f>+H21*$S21</f>
        <v>12894.671792297708</v>
      </c>
      <c r="V21" s="6">
        <f>+I21*$S21</f>
        <v>43519.517299004765</v>
      </c>
      <c r="W21" s="6">
        <f>+J21*$S21</f>
        <v>85427.200623972312</v>
      </c>
      <c r="X21" s="6">
        <f>+K21*$S21</f>
        <v>112828.37818260494</v>
      </c>
      <c r="Y21" s="6">
        <f>+L21*$S21</f>
        <v>143453.223689312</v>
      </c>
      <c r="Z21" s="6">
        <f>+M21*$S21</f>
        <v>204702.91470272612</v>
      </c>
      <c r="AA21" s="6">
        <f>+N21*$S21</f>
        <v>199867.41278061448</v>
      </c>
      <c r="AB21" s="6">
        <f>+O21*$S21</f>
        <v>233715.92623539595</v>
      </c>
      <c r="AC21" s="6">
        <f>+P21*$S21</f>
        <v>306248.45506707055</v>
      </c>
      <c r="AD21" s="6">
        <f>+Q21*$S21</f>
        <v>283682.77943054959</v>
      </c>
      <c r="AE21" s="6">
        <f>+R21*$S21</f>
        <v>322366.7948074427</v>
      </c>
    </row>
    <row r="22" spans="5:31" ht="14.25" customHeight="1" x14ac:dyDescent="0.35">
      <c r="E22" s="1" t="s">
        <v>462</v>
      </c>
      <c r="F22" s="1"/>
      <c r="G22" s="1">
        <v>0</v>
      </c>
      <c r="H22" s="1">
        <v>14</v>
      </c>
      <c r="I22" s="1">
        <v>51</v>
      </c>
      <c r="J22" s="1">
        <v>122</v>
      </c>
      <c r="K22" s="1">
        <v>175</v>
      </c>
      <c r="L22" s="1">
        <v>221</v>
      </c>
      <c r="M22" s="1">
        <v>246</v>
      </c>
      <c r="N22" s="1">
        <v>304</v>
      </c>
      <c r="O22" s="1">
        <v>363</v>
      </c>
      <c r="P22" s="1">
        <v>359</v>
      </c>
      <c r="Q22" s="1">
        <v>467</v>
      </c>
      <c r="R22" s="1">
        <v>435</v>
      </c>
      <c r="S22" s="6">
        <v>810.70794814586873</v>
      </c>
      <c r="T22" s="6">
        <f>+G22*$S22</f>
        <v>0</v>
      </c>
      <c r="U22" s="6">
        <f>+H22*$S22</f>
        <v>11349.911274042162</v>
      </c>
      <c r="V22" s="6">
        <f>+I22*$S22</f>
        <v>41346.105355439307</v>
      </c>
      <c r="W22" s="6">
        <f>+J22*$S22</f>
        <v>98906.369673795984</v>
      </c>
      <c r="X22" s="6">
        <f>+K22*$S22</f>
        <v>141873.89092552703</v>
      </c>
      <c r="Y22" s="6">
        <f>+L22*$S22</f>
        <v>179166.45654023698</v>
      </c>
      <c r="Z22" s="6">
        <f>+M22*$S22</f>
        <v>199434.1552438837</v>
      </c>
      <c r="AA22" s="6">
        <f>+N22*$S22</f>
        <v>246455.2162363441</v>
      </c>
      <c r="AB22" s="6">
        <f>+O22*$S22</f>
        <v>294286.98517695034</v>
      </c>
      <c r="AC22" s="6">
        <f>+P22*$S22</f>
        <v>291044.15338436689</v>
      </c>
      <c r="AD22" s="6">
        <f>+Q22*$S22</f>
        <v>378600.61178412067</v>
      </c>
      <c r="AE22" s="6">
        <f>+R22*$S22</f>
        <v>352657.95744345291</v>
      </c>
    </row>
    <row r="23" spans="5:31" ht="14.25" customHeight="1" x14ac:dyDescent="0.35">
      <c r="E23" s="1" t="s">
        <v>463</v>
      </c>
      <c r="F23" s="1"/>
      <c r="G23" s="1">
        <v>0</v>
      </c>
      <c r="H23" s="1">
        <v>0</v>
      </c>
      <c r="I23" s="1">
        <v>0</v>
      </c>
      <c r="J23" s="1">
        <v>0</v>
      </c>
      <c r="K23" s="1">
        <v>0</v>
      </c>
      <c r="L23" s="1">
        <v>0</v>
      </c>
      <c r="M23" s="1">
        <v>0</v>
      </c>
      <c r="N23" s="1">
        <v>0</v>
      </c>
      <c r="O23" s="1">
        <v>0</v>
      </c>
      <c r="P23" s="1">
        <v>0</v>
      </c>
      <c r="Q23" s="1">
        <v>0</v>
      </c>
      <c r="R23" s="1">
        <v>0</v>
      </c>
      <c r="S23" s="6"/>
      <c r="T23" s="6">
        <f>+G23*$S23</f>
        <v>0</v>
      </c>
      <c r="U23" s="6">
        <f>+H23*$S23</f>
        <v>0</v>
      </c>
      <c r="V23" s="6">
        <f>+I23*$S23</f>
        <v>0</v>
      </c>
      <c r="W23" s="6">
        <f>+J23*$S23</f>
        <v>0</v>
      </c>
      <c r="X23" s="6">
        <f>+K23*$S23</f>
        <v>0</v>
      </c>
      <c r="Y23" s="6">
        <f>+L23*$S23</f>
        <v>0</v>
      </c>
      <c r="Z23" s="6">
        <f>+M23*$S23</f>
        <v>0</v>
      </c>
      <c r="AA23" s="6">
        <f>+N23*$S23</f>
        <v>0</v>
      </c>
      <c r="AB23" s="6">
        <f>+O23*$S23</f>
        <v>0</v>
      </c>
      <c r="AC23" s="6">
        <f>+P23*$S23</f>
        <v>0</v>
      </c>
      <c r="AD23" s="6">
        <f>+Q23*$S23</f>
        <v>0</v>
      </c>
      <c r="AE23" s="6">
        <f>+R23*$S23</f>
        <v>0</v>
      </c>
    </row>
    <row r="24" spans="5:31" ht="14.25" customHeight="1" x14ac:dyDescent="0.35">
      <c r="E24" s="1" t="s">
        <v>464</v>
      </c>
      <c r="F24" s="1"/>
      <c r="G24" s="1">
        <v>0</v>
      </c>
      <c r="H24" s="1">
        <v>5</v>
      </c>
      <c r="I24" s="1">
        <v>12</v>
      </c>
      <c r="J24" s="1">
        <v>25</v>
      </c>
      <c r="K24" s="1">
        <v>32</v>
      </c>
      <c r="L24" s="1">
        <v>40</v>
      </c>
      <c r="M24" s="1">
        <v>49</v>
      </c>
      <c r="N24" s="1">
        <v>49</v>
      </c>
      <c r="O24" s="1">
        <v>51</v>
      </c>
      <c r="P24" s="1">
        <v>69</v>
      </c>
      <c r="Q24" s="1">
        <v>75</v>
      </c>
      <c r="R24" s="1">
        <v>77</v>
      </c>
      <c r="S24" s="6">
        <v>11146.989096141548</v>
      </c>
      <c r="T24" s="6">
        <f>+G24*$S24</f>
        <v>0</v>
      </c>
      <c r="U24" s="6">
        <f>+H24*$S24</f>
        <v>55734.945480707742</v>
      </c>
      <c r="V24" s="6">
        <f>+I24*$S24</f>
        <v>133763.86915369856</v>
      </c>
      <c r="W24" s="6">
        <f>+J24*$S24</f>
        <v>278674.72740353871</v>
      </c>
      <c r="X24" s="6">
        <f>+K24*$S24</f>
        <v>356703.65107652952</v>
      </c>
      <c r="Y24" s="6">
        <f>+L24*$S24</f>
        <v>445879.56384566193</v>
      </c>
      <c r="Z24" s="6">
        <f>+M24*$S24</f>
        <v>546202.46571093588</v>
      </c>
      <c r="AA24" s="6">
        <f>+N24*$S24</f>
        <v>546202.46571093588</v>
      </c>
      <c r="AB24" s="6">
        <f>+O24*$S24</f>
        <v>568496.44390321895</v>
      </c>
      <c r="AC24" s="6">
        <f>+P24*$S24</f>
        <v>769142.24763376673</v>
      </c>
      <c r="AD24" s="6">
        <f>+Q24*$S24</f>
        <v>836024.18221061607</v>
      </c>
      <c r="AE24" s="6">
        <f>+R24*$S24</f>
        <v>858318.16040289914</v>
      </c>
    </row>
    <row r="25" spans="5:31" ht="14.25" customHeight="1" x14ac:dyDescent="0.35">
      <c r="E25" s="1" t="s">
        <v>465</v>
      </c>
      <c r="F25" s="1"/>
      <c r="G25" s="1">
        <v>0</v>
      </c>
      <c r="H25" s="1">
        <v>1</v>
      </c>
      <c r="I25" s="1">
        <v>3</v>
      </c>
      <c r="J25" s="1">
        <v>4</v>
      </c>
      <c r="K25" s="1">
        <v>8</v>
      </c>
      <c r="L25" s="1">
        <v>10</v>
      </c>
      <c r="M25" s="1">
        <v>11</v>
      </c>
      <c r="N25" s="1">
        <v>10</v>
      </c>
      <c r="O25" s="1">
        <v>11</v>
      </c>
      <c r="P25" s="1">
        <v>23</v>
      </c>
      <c r="Q25" s="1">
        <v>18</v>
      </c>
      <c r="R25" s="1">
        <v>18</v>
      </c>
      <c r="S25" s="6">
        <v>4156.6513226205188</v>
      </c>
      <c r="T25" s="6">
        <f>+G25*$S25</f>
        <v>0</v>
      </c>
      <c r="U25" s="6">
        <f>+H25*$S25</f>
        <v>4156.6513226205188</v>
      </c>
      <c r="V25" s="6">
        <f>+I25*$S25</f>
        <v>12469.953967861557</v>
      </c>
      <c r="W25" s="6">
        <f>+J25*$S25</f>
        <v>16626.605290482075</v>
      </c>
      <c r="X25" s="6">
        <f>+K25*$S25</f>
        <v>33253.210580964151</v>
      </c>
      <c r="Y25" s="6">
        <f>+L25*$S25</f>
        <v>41566.513226205192</v>
      </c>
      <c r="Z25" s="6">
        <f>+M25*$S25</f>
        <v>45723.164548825705</v>
      </c>
      <c r="AA25" s="6">
        <f>+N25*$S25</f>
        <v>41566.513226205192</v>
      </c>
      <c r="AB25" s="6">
        <f>+O25*$S25</f>
        <v>45723.164548825705</v>
      </c>
      <c r="AC25" s="6">
        <f>+P25*$S25</f>
        <v>95602.980420271939</v>
      </c>
      <c r="AD25" s="6">
        <f>+Q25*$S25</f>
        <v>74819.723807169343</v>
      </c>
      <c r="AE25" s="6">
        <f>+R25*$S25</f>
        <v>74819.723807169343</v>
      </c>
    </row>
    <row r="26" spans="5:31" ht="14.25" customHeight="1" x14ac:dyDescent="0.35">
      <c r="E26" s="1" t="s">
        <v>466</v>
      </c>
      <c r="F26" s="1"/>
      <c r="G26" s="1">
        <v>0</v>
      </c>
      <c r="H26" s="1">
        <v>2</v>
      </c>
      <c r="I26" s="1">
        <v>9</v>
      </c>
      <c r="J26" s="1">
        <v>15</v>
      </c>
      <c r="K26" s="1">
        <v>21</v>
      </c>
      <c r="L26" s="1">
        <v>36</v>
      </c>
      <c r="M26" s="1">
        <v>38</v>
      </c>
      <c r="N26" s="1">
        <v>50</v>
      </c>
      <c r="O26" s="1">
        <v>55</v>
      </c>
      <c r="P26" s="1">
        <v>86</v>
      </c>
      <c r="Q26" s="1">
        <v>69</v>
      </c>
      <c r="R26" s="1">
        <v>80</v>
      </c>
      <c r="S26" s="6">
        <v>1758.3156936906378</v>
      </c>
      <c r="T26" s="6">
        <f>+G26*$S26</f>
        <v>0</v>
      </c>
      <c r="U26" s="6">
        <f>+H26*$S26</f>
        <v>3516.6313873812755</v>
      </c>
      <c r="V26" s="6">
        <f>+I26*$S26</f>
        <v>15824.84124321574</v>
      </c>
      <c r="W26" s="6">
        <f>+J26*$S26</f>
        <v>26374.735405359566</v>
      </c>
      <c r="X26" s="6">
        <f>+K26*$S26</f>
        <v>36924.629567503391</v>
      </c>
      <c r="Y26" s="6">
        <f>+L26*$S26</f>
        <v>63299.364972862961</v>
      </c>
      <c r="Z26" s="6">
        <f>+M26*$S26</f>
        <v>66815.996360244229</v>
      </c>
      <c r="AA26" s="6">
        <f>+N26*$S26</f>
        <v>87915.784684531885</v>
      </c>
      <c r="AB26" s="6">
        <f>+O26*$S26</f>
        <v>96707.363152985083</v>
      </c>
      <c r="AC26" s="6">
        <f>+P26*$S26</f>
        <v>151215.14965739485</v>
      </c>
      <c r="AD26" s="6">
        <f>+Q26*$S26</f>
        <v>121323.782864654</v>
      </c>
      <c r="AE26" s="6">
        <f>+R26*$S26</f>
        <v>140665.25549525101</v>
      </c>
    </row>
    <row r="27" spans="5:31" ht="14.25" customHeight="1" x14ac:dyDescent="0.35">
      <c r="E27" s="1" t="s">
        <v>467</v>
      </c>
      <c r="F27" s="1"/>
      <c r="G27" s="1">
        <v>0</v>
      </c>
      <c r="H27" s="1">
        <v>3</v>
      </c>
      <c r="I27" s="1">
        <v>8</v>
      </c>
      <c r="J27" s="1">
        <v>14</v>
      </c>
      <c r="K27" s="1">
        <v>21</v>
      </c>
      <c r="L27" s="1">
        <v>26</v>
      </c>
      <c r="M27" s="1">
        <v>28</v>
      </c>
      <c r="N27" s="1">
        <v>39</v>
      </c>
      <c r="O27" s="1">
        <v>50</v>
      </c>
      <c r="P27" s="1">
        <v>52</v>
      </c>
      <c r="Q27" s="1">
        <v>55</v>
      </c>
      <c r="R27" s="1">
        <v>72</v>
      </c>
      <c r="S27" s="6">
        <v>1558.4113995822142</v>
      </c>
      <c r="T27" s="6">
        <f>+G27*$S27</f>
        <v>0</v>
      </c>
      <c r="U27" s="6">
        <f>+H27*$S27</f>
        <v>4675.2341987466425</v>
      </c>
      <c r="V27" s="6">
        <f>+I27*$S27</f>
        <v>12467.291196657714</v>
      </c>
      <c r="W27" s="6">
        <f>+J27*$S27</f>
        <v>21817.759594151001</v>
      </c>
      <c r="X27" s="6">
        <f>+K27*$S27</f>
        <v>32726.639391226498</v>
      </c>
      <c r="Y27" s="6">
        <f>+L27*$S27</f>
        <v>40518.696389137571</v>
      </c>
      <c r="Z27" s="6">
        <f>+M27*$S27</f>
        <v>43635.519188302002</v>
      </c>
      <c r="AA27" s="6">
        <f>+N27*$S27</f>
        <v>60778.044583706353</v>
      </c>
      <c r="AB27" s="6">
        <f>+O27*$S27</f>
        <v>77920.569979110718</v>
      </c>
      <c r="AC27" s="6">
        <f>+P27*$S27</f>
        <v>81037.392778275142</v>
      </c>
      <c r="AD27" s="6">
        <f>+Q27*$S27</f>
        <v>85712.626977021777</v>
      </c>
      <c r="AE27" s="6">
        <f>+R27*$S27</f>
        <v>112205.62076991942</v>
      </c>
    </row>
    <row r="28" spans="5:31" ht="14.25" customHeight="1" x14ac:dyDescent="0.35">
      <c r="E28" s="1" t="s">
        <v>468</v>
      </c>
      <c r="F28" s="1"/>
      <c r="G28" s="1">
        <v>0</v>
      </c>
      <c r="H28" s="1">
        <v>7</v>
      </c>
      <c r="I28" s="1">
        <v>18</v>
      </c>
      <c r="J28" s="1">
        <v>39</v>
      </c>
      <c r="K28" s="1">
        <v>52</v>
      </c>
      <c r="L28" s="1">
        <v>66</v>
      </c>
      <c r="M28" s="1">
        <v>77</v>
      </c>
      <c r="N28" s="1">
        <v>97</v>
      </c>
      <c r="O28" s="1">
        <v>122</v>
      </c>
      <c r="P28" s="1">
        <v>134</v>
      </c>
      <c r="Q28" s="1">
        <v>128</v>
      </c>
      <c r="R28" s="1">
        <v>136</v>
      </c>
      <c r="S28" s="6">
        <v>1069.3561582060131</v>
      </c>
      <c r="T28" s="6">
        <f>+G28*$S28</f>
        <v>0</v>
      </c>
      <c r="U28" s="6">
        <f>+H28*$S28</f>
        <v>7485.493107442092</v>
      </c>
      <c r="V28" s="6">
        <f>+I28*$S28</f>
        <v>19248.410847708237</v>
      </c>
      <c r="W28" s="6">
        <f>+J28*$S28</f>
        <v>41704.890170034509</v>
      </c>
      <c r="X28" s="6">
        <f>+K28*$S28</f>
        <v>55606.520226712681</v>
      </c>
      <c r="Y28" s="6">
        <f>+L28*$S28</f>
        <v>70577.506441596866</v>
      </c>
      <c r="Z28" s="6">
        <f>+M28*$S28</f>
        <v>82340.424181863011</v>
      </c>
      <c r="AA28" s="6">
        <f>+N28*$S28</f>
        <v>103727.54734598327</v>
      </c>
      <c r="AB28" s="6">
        <f>+O28*$S28</f>
        <v>130461.45130113359</v>
      </c>
      <c r="AC28" s="6">
        <f>+P28*$S28</f>
        <v>143293.72519960575</v>
      </c>
      <c r="AD28" s="6">
        <f>+Q28*$S28</f>
        <v>136877.58825036968</v>
      </c>
      <c r="AE28" s="6">
        <f>+R28*$S28</f>
        <v>145432.43751601779</v>
      </c>
    </row>
    <row r="29" spans="5:31" ht="14.25" customHeight="1" x14ac:dyDescent="0.35">
      <c r="E29" s="1" t="s">
        <v>469</v>
      </c>
      <c r="F29" s="1"/>
      <c r="G29" s="1">
        <v>0</v>
      </c>
      <c r="H29" s="1">
        <v>3</v>
      </c>
      <c r="I29" s="1">
        <v>10</v>
      </c>
      <c r="J29" s="1">
        <v>23</v>
      </c>
      <c r="K29" s="1">
        <v>36</v>
      </c>
      <c r="L29" s="1">
        <v>40</v>
      </c>
      <c r="M29" s="1">
        <v>48</v>
      </c>
      <c r="N29" s="1">
        <v>45</v>
      </c>
      <c r="O29" s="1">
        <v>61</v>
      </c>
      <c r="P29" s="1">
        <v>89</v>
      </c>
      <c r="Q29" s="1">
        <v>62</v>
      </c>
      <c r="R29" s="1">
        <v>121</v>
      </c>
      <c r="S29" s="6">
        <v>9606.9619012707717</v>
      </c>
      <c r="T29" s="6">
        <f>+G29*$S29</f>
        <v>0</v>
      </c>
      <c r="U29" s="6">
        <f>+H29*$S29</f>
        <v>28820.885703812317</v>
      </c>
      <c r="V29" s="6">
        <f>+I29*$S29</f>
        <v>96069.619012707713</v>
      </c>
      <c r="W29" s="6">
        <f>+J29*$S29</f>
        <v>220960.12372922775</v>
      </c>
      <c r="X29" s="6">
        <f>+K29*$S29</f>
        <v>345850.62844574777</v>
      </c>
      <c r="Y29" s="6">
        <f>+L29*$S29</f>
        <v>384278.47605083085</v>
      </c>
      <c r="Z29" s="6">
        <f>+M29*$S29</f>
        <v>461134.17126099707</v>
      </c>
      <c r="AA29" s="6">
        <f>+N29*$S29</f>
        <v>432313.28555718472</v>
      </c>
      <c r="AB29" s="6">
        <f>+O29*$S29</f>
        <v>586024.67597751704</v>
      </c>
      <c r="AC29" s="6">
        <f>+P29*$S29</f>
        <v>855019.60921309865</v>
      </c>
      <c r="AD29" s="6">
        <f>+Q29*$S29</f>
        <v>595631.63787878782</v>
      </c>
      <c r="AE29" s="6">
        <f>+R29*$S29</f>
        <v>1162442.3900537633</v>
      </c>
    </row>
    <row r="30" spans="5:31" ht="14.25" customHeight="1" x14ac:dyDescent="0.35">
      <c r="E30" s="1" t="s">
        <v>470</v>
      </c>
      <c r="F30" s="1"/>
      <c r="G30" s="1">
        <v>0</v>
      </c>
      <c r="H30" s="1">
        <v>9</v>
      </c>
      <c r="I30" s="1">
        <v>32</v>
      </c>
      <c r="J30" s="1">
        <v>65</v>
      </c>
      <c r="K30" s="1">
        <v>83</v>
      </c>
      <c r="L30" s="1">
        <v>96</v>
      </c>
      <c r="M30" s="1">
        <v>120</v>
      </c>
      <c r="N30" s="1">
        <v>138</v>
      </c>
      <c r="O30" s="1">
        <v>148</v>
      </c>
      <c r="P30" s="1">
        <v>193</v>
      </c>
      <c r="Q30" s="1">
        <v>188</v>
      </c>
      <c r="R30" s="1">
        <v>192</v>
      </c>
      <c r="S30" s="6">
        <v>1955.5935360582394</v>
      </c>
      <c r="T30" s="6">
        <f>+G30*$S30</f>
        <v>0</v>
      </c>
      <c r="U30" s="6">
        <f>+H30*$S30</f>
        <v>17600.341824524156</v>
      </c>
      <c r="V30" s="6">
        <f>+I30*$S30</f>
        <v>62578.993153863659</v>
      </c>
      <c r="W30" s="6">
        <f>+J30*$S30</f>
        <v>127113.57984378556</v>
      </c>
      <c r="X30" s="6">
        <f>+K30*$S30</f>
        <v>162314.26349283385</v>
      </c>
      <c r="Y30" s="6">
        <f>+L30*$S30</f>
        <v>187736.97946159099</v>
      </c>
      <c r="Z30" s="6">
        <f>+M30*$S30</f>
        <v>234671.22432698871</v>
      </c>
      <c r="AA30" s="6">
        <f>+N30*$S30</f>
        <v>269871.90797603701</v>
      </c>
      <c r="AB30" s="6">
        <f>+O30*$S30</f>
        <v>289427.84333661944</v>
      </c>
      <c r="AC30" s="6">
        <f>+P30*$S30</f>
        <v>377429.55245924019</v>
      </c>
      <c r="AD30" s="6">
        <f>+Q30*$S30</f>
        <v>367651.58477894898</v>
      </c>
      <c r="AE30" s="6">
        <f>+R30*$S30</f>
        <v>375473.95892318198</v>
      </c>
    </row>
    <row r="31" spans="5:31" ht="14.25" customHeight="1" x14ac:dyDescent="0.35">
      <c r="E31" s="1" t="s">
        <v>471</v>
      </c>
      <c r="F31" s="1"/>
      <c r="G31" s="1">
        <v>0</v>
      </c>
      <c r="H31" s="1">
        <v>11</v>
      </c>
      <c r="I31" s="1">
        <v>31</v>
      </c>
      <c r="J31" s="1">
        <v>59</v>
      </c>
      <c r="K31" s="1">
        <v>79</v>
      </c>
      <c r="L31" s="1">
        <v>107</v>
      </c>
      <c r="M31" s="1">
        <v>130</v>
      </c>
      <c r="N31" s="1">
        <v>143</v>
      </c>
      <c r="O31" s="1">
        <v>167</v>
      </c>
      <c r="P31" s="1">
        <v>243</v>
      </c>
      <c r="Q31" s="1">
        <v>236</v>
      </c>
      <c r="R31" s="1">
        <v>228</v>
      </c>
      <c r="S31" s="6">
        <v>1908.0373729863695</v>
      </c>
      <c r="T31" s="6">
        <f>+G31*$S31</f>
        <v>0</v>
      </c>
      <c r="U31" s="6">
        <f>+H31*$S31</f>
        <v>20988.411102850063</v>
      </c>
      <c r="V31" s="6">
        <f>+I31*$S31</f>
        <v>59149.158562577453</v>
      </c>
      <c r="W31" s="6">
        <f>+J31*$S31</f>
        <v>112574.2050061958</v>
      </c>
      <c r="X31" s="6">
        <f>+K31*$S31</f>
        <v>150734.95246592318</v>
      </c>
      <c r="Y31" s="6">
        <f>+L31*$S31</f>
        <v>204159.99890954155</v>
      </c>
      <c r="Z31" s="6">
        <f>+M31*$S31</f>
        <v>248044.85848822803</v>
      </c>
      <c r="AA31" s="6">
        <f>+N31*$S31</f>
        <v>272849.34433705086</v>
      </c>
      <c r="AB31" s="6">
        <f>+O31*$S31</f>
        <v>318642.24128872372</v>
      </c>
      <c r="AC31" s="6">
        <f>+P31*$S31</f>
        <v>463653.08163568779</v>
      </c>
      <c r="AD31" s="6">
        <f>+Q31*$S31</f>
        <v>450296.8200247832</v>
      </c>
      <c r="AE31" s="6">
        <f>+R31*$S31</f>
        <v>435032.52104089223</v>
      </c>
    </row>
    <row r="32" spans="5:31" ht="14.25" customHeight="1" x14ac:dyDescent="0.35">
      <c r="E32" s="1" t="s">
        <v>472</v>
      </c>
      <c r="F32" s="1"/>
      <c r="G32" s="1">
        <v>0</v>
      </c>
      <c r="H32" s="1">
        <v>2</v>
      </c>
      <c r="I32" s="1">
        <v>7</v>
      </c>
      <c r="J32" s="1">
        <v>13</v>
      </c>
      <c r="K32" s="1">
        <v>18</v>
      </c>
      <c r="L32" s="1">
        <v>22</v>
      </c>
      <c r="M32" s="1">
        <v>28</v>
      </c>
      <c r="N32" s="1">
        <v>40</v>
      </c>
      <c r="O32" s="1">
        <v>36</v>
      </c>
      <c r="P32" s="1">
        <v>50</v>
      </c>
      <c r="Q32" s="1">
        <v>40</v>
      </c>
      <c r="R32" s="1">
        <v>45</v>
      </c>
      <c r="S32" s="6">
        <v>3217.1108137188971</v>
      </c>
      <c r="T32" s="6">
        <f>+G32*$S32</f>
        <v>0</v>
      </c>
      <c r="U32" s="6">
        <f>+H32*$S32</f>
        <v>6434.2216274377943</v>
      </c>
      <c r="V32" s="6">
        <f>+I32*$S32</f>
        <v>22519.77569603228</v>
      </c>
      <c r="W32" s="6">
        <f>+J32*$S32</f>
        <v>41822.44057834566</v>
      </c>
      <c r="X32" s="6">
        <f>+K32*$S32</f>
        <v>57907.994646940148</v>
      </c>
      <c r="Y32" s="6">
        <f>+L32*$S32</f>
        <v>70776.437901815734</v>
      </c>
      <c r="Z32" s="6">
        <f>+M32*$S32</f>
        <v>90079.102784129122</v>
      </c>
      <c r="AA32" s="6">
        <f>+N32*$S32</f>
        <v>128684.43254875588</v>
      </c>
      <c r="AB32" s="6">
        <f>+O32*$S32</f>
        <v>115815.9892938803</v>
      </c>
      <c r="AC32" s="6">
        <f>+P32*$S32</f>
        <v>160855.54068594487</v>
      </c>
      <c r="AD32" s="6">
        <f>+Q32*$S32</f>
        <v>128684.43254875588</v>
      </c>
      <c r="AE32" s="6">
        <f>+R32*$S32</f>
        <v>144769.98661735037</v>
      </c>
    </row>
    <row r="33" spans="5:31" ht="14.25" customHeight="1" x14ac:dyDescent="0.35">
      <c r="E33" s="1" t="s">
        <v>473</v>
      </c>
      <c r="F33" s="1"/>
      <c r="G33" s="1">
        <v>0</v>
      </c>
      <c r="H33" s="1">
        <v>15</v>
      </c>
      <c r="I33" s="1">
        <v>45</v>
      </c>
      <c r="J33" s="1">
        <v>89</v>
      </c>
      <c r="K33" s="1">
        <v>126</v>
      </c>
      <c r="L33" s="1">
        <v>151</v>
      </c>
      <c r="M33" s="1">
        <v>171</v>
      </c>
      <c r="N33" s="1">
        <v>203</v>
      </c>
      <c r="O33" s="1">
        <v>250</v>
      </c>
      <c r="P33" s="1">
        <v>295</v>
      </c>
      <c r="Q33" s="1">
        <v>299</v>
      </c>
      <c r="R33" s="1">
        <v>338</v>
      </c>
      <c r="S33" s="6">
        <v>1407.5019476635505</v>
      </c>
      <c r="T33" s="6">
        <f>+G33*$S33</f>
        <v>0</v>
      </c>
      <c r="U33" s="6">
        <f>+H33*$S33</f>
        <v>21112.529214953258</v>
      </c>
      <c r="V33" s="6">
        <f>+I33*$S33</f>
        <v>63337.58764485977</v>
      </c>
      <c r="W33" s="6">
        <f>+J33*$S33</f>
        <v>125267.67334205599</v>
      </c>
      <c r="X33" s="6">
        <f>+K33*$S33</f>
        <v>177345.24540560736</v>
      </c>
      <c r="Y33" s="6">
        <f>+L33*$S33</f>
        <v>212532.79409719614</v>
      </c>
      <c r="Z33" s="6">
        <f>+M33*$S33</f>
        <v>240682.83305046713</v>
      </c>
      <c r="AA33" s="6">
        <f>+N33*$S33</f>
        <v>285722.89537570073</v>
      </c>
      <c r="AB33" s="6">
        <f>+O33*$S33</f>
        <v>351875.48691588762</v>
      </c>
      <c r="AC33" s="6">
        <f>+P33*$S33</f>
        <v>415213.07456074737</v>
      </c>
      <c r="AD33" s="6">
        <f>+Q33*$S33</f>
        <v>420843.08235140162</v>
      </c>
      <c r="AE33" s="6">
        <f>+R33*$S33</f>
        <v>475735.65831028007</v>
      </c>
    </row>
    <row r="34" spans="5:31" ht="14.25" customHeight="1" x14ac:dyDescent="0.35">
      <c r="E34" s="1" t="s">
        <v>474</v>
      </c>
      <c r="F34" s="1"/>
      <c r="G34" s="1">
        <v>0</v>
      </c>
      <c r="H34" s="1">
        <v>5</v>
      </c>
      <c r="I34" s="1">
        <v>15</v>
      </c>
      <c r="J34" s="1">
        <v>28</v>
      </c>
      <c r="K34" s="1">
        <v>38</v>
      </c>
      <c r="L34" s="1">
        <v>49</v>
      </c>
      <c r="M34" s="1">
        <v>59</v>
      </c>
      <c r="N34" s="1">
        <v>66</v>
      </c>
      <c r="O34" s="1">
        <v>72</v>
      </c>
      <c r="P34" s="1">
        <v>98</v>
      </c>
      <c r="Q34" s="1">
        <v>93</v>
      </c>
      <c r="R34" s="1">
        <v>113</v>
      </c>
      <c r="S34" s="6">
        <v>1293.6688090646091</v>
      </c>
      <c r="T34" s="6">
        <f>+G34*$S34</f>
        <v>0</v>
      </c>
      <c r="U34" s="6">
        <f>+H34*$S34</f>
        <v>6468.344045323046</v>
      </c>
      <c r="V34" s="6">
        <f>+I34*$S34</f>
        <v>19405.032135969137</v>
      </c>
      <c r="W34" s="6">
        <f>+J34*$S34</f>
        <v>36222.726653809055</v>
      </c>
      <c r="X34" s="6">
        <f>+K34*$S34</f>
        <v>49159.414744455149</v>
      </c>
      <c r="Y34" s="6">
        <f>+L34*$S34</f>
        <v>63389.771644165849</v>
      </c>
      <c r="Z34" s="6">
        <f>+M34*$S34</f>
        <v>76326.459734811942</v>
      </c>
      <c r="AA34" s="6">
        <f>+N34*$S34</f>
        <v>85382.141398264197</v>
      </c>
      <c r="AB34" s="6">
        <f>+O34*$S34</f>
        <v>93144.154252651861</v>
      </c>
      <c r="AC34" s="6">
        <f>+P34*$S34</f>
        <v>126779.5432883317</v>
      </c>
      <c r="AD34" s="6">
        <f>+Q34*$S34</f>
        <v>120311.19924300865</v>
      </c>
      <c r="AE34" s="6">
        <f>+R34*$S34</f>
        <v>146184.57542430083</v>
      </c>
    </row>
    <row r="35" spans="5:31" ht="14.25" customHeight="1" x14ac:dyDescent="0.35">
      <c r="E35" s="1" t="s">
        <v>475</v>
      </c>
      <c r="F35" s="1"/>
      <c r="G35" s="1">
        <v>0</v>
      </c>
      <c r="H35" s="1">
        <v>6</v>
      </c>
      <c r="I35" s="1">
        <v>16</v>
      </c>
      <c r="J35" s="1">
        <v>26</v>
      </c>
      <c r="K35" s="1">
        <v>36</v>
      </c>
      <c r="L35" s="1">
        <v>46</v>
      </c>
      <c r="M35" s="1">
        <v>58</v>
      </c>
      <c r="N35" s="1">
        <v>63</v>
      </c>
      <c r="O35" s="1">
        <v>70</v>
      </c>
      <c r="P35" s="1">
        <v>82</v>
      </c>
      <c r="Q35" s="1">
        <v>92</v>
      </c>
      <c r="R35" s="1">
        <v>89</v>
      </c>
      <c r="S35" s="6">
        <v>2285.0631119639579</v>
      </c>
      <c r="T35" s="6">
        <f>+G35*$S35</f>
        <v>0</v>
      </c>
      <c r="U35" s="6">
        <f>+H35*$S35</f>
        <v>13710.378671783747</v>
      </c>
      <c r="V35" s="6">
        <f>+I35*$S35</f>
        <v>36561.009791423327</v>
      </c>
      <c r="W35" s="6">
        <f>+J35*$S35</f>
        <v>59411.640911062903</v>
      </c>
      <c r="X35" s="6">
        <f>+K35*$S35</f>
        <v>82262.272030702487</v>
      </c>
      <c r="Y35" s="6">
        <f>+L35*$S35</f>
        <v>105112.90315034207</v>
      </c>
      <c r="Z35" s="6">
        <f>+M35*$S35</f>
        <v>132533.66049390956</v>
      </c>
      <c r="AA35" s="6">
        <f>+N35*$S35</f>
        <v>143958.97605372936</v>
      </c>
      <c r="AB35" s="6">
        <f>+O35*$S35</f>
        <v>159954.41783747706</v>
      </c>
      <c r="AC35" s="6">
        <f>+P35*$S35</f>
        <v>187375.17518104456</v>
      </c>
      <c r="AD35" s="6">
        <f>+Q35*$S35</f>
        <v>210225.80630068414</v>
      </c>
      <c r="AE35" s="6">
        <f>+R35*$S35</f>
        <v>203370.61696479225</v>
      </c>
    </row>
    <row r="36" spans="5:31" ht="14.25" customHeight="1" x14ac:dyDescent="0.35">
      <c r="E36" s="1" t="s">
        <v>476</v>
      </c>
      <c r="F36" s="1"/>
      <c r="G36" s="1">
        <v>0</v>
      </c>
      <c r="H36" s="1">
        <v>0</v>
      </c>
      <c r="I36" s="1">
        <v>0</v>
      </c>
      <c r="J36" s="1">
        <v>1</v>
      </c>
      <c r="K36" s="1">
        <v>1</v>
      </c>
      <c r="L36" s="1">
        <v>2</v>
      </c>
      <c r="M36" s="1">
        <v>1</v>
      </c>
      <c r="N36" s="1">
        <v>1</v>
      </c>
      <c r="O36" s="1">
        <v>2</v>
      </c>
      <c r="P36" s="1">
        <v>2</v>
      </c>
      <c r="Q36" s="1">
        <v>3</v>
      </c>
      <c r="R36" s="1">
        <v>6</v>
      </c>
      <c r="S36" s="6">
        <v>0</v>
      </c>
      <c r="T36" s="6">
        <f>+G36*$S36</f>
        <v>0</v>
      </c>
      <c r="U36" s="6">
        <f>+H36*$S36</f>
        <v>0</v>
      </c>
      <c r="V36" s="6">
        <f>+I36*$S36</f>
        <v>0</v>
      </c>
      <c r="W36" s="6">
        <f>+J36*$S36</f>
        <v>0</v>
      </c>
      <c r="X36" s="6">
        <f>+K36*$S36</f>
        <v>0</v>
      </c>
      <c r="Y36" s="6">
        <f>+L36*$S36</f>
        <v>0</v>
      </c>
      <c r="Z36" s="6">
        <f>+M36*$S36</f>
        <v>0</v>
      </c>
      <c r="AA36" s="6">
        <f>+N36*$S36</f>
        <v>0</v>
      </c>
      <c r="AB36" s="6">
        <f>+O36*$S36</f>
        <v>0</v>
      </c>
      <c r="AC36" s="6">
        <f>+P36*$S36</f>
        <v>0</v>
      </c>
      <c r="AD36" s="6">
        <f>+Q36*$S36</f>
        <v>0</v>
      </c>
      <c r="AE36" s="6">
        <f>+R36*$S36</f>
        <v>0</v>
      </c>
    </row>
    <row r="37" spans="5:31" ht="14.25" customHeight="1" x14ac:dyDescent="0.35">
      <c r="E37" s="1" t="s">
        <v>477</v>
      </c>
      <c r="F37" s="1"/>
      <c r="G37" s="1">
        <v>0</v>
      </c>
      <c r="H37" s="1">
        <v>4</v>
      </c>
      <c r="I37" s="1">
        <v>10</v>
      </c>
      <c r="J37" s="1">
        <v>18</v>
      </c>
      <c r="K37" s="1">
        <v>26</v>
      </c>
      <c r="L37" s="1">
        <v>34</v>
      </c>
      <c r="M37" s="1">
        <v>41</v>
      </c>
      <c r="N37" s="1">
        <v>39</v>
      </c>
      <c r="O37" s="1">
        <v>48</v>
      </c>
      <c r="P37" s="1">
        <v>62</v>
      </c>
      <c r="Q37" s="1">
        <v>71</v>
      </c>
      <c r="R37" s="1">
        <v>63</v>
      </c>
      <c r="S37" s="6">
        <v>3572.9080553359686</v>
      </c>
      <c r="T37" s="6">
        <f>+G37*$S37</f>
        <v>0</v>
      </c>
      <c r="U37" s="6">
        <f>+H37*$S37</f>
        <v>14291.632221343874</v>
      </c>
      <c r="V37" s="6">
        <f>+I37*$S37</f>
        <v>35729.080553359687</v>
      </c>
      <c r="W37" s="6">
        <f>+J37*$S37</f>
        <v>64312.344996047432</v>
      </c>
      <c r="X37" s="6">
        <f>+K37*$S37</f>
        <v>92895.609438735177</v>
      </c>
      <c r="Y37" s="6">
        <f>+L37*$S37</f>
        <v>121478.87388142293</v>
      </c>
      <c r="Z37" s="6">
        <f>+M37*$S37</f>
        <v>146489.2302687747</v>
      </c>
      <c r="AA37" s="6">
        <f>+N37*$S37</f>
        <v>139343.41415810277</v>
      </c>
      <c r="AB37" s="6">
        <f>+O37*$S37</f>
        <v>171499.58665612648</v>
      </c>
      <c r="AC37" s="6">
        <f>+P37*$S37</f>
        <v>221520.29943083005</v>
      </c>
      <c r="AD37" s="6">
        <f>+Q37*$S37</f>
        <v>253676.47192885377</v>
      </c>
      <c r="AE37" s="6">
        <f>+R37*$S37</f>
        <v>225093.20748616601</v>
      </c>
    </row>
    <row r="38" spans="5:31" ht="14.25" customHeight="1" x14ac:dyDescent="0.35">
      <c r="E38" s="1" t="s">
        <v>478</v>
      </c>
      <c r="F38" s="1"/>
      <c r="G38" s="1">
        <v>0</v>
      </c>
      <c r="H38" s="1">
        <v>3</v>
      </c>
      <c r="I38" s="1">
        <v>10</v>
      </c>
      <c r="J38" s="1">
        <v>24</v>
      </c>
      <c r="K38" s="1">
        <v>31</v>
      </c>
      <c r="L38" s="1">
        <v>39</v>
      </c>
      <c r="M38" s="1">
        <v>49</v>
      </c>
      <c r="N38" s="1">
        <v>66</v>
      </c>
      <c r="O38" s="1">
        <v>68</v>
      </c>
      <c r="P38" s="1">
        <v>82</v>
      </c>
      <c r="Q38" s="1">
        <v>76</v>
      </c>
      <c r="R38" s="1">
        <v>79</v>
      </c>
      <c r="S38" s="6">
        <v>552.85176060545712</v>
      </c>
      <c r="T38" s="6">
        <f>+G38*$S38</f>
        <v>0</v>
      </c>
      <c r="U38" s="6">
        <f>+H38*$S38</f>
        <v>1658.5552818163715</v>
      </c>
      <c r="V38" s="6">
        <f>+I38*$S38</f>
        <v>5528.5176060545709</v>
      </c>
      <c r="W38" s="6">
        <f>+J38*$S38</f>
        <v>13268.442254530972</v>
      </c>
      <c r="X38" s="6">
        <f>+K38*$S38</f>
        <v>17138.404578769172</v>
      </c>
      <c r="Y38" s="6">
        <f>+L38*$S38</f>
        <v>21561.218663612828</v>
      </c>
      <c r="Z38" s="6">
        <f>+M38*$S38</f>
        <v>27089.736269667399</v>
      </c>
      <c r="AA38" s="6">
        <f>+N38*$S38</f>
        <v>36488.216199960167</v>
      </c>
      <c r="AB38" s="6">
        <f>+O38*$S38</f>
        <v>37593.919721171085</v>
      </c>
      <c r="AC38" s="6">
        <f>+P38*$S38</f>
        <v>45333.844369647486</v>
      </c>
      <c r="AD38" s="6">
        <f>+Q38*$S38</f>
        <v>42016.733806014738</v>
      </c>
      <c r="AE38" s="6">
        <f>+R38*$S38</f>
        <v>43675.289087831115</v>
      </c>
    </row>
    <row r="39" spans="5:31" ht="14.25" customHeight="1" x14ac:dyDescent="0.35">
      <c r="E39" s="1" t="s">
        <v>479</v>
      </c>
      <c r="F39" s="1"/>
      <c r="G39" s="1">
        <v>0</v>
      </c>
      <c r="H39" s="1">
        <v>0</v>
      </c>
      <c r="I39" s="1">
        <v>1</v>
      </c>
      <c r="J39" s="1">
        <v>1</v>
      </c>
      <c r="K39" s="1">
        <v>1</v>
      </c>
      <c r="L39" s="1">
        <v>2</v>
      </c>
      <c r="M39" s="1">
        <v>2</v>
      </c>
      <c r="N39" s="1">
        <v>2</v>
      </c>
      <c r="O39" s="1">
        <v>2</v>
      </c>
      <c r="P39" s="1">
        <v>3</v>
      </c>
      <c r="Q39" s="1">
        <v>2</v>
      </c>
      <c r="R39" s="1">
        <v>4</v>
      </c>
      <c r="S39" s="6">
        <v>2278.1868939393939</v>
      </c>
      <c r="T39" s="6">
        <f>+G39*$S39</f>
        <v>0</v>
      </c>
      <c r="U39" s="6">
        <f>+H39*$S39</f>
        <v>0</v>
      </c>
      <c r="V39" s="6">
        <f>+I39*$S39</f>
        <v>2278.1868939393939</v>
      </c>
      <c r="W39" s="6">
        <f>+J39*$S39</f>
        <v>2278.1868939393939</v>
      </c>
      <c r="X39" s="6">
        <f>+K39*$S39</f>
        <v>2278.1868939393939</v>
      </c>
      <c r="Y39" s="6">
        <f>+L39*$S39</f>
        <v>4556.3737878787879</v>
      </c>
      <c r="Z39" s="6">
        <f>+M39*$S39</f>
        <v>4556.3737878787879</v>
      </c>
      <c r="AA39" s="6">
        <f>+N39*$S39</f>
        <v>4556.3737878787879</v>
      </c>
      <c r="AB39" s="6">
        <f>+O39*$S39</f>
        <v>4556.3737878787879</v>
      </c>
      <c r="AC39" s="6">
        <f>+P39*$S39</f>
        <v>6834.5606818181823</v>
      </c>
      <c r="AD39" s="6">
        <f>+Q39*$S39</f>
        <v>4556.3737878787879</v>
      </c>
      <c r="AE39" s="6">
        <f>+R39*$S39</f>
        <v>9112.7475757575758</v>
      </c>
    </row>
    <row r="40" spans="5:31" ht="14.25" customHeight="1" x14ac:dyDescent="0.35">
      <c r="E40" s="1" t="s">
        <v>480</v>
      </c>
      <c r="F40" s="1"/>
      <c r="G40" s="1">
        <v>0</v>
      </c>
      <c r="H40" s="1">
        <v>0</v>
      </c>
      <c r="I40" s="1">
        <v>1</v>
      </c>
      <c r="J40" s="1">
        <v>2</v>
      </c>
      <c r="K40" s="1">
        <v>3</v>
      </c>
      <c r="L40" s="1">
        <v>2</v>
      </c>
      <c r="M40" s="1">
        <v>5</v>
      </c>
      <c r="N40" s="1">
        <v>5</v>
      </c>
      <c r="O40" s="1">
        <v>6</v>
      </c>
      <c r="P40" s="1">
        <v>7</v>
      </c>
      <c r="Q40" s="1">
        <v>9</v>
      </c>
      <c r="R40" s="1">
        <v>10</v>
      </c>
      <c r="S40" s="6">
        <v>3870.8112318840576</v>
      </c>
      <c r="T40" s="6">
        <f>+G40*$S40</f>
        <v>0</v>
      </c>
      <c r="U40" s="6">
        <f>+H40*$S40</f>
        <v>0</v>
      </c>
      <c r="V40" s="6">
        <f>+I40*$S40</f>
        <v>3870.8112318840576</v>
      </c>
      <c r="W40" s="6">
        <f>+J40*$S40</f>
        <v>7741.6224637681153</v>
      </c>
      <c r="X40" s="6">
        <f>+K40*$S40</f>
        <v>11612.433695652173</v>
      </c>
      <c r="Y40" s="6">
        <f>+L40*$S40</f>
        <v>7741.6224637681153</v>
      </c>
      <c r="Z40" s="6">
        <f>+M40*$S40</f>
        <v>19354.056159420288</v>
      </c>
      <c r="AA40" s="6">
        <f>+N40*$S40</f>
        <v>19354.056159420288</v>
      </c>
      <c r="AB40" s="6">
        <f>+O40*$S40</f>
        <v>23224.867391304346</v>
      </c>
      <c r="AC40" s="6">
        <f>+P40*$S40</f>
        <v>27095.678623188403</v>
      </c>
      <c r="AD40" s="6">
        <f>+Q40*$S40</f>
        <v>34837.301086956519</v>
      </c>
      <c r="AE40" s="6">
        <f>+R40*$S40</f>
        <v>38708.112318840576</v>
      </c>
    </row>
    <row r="41" spans="5:31" ht="14.25" customHeight="1" x14ac:dyDescent="0.35">
      <c r="E41" s="1" t="s">
        <v>481</v>
      </c>
      <c r="F41" s="1"/>
      <c r="G41" s="1">
        <v>0</v>
      </c>
      <c r="H41" s="1">
        <v>0</v>
      </c>
      <c r="I41" s="1">
        <v>0</v>
      </c>
      <c r="J41" s="1">
        <v>0</v>
      </c>
      <c r="K41" s="1">
        <v>0</v>
      </c>
      <c r="L41" s="1">
        <v>0</v>
      </c>
      <c r="M41" s="1">
        <v>0</v>
      </c>
      <c r="N41" s="1">
        <v>0</v>
      </c>
      <c r="O41" s="1">
        <v>0</v>
      </c>
      <c r="P41" s="1">
        <v>0</v>
      </c>
      <c r="Q41" s="1">
        <v>0</v>
      </c>
      <c r="R41" s="1">
        <v>0</v>
      </c>
      <c r="S41" s="6">
        <v>6536.1290909090903</v>
      </c>
      <c r="T41" s="6">
        <f>+G41*$S41</f>
        <v>0</v>
      </c>
      <c r="U41" s="6">
        <f>+H41*$S41</f>
        <v>0</v>
      </c>
      <c r="V41" s="6">
        <f>+I41*$S41</f>
        <v>0</v>
      </c>
      <c r="W41" s="6">
        <f>+J41*$S41</f>
        <v>0</v>
      </c>
      <c r="X41" s="6">
        <f>+K41*$S41</f>
        <v>0</v>
      </c>
      <c r="Y41" s="6">
        <f>+L41*$S41</f>
        <v>0</v>
      </c>
      <c r="Z41" s="6">
        <f>+M41*$S41</f>
        <v>0</v>
      </c>
      <c r="AA41" s="6">
        <f>+N41*$S41</f>
        <v>0</v>
      </c>
      <c r="AB41" s="6">
        <f>+O41*$S41</f>
        <v>0</v>
      </c>
      <c r="AC41" s="6">
        <f>+P41*$S41</f>
        <v>0</v>
      </c>
      <c r="AD41" s="6">
        <f>+Q41*$S41</f>
        <v>0</v>
      </c>
      <c r="AE41" s="6">
        <f>+R41*$S41</f>
        <v>0</v>
      </c>
    </row>
    <row r="42" spans="5:31" ht="14.25" customHeight="1" x14ac:dyDescent="0.35">
      <c r="E42" s="1" t="s">
        <v>482</v>
      </c>
      <c r="F42" s="1"/>
      <c r="G42" s="1">
        <v>0</v>
      </c>
      <c r="H42" s="1">
        <v>0</v>
      </c>
      <c r="I42" s="1">
        <v>0</v>
      </c>
      <c r="J42" s="1">
        <v>0</v>
      </c>
      <c r="K42" s="1">
        <v>0</v>
      </c>
      <c r="L42" s="1">
        <v>0</v>
      </c>
      <c r="M42" s="1">
        <v>0</v>
      </c>
      <c r="N42" s="1">
        <v>0</v>
      </c>
      <c r="O42" s="1">
        <v>0</v>
      </c>
      <c r="P42" s="1">
        <v>0</v>
      </c>
      <c r="Q42" s="1">
        <v>0</v>
      </c>
      <c r="R42" s="1">
        <v>0</v>
      </c>
      <c r="S42" s="6">
        <v>0</v>
      </c>
      <c r="T42" s="6">
        <f>+G42*$S42</f>
        <v>0</v>
      </c>
      <c r="U42" s="6">
        <f>+H42*$S42</f>
        <v>0</v>
      </c>
      <c r="V42" s="6">
        <f>+I42*$S42</f>
        <v>0</v>
      </c>
      <c r="W42" s="6">
        <f>+J42*$S42</f>
        <v>0</v>
      </c>
      <c r="X42" s="6">
        <f>+K42*$S42</f>
        <v>0</v>
      </c>
      <c r="Y42" s="6">
        <f>+L42*$S42</f>
        <v>0</v>
      </c>
      <c r="Z42" s="6">
        <f>+M42*$S42</f>
        <v>0</v>
      </c>
      <c r="AA42" s="6">
        <f>+N42*$S42</f>
        <v>0</v>
      </c>
      <c r="AB42" s="6">
        <f>+O42*$S42</f>
        <v>0</v>
      </c>
      <c r="AC42" s="6">
        <f>+P42*$S42</f>
        <v>0</v>
      </c>
      <c r="AD42" s="6">
        <f>+Q42*$S42</f>
        <v>0</v>
      </c>
      <c r="AE42" s="6">
        <f>+R42*$S42</f>
        <v>0</v>
      </c>
    </row>
    <row r="43" spans="5:31" ht="14.25" customHeight="1" x14ac:dyDescent="0.35">
      <c r="G43" s="1">
        <v>0</v>
      </c>
      <c r="H43" s="1">
        <v>0</v>
      </c>
      <c r="I43" s="1">
        <v>0</v>
      </c>
      <c r="J43" s="1">
        <v>0</v>
      </c>
      <c r="K43" s="1">
        <v>0</v>
      </c>
      <c r="L43" s="1">
        <v>0</v>
      </c>
      <c r="M43" s="1">
        <v>0</v>
      </c>
      <c r="N43" s="1">
        <v>0</v>
      </c>
      <c r="O43" s="1">
        <v>0</v>
      </c>
      <c r="P43" s="1">
        <v>0</v>
      </c>
      <c r="Q43" s="1">
        <v>0</v>
      </c>
      <c r="R43" s="1">
        <v>0</v>
      </c>
      <c r="S43" s="6"/>
      <c r="T43" s="6">
        <f>+G43*$S43</f>
        <v>0</v>
      </c>
      <c r="U43" s="6">
        <f>+H43*$S43</f>
        <v>0</v>
      </c>
      <c r="V43" s="6">
        <f>+I43*$S43</f>
        <v>0</v>
      </c>
      <c r="W43" s="6">
        <f>+J43*$S43</f>
        <v>0</v>
      </c>
      <c r="X43" s="6">
        <f>+K43*$S43</f>
        <v>0</v>
      </c>
      <c r="Y43" s="6">
        <f>+L43*$S43</f>
        <v>0</v>
      </c>
      <c r="Z43" s="6">
        <f>+M43*$S43</f>
        <v>0</v>
      </c>
      <c r="AA43" s="6">
        <f>+N43*$S43</f>
        <v>0</v>
      </c>
      <c r="AB43" s="6">
        <f>+O43*$S43</f>
        <v>0</v>
      </c>
      <c r="AC43" s="6">
        <f>+P43*$S43</f>
        <v>0</v>
      </c>
      <c r="AD43" s="6">
        <f>+Q43*$S43</f>
        <v>0</v>
      </c>
      <c r="AE43" s="6">
        <f>+R43*$S43</f>
        <v>0</v>
      </c>
    </row>
    <row r="44" spans="5:31" ht="14.25" customHeight="1" x14ac:dyDescent="0.35">
      <c r="E44" s="1" t="s">
        <v>483</v>
      </c>
      <c r="F44" s="1"/>
      <c r="G44" s="1">
        <v>0</v>
      </c>
      <c r="H44" s="1">
        <v>8</v>
      </c>
      <c r="I44" s="1">
        <v>21</v>
      </c>
      <c r="J44" s="1">
        <v>41</v>
      </c>
      <c r="K44" s="1">
        <v>60</v>
      </c>
      <c r="L44" s="1">
        <v>68</v>
      </c>
      <c r="M44" s="1">
        <v>88</v>
      </c>
      <c r="N44" s="1">
        <v>89</v>
      </c>
      <c r="O44" s="1">
        <v>120</v>
      </c>
      <c r="P44" s="1">
        <v>138</v>
      </c>
      <c r="Q44" s="1">
        <v>139</v>
      </c>
      <c r="R44" s="1">
        <v>156</v>
      </c>
      <c r="S44" s="6">
        <v>2232.0359860117792</v>
      </c>
      <c r="T44" s="6">
        <f>+G44*$S44</f>
        <v>0</v>
      </c>
      <c r="U44" s="6">
        <f>+H44*$S44</f>
        <v>17856.287888094233</v>
      </c>
      <c r="V44" s="6">
        <f>+I44*$S44</f>
        <v>46872.755706247364</v>
      </c>
      <c r="W44" s="6">
        <f>+J44*$S44</f>
        <v>91513.475426482953</v>
      </c>
      <c r="X44" s="6">
        <f>+K44*$S44</f>
        <v>133922.15916070674</v>
      </c>
      <c r="Y44" s="6">
        <f>+L44*$S44</f>
        <v>151778.447048801</v>
      </c>
      <c r="Z44" s="6">
        <f>+M44*$S44</f>
        <v>196419.16676903656</v>
      </c>
      <c r="AA44" s="6">
        <f>+N44*$S44</f>
        <v>198651.20275504835</v>
      </c>
      <c r="AB44" s="6">
        <f>+O44*$S44</f>
        <v>267844.31832141348</v>
      </c>
      <c r="AC44" s="6">
        <f>+P44*$S44</f>
        <v>308020.96606962552</v>
      </c>
      <c r="AD44" s="6">
        <f>+Q44*$S44</f>
        <v>310253.00205563731</v>
      </c>
      <c r="AE44" s="6">
        <f>+R44*$S44</f>
        <v>348197.61381783755</v>
      </c>
    </row>
    <row r="45" spans="5:31" ht="14.25" customHeight="1" x14ac:dyDescent="0.35">
      <c r="E45" s="1" t="s">
        <v>484</v>
      </c>
      <c r="F45" s="1"/>
      <c r="G45" s="1">
        <v>0</v>
      </c>
      <c r="H45" s="1">
        <v>6</v>
      </c>
      <c r="I45" s="1">
        <v>18</v>
      </c>
      <c r="J45" s="1">
        <v>36</v>
      </c>
      <c r="K45" s="1">
        <v>43</v>
      </c>
      <c r="L45" s="1">
        <v>58</v>
      </c>
      <c r="M45" s="1">
        <v>63</v>
      </c>
      <c r="N45" s="1">
        <v>81</v>
      </c>
      <c r="O45" s="1">
        <v>104</v>
      </c>
      <c r="P45" s="1">
        <v>114</v>
      </c>
      <c r="Q45" s="1">
        <v>127</v>
      </c>
      <c r="R45" s="1">
        <v>146</v>
      </c>
      <c r="S45" s="6">
        <v>2232.0359860117792</v>
      </c>
      <c r="T45" s="6">
        <f>+G45*$S45</f>
        <v>0</v>
      </c>
      <c r="U45" s="6">
        <f>+H45*$S45</f>
        <v>13392.215916070676</v>
      </c>
      <c r="V45" s="6">
        <f>+I45*$S45</f>
        <v>40176.647748212024</v>
      </c>
      <c r="W45" s="6">
        <f>+J45*$S45</f>
        <v>80353.295496424049</v>
      </c>
      <c r="X45" s="6">
        <f>+K45*$S45</f>
        <v>95977.547398506504</v>
      </c>
      <c r="Y45" s="6">
        <f>+L45*$S45</f>
        <v>129458.08718868319</v>
      </c>
      <c r="Z45" s="6">
        <f>+M45*$S45</f>
        <v>140618.26711874208</v>
      </c>
      <c r="AA45" s="6">
        <f>+N45*$S45</f>
        <v>180794.91486695412</v>
      </c>
      <c r="AB45" s="6">
        <f>+O45*$S45</f>
        <v>232131.74254522505</v>
      </c>
      <c r="AC45" s="6">
        <f>+P45*$S45</f>
        <v>254452.10240534283</v>
      </c>
      <c r="AD45" s="6">
        <f>+Q45*$S45</f>
        <v>283468.57022349595</v>
      </c>
      <c r="AE45" s="6">
        <f>+R45*$S45</f>
        <v>325877.25395771977</v>
      </c>
    </row>
    <row r="46" spans="5:31" ht="14.25" customHeight="1" x14ac:dyDescent="0.35">
      <c r="E46" s="1" t="s">
        <v>485</v>
      </c>
      <c r="F46" s="1"/>
      <c r="G46" s="1">
        <v>0</v>
      </c>
      <c r="H46" s="1">
        <v>1</v>
      </c>
      <c r="I46" s="1">
        <v>2</v>
      </c>
      <c r="J46" s="1">
        <v>3</v>
      </c>
      <c r="K46" s="1">
        <v>4</v>
      </c>
      <c r="L46" s="1">
        <v>4</v>
      </c>
      <c r="M46" s="1">
        <v>4</v>
      </c>
      <c r="N46" s="1">
        <v>4</v>
      </c>
      <c r="O46" s="1">
        <v>5</v>
      </c>
      <c r="P46" s="1">
        <v>6</v>
      </c>
      <c r="Q46" s="1">
        <v>7</v>
      </c>
      <c r="R46" s="1">
        <v>10</v>
      </c>
      <c r="S46" s="6">
        <v>2232.0359860117792</v>
      </c>
      <c r="T46" s="6">
        <f>+G46*$S46</f>
        <v>0</v>
      </c>
      <c r="U46" s="6">
        <f>+H46*$S46</f>
        <v>2232.0359860117792</v>
      </c>
      <c r="V46" s="6">
        <f>+I46*$S46</f>
        <v>4464.0719720235584</v>
      </c>
      <c r="W46" s="6">
        <f>+J46*$S46</f>
        <v>6696.107958035338</v>
      </c>
      <c r="X46" s="6">
        <f>+K46*$S46</f>
        <v>8928.1439440471167</v>
      </c>
      <c r="Y46" s="6">
        <f>+L46*$S46</f>
        <v>8928.1439440471167</v>
      </c>
      <c r="Z46" s="6">
        <f>+M46*$S46</f>
        <v>8928.1439440471167</v>
      </c>
      <c r="AA46" s="6">
        <f>+N46*$S46</f>
        <v>8928.1439440471167</v>
      </c>
      <c r="AB46" s="6">
        <f>+O46*$S46</f>
        <v>11160.179930058895</v>
      </c>
      <c r="AC46" s="6">
        <f>+P46*$S46</f>
        <v>13392.215916070676</v>
      </c>
      <c r="AD46" s="6">
        <f>+Q46*$S46</f>
        <v>15624.251902082455</v>
      </c>
      <c r="AE46" s="6">
        <f>+R46*$S46</f>
        <v>22320.359860117791</v>
      </c>
    </row>
    <row r="47" spans="5:31" ht="14.25" customHeight="1" x14ac:dyDescent="0.35">
      <c r="E47" s="1" t="s">
        <v>486</v>
      </c>
      <c r="F47" s="1"/>
      <c r="G47" s="1">
        <v>0</v>
      </c>
      <c r="H47" s="1">
        <v>2</v>
      </c>
      <c r="I47" s="1">
        <v>5</v>
      </c>
      <c r="J47" s="1">
        <v>9</v>
      </c>
      <c r="K47" s="1">
        <v>12</v>
      </c>
      <c r="L47" s="1">
        <v>13</v>
      </c>
      <c r="M47" s="1">
        <v>17</v>
      </c>
      <c r="N47" s="1">
        <v>22</v>
      </c>
      <c r="O47" s="1">
        <v>24</v>
      </c>
      <c r="P47" s="1">
        <v>29</v>
      </c>
      <c r="Q47" s="1">
        <v>25</v>
      </c>
      <c r="R47" s="1">
        <v>33</v>
      </c>
      <c r="S47" s="6">
        <v>5942.9578359511343</v>
      </c>
      <c r="T47" s="6">
        <f>+G47*$S47</f>
        <v>0</v>
      </c>
      <c r="U47" s="6">
        <f>+H47*$S47</f>
        <v>11885.915671902269</v>
      </c>
      <c r="V47" s="6">
        <f>+I47*$S47</f>
        <v>29714.789179755673</v>
      </c>
      <c r="W47" s="6">
        <f>+J47*$S47</f>
        <v>53486.62052356021</v>
      </c>
      <c r="X47" s="6">
        <f>+K47*$S47</f>
        <v>71315.494031413604</v>
      </c>
      <c r="Y47" s="6">
        <f>+L47*$S47</f>
        <v>77258.45186736474</v>
      </c>
      <c r="Z47" s="6">
        <f>+M47*$S47</f>
        <v>101030.28321116928</v>
      </c>
      <c r="AA47" s="6">
        <f>+N47*$S47</f>
        <v>130745.07239092495</v>
      </c>
      <c r="AB47" s="6">
        <f>+O47*$S47</f>
        <v>142630.98806282721</v>
      </c>
      <c r="AC47" s="6">
        <f>+P47*$S47</f>
        <v>172345.7772425829</v>
      </c>
      <c r="AD47" s="6">
        <f>+Q47*$S47</f>
        <v>148573.94589877836</v>
      </c>
      <c r="AE47" s="6">
        <f>+R47*$S47</f>
        <v>196117.60858638742</v>
      </c>
    </row>
    <row r="48" spans="5:31" ht="14.25" customHeight="1" x14ac:dyDescent="0.35">
      <c r="E48" s="1" t="s">
        <v>487</v>
      </c>
      <c r="F48" s="1"/>
      <c r="G48" s="1">
        <v>0</v>
      </c>
      <c r="H48" s="1">
        <v>3</v>
      </c>
      <c r="I48" s="1">
        <v>4</v>
      </c>
      <c r="J48" s="1">
        <v>13</v>
      </c>
      <c r="K48" s="1">
        <v>15</v>
      </c>
      <c r="L48" s="1">
        <v>23</v>
      </c>
      <c r="M48" s="1">
        <v>30</v>
      </c>
      <c r="N48" s="1">
        <v>21</v>
      </c>
      <c r="O48" s="1">
        <v>41</v>
      </c>
      <c r="P48" s="1">
        <v>44</v>
      </c>
      <c r="Q48" s="1">
        <v>37</v>
      </c>
      <c r="R48" s="1">
        <v>49</v>
      </c>
      <c r="S48" s="6">
        <v>1758.3156936906378</v>
      </c>
      <c r="T48" s="6">
        <f>+G48*$S48</f>
        <v>0</v>
      </c>
      <c r="U48" s="6">
        <f>+H48*$S48</f>
        <v>5274.9470810719131</v>
      </c>
      <c r="V48" s="6">
        <f>+I48*$S48</f>
        <v>7033.2627747625511</v>
      </c>
      <c r="W48" s="6">
        <f>+J48*$S48</f>
        <v>22858.10401797829</v>
      </c>
      <c r="X48" s="6">
        <f>+K48*$S48</f>
        <v>26374.735405359566</v>
      </c>
      <c r="Y48" s="6">
        <f>+L48*$S48</f>
        <v>40441.260954884667</v>
      </c>
      <c r="Z48" s="6">
        <f>+M48*$S48</f>
        <v>52749.470810719133</v>
      </c>
      <c r="AA48" s="6">
        <f>+N48*$S48</f>
        <v>36924.629567503391</v>
      </c>
      <c r="AB48" s="6">
        <f>+O48*$S48</f>
        <v>72090.943441316151</v>
      </c>
      <c r="AC48" s="6">
        <f>+P48*$S48</f>
        <v>77365.890522388057</v>
      </c>
      <c r="AD48" s="6">
        <f>+Q48*$S48</f>
        <v>65057.680666553599</v>
      </c>
      <c r="AE48" s="6">
        <f>+R48*$S48</f>
        <v>86157.468990841255</v>
      </c>
    </row>
    <row r="49" spans="5:31" ht="14.25" customHeight="1" x14ac:dyDescent="0.35">
      <c r="E49" s="1" t="s">
        <v>488</v>
      </c>
      <c r="F49" s="1"/>
      <c r="G49" s="1">
        <v>0</v>
      </c>
      <c r="H49" s="1">
        <v>0</v>
      </c>
      <c r="I49" s="1">
        <v>0</v>
      </c>
      <c r="J49" s="1">
        <v>0</v>
      </c>
      <c r="K49" s="1">
        <v>0</v>
      </c>
      <c r="L49" s="1">
        <v>0</v>
      </c>
      <c r="M49" s="1">
        <v>0</v>
      </c>
      <c r="N49" s="1">
        <v>0</v>
      </c>
      <c r="O49" s="1">
        <v>0</v>
      </c>
      <c r="P49" s="1">
        <v>0</v>
      </c>
      <c r="Q49" s="1">
        <v>1</v>
      </c>
      <c r="R49" s="1">
        <v>0</v>
      </c>
      <c r="S49" s="6">
        <v>1611.8339740372135</v>
      </c>
      <c r="T49" s="6">
        <f>+G49*$S49</f>
        <v>0</v>
      </c>
      <c r="U49" s="6">
        <f>+H49*$S49</f>
        <v>0</v>
      </c>
      <c r="V49" s="6">
        <f>+I49*$S49</f>
        <v>0</v>
      </c>
      <c r="W49" s="6">
        <f>+J49*$S49</f>
        <v>0</v>
      </c>
      <c r="X49" s="6">
        <f>+K49*$S49</f>
        <v>0</v>
      </c>
      <c r="Y49" s="6">
        <f>+L49*$S49</f>
        <v>0</v>
      </c>
      <c r="Z49" s="6">
        <f>+M49*$S49</f>
        <v>0</v>
      </c>
      <c r="AA49" s="6">
        <f>+N49*$S49</f>
        <v>0</v>
      </c>
      <c r="AB49" s="6">
        <f>+O49*$S49</f>
        <v>0</v>
      </c>
      <c r="AC49" s="6">
        <f>+P49*$S49</f>
        <v>0</v>
      </c>
      <c r="AD49" s="6">
        <f>+Q49*$S49</f>
        <v>1611.8339740372135</v>
      </c>
      <c r="AE49" s="6">
        <f>+R49*$S49</f>
        <v>0</v>
      </c>
    </row>
    <row r="50" spans="5:31" ht="14.25" customHeight="1" x14ac:dyDescent="0.35">
      <c r="E50" s="1" t="s">
        <v>489</v>
      </c>
      <c r="F50" s="1"/>
      <c r="G50" s="1">
        <v>0</v>
      </c>
      <c r="H50" s="1">
        <v>0</v>
      </c>
      <c r="I50" s="1">
        <v>0</v>
      </c>
      <c r="J50" s="1">
        <v>0</v>
      </c>
      <c r="K50" s="1">
        <v>0</v>
      </c>
      <c r="L50" s="1">
        <v>0</v>
      </c>
      <c r="M50" s="1">
        <v>15</v>
      </c>
      <c r="N50" s="1">
        <v>19</v>
      </c>
      <c r="O50" s="1">
        <v>25</v>
      </c>
      <c r="P50" s="1">
        <v>34</v>
      </c>
      <c r="Q50" s="1">
        <v>36</v>
      </c>
      <c r="R50" s="1">
        <v>43</v>
      </c>
      <c r="S50" s="6">
        <v>2465.6794349860952</v>
      </c>
      <c r="T50" s="6">
        <f>+G50*$S50</f>
        <v>0</v>
      </c>
      <c r="U50" s="6">
        <f>+H50*$S50</f>
        <v>0</v>
      </c>
      <c r="V50" s="6">
        <f>+I50*$S50</f>
        <v>0</v>
      </c>
      <c r="W50" s="6">
        <f>+J50*$S50</f>
        <v>0</v>
      </c>
      <c r="X50" s="6">
        <f>+K50*$S50</f>
        <v>0</v>
      </c>
      <c r="Y50" s="6">
        <f>+L50*$S50</f>
        <v>0</v>
      </c>
      <c r="Z50" s="6">
        <f>+M50*$S50</f>
        <v>36985.191524791429</v>
      </c>
      <c r="AA50" s="6">
        <f>+N50*$S50</f>
        <v>46847.909264735812</v>
      </c>
      <c r="AB50" s="6">
        <f>+O50*$S50</f>
        <v>61641.985874652382</v>
      </c>
      <c r="AC50" s="6">
        <f>+P50*$S50</f>
        <v>83833.100789527234</v>
      </c>
      <c r="AD50" s="6">
        <f>+Q50*$S50</f>
        <v>88764.459659499422</v>
      </c>
      <c r="AE50" s="6">
        <f>+R50*$S50</f>
        <v>106024.2157044021</v>
      </c>
    </row>
    <row r="51" spans="5:31" ht="14.25" customHeight="1" x14ac:dyDescent="0.35">
      <c r="E51" s="1" t="s">
        <v>490</v>
      </c>
      <c r="F51" s="1"/>
      <c r="G51" s="1">
        <v>0</v>
      </c>
      <c r="H51" s="1">
        <v>0</v>
      </c>
      <c r="I51" s="1">
        <v>0</v>
      </c>
      <c r="J51" s="1">
        <v>0</v>
      </c>
      <c r="K51" s="1">
        <v>0</v>
      </c>
      <c r="L51" s="1">
        <v>0</v>
      </c>
      <c r="M51" s="1">
        <v>0</v>
      </c>
      <c r="N51" s="1">
        <v>0</v>
      </c>
      <c r="O51" s="1">
        <v>0</v>
      </c>
      <c r="P51" s="1">
        <v>0</v>
      </c>
      <c r="Q51" s="1">
        <v>0</v>
      </c>
      <c r="R51" s="1">
        <v>7</v>
      </c>
      <c r="S51" s="6">
        <v>810.70794814586873</v>
      </c>
      <c r="T51" s="6">
        <f>+G51*$S51</f>
        <v>0</v>
      </c>
      <c r="U51" s="6">
        <f>+H51*$S51</f>
        <v>0</v>
      </c>
      <c r="V51" s="6">
        <f>+I51*$S51</f>
        <v>0</v>
      </c>
      <c r="W51" s="6">
        <f>+J51*$S51</f>
        <v>0</v>
      </c>
      <c r="X51" s="6">
        <f>+K51*$S51</f>
        <v>0</v>
      </c>
      <c r="Y51" s="6">
        <f>+L51*$S51</f>
        <v>0</v>
      </c>
      <c r="Z51" s="6">
        <f>+M51*$S51</f>
        <v>0</v>
      </c>
      <c r="AA51" s="6">
        <f>+N51*$S51</f>
        <v>0</v>
      </c>
      <c r="AB51" s="6">
        <f>+O51*$S51</f>
        <v>0</v>
      </c>
      <c r="AC51" s="6">
        <f>+P51*$S51</f>
        <v>0</v>
      </c>
      <c r="AD51" s="6">
        <f>+Q51*$S51</f>
        <v>0</v>
      </c>
      <c r="AE51" s="6">
        <f>+R51*$S51</f>
        <v>5674.9556370210812</v>
      </c>
    </row>
    <row r="52" spans="5:31" ht="14.25" customHeight="1" x14ac:dyDescent="0.35"/>
    <row r="53" spans="5:31" ht="14.25" customHeight="1" x14ac:dyDescent="0.35">
      <c r="G53" s="1" t="s">
        <v>491</v>
      </c>
      <c r="T53" s="1" t="s">
        <v>491</v>
      </c>
    </row>
    <row r="54" spans="5:31" ht="14.25" customHeight="1" x14ac:dyDescent="0.35">
      <c r="T54" s="6">
        <f t="shared" ref="T54:AE54" si="2">SUM(T55:T98)</f>
        <v>0</v>
      </c>
      <c r="U54" s="6">
        <f t="shared" si="2"/>
        <v>2280442.962328535</v>
      </c>
      <c r="V54" s="6">
        <f t="shared" si="2"/>
        <v>7444446.4896490248</v>
      </c>
      <c r="W54" s="6">
        <f t="shared" si="2"/>
        <v>13421115.12155709</v>
      </c>
      <c r="X54" s="6">
        <f t="shared" si="2"/>
        <v>17903954.501364063</v>
      </c>
      <c r="Y54" s="6">
        <f t="shared" si="2"/>
        <v>23395707.209674239</v>
      </c>
      <c r="Z54" s="6">
        <f t="shared" si="2"/>
        <v>28755326.345968928</v>
      </c>
      <c r="AA54" s="6">
        <f t="shared" si="2"/>
        <v>31074244.006053861</v>
      </c>
      <c r="AB54" s="6">
        <f t="shared" si="2"/>
        <v>39077363.653149672</v>
      </c>
      <c r="AC54" s="6">
        <f t="shared" si="2"/>
        <v>49316524.678868778</v>
      </c>
      <c r="AD54" s="6">
        <f t="shared" si="2"/>
        <v>47936326.357433565</v>
      </c>
      <c r="AE54" s="6">
        <f t="shared" si="2"/>
        <v>54203207.848261066</v>
      </c>
    </row>
    <row r="55" spans="5:31" ht="14.25" customHeight="1" x14ac:dyDescent="0.35">
      <c r="E55" s="1" t="s">
        <v>248</v>
      </c>
      <c r="F55" s="1"/>
      <c r="G55" s="1">
        <v>0</v>
      </c>
      <c r="H55" s="1">
        <v>1</v>
      </c>
      <c r="I55" s="1">
        <v>3</v>
      </c>
      <c r="J55" s="1">
        <v>5</v>
      </c>
      <c r="K55" s="1">
        <v>6</v>
      </c>
      <c r="L55" s="1">
        <v>8</v>
      </c>
      <c r="M55" s="1">
        <v>11</v>
      </c>
      <c r="N55" s="1">
        <v>12</v>
      </c>
      <c r="O55" s="1">
        <v>17</v>
      </c>
      <c r="P55" s="1">
        <v>23</v>
      </c>
      <c r="Q55" s="1">
        <v>23</v>
      </c>
      <c r="R55" s="1">
        <v>27</v>
      </c>
      <c r="S55" s="1">
        <v>303609.13016282138</v>
      </c>
      <c r="T55" s="6">
        <f>+G55*$S55</f>
        <v>0</v>
      </c>
      <c r="U55" s="6">
        <f>+H55*$S55</f>
        <v>303609.13016282138</v>
      </c>
      <c r="V55" s="6">
        <f>+I55*$S55</f>
        <v>910827.39048846415</v>
      </c>
      <c r="W55" s="6">
        <f>+J55*$S55</f>
        <v>1518045.6508141069</v>
      </c>
      <c r="X55" s="6">
        <f>+K55*$S55</f>
        <v>1821654.7809769283</v>
      </c>
      <c r="Y55" s="6">
        <f>+L55*$S55</f>
        <v>2428873.0413025711</v>
      </c>
      <c r="Z55" s="6">
        <f>+M55*$S55</f>
        <v>3339700.4317910355</v>
      </c>
      <c r="AA55" s="6">
        <f>+N55*$S55</f>
        <v>3643309.5619538566</v>
      </c>
      <c r="AB55" s="6">
        <f>+O55*$S55</f>
        <v>5161355.2127679633</v>
      </c>
      <c r="AC55" s="6">
        <f>+P55*$S55</f>
        <v>6983009.9937448921</v>
      </c>
      <c r="AD55" s="6">
        <f>+Q55*$S55</f>
        <v>6983009.9937448921</v>
      </c>
      <c r="AE55" s="6">
        <f>+R55*$S55</f>
        <v>8197446.5143961776</v>
      </c>
    </row>
    <row r="56" spans="5:31" ht="14.25" customHeight="1" x14ac:dyDescent="0.35">
      <c r="E56" s="1" t="s">
        <v>446</v>
      </c>
      <c r="F56" s="1"/>
      <c r="G56" s="1">
        <v>0</v>
      </c>
      <c r="H56" s="1">
        <v>5</v>
      </c>
      <c r="I56" s="1">
        <v>14</v>
      </c>
      <c r="J56" s="1">
        <v>26</v>
      </c>
      <c r="K56" s="1">
        <v>32</v>
      </c>
      <c r="L56" s="1">
        <v>43</v>
      </c>
      <c r="M56" s="1">
        <v>56</v>
      </c>
      <c r="N56" s="1">
        <v>56</v>
      </c>
      <c r="O56" s="1">
        <v>72</v>
      </c>
      <c r="P56" s="1">
        <v>82</v>
      </c>
      <c r="Q56" s="1">
        <v>86</v>
      </c>
      <c r="R56" s="1">
        <v>98</v>
      </c>
      <c r="S56" s="1">
        <v>60454.8432217554</v>
      </c>
      <c r="T56" s="6">
        <f>+G56*$S56</f>
        <v>0</v>
      </c>
      <c r="U56" s="6">
        <f>+H56*$S56</f>
        <v>302274.21610877698</v>
      </c>
      <c r="V56" s="6">
        <f>+I56*$S56</f>
        <v>846367.80510457559</v>
      </c>
      <c r="W56" s="6">
        <f>+J56*$S56</f>
        <v>1571825.9237656405</v>
      </c>
      <c r="X56" s="6">
        <f>+K56*$S56</f>
        <v>1934554.9830961728</v>
      </c>
      <c r="Y56" s="6">
        <f>+L56*$S56</f>
        <v>2599558.258535482</v>
      </c>
      <c r="Z56" s="6">
        <f>+M56*$S56</f>
        <v>3385471.2204183023</v>
      </c>
      <c r="AA56" s="6">
        <f>+N56*$S56</f>
        <v>3385471.2204183023</v>
      </c>
      <c r="AB56" s="6">
        <f>+O56*$S56</f>
        <v>4352748.7119663889</v>
      </c>
      <c r="AC56" s="6">
        <f>+P56*$S56</f>
        <v>4957297.144183943</v>
      </c>
      <c r="AD56" s="6">
        <f>+Q56*$S56</f>
        <v>5199116.517070964</v>
      </c>
      <c r="AE56" s="6">
        <f>+R56*$S56</f>
        <v>5924574.6357320296</v>
      </c>
    </row>
    <row r="57" spans="5:31" ht="14.25" customHeight="1" x14ac:dyDescent="0.35">
      <c r="E57" s="1" t="s">
        <v>448</v>
      </c>
      <c r="F57" s="1"/>
      <c r="G57" s="1">
        <v>0</v>
      </c>
      <c r="H57" s="1">
        <v>0</v>
      </c>
      <c r="I57" s="1">
        <v>1</v>
      </c>
      <c r="J57" s="1">
        <v>1</v>
      </c>
      <c r="K57" s="1">
        <v>1</v>
      </c>
      <c r="L57" s="1">
        <v>2</v>
      </c>
      <c r="M57" s="1">
        <v>3</v>
      </c>
      <c r="N57" s="1">
        <v>3</v>
      </c>
      <c r="O57" s="1">
        <v>5</v>
      </c>
      <c r="P57" s="1">
        <v>6</v>
      </c>
      <c r="Q57" s="1">
        <v>6</v>
      </c>
      <c r="R57" s="1">
        <v>7</v>
      </c>
      <c r="S57" s="1">
        <v>233914.60595758641</v>
      </c>
      <c r="T57" s="6">
        <f>+G57*$S57</f>
        <v>0</v>
      </c>
      <c r="U57" s="6">
        <f>+H57*$S57</f>
        <v>0</v>
      </c>
      <c r="V57" s="6">
        <f>+I57*$S57</f>
        <v>233914.60595758641</v>
      </c>
      <c r="W57" s="6">
        <f>+J57*$S57</f>
        <v>233914.60595758641</v>
      </c>
      <c r="X57" s="6">
        <f>+K57*$S57</f>
        <v>233914.60595758641</v>
      </c>
      <c r="Y57" s="6">
        <f>+L57*$S57</f>
        <v>467829.21191517281</v>
      </c>
      <c r="Z57" s="6">
        <f>+M57*$S57</f>
        <v>701743.81787275919</v>
      </c>
      <c r="AA57" s="6">
        <f>+N57*$S57</f>
        <v>701743.81787275919</v>
      </c>
      <c r="AB57" s="6">
        <f>+O57*$S57</f>
        <v>1169573.0297879321</v>
      </c>
      <c r="AC57" s="6">
        <f>+P57*$S57</f>
        <v>1403487.6357455184</v>
      </c>
      <c r="AD57" s="6">
        <f>+Q57*$S57</f>
        <v>1403487.6357455184</v>
      </c>
      <c r="AE57" s="6">
        <f>+R57*$S57</f>
        <v>1637402.2417031049</v>
      </c>
    </row>
    <row r="58" spans="5:31" ht="14.25" customHeight="1" x14ac:dyDescent="0.35">
      <c r="E58" s="1" t="s">
        <v>449</v>
      </c>
      <c r="F58" s="1"/>
      <c r="G58" s="1">
        <v>0</v>
      </c>
      <c r="H58" s="1">
        <v>1</v>
      </c>
      <c r="I58" s="1">
        <v>3</v>
      </c>
      <c r="J58" s="1">
        <v>5</v>
      </c>
      <c r="K58" s="1">
        <v>8</v>
      </c>
      <c r="L58" s="1">
        <v>10</v>
      </c>
      <c r="M58" s="1">
        <v>11</v>
      </c>
      <c r="N58" s="1">
        <v>12</v>
      </c>
      <c r="O58" s="1">
        <v>14</v>
      </c>
      <c r="P58" s="1">
        <v>19</v>
      </c>
      <c r="Q58" s="1">
        <v>18</v>
      </c>
      <c r="R58" s="1">
        <v>20</v>
      </c>
      <c r="S58" s="1">
        <v>269243.95462899754</v>
      </c>
      <c r="T58" s="6">
        <f>+G58*$S58</f>
        <v>0</v>
      </c>
      <c r="U58" s="6">
        <f>+H58*$S58</f>
        <v>269243.95462899754</v>
      </c>
      <c r="V58" s="6">
        <f>+I58*$S58</f>
        <v>807731.86388699268</v>
      </c>
      <c r="W58" s="6">
        <f>+J58*$S58</f>
        <v>1346219.7731449876</v>
      </c>
      <c r="X58" s="6">
        <f>+K58*$S58</f>
        <v>2153951.6370319803</v>
      </c>
      <c r="Y58" s="6">
        <f>+L58*$S58</f>
        <v>2692439.5462899753</v>
      </c>
      <c r="Z58" s="6">
        <f>+M58*$S58</f>
        <v>2961683.5009189728</v>
      </c>
      <c r="AA58" s="6">
        <f>+N58*$S58</f>
        <v>3230927.4555479707</v>
      </c>
      <c r="AB58" s="6">
        <f>+O58*$S58</f>
        <v>3769415.3648059657</v>
      </c>
      <c r="AC58" s="6">
        <f>+P58*$S58</f>
        <v>5115635.1379509531</v>
      </c>
      <c r="AD58" s="6">
        <f>+Q58*$S58</f>
        <v>4846391.1833219556</v>
      </c>
      <c r="AE58" s="6">
        <f>+R58*$S58</f>
        <v>5384879.0925799506</v>
      </c>
    </row>
    <row r="59" spans="5:31" ht="14.25" customHeight="1" x14ac:dyDescent="0.35">
      <c r="E59" s="1" t="s">
        <v>451</v>
      </c>
      <c r="F59" s="1"/>
      <c r="G59" s="1">
        <v>0</v>
      </c>
      <c r="H59" s="1">
        <v>1</v>
      </c>
      <c r="I59" s="1">
        <v>3</v>
      </c>
      <c r="J59" s="1">
        <v>5</v>
      </c>
      <c r="K59" s="1">
        <v>7</v>
      </c>
      <c r="L59" s="1">
        <v>9</v>
      </c>
      <c r="M59" s="1">
        <v>13</v>
      </c>
      <c r="N59" s="1">
        <v>11</v>
      </c>
      <c r="O59" s="1">
        <v>14</v>
      </c>
      <c r="P59" s="1">
        <v>19</v>
      </c>
      <c r="Q59" s="1">
        <v>18</v>
      </c>
      <c r="R59" s="1">
        <v>19</v>
      </c>
      <c r="S59" s="1">
        <v>196299.54835222336</v>
      </c>
      <c r="T59" s="6">
        <f>+G59*$S59</f>
        <v>0</v>
      </c>
      <c r="U59" s="6">
        <f>+H59*$S59</f>
        <v>196299.54835222336</v>
      </c>
      <c r="V59" s="6">
        <f>+I59*$S59</f>
        <v>588898.64505667007</v>
      </c>
      <c r="W59" s="6">
        <f>+J59*$S59</f>
        <v>981497.74176111678</v>
      </c>
      <c r="X59" s="6">
        <f>+K59*$S59</f>
        <v>1374096.8384655635</v>
      </c>
      <c r="Y59" s="6">
        <f>+L59*$S59</f>
        <v>1766695.9351700102</v>
      </c>
      <c r="Z59" s="6">
        <f>+M59*$S59</f>
        <v>2551894.1285789036</v>
      </c>
      <c r="AA59" s="6">
        <f>+N59*$S59</f>
        <v>2159295.0318744569</v>
      </c>
      <c r="AB59" s="6">
        <f>+O59*$S59</f>
        <v>2748193.676931127</v>
      </c>
      <c r="AC59" s="6">
        <f>+P59*$S59</f>
        <v>3729691.4186922438</v>
      </c>
      <c r="AD59" s="6">
        <f>+Q59*$S59</f>
        <v>3533391.8703400204</v>
      </c>
      <c r="AE59" s="6">
        <f>+R59*$S59</f>
        <v>3729691.4186922438</v>
      </c>
    </row>
    <row r="60" spans="5:31" ht="14.25" customHeight="1" x14ac:dyDescent="0.35">
      <c r="E60" s="1" t="s">
        <v>453</v>
      </c>
      <c r="F60" s="1"/>
      <c r="G60" s="1">
        <v>0</v>
      </c>
      <c r="H60" s="1">
        <v>1</v>
      </c>
      <c r="I60" s="1">
        <v>3</v>
      </c>
      <c r="J60" s="1">
        <v>6</v>
      </c>
      <c r="K60" s="1">
        <v>9</v>
      </c>
      <c r="L60" s="1">
        <v>10</v>
      </c>
      <c r="M60" s="1">
        <v>12</v>
      </c>
      <c r="N60" s="1">
        <v>12</v>
      </c>
      <c r="O60" s="1">
        <v>15</v>
      </c>
      <c r="P60" s="1">
        <v>19</v>
      </c>
      <c r="Q60" s="1">
        <v>19</v>
      </c>
      <c r="R60" s="1">
        <v>19</v>
      </c>
      <c r="S60" s="1">
        <v>98304.556005006583</v>
      </c>
      <c r="T60" s="6">
        <f>+G60*$S60</f>
        <v>0</v>
      </c>
      <c r="U60" s="6">
        <f>+H60*$S60</f>
        <v>98304.556005006583</v>
      </c>
      <c r="V60" s="6">
        <f>+I60*$S60</f>
        <v>294913.66801501974</v>
      </c>
      <c r="W60" s="6">
        <f>+J60*$S60</f>
        <v>589827.33603003947</v>
      </c>
      <c r="X60" s="6">
        <f>+K60*$S60</f>
        <v>884741.00404505921</v>
      </c>
      <c r="Y60" s="6">
        <f>+L60*$S60</f>
        <v>983045.56005006586</v>
      </c>
      <c r="Z60" s="6">
        <f>+M60*$S60</f>
        <v>1179654.6720600789</v>
      </c>
      <c r="AA60" s="6">
        <f>+N60*$S60</f>
        <v>1179654.6720600789</v>
      </c>
      <c r="AB60" s="6">
        <f>+O60*$S60</f>
        <v>1474568.3400750987</v>
      </c>
      <c r="AC60" s="6">
        <f>+P60*$S60</f>
        <v>1867786.5640951251</v>
      </c>
      <c r="AD60" s="6">
        <f>+Q60*$S60</f>
        <v>1867786.5640951251</v>
      </c>
      <c r="AE60" s="6">
        <f>+R60*$S60</f>
        <v>1867786.5640951251</v>
      </c>
    </row>
    <row r="61" spans="5:31" ht="14.25" customHeight="1" x14ac:dyDescent="0.35">
      <c r="E61" s="1" t="s">
        <v>244</v>
      </c>
      <c r="F61" s="1"/>
      <c r="G61" s="1">
        <v>0</v>
      </c>
      <c r="H61" s="1">
        <v>1</v>
      </c>
      <c r="I61" s="1">
        <v>3</v>
      </c>
      <c r="J61" s="1">
        <v>6</v>
      </c>
      <c r="K61" s="1">
        <v>8</v>
      </c>
      <c r="L61" s="1">
        <v>11</v>
      </c>
      <c r="M61" s="1">
        <v>13</v>
      </c>
      <c r="N61" s="1">
        <v>14</v>
      </c>
      <c r="O61" s="1">
        <v>16</v>
      </c>
      <c r="P61" s="1">
        <v>21</v>
      </c>
      <c r="Q61" s="1">
        <v>20</v>
      </c>
      <c r="R61" s="1">
        <v>23</v>
      </c>
      <c r="S61" s="1">
        <v>161575.60931124966</v>
      </c>
      <c r="T61" s="6">
        <f>+G61*$S61</f>
        <v>0</v>
      </c>
      <c r="U61" s="6">
        <f>+H61*$S61</f>
        <v>161575.60931124966</v>
      </c>
      <c r="V61" s="6">
        <f>+I61*$S61</f>
        <v>484726.82793374895</v>
      </c>
      <c r="W61" s="6">
        <f>+J61*$S61</f>
        <v>969453.6558674979</v>
      </c>
      <c r="X61" s="6">
        <f>+K61*$S61</f>
        <v>1292604.8744899973</v>
      </c>
      <c r="Y61" s="6">
        <f>+L61*$S61</f>
        <v>1777331.7024237462</v>
      </c>
      <c r="Z61" s="6">
        <f>+M61*$S61</f>
        <v>2100482.9210462454</v>
      </c>
      <c r="AA61" s="6">
        <f>+N61*$S61</f>
        <v>2262058.5303574954</v>
      </c>
      <c r="AB61" s="6">
        <f>+O61*$S61</f>
        <v>2585209.7489799946</v>
      </c>
      <c r="AC61" s="6">
        <f>+P61*$S61</f>
        <v>3393087.7955362429</v>
      </c>
      <c r="AD61" s="6">
        <f>+Q61*$S61</f>
        <v>3231512.1862249933</v>
      </c>
      <c r="AE61" s="6">
        <f>+R61*$S61</f>
        <v>3716239.014158742</v>
      </c>
    </row>
    <row r="62" spans="5:31" ht="14.25" customHeight="1" x14ac:dyDescent="0.35">
      <c r="E62" s="1" t="s">
        <v>301</v>
      </c>
      <c r="F62" s="1"/>
      <c r="G62" s="1">
        <v>0</v>
      </c>
      <c r="H62" s="1">
        <v>1</v>
      </c>
      <c r="I62" s="1">
        <v>2</v>
      </c>
      <c r="J62" s="1">
        <v>5</v>
      </c>
      <c r="K62" s="1">
        <v>6</v>
      </c>
      <c r="L62" s="1">
        <v>8</v>
      </c>
      <c r="M62" s="1">
        <v>9</v>
      </c>
      <c r="N62" s="1">
        <v>10</v>
      </c>
      <c r="O62" s="1">
        <v>12</v>
      </c>
      <c r="P62" s="1">
        <v>15</v>
      </c>
      <c r="Q62" s="1">
        <v>15</v>
      </c>
      <c r="R62" s="1">
        <v>17</v>
      </c>
      <c r="S62" s="1">
        <v>163617.47719744322</v>
      </c>
      <c r="T62" s="6">
        <f>+G62*$S62</f>
        <v>0</v>
      </c>
      <c r="U62" s="6">
        <f>+H62*$S62</f>
        <v>163617.47719744322</v>
      </c>
      <c r="V62" s="6">
        <f>+I62*$S62</f>
        <v>327234.95439488644</v>
      </c>
      <c r="W62" s="6">
        <f>+J62*$S62</f>
        <v>818087.38598721614</v>
      </c>
      <c r="X62" s="6">
        <f>+K62*$S62</f>
        <v>981704.86318465928</v>
      </c>
      <c r="Y62" s="6">
        <f>+L62*$S62</f>
        <v>1308939.8175795458</v>
      </c>
      <c r="Z62" s="6">
        <f>+M62*$S62</f>
        <v>1472557.2947769889</v>
      </c>
      <c r="AA62" s="6">
        <f>+N62*$S62</f>
        <v>1636174.7719744323</v>
      </c>
      <c r="AB62" s="6">
        <f>+O62*$S62</f>
        <v>1963409.7263693186</v>
      </c>
      <c r="AC62" s="6">
        <f>+P62*$S62</f>
        <v>2454262.1579616484</v>
      </c>
      <c r="AD62" s="6">
        <f>+Q62*$S62</f>
        <v>2454262.1579616484</v>
      </c>
      <c r="AE62" s="6">
        <f>+R62*$S62</f>
        <v>2781497.1123565347</v>
      </c>
    </row>
    <row r="63" spans="5:31" ht="14.25" customHeight="1" x14ac:dyDescent="0.35">
      <c r="E63" s="1" t="s">
        <v>456</v>
      </c>
      <c r="F63" s="1"/>
      <c r="G63" s="1">
        <v>0</v>
      </c>
      <c r="H63" s="1">
        <v>1</v>
      </c>
      <c r="I63" s="1">
        <v>2</v>
      </c>
      <c r="J63" s="1">
        <v>5</v>
      </c>
      <c r="K63" s="1">
        <v>6</v>
      </c>
      <c r="L63" s="1">
        <v>8</v>
      </c>
      <c r="M63" s="1">
        <v>8</v>
      </c>
      <c r="N63" s="1">
        <v>7</v>
      </c>
      <c r="O63" s="1">
        <v>9</v>
      </c>
      <c r="P63" s="1">
        <v>12</v>
      </c>
      <c r="Q63" s="1">
        <v>12</v>
      </c>
      <c r="R63" s="1">
        <v>12</v>
      </c>
      <c r="S63" s="1">
        <v>175968.72020823744</v>
      </c>
      <c r="T63" s="6">
        <f>+G63*$S63</f>
        <v>0</v>
      </c>
      <c r="U63" s="6">
        <f>+H63*$S63</f>
        <v>175968.72020823744</v>
      </c>
      <c r="V63" s="6">
        <f>+I63*$S63</f>
        <v>351937.44041647488</v>
      </c>
      <c r="W63" s="6">
        <f>+J63*$S63</f>
        <v>879843.60104118718</v>
      </c>
      <c r="X63" s="6">
        <f>+K63*$S63</f>
        <v>1055812.3212494247</v>
      </c>
      <c r="Y63" s="6">
        <f>+L63*$S63</f>
        <v>1407749.7616658995</v>
      </c>
      <c r="Z63" s="6">
        <f>+M63*$S63</f>
        <v>1407749.7616658995</v>
      </c>
      <c r="AA63" s="6">
        <f>+N63*$S63</f>
        <v>1231781.0414576621</v>
      </c>
      <c r="AB63" s="6">
        <f>+O63*$S63</f>
        <v>1583718.481874137</v>
      </c>
      <c r="AC63" s="6">
        <f>+P63*$S63</f>
        <v>2111624.6424988494</v>
      </c>
      <c r="AD63" s="6">
        <f>+Q63*$S63</f>
        <v>2111624.6424988494</v>
      </c>
      <c r="AE63" s="6">
        <f>+R63*$S63</f>
        <v>2111624.6424988494</v>
      </c>
    </row>
    <row r="64" spans="5:31" ht="14.25" customHeight="1" x14ac:dyDescent="0.35">
      <c r="E64" s="1" t="s">
        <v>457</v>
      </c>
      <c r="F64" s="1"/>
      <c r="G64" s="1">
        <v>0</v>
      </c>
      <c r="H64" s="1">
        <v>1</v>
      </c>
      <c r="I64" s="1">
        <v>1</v>
      </c>
      <c r="J64" s="1">
        <v>4</v>
      </c>
      <c r="K64" s="1">
        <v>4</v>
      </c>
      <c r="L64" s="1">
        <v>5</v>
      </c>
      <c r="M64" s="1">
        <v>7</v>
      </c>
      <c r="N64" s="1">
        <v>8</v>
      </c>
      <c r="O64" s="1">
        <v>12</v>
      </c>
      <c r="P64" s="1">
        <v>12</v>
      </c>
      <c r="Q64" s="1">
        <v>10</v>
      </c>
      <c r="R64" s="1">
        <v>13</v>
      </c>
      <c r="S64" s="1">
        <v>183869.54774064018</v>
      </c>
      <c r="T64" s="6">
        <f>+G64*$S64</f>
        <v>0</v>
      </c>
      <c r="U64" s="6">
        <f>+H64*$S64</f>
        <v>183869.54774064018</v>
      </c>
      <c r="V64" s="6">
        <f>+I64*$S64</f>
        <v>183869.54774064018</v>
      </c>
      <c r="W64" s="6">
        <f>+J64*$S64</f>
        <v>735478.19096256071</v>
      </c>
      <c r="X64" s="6">
        <f>+K64*$S64</f>
        <v>735478.19096256071</v>
      </c>
      <c r="Y64" s="6">
        <f>+L64*$S64</f>
        <v>919347.73870320083</v>
      </c>
      <c r="Z64" s="6">
        <f>+M64*$S64</f>
        <v>1287086.8341844813</v>
      </c>
      <c r="AA64" s="6">
        <f>+N64*$S64</f>
        <v>1470956.3819251214</v>
      </c>
      <c r="AB64" s="6">
        <f>+O64*$S64</f>
        <v>2206434.5728876824</v>
      </c>
      <c r="AC64" s="6">
        <f>+P64*$S64</f>
        <v>2206434.5728876824</v>
      </c>
      <c r="AD64" s="6">
        <f>+Q64*$S64</f>
        <v>1838695.4774064017</v>
      </c>
      <c r="AE64" s="6">
        <f>+R64*$S64</f>
        <v>2390304.1206283225</v>
      </c>
    </row>
    <row r="65" spans="5:31" ht="14.25" customHeight="1" x14ac:dyDescent="0.35">
      <c r="E65" s="1" t="s">
        <v>458</v>
      </c>
      <c r="F65" s="1"/>
      <c r="G65" s="1">
        <v>0</v>
      </c>
      <c r="H65" s="1">
        <v>0</v>
      </c>
      <c r="I65" s="1">
        <v>0</v>
      </c>
      <c r="J65" s="1">
        <v>0</v>
      </c>
      <c r="K65" s="1">
        <v>0</v>
      </c>
      <c r="L65" s="1">
        <v>0</v>
      </c>
      <c r="M65" s="1">
        <v>0</v>
      </c>
      <c r="N65" s="1">
        <v>0</v>
      </c>
      <c r="O65" s="1">
        <v>1</v>
      </c>
      <c r="P65" s="1">
        <v>1</v>
      </c>
      <c r="Q65" s="1">
        <v>1</v>
      </c>
      <c r="R65" s="1">
        <v>1</v>
      </c>
      <c r="S65" s="1">
        <v>487489.55805447476</v>
      </c>
      <c r="T65" s="6">
        <f>+G65*$S65</f>
        <v>0</v>
      </c>
      <c r="U65" s="6">
        <f>+H65*$S65</f>
        <v>0</v>
      </c>
      <c r="V65" s="6">
        <f>+I65*$S65</f>
        <v>0</v>
      </c>
      <c r="W65" s="6">
        <f>+J65*$S65</f>
        <v>0</v>
      </c>
      <c r="X65" s="6">
        <f>+K65*$S65</f>
        <v>0</v>
      </c>
      <c r="Y65" s="6">
        <f>+L65*$S65</f>
        <v>0</v>
      </c>
      <c r="Z65" s="6">
        <f>+M65*$S65</f>
        <v>0</v>
      </c>
      <c r="AA65" s="6">
        <f>+N65*$S65</f>
        <v>0</v>
      </c>
      <c r="AB65" s="6">
        <f>+O65*$S65</f>
        <v>487489.55805447476</v>
      </c>
      <c r="AC65" s="6">
        <f>+P65*$S65</f>
        <v>487489.55805447476</v>
      </c>
      <c r="AD65" s="6">
        <f>+Q65*$S65</f>
        <v>487489.55805447476</v>
      </c>
      <c r="AE65" s="6">
        <f>+R65*$S65</f>
        <v>487489.55805447476</v>
      </c>
    </row>
    <row r="66" spans="5:31" ht="14.25" customHeight="1" x14ac:dyDescent="0.35">
      <c r="E66" s="1" t="s">
        <v>459</v>
      </c>
      <c r="F66" s="1"/>
      <c r="G66" s="1">
        <v>0</v>
      </c>
      <c r="H66" s="1">
        <v>1</v>
      </c>
      <c r="I66" s="1">
        <v>2</v>
      </c>
      <c r="J66" s="1">
        <v>4</v>
      </c>
      <c r="K66" s="1">
        <v>6</v>
      </c>
      <c r="L66" s="1">
        <v>7</v>
      </c>
      <c r="M66" s="1">
        <v>10</v>
      </c>
      <c r="N66" s="1">
        <v>11</v>
      </c>
      <c r="O66" s="1">
        <v>11</v>
      </c>
      <c r="P66" s="1">
        <v>17</v>
      </c>
      <c r="Q66" s="1">
        <v>15</v>
      </c>
      <c r="R66" s="1">
        <v>16</v>
      </c>
      <c r="S66" s="1">
        <v>89841.225302562918</v>
      </c>
      <c r="T66" s="6">
        <f>+G66*$S66</f>
        <v>0</v>
      </c>
      <c r="U66" s="6">
        <f>+H66*$S66</f>
        <v>89841.225302562918</v>
      </c>
      <c r="V66" s="6">
        <f>+I66*$S66</f>
        <v>179682.45060512584</v>
      </c>
      <c r="W66" s="6">
        <f>+J66*$S66</f>
        <v>359364.90121025167</v>
      </c>
      <c r="X66" s="6">
        <f>+K66*$S66</f>
        <v>539047.35181537748</v>
      </c>
      <c r="Y66" s="6">
        <f>+L66*$S66</f>
        <v>628888.57711794041</v>
      </c>
      <c r="Z66" s="6">
        <f>+M66*$S66</f>
        <v>898412.25302562921</v>
      </c>
      <c r="AA66" s="6">
        <f>+N66*$S66</f>
        <v>988253.47832819214</v>
      </c>
      <c r="AB66" s="6">
        <f>+O66*$S66</f>
        <v>988253.47832819214</v>
      </c>
      <c r="AC66" s="6">
        <f>+P66*$S66</f>
        <v>1527300.8301435695</v>
      </c>
      <c r="AD66" s="6">
        <f>+Q66*$S66</f>
        <v>1347618.3795384439</v>
      </c>
      <c r="AE66" s="6">
        <f>+R66*$S66</f>
        <v>1437459.6048410067</v>
      </c>
    </row>
    <row r="67" spans="5:31" ht="14.25" customHeight="1" x14ac:dyDescent="0.35">
      <c r="E67" s="1" t="s">
        <v>460</v>
      </c>
      <c r="F67" s="1"/>
      <c r="G67" s="1">
        <v>0</v>
      </c>
      <c r="H67" s="1">
        <v>1</v>
      </c>
      <c r="I67" s="1">
        <v>2</v>
      </c>
      <c r="J67" s="1">
        <v>3</v>
      </c>
      <c r="K67" s="1">
        <v>4</v>
      </c>
      <c r="L67" s="1">
        <v>6</v>
      </c>
      <c r="M67" s="1">
        <v>7</v>
      </c>
      <c r="N67" s="1">
        <v>8</v>
      </c>
      <c r="O67" s="1">
        <v>9</v>
      </c>
      <c r="P67" s="1">
        <v>11</v>
      </c>
      <c r="Q67" s="1">
        <v>12</v>
      </c>
      <c r="R67" s="1">
        <v>11</v>
      </c>
      <c r="S67" s="1">
        <v>68667.806015622613</v>
      </c>
      <c r="T67" s="6">
        <f>+G67*$S67</f>
        <v>0</v>
      </c>
      <c r="U67" s="6">
        <f>+H67*$S67</f>
        <v>68667.806015622613</v>
      </c>
      <c r="V67" s="6">
        <f>+I67*$S67</f>
        <v>137335.61203124523</v>
      </c>
      <c r="W67" s="6">
        <f>+J67*$S67</f>
        <v>206003.41804686782</v>
      </c>
      <c r="X67" s="6">
        <f>+K67*$S67</f>
        <v>274671.22406249045</v>
      </c>
      <c r="Y67" s="6">
        <f>+L67*$S67</f>
        <v>412006.83609373565</v>
      </c>
      <c r="Z67" s="6">
        <f>+M67*$S67</f>
        <v>480674.64210935828</v>
      </c>
      <c r="AA67" s="6">
        <f>+N67*$S67</f>
        <v>549342.4481249809</v>
      </c>
      <c r="AB67" s="6">
        <f>+O67*$S67</f>
        <v>618010.25414060347</v>
      </c>
      <c r="AC67" s="6">
        <f>+P67*$S67</f>
        <v>755345.86617184873</v>
      </c>
      <c r="AD67" s="6">
        <f>+Q67*$S67</f>
        <v>824013.6721874713</v>
      </c>
      <c r="AE67" s="6">
        <f>+R67*$S67</f>
        <v>755345.86617184873</v>
      </c>
    </row>
    <row r="68" spans="5:31" ht="14.25" customHeight="1" x14ac:dyDescent="0.35">
      <c r="E68" s="1" t="s">
        <v>461</v>
      </c>
      <c r="F68" s="1"/>
      <c r="G68" s="1">
        <v>0</v>
      </c>
      <c r="H68" s="1">
        <v>0</v>
      </c>
      <c r="I68" s="1">
        <v>1</v>
      </c>
      <c r="J68" s="1">
        <v>2</v>
      </c>
      <c r="K68" s="1">
        <v>3</v>
      </c>
      <c r="L68" s="1">
        <v>4</v>
      </c>
      <c r="M68" s="1">
        <v>6</v>
      </c>
      <c r="N68" s="1">
        <v>6</v>
      </c>
      <c r="O68" s="1">
        <v>7</v>
      </c>
      <c r="P68" s="1">
        <v>9</v>
      </c>
      <c r="Q68" s="1">
        <v>8</v>
      </c>
      <c r="R68" s="1">
        <v>9</v>
      </c>
      <c r="S68" s="1">
        <v>107905.46502683852</v>
      </c>
      <c r="T68" s="6">
        <f>+G68*$S68</f>
        <v>0</v>
      </c>
      <c r="U68" s="6">
        <f>+H68*$S68</f>
        <v>0</v>
      </c>
      <c r="V68" s="6">
        <f>+I68*$S68</f>
        <v>107905.46502683852</v>
      </c>
      <c r="W68" s="6">
        <f>+J68*$S68</f>
        <v>215810.93005367703</v>
      </c>
      <c r="X68" s="6">
        <f>+K68*$S68</f>
        <v>323716.39508051553</v>
      </c>
      <c r="Y68" s="6">
        <f>+L68*$S68</f>
        <v>431621.86010735406</v>
      </c>
      <c r="Z68" s="6">
        <f>+M68*$S68</f>
        <v>647432.79016103107</v>
      </c>
      <c r="AA68" s="6">
        <f>+N68*$S68</f>
        <v>647432.79016103107</v>
      </c>
      <c r="AB68" s="6">
        <f>+O68*$S68</f>
        <v>755338.25518786965</v>
      </c>
      <c r="AC68" s="6">
        <f>+P68*$S68</f>
        <v>971149.1852415466</v>
      </c>
      <c r="AD68" s="6">
        <f>+Q68*$S68</f>
        <v>863243.72021470813</v>
      </c>
      <c r="AE68" s="6">
        <f>+R68*$S68</f>
        <v>971149.1852415466</v>
      </c>
    </row>
    <row r="69" spans="5:31" ht="14.25" customHeight="1" x14ac:dyDescent="0.35">
      <c r="E69" s="1" t="s">
        <v>462</v>
      </c>
      <c r="F69" s="1"/>
      <c r="G69" s="1">
        <v>0</v>
      </c>
      <c r="H69" s="1">
        <v>1</v>
      </c>
      <c r="I69" s="1">
        <v>3</v>
      </c>
      <c r="J69" s="1">
        <v>7</v>
      </c>
      <c r="K69" s="1">
        <v>9</v>
      </c>
      <c r="L69" s="1">
        <v>12</v>
      </c>
      <c r="M69" s="1">
        <v>13</v>
      </c>
      <c r="N69" s="1">
        <v>16</v>
      </c>
      <c r="O69" s="1">
        <v>19</v>
      </c>
      <c r="P69" s="1">
        <v>19</v>
      </c>
      <c r="Q69" s="1">
        <v>25</v>
      </c>
      <c r="R69" s="1">
        <v>23</v>
      </c>
      <c r="S69" s="1">
        <v>33256.565337367196</v>
      </c>
      <c r="T69" s="6">
        <f>+G69*$S69</f>
        <v>0</v>
      </c>
      <c r="U69" s="6">
        <f>+H69*$S69</f>
        <v>33256.565337367196</v>
      </c>
      <c r="V69" s="6">
        <f>+I69*$S69</f>
        <v>99769.696012101587</v>
      </c>
      <c r="W69" s="6">
        <f>+J69*$S69</f>
        <v>232795.95736157038</v>
      </c>
      <c r="X69" s="6">
        <f>+K69*$S69</f>
        <v>299309.08803630475</v>
      </c>
      <c r="Y69" s="6">
        <f>+L69*$S69</f>
        <v>399078.78404840635</v>
      </c>
      <c r="Z69" s="6">
        <f>+M69*$S69</f>
        <v>432335.34938577353</v>
      </c>
      <c r="AA69" s="6">
        <f>+N69*$S69</f>
        <v>532105.04539787513</v>
      </c>
      <c r="AB69" s="6">
        <f>+O69*$S69</f>
        <v>631874.74140997673</v>
      </c>
      <c r="AC69" s="6">
        <f>+P69*$S69</f>
        <v>631874.74140997673</v>
      </c>
      <c r="AD69" s="6">
        <f>+Q69*$S69</f>
        <v>831414.13343417994</v>
      </c>
      <c r="AE69" s="6">
        <f>+R69*$S69</f>
        <v>764901.00275944546</v>
      </c>
    </row>
    <row r="70" spans="5:31" ht="14.25" customHeight="1" x14ac:dyDescent="0.35">
      <c r="E70" s="1" t="s">
        <v>463</v>
      </c>
      <c r="F70" s="1"/>
      <c r="T70" s="6">
        <f>+G70*$S70</f>
        <v>0</v>
      </c>
      <c r="U70" s="6">
        <f>+H70*$S70</f>
        <v>0</v>
      </c>
      <c r="V70" s="6">
        <f>+I70*$S70</f>
        <v>0</v>
      </c>
      <c r="W70" s="6">
        <f>+J70*$S70</f>
        <v>0</v>
      </c>
      <c r="X70" s="6">
        <f>+K70*$S70</f>
        <v>0</v>
      </c>
      <c r="Y70" s="6">
        <f>+L70*$S70</f>
        <v>0</v>
      </c>
      <c r="Z70" s="6">
        <f>+M70*$S70</f>
        <v>0</v>
      </c>
      <c r="AA70" s="6">
        <f>+N70*$S70</f>
        <v>0</v>
      </c>
      <c r="AB70" s="6">
        <f>+O70*$S70</f>
        <v>0</v>
      </c>
      <c r="AC70" s="6">
        <f>+P70*$S70</f>
        <v>0</v>
      </c>
      <c r="AD70" s="6">
        <f>+Q70*$S70</f>
        <v>0</v>
      </c>
      <c r="AE70" s="6">
        <f>+R70*$S70</f>
        <v>0</v>
      </c>
    </row>
    <row r="71" spans="5:31" ht="14.25" customHeight="1" x14ac:dyDescent="0.35">
      <c r="E71" s="1" t="s">
        <v>464</v>
      </c>
      <c r="F71" s="1"/>
      <c r="G71" s="1">
        <v>0</v>
      </c>
      <c r="H71" s="1">
        <v>0</v>
      </c>
      <c r="I71" s="1">
        <v>0</v>
      </c>
      <c r="J71" s="1">
        <v>0</v>
      </c>
      <c r="K71" s="1">
        <v>0</v>
      </c>
      <c r="L71" s="1">
        <v>0</v>
      </c>
      <c r="M71" s="1">
        <v>0</v>
      </c>
      <c r="N71" s="1">
        <v>0</v>
      </c>
      <c r="O71" s="1">
        <v>0</v>
      </c>
      <c r="P71" s="1">
        <v>0</v>
      </c>
      <c r="Q71" s="1">
        <v>0</v>
      </c>
      <c r="R71" s="1">
        <v>0</v>
      </c>
      <c r="S71" s="1">
        <v>48428.880909090905</v>
      </c>
      <c r="T71" s="6">
        <f>+G71*$S71</f>
        <v>0</v>
      </c>
      <c r="U71" s="6">
        <f>+H71*$S71</f>
        <v>0</v>
      </c>
      <c r="V71" s="6">
        <f>+I71*$S71</f>
        <v>0</v>
      </c>
      <c r="W71" s="6">
        <f>+J71*$S71</f>
        <v>0</v>
      </c>
      <c r="X71" s="6">
        <f>+K71*$S71</f>
        <v>0</v>
      </c>
      <c r="Y71" s="6">
        <f>+L71*$S71</f>
        <v>0</v>
      </c>
      <c r="Z71" s="6">
        <f>+M71*$S71</f>
        <v>0</v>
      </c>
      <c r="AA71" s="6">
        <f>+N71*$S71</f>
        <v>0</v>
      </c>
      <c r="AB71" s="6">
        <f>+O71*$S71</f>
        <v>0</v>
      </c>
      <c r="AC71" s="6">
        <f>+P71*$S71</f>
        <v>0</v>
      </c>
      <c r="AD71" s="6">
        <f>+Q71*$S71</f>
        <v>0</v>
      </c>
      <c r="AE71" s="6">
        <f>+R71*$S71</f>
        <v>0</v>
      </c>
    </row>
    <row r="72" spans="5:31" ht="14.25" customHeight="1" x14ac:dyDescent="0.35">
      <c r="E72" s="1" t="s">
        <v>465</v>
      </c>
      <c r="F72" s="1"/>
      <c r="G72" s="1">
        <v>0</v>
      </c>
      <c r="H72" s="1">
        <v>0</v>
      </c>
      <c r="I72" s="1">
        <v>1</v>
      </c>
      <c r="J72" s="1">
        <v>1</v>
      </c>
      <c r="K72" s="1">
        <v>1</v>
      </c>
      <c r="L72" s="1">
        <v>2</v>
      </c>
      <c r="M72" s="1">
        <v>2</v>
      </c>
      <c r="N72" s="1">
        <v>2</v>
      </c>
      <c r="O72" s="1">
        <v>2</v>
      </c>
      <c r="P72" s="1">
        <v>4</v>
      </c>
      <c r="Q72" s="1">
        <v>3</v>
      </c>
      <c r="R72" s="1">
        <v>3</v>
      </c>
      <c r="S72" s="1">
        <v>309349.33385227731</v>
      </c>
      <c r="T72" s="6">
        <f>+G72*$S72</f>
        <v>0</v>
      </c>
      <c r="U72" s="6">
        <f>+H72*$S72</f>
        <v>0</v>
      </c>
      <c r="V72" s="6">
        <f>+I72*$S72</f>
        <v>309349.33385227731</v>
      </c>
      <c r="W72" s="6">
        <f>+J72*$S72</f>
        <v>309349.33385227731</v>
      </c>
      <c r="X72" s="6">
        <f>+K72*$S72</f>
        <v>309349.33385227731</v>
      </c>
      <c r="Y72" s="6">
        <f>+L72*$S72</f>
        <v>618698.66770455462</v>
      </c>
      <c r="Z72" s="6">
        <f>+M72*$S72</f>
        <v>618698.66770455462</v>
      </c>
      <c r="AA72" s="6">
        <f>+N72*$S72</f>
        <v>618698.66770455462</v>
      </c>
      <c r="AB72" s="6">
        <f>+O72*$S72</f>
        <v>618698.66770455462</v>
      </c>
      <c r="AC72" s="6">
        <f>+P72*$S72</f>
        <v>1237397.3354091092</v>
      </c>
      <c r="AD72" s="6">
        <f>+Q72*$S72</f>
        <v>928048.00155683188</v>
      </c>
      <c r="AE72" s="6">
        <f>+R72*$S72</f>
        <v>928048.00155683188</v>
      </c>
    </row>
    <row r="73" spans="5:31" ht="14.25" customHeight="1" x14ac:dyDescent="0.35">
      <c r="E73" s="1" t="s">
        <v>466</v>
      </c>
      <c r="F73" s="1"/>
      <c r="G73" s="1">
        <v>0</v>
      </c>
      <c r="H73" s="1">
        <v>0</v>
      </c>
      <c r="I73" s="1">
        <v>1</v>
      </c>
      <c r="J73" s="1">
        <v>1</v>
      </c>
      <c r="K73" s="1">
        <v>2</v>
      </c>
      <c r="L73" s="1">
        <v>3</v>
      </c>
      <c r="M73" s="1">
        <v>3</v>
      </c>
      <c r="N73" s="1">
        <v>4</v>
      </c>
      <c r="O73" s="1">
        <v>4</v>
      </c>
      <c r="P73" s="1">
        <v>6</v>
      </c>
      <c r="Q73" s="1">
        <v>5</v>
      </c>
      <c r="R73" s="1">
        <v>6</v>
      </c>
      <c r="S73" s="1">
        <v>98026.099974025972</v>
      </c>
      <c r="T73" s="6">
        <f>+G73*$S73</f>
        <v>0</v>
      </c>
      <c r="U73" s="6">
        <f>+H73*$S73</f>
        <v>0</v>
      </c>
      <c r="V73" s="6">
        <f>+I73*$S73</f>
        <v>98026.099974025972</v>
      </c>
      <c r="W73" s="6">
        <f>+J73*$S73</f>
        <v>98026.099974025972</v>
      </c>
      <c r="X73" s="6">
        <f>+K73*$S73</f>
        <v>196052.19994805194</v>
      </c>
      <c r="Y73" s="6">
        <f>+L73*$S73</f>
        <v>294078.29992207792</v>
      </c>
      <c r="Z73" s="6">
        <f>+M73*$S73</f>
        <v>294078.29992207792</v>
      </c>
      <c r="AA73" s="6">
        <f>+N73*$S73</f>
        <v>392104.39989610389</v>
      </c>
      <c r="AB73" s="6">
        <f>+O73*$S73</f>
        <v>392104.39989610389</v>
      </c>
      <c r="AC73" s="6">
        <f>+P73*$S73</f>
        <v>588156.59984415583</v>
      </c>
      <c r="AD73" s="6">
        <f>+Q73*$S73</f>
        <v>490130.49987012986</v>
      </c>
      <c r="AE73" s="6">
        <f>+R73*$S73</f>
        <v>588156.59984415583</v>
      </c>
    </row>
    <row r="74" spans="5:31" ht="14.25" customHeight="1" x14ac:dyDescent="0.35">
      <c r="E74" s="1" t="s">
        <v>467</v>
      </c>
      <c r="F74" s="1"/>
      <c r="G74" s="1">
        <v>0</v>
      </c>
      <c r="H74" s="1">
        <v>0</v>
      </c>
      <c r="I74" s="1">
        <v>1</v>
      </c>
      <c r="J74" s="1">
        <v>1</v>
      </c>
      <c r="K74" s="1">
        <v>1</v>
      </c>
      <c r="L74" s="1">
        <v>2</v>
      </c>
      <c r="M74" s="1">
        <v>2</v>
      </c>
      <c r="N74" s="1">
        <v>3</v>
      </c>
      <c r="O74" s="1">
        <v>3</v>
      </c>
      <c r="P74" s="1">
        <v>3</v>
      </c>
      <c r="Q74" s="1">
        <v>4</v>
      </c>
      <c r="R74" s="1">
        <v>5</v>
      </c>
      <c r="S74" s="1">
        <v>145519.83414580903</v>
      </c>
      <c r="T74" s="6">
        <f>+G74*$S74</f>
        <v>0</v>
      </c>
      <c r="U74" s="6">
        <f>+H74*$S74</f>
        <v>0</v>
      </c>
      <c r="V74" s="6">
        <f>+I74*$S74</f>
        <v>145519.83414580903</v>
      </c>
      <c r="W74" s="6">
        <f>+J74*$S74</f>
        <v>145519.83414580903</v>
      </c>
      <c r="X74" s="6">
        <f>+K74*$S74</f>
        <v>145519.83414580903</v>
      </c>
      <c r="Y74" s="6">
        <f>+L74*$S74</f>
        <v>291039.66829161806</v>
      </c>
      <c r="Z74" s="6">
        <f>+M74*$S74</f>
        <v>291039.66829161806</v>
      </c>
      <c r="AA74" s="6">
        <f>+N74*$S74</f>
        <v>436559.50243742706</v>
      </c>
      <c r="AB74" s="6">
        <f>+O74*$S74</f>
        <v>436559.50243742706</v>
      </c>
      <c r="AC74" s="6">
        <f>+P74*$S74</f>
        <v>436559.50243742706</v>
      </c>
      <c r="AD74" s="6">
        <f>+Q74*$S74</f>
        <v>582079.33658323612</v>
      </c>
      <c r="AE74" s="6">
        <f>+R74*$S74</f>
        <v>727599.17072904517</v>
      </c>
    </row>
    <row r="75" spans="5:31" ht="14.25" customHeight="1" x14ac:dyDescent="0.35">
      <c r="E75" s="1" t="s">
        <v>468</v>
      </c>
      <c r="F75" s="1"/>
      <c r="G75" s="1">
        <v>0</v>
      </c>
      <c r="H75" s="1">
        <v>0</v>
      </c>
      <c r="I75" s="1">
        <v>1</v>
      </c>
      <c r="J75" s="1">
        <v>1</v>
      </c>
      <c r="K75" s="1">
        <v>2</v>
      </c>
      <c r="L75" s="1">
        <v>2</v>
      </c>
      <c r="M75" s="1">
        <v>3</v>
      </c>
      <c r="N75" s="1">
        <v>3</v>
      </c>
      <c r="O75" s="1">
        <v>4</v>
      </c>
      <c r="P75" s="1">
        <v>5</v>
      </c>
      <c r="Q75" s="1">
        <v>4</v>
      </c>
      <c r="R75" s="1">
        <v>5</v>
      </c>
      <c r="S75" s="1">
        <v>92348.217178924649</v>
      </c>
      <c r="T75" s="6">
        <f>+G75*$S75</f>
        <v>0</v>
      </c>
      <c r="U75" s="6">
        <f>+H75*$S75</f>
        <v>0</v>
      </c>
      <c r="V75" s="6">
        <f>+I75*$S75</f>
        <v>92348.217178924649</v>
      </c>
      <c r="W75" s="6">
        <f>+J75*$S75</f>
        <v>92348.217178924649</v>
      </c>
      <c r="X75" s="6">
        <f>+K75*$S75</f>
        <v>184696.4343578493</v>
      </c>
      <c r="Y75" s="6">
        <f>+L75*$S75</f>
        <v>184696.4343578493</v>
      </c>
      <c r="Z75" s="6">
        <f>+M75*$S75</f>
        <v>277044.65153677395</v>
      </c>
      <c r="AA75" s="6">
        <f>+N75*$S75</f>
        <v>277044.65153677395</v>
      </c>
      <c r="AB75" s="6">
        <f>+O75*$S75</f>
        <v>369392.8687156986</v>
      </c>
      <c r="AC75" s="6">
        <f>+P75*$S75</f>
        <v>461741.08589462325</v>
      </c>
      <c r="AD75" s="6">
        <f>+Q75*$S75</f>
        <v>369392.8687156986</v>
      </c>
      <c r="AE75" s="6">
        <f>+R75*$S75</f>
        <v>461741.08589462325</v>
      </c>
    </row>
    <row r="76" spans="5:31" ht="14.25" customHeight="1" x14ac:dyDescent="0.35">
      <c r="E76" s="1" t="s">
        <v>469</v>
      </c>
      <c r="F76" s="1"/>
      <c r="G76" s="1">
        <v>0</v>
      </c>
      <c r="H76" s="1">
        <v>0</v>
      </c>
      <c r="I76" s="1">
        <v>0</v>
      </c>
      <c r="J76" s="1">
        <v>0</v>
      </c>
      <c r="K76" s="1">
        <v>0</v>
      </c>
      <c r="L76" s="1">
        <v>0</v>
      </c>
      <c r="M76" s="1">
        <v>0</v>
      </c>
      <c r="N76" s="1">
        <v>0</v>
      </c>
      <c r="O76" s="1">
        <v>0</v>
      </c>
      <c r="P76" s="1">
        <v>0</v>
      </c>
      <c r="Q76" s="1">
        <v>0</v>
      </c>
      <c r="R76" s="1">
        <v>0</v>
      </c>
      <c r="S76" s="1">
        <v>0</v>
      </c>
      <c r="T76" s="6">
        <f>+G76*$S76</f>
        <v>0</v>
      </c>
      <c r="U76" s="6">
        <f>+H76*$S76</f>
        <v>0</v>
      </c>
      <c r="V76" s="6">
        <f>+I76*$S76</f>
        <v>0</v>
      </c>
      <c r="W76" s="6">
        <f>+J76*$S76</f>
        <v>0</v>
      </c>
      <c r="X76" s="6">
        <f>+K76*$S76</f>
        <v>0</v>
      </c>
      <c r="Y76" s="6">
        <f>+L76*$S76</f>
        <v>0</v>
      </c>
      <c r="Z76" s="6">
        <f>+M76*$S76</f>
        <v>0</v>
      </c>
      <c r="AA76" s="6">
        <f>+N76*$S76</f>
        <v>0</v>
      </c>
      <c r="AB76" s="6">
        <f>+O76*$S76</f>
        <v>0</v>
      </c>
      <c r="AC76" s="6">
        <f>+P76*$S76</f>
        <v>0</v>
      </c>
      <c r="AD76" s="6">
        <f>+Q76*$S76</f>
        <v>0</v>
      </c>
      <c r="AE76" s="6">
        <f>+R76*$S76</f>
        <v>0</v>
      </c>
    </row>
    <row r="77" spans="5:31" ht="14.25" customHeight="1" x14ac:dyDescent="0.35">
      <c r="E77" s="1" t="s">
        <v>470</v>
      </c>
      <c r="F77" s="1"/>
      <c r="G77" s="1">
        <v>0</v>
      </c>
      <c r="H77" s="1">
        <v>0</v>
      </c>
      <c r="I77" s="1">
        <v>0</v>
      </c>
      <c r="J77" s="1">
        <v>0</v>
      </c>
      <c r="K77" s="1">
        <v>1</v>
      </c>
      <c r="L77" s="1">
        <v>1</v>
      </c>
      <c r="M77" s="1">
        <v>1</v>
      </c>
      <c r="N77" s="1">
        <v>1</v>
      </c>
      <c r="O77" s="1">
        <v>1</v>
      </c>
      <c r="P77" s="1">
        <v>1</v>
      </c>
      <c r="Q77" s="1">
        <v>1</v>
      </c>
      <c r="R77" s="1">
        <v>1</v>
      </c>
      <c r="S77" s="1">
        <v>44020.502176569127</v>
      </c>
      <c r="T77" s="6">
        <f>+G77*$S77</f>
        <v>0</v>
      </c>
      <c r="U77" s="6">
        <f>+H77*$S77</f>
        <v>0</v>
      </c>
      <c r="V77" s="6">
        <f>+I77*$S77</f>
        <v>0</v>
      </c>
      <c r="W77" s="6">
        <f>+J77*$S77</f>
        <v>0</v>
      </c>
      <c r="X77" s="6">
        <f>+K77*$S77</f>
        <v>44020.502176569127</v>
      </c>
      <c r="Y77" s="6">
        <f>+L77*$S77</f>
        <v>44020.502176569127</v>
      </c>
      <c r="Z77" s="6">
        <f>+M77*$S77</f>
        <v>44020.502176569127</v>
      </c>
      <c r="AA77" s="6">
        <f>+N77*$S77</f>
        <v>44020.502176569127</v>
      </c>
      <c r="AB77" s="6">
        <f>+O77*$S77</f>
        <v>44020.502176569127</v>
      </c>
      <c r="AC77" s="6">
        <f>+P77*$S77</f>
        <v>44020.502176569127</v>
      </c>
      <c r="AD77" s="6">
        <f>+Q77*$S77</f>
        <v>44020.502176569127</v>
      </c>
      <c r="AE77" s="6">
        <f>+R77*$S77</f>
        <v>44020.502176569127</v>
      </c>
    </row>
    <row r="78" spans="5:31" ht="14.25" customHeight="1" x14ac:dyDescent="0.35">
      <c r="E78" s="1" t="s">
        <v>471</v>
      </c>
      <c r="F78" s="1"/>
      <c r="G78" s="1">
        <v>0</v>
      </c>
      <c r="H78" s="1">
        <v>0</v>
      </c>
      <c r="I78" s="1">
        <v>0</v>
      </c>
      <c r="J78" s="1">
        <v>0</v>
      </c>
      <c r="K78" s="1">
        <v>1</v>
      </c>
      <c r="L78" s="1">
        <v>1</v>
      </c>
      <c r="M78" s="1">
        <v>1</v>
      </c>
      <c r="N78" s="1">
        <v>1</v>
      </c>
      <c r="O78" s="1">
        <v>1</v>
      </c>
      <c r="P78" s="1">
        <v>2</v>
      </c>
      <c r="Q78" s="1">
        <v>2</v>
      </c>
      <c r="R78" s="1">
        <v>2</v>
      </c>
      <c r="S78" s="1">
        <v>46036.704057488059</v>
      </c>
      <c r="T78" s="6">
        <f>+G78*$S78</f>
        <v>0</v>
      </c>
      <c r="U78" s="6">
        <f>+H78*$S78</f>
        <v>0</v>
      </c>
      <c r="V78" s="6">
        <f>+I78*$S78</f>
        <v>0</v>
      </c>
      <c r="W78" s="6">
        <f>+J78*$S78</f>
        <v>0</v>
      </c>
      <c r="X78" s="6">
        <f>+K78*$S78</f>
        <v>46036.704057488059</v>
      </c>
      <c r="Y78" s="6">
        <f>+L78*$S78</f>
        <v>46036.704057488059</v>
      </c>
      <c r="Z78" s="6">
        <f>+M78*$S78</f>
        <v>46036.704057488059</v>
      </c>
      <c r="AA78" s="6">
        <f>+N78*$S78</f>
        <v>46036.704057488059</v>
      </c>
      <c r="AB78" s="6">
        <f>+O78*$S78</f>
        <v>46036.704057488059</v>
      </c>
      <c r="AC78" s="6">
        <f>+P78*$S78</f>
        <v>92073.408114976119</v>
      </c>
      <c r="AD78" s="6">
        <f>+Q78*$S78</f>
        <v>92073.408114976119</v>
      </c>
      <c r="AE78" s="6">
        <f>+R78*$S78</f>
        <v>92073.408114976119</v>
      </c>
    </row>
    <row r="79" spans="5:31" ht="14.25" customHeight="1" x14ac:dyDescent="0.35">
      <c r="E79" s="1" t="s">
        <v>472</v>
      </c>
      <c r="F79" s="1"/>
      <c r="G79" s="1">
        <v>0</v>
      </c>
      <c r="H79" s="1">
        <v>0</v>
      </c>
      <c r="I79" s="1">
        <v>0</v>
      </c>
      <c r="J79" s="1">
        <v>1</v>
      </c>
      <c r="K79" s="1">
        <v>1</v>
      </c>
      <c r="L79" s="1">
        <v>1</v>
      </c>
      <c r="M79" s="1">
        <v>1</v>
      </c>
      <c r="N79" s="1">
        <v>2</v>
      </c>
      <c r="O79" s="1">
        <v>2</v>
      </c>
      <c r="P79" s="1">
        <v>2</v>
      </c>
      <c r="Q79" s="1">
        <v>2</v>
      </c>
      <c r="R79" s="1">
        <v>2</v>
      </c>
      <c r="S79" s="1">
        <v>307760.22068493144</v>
      </c>
      <c r="T79" s="6">
        <f>+G79*$S79</f>
        <v>0</v>
      </c>
      <c r="U79" s="6">
        <f>+H79*$S79</f>
        <v>0</v>
      </c>
      <c r="V79" s="6">
        <f>+I79*$S79</f>
        <v>0</v>
      </c>
      <c r="W79" s="6">
        <f>+J79*$S79</f>
        <v>307760.22068493144</v>
      </c>
      <c r="X79" s="6">
        <f>+K79*$S79</f>
        <v>307760.22068493144</v>
      </c>
      <c r="Y79" s="6">
        <f>+L79*$S79</f>
        <v>307760.22068493144</v>
      </c>
      <c r="Z79" s="6">
        <f>+M79*$S79</f>
        <v>307760.22068493144</v>
      </c>
      <c r="AA79" s="6">
        <f>+N79*$S79</f>
        <v>615520.44136986288</v>
      </c>
      <c r="AB79" s="6">
        <f>+O79*$S79</f>
        <v>615520.44136986288</v>
      </c>
      <c r="AC79" s="6">
        <f>+P79*$S79</f>
        <v>615520.44136986288</v>
      </c>
      <c r="AD79" s="6">
        <f>+Q79*$S79</f>
        <v>615520.44136986288</v>
      </c>
      <c r="AE79" s="6">
        <f>+R79*$S79</f>
        <v>615520.44136986288</v>
      </c>
    </row>
    <row r="80" spans="5:31" ht="14.25" customHeight="1" x14ac:dyDescent="0.35">
      <c r="E80" s="1" t="s">
        <v>473</v>
      </c>
      <c r="F80" s="1"/>
      <c r="G80" s="1">
        <v>0</v>
      </c>
      <c r="H80" s="1">
        <v>0</v>
      </c>
      <c r="I80" s="1">
        <v>0</v>
      </c>
      <c r="J80" s="1">
        <v>0</v>
      </c>
      <c r="K80" s="1">
        <v>0</v>
      </c>
      <c r="L80" s="1">
        <v>0</v>
      </c>
      <c r="M80" s="1">
        <v>0</v>
      </c>
      <c r="N80" s="1">
        <v>0</v>
      </c>
      <c r="O80" s="1">
        <v>0</v>
      </c>
      <c r="P80" s="1">
        <v>0</v>
      </c>
      <c r="Q80" s="1">
        <v>0</v>
      </c>
      <c r="R80" s="1">
        <v>0</v>
      </c>
      <c r="S80" s="1">
        <v>3367.9562500000002</v>
      </c>
      <c r="T80" s="6">
        <f>+G80*$S80</f>
        <v>0</v>
      </c>
      <c r="U80" s="6">
        <f>+H80*$S80</f>
        <v>0</v>
      </c>
      <c r="V80" s="6">
        <f>+I80*$S80</f>
        <v>0</v>
      </c>
      <c r="W80" s="6">
        <f>+J80*$S80</f>
        <v>0</v>
      </c>
      <c r="X80" s="6">
        <f>+K80*$S80</f>
        <v>0</v>
      </c>
      <c r="Y80" s="6">
        <f>+L80*$S80</f>
        <v>0</v>
      </c>
      <c r="Z80" s="6">
        <f>+M80*$S80</f>
        <v>0</v>
      </c>
      <c r="AA80" s="6">
        <f>+N80*$S80</f>
        <v>0</v>
      </c>
      <c r="AB80" s="6">
        <f>+O80*$S80</f>
        <v>0</v>
      </c>
      <c r="AC80" s="6">
        <f>+P80*$S80</f>
        <v>0</v>
      </c>
      <c r="AD80" s="6">
        <f>+Q80*$S80</f>
        <v>0</v>
      </c>
      <c r="AE80" s="6">
        <f>+R80*$S80</f>
        <v>0</v>
      </c>
    </row>
    <row r="81" spans="5:31" ht="14.25" customHeight="1" x14ac:dyDescent="0.35">
      <c r="E81" s="1" t="s">
        <v>474</v>
      </c>
      <c r="F81" s="1"/>
      <c r="G81" s="1">
        <v>0</v>
      </c>
      <c r="H81" s="1">
        <v>0</v>
      </c>
      <c r="I81" s="1">
        <v>1</v>
      </c>
      <c r="J81" s="1">
        <v>1</v>
      </c>
      <c r="K81" s="1">
        <v>1</v>
      </c>
      <c r="L81" s="1">
        <v>2</v>
      </c>
      <c r="M81" s="1">
        <v>2</v>
      </c>
      <c r="N81" s="1">
        <v>3</v>
      </c>
      <c r="O81" s="1">
        <v>3</v>
      </c>
      <c r="P81" s="1">
        <v>4</v>
      </c>
      <c r="Q81" s="1">
        <v>4</v>
      </c>
      <c r="R81" s="1">
        <v>4</v>
      </c>
      <c r="S81" s="1">
        <v>54853.65590038315</v>
      </c>
      <c r="T81" s="6">
        <f>+G81*$S81</f>
        <v>0</v>
      </c>
      <c r="U81" s="6">
        <f>+H81*$S81</f>
        <v>0</v>
      </c>
      <c r="V81" s="6">
        <f>+I81*$S81</f>
        <v>54853.65590038315</v>
      </c>
      <c r="W81" s="6">
        <f>+J81*$S81</f>
        <v>54853.65590038315</v>
      </c>
      <c r="X81" s="6">
        <f>+K81*$S81</f>
        <v>54853.65590038315</v>
      </c>
      <c r="Y81" s="6">
        <f>+L81*$S81</f>
        <v>109707.3118007663</v>
      </c>
      <c r="Z81" s="6">
        <f>+M81*$S81</f>
        <v>109707.3118007663</v>
      </c>
      <c r="AA81" s="6">
        <f>+N81*$S81</f>
        <v>164560.96770114946</v>
      </c>
      <c r="AB81" s="6">
        <f>+O81*$S81</f>
        <v>164560.96770114946</v>
      </c>
      <c r="AC81" s="6">
        <f>+P81*$S81</f>
        <v>219414.6236015326</v>
      </c>
      <c r="AD81" s="6">
        <f>+Q81*$S81</f>
        <v>219414.6236015326</v>
      </c>
      <c r="AE81" s="6">
        <f>+R81*$S81</f>
        <v>219414.6236015326</v>
      </c>
    </row>
    <row r="82" spans="5:31" ht="14.25" customHeight="1" x14ac:dyDescent="0.35">
      <c r="E82" s="1" t="s">
        <v>475</v>
      </c>
      <c r="F82" s="1"/>
      <c r="G82" s="1">
        <v>0</v>
      </c>
      <c r="H82" s="1">
        <v>0</v>
      </c>
      <c r="I82" s="1">
        <v>0</v>
      </c>
      <c r="J82" s="1">
        <v>0</v>
      </c>
      <c r="K82" s="1">
        <v>0</v>
      </c>
      <c r="L82" s="1">
        <v>0</v>
      </c>
      <c r="M82" s="1">
        <v>0</v>
      </c>
      <c r="N82" s="1">
        <v>0</v>
      </c>
      <c r="O82" s="1">
        <v>0</v>
      </c>
      <c r="P82" s="1">
        <v>0</v>
      </c>
      <c r="Q82" s="1">
        <v>0</v>
      </c>
      <c r="R82" s="1">
        <v>0</v>
      </c>
      <c r="S82" s="1">
        <v>103057.2884</v>
      </c>
      <c r="T82" s="6">
        <f>+G82*$S82</f>
        <v>0</v>
      </c>
      <c r="U82" s="6">
        <f>+H82*$S82</f>
        <v>0</v>
      </c>
      <c r="V82" s="6">
        <f>+I82*$S82</f>
        <v>0</v>
      </c>
      <c r="W82" s="6">
        <f>+J82*$S82</f>
        <v>0</v>
      </c>
      <c r="X82" s="6">
        <f>+K82*$S82</f>
        <v>0</v>
      </c>
      <c r="Y82" s="6">
        <f>+L82*$S82</f>
        <v>0</v>
      </c>
      <c r="Z82" s="6">
        <f>+M82*$S82</f>
        <v>0</v>
      </c>
      <c r="AA82" s="6">
        <f>+N82*$S82</f>
        <v>0</v>
      </c>
      <c r="AB82" s="6">
        <f>+O82*$S82</f>
        <v>0</v>
      </c>
      <c r="AC82" s="6">
        <f>+P82*$S82</f>
        <v>0</v>
      </c>
      <c r="AD82" s="6">
        <f>+Q82*$S82</f>
        <v>0</v>
      </c>
      <c r="AE82" s="6">
        <f>+R82*$S82</f>
        <v>0</v>
      </c>
    </row>
    <row r="83" spans="5:31" ht="14.25" customHeight="1" x14ac:dyDescent="0.35">
      <c r="E83" s="1" t="s">
        <v>476</v>
      </c>
      <c r="F83" s="1"/>
      <c r="G83" s="1">
        <v>0</v>
      </c>
      <c r="H83" s="1">
        <v>0</v>
      </c>
      <c r="I83" s="1">
        <v>0</v>
      </c>
      <c r="J83" s="1">
        <v>0</v>
      </c>
      <c r="K83" s="1">
        <v>0</v>
      </c>
      <c r="L83" s="1">
        <v>0</v>
      </c>
      <c r="M83" s="1">
        <v>0</v>
      </c>
      <c r="N83" s="1">
        <v>0</v>
      </c>
      <c r="O83" s="1">
        <v>0</v>
      </c>
      <c r="P83" s="1">
        <v>0</v>
      </c>
      <c r="Q83" s="1">
        <v>0</v>
      </c>
      <c r="R83" s="1">
        <v>0</v>
      </c>
      <c r="S83" s="1">
        <v>0</v>
      </c>
      <c r="T83" s="6">
        <f>+G83*$S83</f>
        <v>0</v>
      </c>
      <c r="U83" s="6">
        <f>+H83*$S83</f>
        <v>0</v>
      </c>
      <c r="V83" s="6">
        <f>+I83*$S83</f>
        <v>0</v>
      </c>
      <c r="W83" s="6">
        <f>+J83*$S83</f>
        <v>0</v>
      </c>
      <c r="X83" s="6">
        <f>+K83*$S83</f>
        <v>0</v>
      </c>
      <c r="Y83" s="6">
        <f>+L83*$S83</f>
        <v>0</v>
      </c>
      <c r="Z83" s="6">
        <f>+M83*$S83</f>
        <v>0</v>
      </c>
      <c r="AA83" s="6">
        <f>+N83*$S83</f>
        <v>0</v>
      </c>
      <c r="AB83" s="6">
        <f>+O83*$S83</f>
        <v>0</v>
      </c>
      <c r="AC83" s="6">
        <f>+P83*$S83</f>
        <v>0</v>
      </c>
      <c r="AD83" s="6">
        <f>+Q83*$S83</f>
        <v>0</v>
      </c>
      <c r="AE83" s="6">
        <f>+R83*$S83</f>
        <v>0</v>
      </c>
    </row>
    <row r="84" spans="5:31" ht="14.25" customHeight="1" x14ac:dyDescent="0.35">
      <c r="E84" s="1" t="s">
        <v>477</v>
      </c>
      <c r="F84" s="1"/>
      <c r="G84" s="1">
        <v>0</v>
      </c>
      <c r="H84" s="1">
        <v>0</v>
      </c>
      <c r="I84" s="1">
        <v>0</v>
      </c>
      <c r="J84" s="1">
        <v>0</v>
      </c>
      <c r="K84" s="1">
        <v>0</v>
      </c>
      <c r="L84" s="1">
        <v>0</v>
      </c>
      <c r="M84" s="1">
        <v>0</v>
      </c>
      <c r="N84" s="1">
        <v>0</v>
      </c>
      <c r="O84" s="1">
        <v>0</v>
      </c>
      <c r="P84" s="1">
        <v>0</v>
      </c>
      <c r="Q84" s="1">
        <v>0</v>
      </c>
      <c r="R84" s="1">
        <v>0</v>
      </c>
      <c r="S84" s="1">
        <v>93241.176250000004</v>
      </c>
      <c r="T84" s="6">
        <f>+G84*$S84</f>
        <v>0</v>
      </c>
      <c r="U84" s="6">
        <f>+H84*$S84</f>
        <v>0</v>
      </c>
      <c r="V84" s="6">
        <f>+I84*$S84</f>
        <v>0</v>
      </c>
      <c r="W84" s="6">
        <f>+J84*$S84</f>
        <v>0</v>
      </c>
      <c r="X84" s="6">
        <f>+K84*$S84</f>
        <v>0</v>
      </c>
      <c r="Y84" s="6">
        <f>+L84*$S84</f>
        <v>0</v>
      </c>
      <c r="Z84" s="6">
        <f>+M84*$S84</f>
        <v>0</v>
      </c>
      <c r="AA84" s="6">
        <f>+N84*$S84</f>
        <v>0</v>
      </c>
      <c r="AB84" s="6">
        <f>+O84*$S84</f>
        <v>0</v>
      </c>
      <c r="AC84" s="6">
        <f>+P84*$S84</f>
        <v>0</v>
      </c>
      <c r="AD84" s="6">
        <f>+Q84*$S84</f>
        <v>0</v>
      </c>
      <c r="AE84" s="6">
        <f>+R84*$S84</f>
        <v>0</v>
      </c>
    </row>
    <row r="85" spans="5:31" ht="14.25" customHeight="1" x14ac:dyDescent="0.35">
      <c r="E85" s="1" t="s">
        <v>478</v>
      </c>
      <c r="F85" s="1"/>
      <c r="G85" s="1">
        <v>0</v>
      </c>
      <c r="H85" s="1">
        <v>0</v>
      </c>
      <c r="I85" s="1">
        <v>0</v>
      </c>
      <c r="J85" s="1">
        <v>0</v>
      </c>
      <c r="K85" s="1">
        <v>0</v>
      </c>
      <c r="L85" s="1">
        <v>0</v>
      </c>
      <c r="M85" s="1">
        <v>0</v>
      </c>
      <c r="N85" s="1">
        <v>1</v>
      </c>
      <c r="O85" s="1">
        <v>1</v>
      </c>
      <c r="P85" s="1">
        <v>1</v>
      </c>
      <c r="Q85" s="1">
        <v>1</v>
      </c>
      <c r="R85" s="1">
        <v>1</v>
      </c>
      <c r="S85" s="1">
        <v>43758.33570073219</v>
      </c>
      <c r="T85" s="6">
        <f>+G85*$S85</f>
        <v>0</v>
      </c>
      <c r="U85" s="6">
        <f>+H85*$S85</f>
        <v>0</v>
      </c>
      <c r="V85" s="6">
        <f>+I85*$S85</f>
        <v>0</v>
      </c>
      <c r="W85" s="6">
        <f>+J85*$S85</f>
        <v>0</v>
      </c>
      <c r="X85" s="6">
        <f>+K85*$S85</f>
        <v>0</v>
      </c>
      <c r="Y85" s="6">
        <f>+L85*$S85</f>
        <v>0</v>
      </c>
      <c r="Z85" s="6">
        <f>+M85*$S85</f>
        <v>0</v>
      </c>
      <c r="AA85" s="6">
        <f>+N85*$S85</f>
        <v>43758.33570073219</v>
      </c>
      <c r="AB85" s="6">
        <f>+O85*$S85</f>
        <v>43758.33570073219</v>
      </c>
      <c r="AC85" s="6">
        <f>+P85*$S85</f>
        <v>43758.33570073219</v>
      </c>
      <c r="AD85" s="6">
        <f>+Q85*$S85</f>
        <v>43758.33570073219</v>
      </c>
      <c r="AE85" s="6">
        <f>+R85*$S85</f>
        <v>43758.33570073219</v>
      </c>
    </row>
    <row r="86" spans="5:31" ht="14.25" customHeight="1" x14ac:dyDescent="0.35">
      <c r="E86" s="1" t="s">
        <v>479</v>
      </c>
      <c r="F86" s="1"/>
      <c r="G86" s="1">
        <v>0</v>
      </c>
      <c r="H86" s="1">
        <v>0</v>
      </c>
      <c r="I86" s="1">
        <v>0</v>
      </c>
      <c r="J86" s="1">
        <v>0</v>
      </c>
      <c r="K86" s="1">
        <v>0</v>
      </c>
      <c r="L86" s="1">
        <v>0</v>
      </c>
      <c r="M86" s="1">
        <v>0</v>
      </c>
      <c r="N86" s="1">
        <v>0</v>
      </c>
      <c r="O86" s="1">
        <v>0</v>
      </c>
      <c r="P86" s="1">
        <v>0</v>
      </c>
      <c r="Q86" s="1">
        <v>0</v>
      </c>
      <c r="R86" s="1">
        <v>0</v>
      </c>
      <c r="S86" s="1">
        <v>139587.64142857143</v>
      </c>
      <c r="T86" s="6">
        <f>+G86*$S86</f>
        <v>0</v>
      </c>
      <c r="U86" s="6">
        <f>+H86*$S86</f>
        <v>0</v>
      </c>
      <c r="V86" s="6">
        <f>+I86*$S86</f>
        <v>0</v>
      </c>
      <c r="W86" s="6">
        <f>+J86*$S86</f>
        <v>0</v>
      </c>
      <c r="X86" s="6">
        <f>+K86*$S86</f>
        <v>0</v>
      </c>
      <c r="Y86" s="6">
        <f>+L86*$S86</f>
        <v>0</v>
      </c>
      <c r="Z86" s="6">
        <f>+M86*$S86</f>
        <v>0</v>
      </c>
      <c r="AA86" s="6">
        <f>+N86*$S86</f>
        <v>0</v>
      </c>
      <c r="AB86" s="6">
        <f>+O86*$S86</f>
        <v>0</v>
      </c>
      <c r="AC86" s="6">
        <f>+P86*$S86</f>
        <v>0</v>
      </c>
      <c r="AD86" s="6">
        <f>+Q86*$S86</f>
        <v>0</v>
      </c>
      <c r="AE86" s="6">
        <f>+R86*$S86</f>
        <v>0</v>
      </c>
    </row>
    <row r="87" spans="5:31" ht="14.25" customHeight="1" x14ac:dyDescent="0.35">
      <c r="E87" s="1" t="s">
        <v>480</v>
      </c>
      <c r="F87" s="1"/>
      <c r="G87" s="1">
        <v>0</v>
      </c>
      <c r="H87" s="1">
        <v>0</v>
      </c>
      <c r="I87" s="1">
        <v>0</v>
      </c>
      <c r="J87" s="1">
        <v>0</v>
      </c>
      <c r="K87" s="1">
        <v>0</v>
      </c>
      <c r="L87" s="1">
        <v>0</v>
      </c>
      <c r="M87" s="1">
        <v>0</v>
      </c>
      <c r="N87" s="1">
        <v>0</v>
      </c>
      <c r="O87" s="1">
        <v>0</v>
      </c>
      <c r="P87" s="1">
        <v>0</v>
      </c>
      <c r="Q87" s="1">
        <v>0</v>
      </c>
      <c r="R87" s="1">
        <v>0</v>
      </c>
      <c r="S87" s="1">
        <v>152178.70749999999</v>
      </c>
      <c r="T87" s="6">
        <f>+G87*$S87</f>
        <v>0</v>
      </c>
      <c r="U87" s="6">
        <f>+H87*$S87</f>
        <v>0</v>
      </c>
      <c r="V87" s="6">
        <f>+I87*$S87</f>
        <v>0</v>
      </c>
      <c r="W87" s="6">
        <f>+J87*$S87</f>
        <v>0</v>
      </c>
      <c r="X87" s="6">
        <f>+K87*$S87</f>
        <v>0</v>
      </c>
      <c r="Y87" s="6">
        <f>+L87*$S87</f>
        <v>0</v>
      </c>
      <c r="Z87" s="6">
        <f>+M87*$S87</f>
        <v>0</v>
      </c>
      <c r="AA87" s="6">
        <f>+N87*$S87</f>
        <v>0</v>
      </c>
      <c r="AB87" s="6">
        <f>+O87*$S87</f>
        <v>0</v>
      </c>
      <c r="AC87" s="6">
        <f>+P87*$S87</f>
        <v>0</v>
      </c>
      <c r="AD87" s="6">
        <f>+Q87*$S87</f>
        <v>0</v>
      </c>
      <c r="AE87" s="6">
        <f>+R87*$S87</f>
        <v>0</v>
      </c>
    </row>
    <row r="88" spans="5:31" ht="14.25" customHeight="1" x14ac:dyDescent="0.35">
      <c r="E88" s="1" t="s">
        <v>481</v>
      </c>
      <c r="F88" s="1"/>
      <c r="G88" s="1">
        <v>0</v>
      </c>
      <c r="H88" s="1">
        <v>0</v>
      </c>
      <c r="I88" s="1">
        <v>0</v>
      </c>
      <c r="J88" s="1">
        <v>0</v>
      </c>
      <c r="K88" s="1">
        <v>0</v>
      </c>
      <c r="L88" s="1">
        <v>0</v>
      </c>
      <c r="M88" s="1">
        <v>0</v>
      </c>
      <c r="N88" s="1">
        <v>0</v>
      </c>
      <c r="O88" s="1">
        <v>0</v>
      </c>
      <c r="P88" s="1">
        <v>0</v>
      </c>
      <c r="Q88" s="1">
        <v>0</v>
      </c>
      <c r="R88" s="1">
        <v>0</v>
      </c>
      <c r="S88" s="1">
        <v>0</v>
      </c>
      <c r="T88" s="6">
        <f>+G88*$S88</f>
        <v>0</v>
      </c>
      <c r="U88" s="6">
        <f>+H88*$S88</f>
        <v>0</v>
      </c>
      <c r="V88" s="6">
        <f>+I88*$S88</f>
        <v>0</v>
      </c>
      <c r="W88" s="6">
        <f>+J88*$S88</f>
        <v>0</v>
      </c>
      <c r="X88" s="6">
        <f>+K88*$S88</f>
        <v>0</v>
      </c>
      <c r="Y88" s="6">
        <f>+L88*$S88</f>
        <v>0</v>
      </c>
      <c r="Z88" s="6">
        <f>+M88*$S88</f>
        <v>0</v>
      </c>
      <c r="AA88" s="6">
        <f>+N88*$S88</f>
        <v>0</v>
      </c>
      <c r="AB88" s="6">
        <f>+O88*$S88</f>
        <v>0</v>
      </c>
      <c r="AC88" s="6">
        <f>+P88*$S88</f>
        <v>0</v>
      </c>
      <c r="AD88" s="6">
        <f>+Q88*$S88</f>
        <v>0</v>
      </c>
      <c r="AE88" s="6">
        <f>+R88*$S88</f>
        <v>0</v>
      </c>
    </row>
    <row r="89" spans="5:31" ht="14.25" customHeight="1" x14ac:dyDescent="0.35">
      <c r="E89" s="1" t="s">
        <v>482</v>
      </c>
      <c r="F89" s="1"/>
      <c r="G89" s="1">
        <v>0</v>
      </c>
      <c r="H89" s="1">
        <v>0</v>
      </c>
      <c r="I89" s="1">
        <v>0</v>
      </c>
      <c r="J89" s="1">
        <v>0</v>
      </c>
      <c r="K89" s="1">
        <v>0</v>
      </c>
      <c r="L89" s="1">
        <v>0</v>
      </c>
      <c r="M89" s="1">
        <v>0</v>
      </c>
      <c r="N89" s="1">
        <v>0</v>
      </c>
      <c r="O89" s="1">
        <v>0</v>
      </c>
      <c r="P89" s="1">
        <v>0</v>
      </c>
      <c r="Q89" s="1">
        <v>0</v>
      </c>
      <c r="R89" s="1">
        <v>0</v>
      </c>
      <c r="S89" s="1">
        <v>0</v>
      </c>
      <c r="T89" s="6">
        <f>+G89*$S89</f>
        <v>0</v>
      </c>
      <c r="U89" s="6">
        <f>+H89*$S89</f>
        <v>0</v>
      </c>
      <c r="V89" s="6">
        <f>+I89*$S89</f>
        <v>0</v>
      </c>
      <c r="W89" s="6">
        <f>+J89*$S89</f>
        <v>0</v>
      </c>
      <c r="X89" s="6">
        <f>+K89*$S89</f>
        <v>0</v>
      </c>
      <c r="Y89" s="6">
        <f>+L89*$S89</f>
        <v>0</v>
      </c>
      <c r="Z89" s="6">
        <f>+M89*$S89</f>
        <v>0</v>
      </c>
      <c r="AA89" s="6">
        <f>+N89*$S89</f>
        <v>0</v>
      </c>
      <c r="AB89" s="6">
        <f>+O89*$S89</f>
        <v>0</v>
      </c>
      <c r="AC89" s="6">
        <f>+P89*$S89</f>
        <v>0</v>
      </c>
      <c r="AD89" s="6">
        <f>+Q89*$S89</f>
        <v>0</v>
      </c>
      <c r="AE89" s="6">
        <f>+R89*$S89</f>
        <v>0</v>
      </c>
    </row>
    <row r="90" spans="5:31" ht="14.25" customHeight="1" x14ac:dyDescent="0.35">
      <c r="T90" s="6">
        <f>+G90*$S90</f>
        <v>0</v>
      </c>
      <c r="U90" s="6">
        <f>+H90*$S90</f>
        <v>0</v>
      </c>
      <c r="V90" s="6">
        <f>+I90*$S90</f>
        <v>0</v>
      </c>
      <c r="W90" s="6">
        <f>+J90*$S90</f>
        <v>0</v>
      </c>
      <c r="X90" s="6">
        <f>+K90*$S90</f>
        <v>0</v>
      </c>
      <c r="Y90" s="6">
        <f>+L90*$S90</f>
        <v>0</v>
      </c>
      <c r="Z90" s="6">
        <f>+M90*$S90</f>
        <v>0</v>
      </c>
      <c r="AA90" s="6">
        <f>+N90*$S90</f>
        <v>0</v>
      </c>
      <c r="AB90" s="6">
        <f>+O90*$S90</f>
        <v>0</v>
      </c>
      <c r="AC90" s="6">
        <f>+P90*$S90</f>
        <v>0</v>
      </c>
      <c r="AD90" s="6">
        <f>+Q90*$S90</f>
        <v>0</v>
      </c>
      <c r="AE90" s="6">
        <f>+R90*$S90</f>
        <v>0</v>
      </c>
    </row>
    <row r="91" spans="5:31" ht="14.25" customHeight="1" x14ac:dyDescent="0.35">
      <c r="E91" s="1" t="s">
        <v>483</v>
      </c>
      <c r="F91" s="1"/>
      <c r="G91" s="1">
        <v>0</v>
      </c>
      <c r="H91" s="1">
        <v>1</v>
      </c>
      <c r="I91" s="1">
        <v>2</v>
      </c>
      <c r="J91" s="1">
        <v>3</v>
      </c>
      <c r="K91" s="1">
        <v>4</v>
      </c>
      <c r="L91" s="1">
        <v>5</v>
      </c>
      <c r="M91" s="1">
        <v>7</v>
      </c>
      <c r="N91" s="1">
        <v>7</v>
      </c>
      <c r="O91" s="1">
        <v>9</v>
      </c>
      <c r="P91" s="1">
        <v>10</v>
      </c>
      <c r="Q91" s="1">
        <v>10</v>
      </c>
      <c r="R91" s="1">
        <v>12</v>
      </c>
      <c r="S91" s="1">
        <v>233914.60595758641</v>
      </c>
      <c r="T91" s="6">
        <f>+G91*$S91</f>
        <v>0</v>
      </c>
      <c r="U91" s="6">
        <f>+H91*$S91</f>
        <v>233914.60595758641</v>
      </c>
      <c r="V91" s="6">
        <f>+I91*$S91</f>
        <v>467829.21191517281</v>
      </c>
      <c r="W91" s="6">
        <f>+J91*$S91</f>
        <v>701743.81787275919</v>
      </c>
      <c r="X91" s="6">
        <f>+K91*$S91</f>
        <v>935658.42383034562</v>
      </c>
      <c r="Y91" s="6">
        <f>+L91*$S91</f>
        <v>1169573.0297879321</v>
      </c>
      <c r="Z91" s="6">
        <f>+M91*$S91</f>
        <v>1637402.2417031049</v>
      </c>
      <c r="AA91" s="6">
        <f>+N91*$S91</f>
        <v>1637402.2417031049</v>
      </c>
      <c r="AB91" s="6">
        <f>+O91*$S91</f>
        <v>2105231.4536182778</v>
      </c>
      <c r="AC91" s="6">
        <f>+P91*$S91</f>
        <v>2339146.0595758641</v>
      </c>
      <c r="AD91" s="6">
        <f>+Q91*$S91</f>
        <v>2339146.0595758641</v>
      </c>
      <c r="AE91" s="6">
        <f>+R91*$S91</f>
        <v>2806975.2714910368</v>
      </c>
    </row>
    <row r="92" spans="5:31" ht="14.25" customHeight="1" x14ac:dyDescent="0.35">
      <c r="E92" s="1" t="s">
        <v>484</v>
      </c>
      <c r="F92" s="1"/>
      <c r="G92" s="1">
        <v>0</v>
      </c>
      <c r="H92" s="1">
        <v>0</v>
      </c>
      <c r="I92" s="1">
        <v>1</v>
      </c>
      <c r="J92" s="1">
        <v>2</v>
      </c>
      <c r="K92" s="1">
        <v>3</v>
      </c>
      <c r="L92" s="1">
        <v>4</v>
      </c>
      <c r="M92" s="1">
        <v>4</v>
      </c>
      <c r="N92" s="1">
        <v>5</v>
      </c>
      <c r="O92" s="1">
        <v>7</v>
      </c>
      <c r="P92" s="1">
        <v>7</v>
      </c>
      <c r="Q92" s="1">
        <v>8</v>
      </c>
      <c r="R92" s="1">
        <v>9</v>
      </c>
      <c r="S92" s="1">
        <v>233914.60595758641</v>
      </c>
      <c r="T92" s="6">
        <f>+G92*$S92</f>
        <v>0</v>
      </c>
      <c r="U92" s="6">
        <f>+H92*$S92</f>
        <v>0</v>
      </c>
      <c r="V92" s="6">
        <f>+I92*$S92</f>
        <v>233914.60595758641</v>
      </c>
      <c r="W92" s="6">
        <f>+J92*$S92</f>
        <v>467829.21191517281</v>
      </c>
      <c r="X92" s="6">
        <f>+K92*$S92</f>
        <v>701743.81787275919</v>
      </c>
      <c r="Y92" s="6">
        <f>+L92*$S92</f>
        <v>935658.42383034562</v>
      </c>
      <c r="Z92" s="6">
        <f>+M92*$S92</f>
        <v>935658.42383034562</v>
      </c>
      <c r="AA92" s="6">
        <f>+N92*$S92</f>
        <v>1169573.0297879321</v>
      </c>
      <c r="AB92" s="6">
        <f>+O92*$S92</f>
        <v>1637402.2417031049</v>
      </c>
      <c r="AC92" s="6">
        <f>+P92*$S92</f>
        <v>1637402.2417031049</v>
      </c>
      <c r="AD92" s="6">
        <f>+Q92*$S92</f>
        <v>1871316.8476606912</v>
      </c>
      <c r="AE92" s="6">
        <f>+R92*$S92</f>
        <v>2105231.4536182778</v>
      </c>
    </row>
    <row r="93" spans="5:31" ht="14.25" customHeight="1" x14ac:dyDescent="0.35">
      <c r="E93" s="1" t="s">
        <v>485</v>
      </c>
      <c r="F93" s="1"/>
      <c r="G93" s="1">
        <v>0</v>
      </c>
      <c r="H93" s="1">
        <v>0</v>
      </c>
      <c r="I93" s="1">
        <v>0</v>
      </c>
      <c r="J93" s="1">
        <v>0</v>
      </c>
      <c r="K93" s="1">
        <v>0</v>
      </c>
      <c r="L93" s="1">
        <v>0</v>
      </c>
      <c r="M93" s="1">
        <v>0</v>
      </c>
      <c r="N93" s="1">
        <v>0</v>
      </c>
      <c r="O93" s="1">
        <v>0</v>
      </c>
      <c r="P93" s="1">
        <v>1</v>
      </c>
      <c r="Q93" s="1">
        <v>1</v>
      </c>
      <c r="R93" s="1">
        <v>1</v>
      </c>
      <c r="S93" s="1">
        <v>233914.60595758641</v>
      </c>
      <c r="T93" s="6">
        <f>+G93*$S93</f>
        <v>0</v>
      </c>
      <c r="U93" s="6">
        <f>+H93*$S93</f>
        <v>0</v>
      </c>
      <c r="V93" s="6">
        <f>+I93*$S93</f>
        <v>0</v>
      </c>
      <c r="W93" s="6">
        <f>+J93*$S93</f>
        <v>0</v>
      </c>
      <c r="X93" s="6">
        <f>+K93*$S93</f>
        <v>0</v>
      </c>
      <c r="Y93" s="6">
        <f>+L93*$S93</f>
        <v>0</v>
      </c>
      <c r="Z93" s="6">
        <f>+M93*$S93</f>
        <v>0</v>
      </c>
      <c r="AA93" s="6">
        <f>+N93*$S93</f>
        <v>0</v>
      </c>
      <c r="AB93" s="6">
        <f>+O93*$S93</f>
        <v>0</v>
      </c>
      <c r="AC93" s="6">
        <f>+P93*$S93</f>
        <v>233914.60595758641</v>
      </c>
      <c r="AD93" s="6">
        <f>+Q93*$S93</f>
        <v>233914.60595758641</v>
      </c>
      <c r="AE93" s="6">
        <f>+R93*$S93</f>
        <v>233914.60595758641</v>
      </c>
    </row>
    <row r="94" spans="5:31" ht="14.25" customHeight="1" x14ac:dyDescent="0.35">
      <c r="E94" s="1" t="s">
        <v>486</v>
      </c>
      <c r="F94" s="1"/>
      <c r="G94" s="1">
        <v>0</v>
      </c>
      <c r="H94" s="1">
        <v>0</v>
      </c>
      <c r="I94" s="1">
        <v>1</v>
      </c>
      <c r="J94" s="1">
        <v>1</v>
      </c>
      <c r="K94" s="1">
        <v>2</v>
      </c>
      <c r="L94" s="1">
        <v>2</v>
      </c>
      <c r="M94" s="1">
        <v>2</v>
      </c>
      <c r="N94" s="1">
        <v>3</v>
      </c>
      <c r="O94" s="1">
        <v>3</v>
      </c>
      <c r="P94" s="1">
        <v>4</v>
      </c>
      <c r="Q94" s="1">
        <v>3</v>
      </c>
      <c r="R94" s="1">
        <v>4</v>
      </c>
      <c r="S94" s="1">
        <v>487489.55805447476</v>
      </c>
      <c r="T94" s="6">
        <f>+G94*$S94</f>
        <v>0</v>
      </c>
      <c r="U94" s="6">
        <f>+H94*$S94</f>
        <v>0</v>
      </c>
      <c r="V94" s="6">
        <f>+I94*$S94</f>
        <v>487489.55805447476</v>
      </c>
      <c r="W94" s="6">
        <f>+J94*$S94</f>
        <v>487489.55805447476</v>
      </c>
      <c r="X94" s="6">
        <f>+K94*$S94</f>
        <v>974979.11610894953</v>
      </c>
      <c r="Y94" s="6">
        <f>+L94*$S94</f>
        <v>974979.11610894953</v>
      </c>
      <c r="Z94" s="6">
        <f>+M94*$S94</f>
        <v>974979.11610894953</v>
      </c>
      <c r="AA94" s="6">
        <f>+N94*$S94</f>
        <v>1462468.6741634244</v>
      </c>
      <c r="AB94" s="6">
        <f>+O94*$S94</f>
        <v>1462468.6741634244</v>
      </c>
      <c r="AC94" s="6">
        <f>+P94*$S94</f>
        <v>1949958.2322178991</v>
      </c>
      <c r="AD94" s="6">
        <f>+Q94*$S94</f>
        <v>1462468.6741634244</v>
      </c>
      <c r="AE94" s="6">
        <f>+R94*$S94</f>
        <v>1949958.2322178991</v>
      </c>
    </row>
    <row r="95" spans="5:31" ht="14.25" customHeight="1" x14ac:dyDescent="0.35">
      <c r="E95" s="1" t="s">
        <v>487</v>
      </c>
      <c r="F95" s="1"/>
      <c r="G95" s="1">
        <v>0</v>
      </c>
      <c r="H95" s="1">
        <v>0</v>
      </c>
      <c r="I95" s="1">
        <v>0</v>
      </c>
      <c r="J95" s="1">
        <v>1</v>
      </c>
      <c r="K95" s="1">
        <v>1</v>
      </c>
      <c r="L95" s="1">
        <v>2</v>
      </c>
      <c r="M95" s="1">
        <v>2</v>
      </c>
      <c r="N95" s="1">
        <v>2</v>
      </c>
      <c r="O95" s="1">
        <v>3</v>
      </c>
      <c r="P95" s="1">
        <v>3</v>
      </c>
      <c r="Q95" s="1">
        <v>3</v>
      </c>
      <c r="R95" s="1">
        <v>4</v>
      </c>
      <c r="S95" s="1">
        <v>98026.099974025972</v>
      </c>
      <c r="T95" s="6">
        <f>+G95*$S95</f>
        <v>0</v>
      </c>
      <c r="U95" s="6">
        <f>+H95*$S95</f>
        <v>0</v>
      </c>
      <c r="V95" s="6">
        <f>+I95*$S95</f>
        <v>0</v>
      </c>
      <c r="W95" s="6">
        <f>+J95*$S95</f>
        <v>98026.099974025972</v>
      </c>
      <c r="X95" s="6">
        <f>+K95*$S95</f>
        <v>98026.099974025972</v>
      </c>
      <c r="Y95" s="6">
        <f>+L95*$S95</f>
        <v>196052.19994805194</v>
      </c>
      <c r="Z95" s="6">
        <f>+M95*$S95</f>
        <v>196052.19994805194</v>
      </c>
      <c r="AA95" s="6">
        <f>+N95*$S95</f>
        <v>196052.19994805194</v>
      </c>
      <c r="AB95" s="6">
        <f>+O95*$S95</f>
        <v>294078.29992207792</v>
      </c>
      <c r="AC95" s="6">
        <f>+P95*$S95</f>
        <v>294078.29992207792</v>
      </c>
      <c r="AD95" s="6">
        <f>+Q95*$S95</f>
        <v>294078.29992207792</v>
      </c>
      <c r="AE95" s="6">
        <f>+R95*$S95</f>
        <v>392104.39989610389</v>
      </c>
    </row>
    <row r="96" spans="5:31" ht="14.25" customHeight="1" x14ac:dyDescent="0.35">
      <c r="E96" s="1" t="s">
        <v>488</v>
      </c>
      <c r="F96" s="1"/>
      <c r="G96" s="1">
        <v>0</v>
      </c>
      <c r="H96" s="1">
        <v>0</v>
      </c>
      <c r="I96" s="1">
        <v>0</v>
      </c>
      <c r="J96" s="1">
        <v>0</v>
      </c>
      <c r="K96" s="1">
        <v>0</v>
      </c>
      <c r="L96" s="1">
        <v>0</v>
      </c>
      <c r="M96" s="1">
        <v>0</v>
      </c>
      <c r="N96" s="1">
        <v>0</v>
      </c>
      <c r="O96" s="1">
        <v>0</v>
      </c>
      <c r="P96" s="1">
        <v>0</v>
      </c>
      <c r="Q96" s="1">
        <v>0</v>
      </c>
      <c r="R96" s="1">
        <v>0</v>
      </c>
      <c r="S96" s="1">
        <v>107905.46502683852</v>
      </c>
      <c r="T96" s="6">
        <f>+G96*$S96</f>
        <v>0</v>
      </c>
      <c r="U96" s="6">
        <f>+H96*$S96</f>
        <v>0</v>
      </c>
      <c r="V96" s="6">
        <f>+I96*$S96</f>
        <v>0</v>
      </c>
      <c r="W96" s="6">
        <f>+J96*$S96</f>
        <v>0</v>
      </c>
      <c r="X96" s="6">
        <f>+K96*$S96</f>
        <v>0</v>
      </c>
      <c r="Y96" s="6">
        <f>+L96*$S96</f>
        <v>0</v>
      </c>
      <c r="Z96" s="6">
        <f>+M96*$S96</f>
        <v>0</v>
      </c>
      <c r="AA96" s="6">
        <f>+N96*$S96</f>
        <v>0</v>
      </c>
      <c r="AB96" s="6">
        <f>+O96*$S96</f>
        <v>0</v>
      </c>
      <c r="AC96" s="6">
        <f>+P96*$S96</f>
        <v>0</v>
      </c>
      <c r="AD96" s="6">
        <f>+Q96*$S96</f>
        <v>0</v>
      </c>
      <c r="AE96" s="6">
        <f>+R96*$S96</f>
        <v>0</v>
      </c>
    </row>
    <row r="97" spans="5:31" ht="14.25" customHeight="1" x14ac:dyDescent="0.35">
      <c r="E97" s="1" t="s">
        <v>489</v>
      </c>
      <c r="F97" s="1"/>
      <c r="G97" s="1">
        <v>0</v>
      </c>
      <c r="H97" s="1">
        <v>0</v>
      </c>
      <c r="I97" s="1">
        <v>0</v>
      </c>
      <c r="J97" s="1">
        <v>0</v>
      </c>
      <c r="K97" s="1">
        <v>0</v>
      </c>
      <c r="L97" s="1">
        <v>0</v>
      </c>
      <c r="M97" s="1">
        <v>1</v>
      </c>
      <c r="N97" s="1">
        <v>2</v>
      </c>
      <c r="O97" s="1">
        <v>2</v>
      </c>
      <c r="P97" s="1">
        <v>3</v>
      </c>
      <c r="Q97" s="1">
        <v>3</v>
      </c>
      <c r="R97" s="1">
        <v>4</v>
      </c>
      <c r="S97" s="1">
        <v>175968.72020823744</v>
      </c>
      <c r="T97" s="6">
        <f>+G97*$S97</f>
        <v>0</v>
      </c>
      <c r="U97" s="6">
        <f>+H97*$S97</f>
        <v>0</v>
      </c>
      <c r="V97" s="6">
        <f>+I97*$S97</f>
        <v>0</v>
      </c>
      <c r="W97" s="6">
        <f>+J97*$S97</f>
        <v>0</v>
      </c>
      <c r="X97" s="6">
        <f>+K97*$S97</f>
        <v>0</v>
      </c>
      <c r="Y97" s="6">
        <f>+L97*$S97</f>
        <v>0</v>
      </c>
      <c r="Z97" s="6">
        <f>+M97*$S97</f>
        <v>175968.72020823744</v>
      </c>
      <c r="AA97" s="6">
        <f>+N97*$S97</f>
        <v>351937.44041647488</v>
      </c>
      <c r="AB97" s="6">
        <f>+O97*$S97</f>
        <v>351937.44041647488</v>
      </c>
      <c r="AC97" s="6">
        <f>+P97*$S97</f>
        <v>527906.16062471236</v>
      </c>
      <c r="AD97" s="6">
        <f>+Q97*$S97</f>
        <v>527906.16062471236</v>
      </c>
      <c r="AE97" s="6">
        <f>+R97*$S97</f>
        <v>703874.88083294977</v>
      </c>
    </row>
    <row r="98" spans="5:31" ht="14.25" customHeight="1" x14ac:dyDescent="0.35">
      <c r="E98" s="1" t="s">
        <v>490</v>
      </c>
      <c r="F98" s="1"/>
      <c r="G98" s="1">
        <v>0</v>
      </c>
      <c r="H98" s="1">
        <v>0</v>
      </c>
      <c r="I98" s="1">
        <v>0</v>
      </c>
      <c r="J98" s="1">
        <v>0</v>
      </c>
      <c r="K98" s="1">
        <v>0</v>
      </c>
      <c r="L98" s="1">
        <v>0</v>
      </c>
      <c r="M98" s="1">
        <v>0</v>
      </c>
      <c r="N98" s="1">
        <v>0</v>
      </c>
      <c r="O98" s="1">
        <v>0</v>
      </c>
      <c r="P98" s="1">
        <v>0</v>
      </c>
      <c r="Q98" s="1">
        <v>0</v>
      </c>
      <c r="R98" s="1">
        <v>4</v>
      </c>
      <c r="S98" s="1">
        <v>33256.565337367196</v>
      </c>
      <c r="T98" s="6">
        <f>+G98*$S98</f>
        <v>0</v>
      </c>
      <c r="U98" s="6">
        <f>+H98*$S98</f>
        <v>0</v>
      </c>
      <c r="V98" s="6">
        <f>+I98*$S98</f>
        <v>0</v>
      </c>
      <c r="W98" s="6">
        <f>+J98*$S98</f>
        <v>0</v>
      </c>
      <c r="X98" s="6">
        <f>+K98*$S98</f>
        <v>0</v>
      </c>
      <c r="Y98" s="6">
        <f>+L98*$S98</f>
        <v>0</v>
      </c>
      <c r="Z98" s="6">
        <f>+M98*$S98</f>
        <v>0</v>
      </c>
      <c r="AA98" s="6">
        <f>+N98*$S98</f>
        <v>0</v>
      </c>
      <c r="AB98" s="6">
        <f>+O98*$S98</f>
        <v>0</v>
      </c>
      <c r="AC98" s="6">
        <f>+P98*$S98</f>
        <v>0</v>
      </c>
      <c r="AD98" s="6">
        <f>+Q98*$S98</f>
        <v>0</v>
      </c>
      <c r="AE98" s="6">
        <f>+R98*$S98</f>
        <v>133026.26134946878</v>
      </c>
    </row>
    <row r="99" spans="5:31" ht="14.25" customHeight="1" x14ac:dyDescent="0.35"/>
    <row r="100" spans="5:31" ht="14.25" customHeight="1" x14ac:dyDescent="0.35"/>
    <row r="101" spans="5:31" ht="14.25" customHeight="1" x14ac:dyDescent="0.35"/>
    <row r="102" spans="5:31" ht="14.25" customHeight="1" x14ac:dyDescent="0.35"/>
    <row r="103" spans="5:31" ht="14.25" customHeight="1" x14ac:dyDescent="0.35"/>
    <row r="104" spans="5:31" ht="14.25" customHeight="1" x14ac:dyDescent="0.35"/>
    <row r="105" spans="5:31" ht="14.25" customHeight="1" x14ac:dyDescent="0.35"/>
    <row r="106" spans="5:31" ht="14.25" customHeight="1" x14ac:dyDescent="0.35"/>
    <row r="107" spans="5:31" ht="14.25" customHeight="1" x14ac:dyDescent="0.35"/>
    <row r="108" spans="5:31" ht="14.25" customHeight="1" x14ac:dyDescent="0.35"/>
    <row r="109" spans="5:31" ht="14.25" customHeight="1" x14ac:dyDescent="0.35"/>
    <row r="110" spans="5:31" ht="14.25" customHeight="1" x14ac:dyDescent="0.35"/>
    <row r="111" spans="5:31" ht="14.25" customHeight="1" x14ac:dyDescent="0.35"/>
    <row r="112" spans="5:31"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000"/>
  <sheetViews>
    <sheetView workbookViewId="0">
      <selection activeCell="B6" sqref="B6"/>
    </sheetView>
  </sheetViews>
  <sheetFormatPr defaultColWidth="14.453125" defaultRowHeight="15" customHeight="1" x14ac:dyDescent="0.35"/>
  <cols>
    <col min="1" max="1" width="22" customWidth="1"/>
    <col min="2" max="2" width="70" customWidth="1"/>
    <col min="3" max="26" width="8.7265625" customWidth="1"/>
  </cols>
  <sheetData>
    <row r="1" spans="1:2" ht="30" customHeight="1" x14ac:dyDescent="0.35">
      <c r="A1" s="160" t="s">
        <v>492</v>
      </c>
      <c r="B1" s="161"/>
    </row>
    <row r="2" spans="1:2" ht="18" customHeight="1" x14ac:dyDescent="0.35">
      <c r="A2" s="162" t="s">
        <v>76</v>
      </c>
      <c r="B2" s="163"/>
    </row>
    <row r="3" spans="1:2" ht="13.5" customHeight="1" x14ac:dyDescent="0.35">
      <c r="A3" s="164" t="s">
        <v>180</v>
      </c>
      <c r="B3" s="163"/>
    </row>
    <row r="4" spans="1:2" ht="72" customHeight="1" x14ac:dyDescent="0.35">
      <c r="A4" s="36" t="s">
        <v>181</v>
      </c>
      <c r="B4" s="37" t="s">
        <v>493</v>
      </c>
    </row>
    <row r="5" spans="1:2" ht="18" customHeight="1" x14ac:dyDescent="0.35">
      <c r="A5" s="38" t="s">
        <v>19</v>
      </c>
      <c r="B5" s="39">
        <v>46143</v>
      </c>
    </row>
    <row r="6" spans="1:2" ht="32" customHeight="1" x14ac:dyDescent="0.35">
      <c r="A6" s="38" t="s">
        <v>183</v>
      </c>
      <c r="B6" s="37" t="s">
        <v>82</v>
      </c>
    </row>
    <row r="7" spans="1:2" ht="18" customHeight="1" x14ac:dyDescent="0.35">
      <c r="A7" s="38" t="s">
        <v>184</v>
      </c>
      <c r="B7" s="37" t="s">
        <v>494</v>
      </c>
    </row>
    <row r="8" spans="1:2" ht="18" customHeight="1" x14ac:dyDescent="0.35"/>
    <row r="9" spans="1:2" ht="13.5" customHeight="1" x14ac:dyDescent="0.35">
      <c r="A9" s="164" t="s">
        <v>186</v>
      </c>
      <c r="B9" s="163"/>
    </row>
    <row r="10" spans="1:2" ht="129.75" customHeight="1" x14ac:dyDescent="0.35">
      <c r="A10" s="165" t="s">
        <v>495</v>
      </c>
      <c r="B10" s="163"/>
    </row>
    <row r="11" spans="1:2" ht="13.5" customHeight="1" x14ac:dyDescent="0.35">
      <c r="A11" s="164" t="s">
        <v>188</v>
      </c>
      <c r="B11" s="163"/>
    </row>
    <row r="12" spans="1:2" ht="18" customHeight="1" x14ac:dyDescent="0.35">
      <c r="A12" s="38" t="s">
        <v>189</v>
      </c>
      <c r="B12" s="40" t="s">
        <v>496</v>
      </c>
    </row>
    <row r="13" spans="1:2" ht="24" customHeight="1" x14ac:dyDescent="0.35">
      <c r="A13" s="38" t="s">
        <v>191</v>
      </c>
      <c r="B13" s="40" t="s">
        <v>497</v>
      </c>
    </row>
    <row r="14" spans="1:2" ht="24" customHeight="1" x14ac:dyDescent="0.35">
      <c r="A14" s="38" t="s">
        <v>193</v>
      </c>
      <c r="B14" s="40" t="s">
        <v>498</v>
      </c>
    </row>
    <row r="15" spans="1:2" ht="18" customHeight="1" x14ac:dyDescent="0.35">
      <c r="A15" s="38" t="s">
        <v>195</v>
      </c>
      <c r="B15" s="40" t="s">
        <v>499</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00"/>
  <sheetViews>
    <sheetView tabSelected="1" workbookViewId="0">
      <selection activeCell="E22" sqref="E22"/>
    </sheetView>
  </sheetViews>
  <sheetFormatPr defaultColWidth="14.453125" defaultRowHeight="15" customHeight="1" x14ac:dyDescent="0.35"/>
  <cols>
    <col min="1" max="1" width="22" customWidth="1"/>
    <col min="2" max="2" width="70" customWidth="1"/>
    <col min="3" max="26" width="8.7265625" customWidth="1"/>
  </cols>
  <sheetData>
    <row r="1" spans="1:2" ht="30" customHeight="1" x14ac:dyDescent="0.35">
      <c r="A1" s="170" t="s">
        <v>500</v>
      </c>
      <c r="B1" s="171"/>
    </row>
    <row r="2" spans="1:2" ht="18" customHeight="1" x14ac:dyDescent="0.35">
      <c r="A2" s="172" t="s">
        <v>76</v>
      </c>
      <c r="B2" s="173"/>
    </row>
    <row r="3" spans="1:2" ht="13.5" customHeight="1" x14ac:dyDescent="0.35">
      <c r="A3" s="174" t="s">
        <v>180</v>
      </c>
      <c r="B3" s="175"/>
    </row>
    <row r="4" spans="1:2" ht="219.75" customHeight="1" x14ac:dyDescent="0.35">
      <c r="A4" s="104" t="s">
        <v>181</v>
      </c>
      <c r="B4" s="37" t="s">
        <v>501</v>
      </c>
    </row>
    <row r="5" spans="1:2" ht="18" customHeight="1" x14ac:dyDescent="0.35">
      <c r="A5" s="105" t="s">
        <v>19</v>
      </c>
      <c r="B5" s="39">
        <v>46143</v>
      </c>
    </row>
    <row r="6" spans="1:2" ht="46.5" customHeight="1" x14ac:dyDescent="0.35">
      <c r="A6" s="105" t="s">
        <v>183</v>
      </c>
      <c r="B6" s="37" t="s">
        <v>502</v>
      </c>
    </row>
    <row r="7" spans="1:2" ht="18" customHeight="1" x14ac:dyDescent="0.35">
      <c r="A7" s="105" t="s">
        <v>184</v>
      </c>
      <c r="B7" s="37" t="s">
        <v>503</v>
      </c>
    </row>
    <row r="8" spans="1:2" ht="18" customHeight="1" x14ac:dyDescent="0.35">
      <c r="A8" s="106"/>
      <c r="B8" s="37"/>
    </row>
    <row r="9" spans="1:2" ht="13.5" customHeight="1" x14ac:dyDescent="0.35">
      <c r="A9" s="176" t="s">
        <v>186</v>
      </c>
      <c r="B9" s="163"/>
    </row>
    <row r="10" spans="1:2" ht="229.5" customHeight="1" x14ac:dyDescent="0.35">
      <c r="A10" s="107" t="s">
        <v>504</v>
      </c>
      <c r="B10" s="37" t="s">
        <v>505</v>
      </c>
    </row>
    <row r="11" spans="1:2" ht="13.5" customHeight="1" x14ac:dyDescent="0.35">
      <c r="A11" s="176" t="s">
        <v>188</v>
      </c>
      <c r="B11" s="163"/>
    </row>
    <row r="12" spans="1:2" ht="18" customHeight="1" x14ac:dyDescent="0.35">
      <c r="A12" s="105" t="s">
        <v>189</v>
      </c>
      <c r="B12" s="40" t="s">
        <v>506</v>
      </c>
    </row>
    <row r="13" spans="1:2" ht="169.5" customHeight="1" x14ac:dyDescent="0.35">
      <c r="A13" s="105" t="s">
        <v>191</v>
      </c>
      <c r="B13" s="40" t="s">
        <v>507</v>
      </c>
    </row>
    <row r="14" spans="1:2" ht="94.5" customHeight="1" x14ac:dyDescent="0.35">
      <c r="A14" s="105" t="s">
        <v>193</v>
      </c>
      <c r="B14" s="40" t="s">
        <v>508</v>
      </c>
    </row>
    <row r="15" spans="1:2" ht="39.75" customHeight="1" x14ac:dyDescent="0.35">
      <c r="A15" s="105" t="s">
        <v>195</v>
      </c>
      <c r="B15" s="40" t="s">
        <v>509</v>
      </c>
    </row>
    <row r="16" spans="1:2" ht="23" x14ac:dyDescent="0.35">
      <c r="A16" s="218" t="s">
        <v>546</v>
      </c>
      <c r="B16" s="114" t="s">
        <v>775</v>
      </c>
    </row>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5">
    <mergeCell ref="A1:B1"/>
    <mergeCell ref="A2:B2"/>
    <mergeCell ref="A3:B3"/>
    <mergeCell ref="A9:B9"/>
    <mergeCell ref="A11:B11"/>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632423"/>
  </sheetPr>
  <dimension ref="A1:AE1000"/>
  <sheetViews>
    <sheetView topLeftCell="F1" workbookViewId="0">
      <selection activeCell="R6" sqref="R6"/>
    </sheetView>
  </sheetViews>
  <sheetFormatPr defaultColWidth="14.453125" defaultRowHeight="15" customHeight="1" x14ac:dyDescent="0.35"/>
  <cols>
    <col min="1" max="1" width="22" customWidth="1"/>
    <col min="2" max="2" width="70" customWidth="1"/>
    <col min="3" max="3" width="8.7265625" customWidth="1"/>
    <col min="4" max="5" width="46.81640625" customWidth="1"/>
    <col min="6" max="6" width="11.08984375" customWidth="1"/>
    <col min="7" max="7" width="8.7265625" customWidth="1"/>
    <col min="8" max="8" width="12.81640625" customWidth="1"/>
    <col min="9" max="9" width="8.7265625" customWidth="1"/>
    <col min="10" max="10" width="12.81640625" customWidth="1"/>
    <col min="11" max="11" width="4.7265625" customWidth="1"/>
    <col min="12" max="12" width="4.54296875" customWidth="1"/>
    <col min="13" max="13" width="12.81640625" customWidth="1"/>
    <col min="14" max="14" width="4.81640625" customWidth="1"/>
    <col min="15" max="15" width="12.81640625" customWidth="1"/>
    <col min="16" max="16" width="4.7265625" customWidth="1"/>
    <col min="17" max="17" width="12.81640625" customWidth="1"/>
    <col min="18" max="18" width="14.453125" customWidth="1"/>
    <col min="19" max="31" width="8.7265625" customWidth="1"/>
  </cols>
  <sheetData>
    <row r="1" spans="1:31" ht="30" customHeight="1" x14ac:dyDescent="0.35">
      <c r="A1" s="160" t="s">
        <v>510</v>
      </c>
      <c r="B1" s="161"/>
      <c r="F1" s="6"/>
      <c r="G1" s="6"/>
      <c r="H1" s="6"/>
      <c r="I1" s="6"/>
      <c r="J1" s="6"/>
      <c r="K1" s="6"/>
      <c r="L1" s="6"/>
      <c r="M1" s="6"/>
      <c r="N1" s="6"/>
      <c r="O1" s="6"/>
      <c r="P1" s="6"/>
      <c r="Q1" s="6"/>
      <c r="S1" s="6"/>
    </row>
    <row r="2" spans="1:31" ht="18" customHeight="1" x14ac:dyDescent="0.35">
      <c r="A2" s="162" t="s">
        <v>90</v>
      </c>
      <c r="B2" s="163"/>
      <c r="F2" s="6"/>
      <c r="G2" s="6"/>
      <c r="H2" s="6"/>
      <c r="I2" s="6"/>
      <c r="J2" s="6"/>
      <c r="K2" s="6"/>
      <c r="L2" s="6"/>
      <c r="M2" s="6"/>
      <c r="N2" s="6"/>
      <c r="O2" s="6"/>
      <c r="P2" s="6"/>
      <c r="Q2" s="6"/>
      <c r="S2" s="6"/>
      <c r="T2" s="1" t="s">
        <v>511</v>
      </c>
    </row>
    <row r="3" spans="1:31" ht="13.5" customHeight="1" x14ac:dyDescent="0.35">
      <c r="A3" s="164" t="s">
        <v>180</v>
      </c>
      <c r="B3" s="163"/>
      <c r="D3" s="108" t="s">
        <v>512</v>
      </c>
      <c r="E3" s="108"/>
      <c r="F3" s="109" t="s">
        <v>433</v>
      </c>
      <c r="G3" s="109" t="s">
        <v>434</v>
      </c>
      <c r="H3" s="109" t="s">
        <v>513</v>
      </c>
      <c r="I3" s="109" t="s">
        <v>436</v>
      </c>
      <c r="J3" s="109" t="s">
        <v>437</v>
      </c>
      <c r="K3" s="109" t="s">
        <v>438</v>
      </c>
      <c r="L3" s="109" t="s">
        <v>439</v>
      </c>
      <c r="M3" s="109" t="s">
        <v>440</v>
      </c>
      <c r="N3" s="109" t="s">
        <v>441</v>
      </c>
      <c r="O3" s="109" t="s">
        <v>442</v>
      </c>
      <c r="P3" s="109" t="s">
        <v>443</v>
      </c>
      <c r="Q3" s="109" t="s">
        <v>444</v>
      </c>
      <c r="R3" s="109" t="s">
        <v>26</v>
      </c>
      <c r="S3" s="6"/>
      <c r="T3" s="109" t="s">
        <v>433</v>
      </c>
      <c r="U3" s="109" t="s">
        <v>434</v>
      </c>
      <c r="V3" s="109" t="s">
        <v>513</v>
      </c>
      <c r="W3" s="109" t="s">
        <v>436</v>
      </c>
      <c r="X3" s="109" t="s">
        <v>437</v>
      </c>
      <c r="Y3" s="109" t="s">
        <v>438</v>
      </c>
      <c r="Z3" s="109" t="s">
        <v>439</v>
      </c>
      <c r="AA3" s="109" t="s">
        <v>440</v>
      </c>
      <c r="AB3" s="109" t="s">
        <v>441</v>
      </c>
      <c r="AC3" s="109" t="s">
        <v>442</v>
      </c>
      <c r="AD3" s="109" t="s">
        <v>443</v>
      </c>
      <c r="AE3" s="109" t="s">
        <v>444</v>
      </c>
    </row>
    <row r="4" spans="1:31" ht="83.25" customHeight="1" x14ac:dyDescent="0.35">
      <c r="A4" s="36" t="s">
        <v>181</v>
      </c>
      <c r="B4" s="37" t="s">
        <v>514</v>
      </c>
      <c r="F4" s="6"/>
      <c r="G4" s="6"/>
      <c r="H4" s="6" t="s">
        <v>515</v>
      </c>
      <c r="I4" s="6"/>
      <c r="J4" s="6" t="s">
        <v>516</v>
      </c>
      <c r="K4" s="6"/>
      <c r="L4" s="6"/>
      <c r="M4" s="6" t="s">
        <v>517</v>
      </c>
      <c r="N4" s="6"/>
      <c r="O4" s="6" t="s">
        <v>518</v>
      </c>
      <c r="P4" s="6"/>
      <c r="Q4" s="6" t="s">
        <v>519</v>
      </c>
      <c r="S4" s="6"/>
    </row>
    <row r="5" spans="1:31" ht="18" customHeight="1" x14ac:dyDescent="0.35">
      <c r="A5" s="38" t="s">
        <v>19</v>
      </c>
      <c r="B5" s="39">
        <v>46266</v>
      </c>
      <c r="D5" s="1" t="s">
        <v>520</v>
      </c>
      <c r="E5" s="1"/>
      <c r="F5" s="6"/>
      <c r="G5" s="6"/>
      <c r="H5" s="6">
        <v>-3000000</v>
      </c>
      <c r="I5" s="6"/>
      <c r="J5" s="6">
        <v>-3000000</v>
      </c>
      <c r="K5" s="6"/>
      <c r="L5" s="6"/>
      <c r="M5" s="6">
        <v>-3000000</v>
      </c>
      <c r="N5" s="6"/>
      <c r="O5" s="6">
        <v>-3000000</v>
      </c>
      <c r="P5" s="6"/>
      <c r="Q5" s="6">
        <v>-3000000</v>
      </c>
      <c r="R5" s="6">
        <f t="shared" ref="R5:R6" si="0">SUM(F5:Q5)</f>
        <v>-15000000</v>
      </c>
      <c r="S5" s="6"/>
    </row>
    <row r="6" spans="1:31" ht="18" customHeight="1" x14ac:dyDescent="0.35">
      <c r="A6" s="38" t="s">
        <v>183</v>
      </c>
      <c r="B6" s="37" t="s">
        <v>521</v>
      </c>
      <c r="D6" s="1" t="s">
        <v>522</v>
      </c>
      <c r="E6" s="1"/>
      <c r="F6" s="6"/>
      <c r="G6" s="6"/>
      <c r="H6" s="6">
        <v>700000</v>
      </c>
      <c r="I6" s="6"/>
      <c r="J6" s="6">
        <v>700000</v>
      </c>
      <c r="K6" s="6"/>
      <c r="L6" s="6"/>
      <c r="M6" s="6">
        <v>700000</v>
      </c>
      <c r="N6" s="6"/>
      <c r="O6" s="6">
        <v>700000</v>
      </c>
      <c r="P6" s="6"/>
      <c r="Q6" s="6">
        <v>700000</v>
      </c>
      <c r="R6" s="6">
        <f t="shared" si="0"/>
        <v>3500000</v>
      </c>
      <c r="S6" s="6"/>
    </row>
    <row r="7" spans="1:31" ht="18" customHeight="1" x14ac:dyDescent="0.35">
      <c r="A7" s="38" t="s">
        <v>184</v>
      </c>
      <c r="B7" s="37" t="s">
        <v>523</v>
      </c>
      <c r="D7" s="2" t="s">
        <v>524</v>
      </c>
      <c r="E7" s="2"/>
      <c r="F7" s="103">
        <f t="shared" ref="F7:R7" si="1">SUM(F8:F29)</f>
        <v>0</v>
      </c>
      <c r="G7" s="103">
        <f t="shared" si="1"/>
        <v>0</v>
      </c>
      <c r="H7" s="103">
        <f t="shared" si="1"/>
        <v>2276100</v>
      </c>
      <c r="I7" s="103">
        <f t="shared" si="1"/>
        <v>0</v>
      </c>
      <c r="J7" s="103">
        <f t="shared" si="1"/>
        <v>3779120</v>
      </c>
      <c r="K7" s="103">
        <f t="shared" si="1"/>
        <v>0</v>
      </c>
      <c r="L7" s="103">
        <f t="shared" si="1"/>
        <v>0</v>
      </c>
      <c r="M7" s="103">
        <f t="shared" si="1"/>
        <v>4509040</v>
      </c>
      <c r="N7" s="103">
        <f t="shared" si="1"/>
        <v>0</v>
      </c>
      <c r="O7" s="103">
        <f t="shared" si="1"/>
        <v>3006020</v>
      </c>
      <c r="P7" s="103">
        <f t="shared" si="1"/>
        <v>0</v>
      </c>
      <c r="Q7" s="103">
        <f t="shared" si="1"/>
        <v>1459780</v>
      </c>
      <c r="R7" s="103">
        <f t="shared" si="1"/>
        <v>15030060</v>
      </c>
      <c r="S7" s="6"/>
    </row>
    <row r="8" spans="1:31" ht="18" customHeight="1" x14ac:dyDescent="0.35">
      <c r="D8" s="2" t="s">
        <v>430</v>
      </c>
      <c r="E8" s="2"/>
      <c r="F8" s="6"/>
      <c r="G8" s="6"/>
      <c r="H8" s="6"/>
      <c r="I8" s="6"/>
      <c r="J8" s="6"/>
      <c r="K8" s="6"/>
      <c r="L8" s="6"/>
      <c r="M8" s="6"/>
      <c r="N8" s="6"/>
      <c r="O8" s="6"/>
      <c r="P8" s="6"/>
      <c r="Q8" s="6"/>
      <c r="R8" s="6">
        <f t="shared" ref="R8:R23" si="2">SUM(F8:Q8)</f>
        <v>0</v>
      </c>
      <c r="S8" s="6" t="s">
        <v>445</v>
      </c>
    </row>
    <row r="9" spans="1:31" ht="13.5" customHeight="1" x14ac:dyDescent="0.35">
      <c r="A9" s="164" t="s">
        <v>186</v>
      </c>
      <c r="B9" s="163"/>
      <c r="D9" s="1" t="s">
        <v>248</v>
      </c>
      <c r="E9" s="1"/>
      <c r="F9" s="6">
        <f t="shared" ref="F9:Q9" si="3">ROUND(+$S9*T9,-1)</f>
        <v>0</v>
      </c>
      <c r="G9" s="6">
        <f t="shared" si="3"/>
        <v>0</v>
      </c>
      <c r="H9" s="6">
        <f t="shared" si="3"/>
        <v>528670</v>
      </c>
      <c r="I9" s="6">
        <f t="shared" si="3"/>
        <v>0</v>
      </c>
      <c r="J9" s="6">
        <f t="shared" si="3"/>
        <v>881120</v>
      </c>
      <c r="K9" s="6">
        <f t="shared" si="3"/>
        <v>0</v>
      </c>
      <c r="L9" s="6">
        <f t="shared" si="3"/>
        <v>0</v>
      </c>
      <c r="M9" s="6">
        <f t="shared" si="3"/>
        <v>1057350</v>
      </c>
      <c r="N9" s="6">
        <f t="shared" si="3"/>
        <v>0</v>
      </c>
      <c r="O9" s="6">
        <f t="shared" si="3"/>
        <v>704900</v>
      </c>
      <c r="P9" s="6">
        <f t="shared" si="3"/>
        <v>0</v>
      </c>
      <c r="Q9" s="6">
        <f t="shared" si="3"/>
        <v>352450</v>
      </c>
      <c r="R9" s="6">
        <f t="shared" si="2"/>
        <v>3524490</v>
      </c>
      <c r="S9" s="6">
        <v>7661.9248507139755</v>
      </c>
      <c r="V9" s="1">
        <v>69</v>
      </c>
      <c r="X9" s="1">
        <v>115</v>
      </c>
      <c r="AA9" s="1">
        <v>138</v>
      </c>
      <c r="AC9" s="1">
        <v>92</v>
      </c>
      <c r="AE9" s="1">
        <v>46</v>
      </c>
    </row>
    <row r="10" spans="1:31" ht="42.75" customHeight="1" x14ac:dyDescent="0.35">
      <c r="A10" s="165" t="s">
        <v>525</v>
      </c>
      <c r="B10" s="163"/>
      <c r="D10" s="1" t="s">
        <v>446</v>
      </c>
      <c r="E10" s="1"/>
      <c r="F10" s="6">
        <f t="shared" ref="F10:Q10" si="4">ROUND(+$S10*T10,-1)</f>
        <v>0</v>
      </c>
      <c r="G10" s="6">
        <f t="shared" si="4"/>
        <v>0</v>
      </c>
      <c r="H10" s="6">
        <f t="shared" si="4"/>
        <v>598770</v>
      </c>
      <c r="I10" s="6">
        <f t="shared" si="4"/>
        <v>0</v>
      </c>
      <c r="J10" s="6">
        <f t="shared" si="4"/>
        <v>995840</v>
      </c>
      <c r="K10" s="6">
        <f t="shared" si="4"/>
        <v>0</v>
      </c>
      <c r="L10" s="6">
        <f t="shared" si="4"/>
        <v>0</v>
      </c>
      <c r="M10" s="6">
        <f t="shared" si="4"/>
        <v>1191230</v>
      </c>
      <c r="N10" s="6">
        <f t="shared" si="4"/>
        <v>0</v>
      </c>
      <c r="O10" s="6">
        <f t="shared" si="4"/>
        <v>794150</v>
      </c>
      <c r="P10" s="6">
        <f t="shared" si="4"/>
        <v>0</v>
      </c>
      <c r="Q10" s="6">
        <f t="shared" si="4"/>
        <v>390770</v>
      </c>
      <c r="R10" s="6">
        <f t="shared" si="2"/>
        <v>3970760</v>
      </c>
      <c r="S10" s="6">
        <v>6302.7976073395475</v>
      </c>
      <c r="V10" s="1">
        <v>95</v>
      </c>
      <c r="X10" s="1">
        <v>158</v>
      </c>
      <c r="AA10" s="1">
        <v>189</v>
      </c>
      <c r="AC10" s="1">
        <v>126</v>
      </c>
      <c r="AE10" s="1">
        <v>62</v>
      </c>
    </row>
    <row r="11" spans="1:31" ht="13.5" customHeight="1" x14ac:dyDescent="0.35">
      <c r="A11" s="164" t="s">
        <v>188</v>
      </c>
      <c r="B11" s="163"/>
      <c r="D11" s="1" t="s">
        <v>448</v>
      </c>
      <c r="E11" s="1"/>
      <c r="F11" s="6">
        <f t="shared" ref="F11:Q11" si="5">ROUND(+$S11*T11,-1)</f>
        <v>0</v>
      </c>
      <c r="G11" s="6">
        <f t="shared" si="5"/>
        <v>0</v>
      </c>
      <c r="H11" s="6">
        <f t="shared" si="5"/>
        <v>26780</v>
      </c>
      <c r="I11" s="6">
        <f t="shared" si="5"/>
        <v>0</v>
      </c>
      <c r="J11" s="6">
        <f t="shared" si="5"/>
        <v>44640</v>
      </c>
      <c r="K11" s="6">
        <f t="shared" si="5"/>
        <v>0</v>
      </c>
      <c r="L11" s="6">
        <f t="shared" si="5"/>
        <v>0</v>
      </c>
      <c r="M11" s="6">
        <f t="shared" si="5"/>
        <v>53570</v>
      </c>
      <c r="N11" s="6">
        <f t="shared" si="5"/>
        <v>0</v>
      </c>
      <c r="O11" s="6">
        <f t="shared" si="5"/>
        <v>35710</v>
      </c>
      <c r="P11" s="6">
        <f t="shared" si="5"/>
        <v>0</v>
      </c>
      <c r="Q11" s="6">
        <f t="shared" si="5"/>
        <v>17860</v>
      </c>
      <c r="R11" s="6">
        <f t="shared" si="2"/>
        <v>178560</v>
      </c>
      <c r="S11" s="6">
        <v>2232.0359860117792</v>
      </c>
      <c r="V11" s="1">
        <v>12</v>
      </c>
      <c r="X11" s="1">
        <v>20</v>
      </c>
      <c r="AA11" s="1">
        <v>24</v>
      </c>
      <c r="AC11" s="1">
        <v>16</v>
      </c>
      <c r="AE11" s="1">
        <v>8</v>
      </c>
    </row>
    <row r="12" spans="1:31" ht="18" customHeight="1" x14ac:dyDescent="0.35">
      <c r="A12" s="38" t="s">
        <v>189</v>
      </c>
      <c r="B12" s="40" t="s">
        <v>526</v>
      </c>
      <c r="D12" s="1" t="s">
        <v>449</v>
      </c>
      <c r="E12" s="1"/>
      <c r="F12" s="6">
        <f t="shared" ref="F12:Q12" si="6">ROUND(+$S12*T12,-1)</f>
        <v>0</v>
      </c>
      <c r="G12" s="6">
        <f t="shared" si="6"/>
        <v>0</v>
      </c>
      <c r="H12" s="6">
        <f t="shared" si="6"/>
        <v>78230</v>
      </c>
      <c r="I12" s="6">
        <f t="shared" si="6"/>
        <v>0</v>
      </c>
      <c r="J12" s="6">
        <f t="shared" si="6"/>
        <v>129390</v>
      </c>
      <c r="K12" s="6">
        <f t="shared" si="6"/>
        <v>0</v>
      </c>
      <c r="L12" s="6">
        <f t="shared" si="6"/>
        <v>0</v>
      </c>
      <c r="M12" s="6">
        <f t="shared" si="6"/>
        <v>153460</v>
      </c>
      <c r="N12" s="6">
        <f t="shared" si="6"/>
        <v>0</v>
      </c>
      <c r="O12" s="6">
        <f t="shared" si="6"/>
        <v>102310</v>
      </c>
      <c r="P12" s="6">
        <f t="shared" si="6"/>
        <v>0</v>
      </c>
      <c r="Q12" s="6">
        <f t="shared" si="6"/>
        <v>48140</v>
      </c>
      <c r="R12" s="6">
        <f t="shared" si="2"/>
        <v>511530</v>
      </c>
      <c r="S12" s="6">
        <v>3008.9909242927497</v>
      </c>
      <c r="V12" s="1">
        <v>26</v>
      </c>
      <c r="X12" s="1">
        <v>43</v>
      </c>
      <c r="AA12" s="1">
        <v>51</v>
      </c>
      <c r="AC12" s="1">
        <v>34</v>
      </c>
      <c r="AE12" s="1">
        <v>16</v>
      </c>
    </row>
    <row r="13" spans="1:31" ht="35.25" customHeight="1" x14ac:dyDescent="0.35">
      <c r="A13" s="38" t="s">
        <v>191</v>
      </c>
      <c r="B13" s="40" t="s">
        <v>527</v>
      </c>
      <c r="D13" s="1" t="s">
        <v>451</v>
      </c>
      <c r="E13" s="1"/>
      <c r="F13" s="6">
        <f t="shared" ref="F13:Q13" si="7">ROUND(+$S13*T13,-1)</f>
        <v>0</v>
      </c>
      <c r="G13" s="6">
        <f t="shared" si="7"/>
        <v>0</v>
      </c>
      <c r="H13" s="6">
        <f t="shared" si="7"/>
        <v>65180</v>
      </c>
      <c r="I13" s="6">
        <f t="shared" si="7"/>
        <v>0</v>
      </c>
      <c r="J13" s="6">
        <f t="shared" si="7"/>
        <v>108630</v>
      </c>
      <c r="K13" s="6">
        <f t="shared" si="7"/>
        <v>0</v>
      </c>
      <c r="L13" s="6">
        <f t="shared" si="7"/>
        <v>0</v>
      </c>
      <c r="M13" s="6">
        <f t="shared" si="7"/>
        <v>130360</v>
      </c>
      <c r="N13" s="6">
        <f t="shared" si="7"/>
        <v>0</v>
      </c>
      <c r="O13" s="6">
        <f t="shared" si="7"/>
        <v>86900</v>
      </c>
      <c r="P13" s="6">
        <f t="shared" si="7"/>
        <v>0</v>
      </c>
      <c r="Q13" s="6">
        <f t="shared" si="7"/>
        <v>43450</v>
      </c>
      <c r="R13" s="6">
        <f t="shared" si="2"/>
        <v>434520</v>
      </c>
      <c r="S13" s="6">
        <v>1810.4889436411918</v>
      </c>
      <c r="V13" s="1">
        <v>36</v>
      </c>
      <c r="X13" s="1">
        <v>60</v>
      </c>
      <c r="AA13" s="1">
        <v>72</v>
      </c>
      <c r="AC13" s="1">
        <v>48</v>
      </c>
      <c r="AE13" s="1">
        <v>24</v>
      </c>
    </row>
    <row r="14" spans="1:31" ht="59.25" customHeight="1" x14ac:dyDescent="0.35">
      <c r="A14" s="38" t="s">
        <v>193</v>
      </c>
      <c r="B14" s="40" t="s">
        <v>528</v>
      </c>
      <c r="D14" s="1" t="s">
        <v>453</v>
      </c>
      <c r="E14" s="1"/>
      <c r="F14" s="6">
        <f t="shared" ref="F14:Q14" si="8">ROUND(+$S14*T14,-1)</f>
        <v>0</v>
      </c>
      <c r="G14" s="6">
        <f t="shared" si="8"/>
        <v>0</v>
      </c>
      <c r="H14" s="6">
        <f t="shared" si="8"/>
        <v>224980</v>
      </c>
      <c r="I14" s="6">
        <f t="shared" si="8"/>
        <v>0</v>
      </c>
      <c r="J14" s="6">
        <f t="shared" si="8"/>
        <v>373700</v>
      </c>
      <c r="K14" s="6">
        <f t="shared" si="8"/>
        <v>0</v>
      </c>
      <c r="L14" s="6">
        <f t="shared" si="8"/>
        <v>0</v>
      </c>
      <c r="M14" s="6">
        <f t="shared" si="8"/>
        <v>446150</v>
      </c>
      <c r="N14" s="6">
        <f t="shared" si="8"/>
        <v>0</v>
      </c>
      <c r="O14" s="6">
        <f t="shared" si="8"/>
        <v>297430</v>
      </c>
      <c r="P14" s="6">
        <f t="shared" si="8"/>
        <v>0</v>
      </c>
      <c r="Q14" s="6">
        <f t="shared" si="8"/>
        <v>144900</v>
      </c>
      <c r="R14" s="6">
        <f t="shared" si="2"/>
        <v>1487160</v>
      </c>
      <c r="S14" s="6">
        <v>3813.2544133303509</v>
      </c>
      <c r="V14" s="1">
        <v>59</v>
      </c>
      <c r="X14" s="1">
        <v>98</v>
      </c>
      <c r="AA14" s="1">
        <v>117</v>
      </c>
      <c r="AC14" s="1">
        <v>78</v>
      </c>
      <c r="AE14" s="1">
        <v>38</v>
      </c>
    </row>
    <row r="15" spans="1:31" ht="50.25" customHeight="1" x14ac:dyDescent="0.35">
      <c r="A15" s="38" t="s">
        <v>195</v>
      </c>
      <c r="B15" s="40" t="s">
        <v>529</v>
      </c>
      <c r="D15" s="1" t="s">
        <v>244</v>
      </c>
      <c r="E15" s="1"/>
      <c r="F15" s="6">
        <f t="shared" ref="F15:Q15" si="9">ROUND(+$S15*T15,-1)</f>
        <v>0</v>
      </c>
      <c r="G15" s="6">
        <f t="shared" si="9"/>
        <v>0</v>
      </c>
      <c r="H15" s="6">
        <f t="shared" si="9"/>
        <v>117830</v>
      </c>
      <c r="I15" s="6">
        <f t="shared" si="9"/>
        <v>0</v>
      </c>
      <c r="J15" s="6">
        <f t="shared" si="9"/>
        <v>196380</v>
      </c>
      <c r="K15" s="6">
        <f t="shared" si="9"/>
        <v>0</v>
      </c>
      <c r="L15" s="6">
        <f t="shared" si="9"/>
        <v>0</v>
      </c>
      <c r="M15" s="6">
        <f t="shared" si="9"/>
        <v>235650</v>
      </c>
      <c r="N15" s="6">
        <f t="shared" si="9"/>
        <v>0</v>
      </c>
      <c r="O15" s="6">
        <f t="shared" si="9"/>
        <v>157100</v>
      </c>
      <c r="P15" s="6">
        <f t="shared" si="9"/>
        <v>0</v>
      </c>
      <c r="Q15" s="6">
        <f t="shared" si="9"/>
        <v>78550</v>
      </c>
      <c r="R15" s="6">
        <f t="shared" si="2"/>
        <v>785510</v>
      </c>
      <c r="S15" s="6">
        <v>2618.3826246870785</v>
      </c>
      <c r="V15" s="1">
        <v>45</v>
      </c>
      <c r="X15" s="1">
        <v>75</v>
      </c>
      <c r="AA15" s="1">
        <v>90</v>
      </c>
      <c r="AC15" s="1">
        <v>60</v>
      </c>
      <c r="AE15" s="1">
        <v>30</v>
      </c>
    </row>
    <row r="16" spans="1:31" ht="14.25" customHeight="1" x14ac:dyDescent="0.35">
      <c r="D16" s="1" t="s">
        <v>301</v>
      </c>
      <c r="E16" s="1"/>
      <c r="F16" s="6">
        <f t="shared" ref="F16:Q16" si="10">ROUND(+$S16*T16,-1)</f>
        <v>0</v>
      </c>
      <c r="G16" s="6">
        <f t="shared" si="10"/>
        <v>0</v>
      </c>
      <c r="H16" s="6">
        <f t="shared" si="10"/>
        <v>96850</v>
      </c>
      <c r="I16" s="6">
        <f t="shared" si="10"/>
        <v>0</v>
      </c>
      <c r="J16" s="6">
        <f t="shared" si="10"/>
        <v>160570</v>
      </c>
      <c r="K16" s="6">
        <f t="shared" si="10"/>
        <v>0</v>
      </c>
      <c r="L16" s="6">
        <f t="shared" si="10"/>
        <v>0</v>
      </c>
      <c r="M16" s="6">
        <f t="shared" si="10"/>
        <v>191160</v>
      </c>
      <c r="N16" s="6">
        <f t="shared" si="10"/>
        <v>0</v>
      </c>
      <c r="O16" s="6">
        <f t="shared" si="10"/>
        <v>127440</v>
      </c>
      <c r="P16" s="6">
        <f t="shared" si="10"/>
        <v>0</v>
      </c>
      <c r="Q16" s="6">
        <f t="shared" si="10"/>
        <v>61170</v>
      </c>
      <c r="R16" s="6">
        <f t="shared" si="2"/>
        <v>637190</v>
      </c>
      <c r="S16" s="6">
        <v>2548.7508935801043</v>
      </c>
      <c r="V16" s="1">
        <v>38</v>
      </c>
      <c r="X16" s="1">
        <v>63</v>
      </c>
      <c r="AA16" s="1">
        <v>75</v>
      </c>
      <c r="AC16" s="1">
        <v>50</v>
      </c>
      <c r="AE16" s="1">
        <v>24</v>
      </c>
    </row>
    <row r="17" spans="4:31" ht="14.25" customHeight="1" x14ac:dyDescent="0.35">
      <c r="D17" s="1" t="s">
        <v>456</v>
      </c>
      <c r="E17" s="1"/>
      <c r="F17" s="6">
        <f t="shared" ref="F17:Q17" si="11">ROUND(+$S17*T17,-1)</f>
        <v>0</v>
      </c>
      <c r="G17" s="6">
        <f t="shared" si="11"/>
        <v>0</v>
      </c>
      <c r="H17" s="6">
        <f t="shared" si="11"/>
        <v>86300</v>
      </c>
      <c r="I17" s="6">
        <f t="shared" si="11"/>
        <v>0</v>
      </c>
      <c r="J17" s="6">
        <f t="shared" si="11"/>
        <v>143010</v>
      </c>
      <c r="K17" s="6">
        <f t="shared" si="11"/>
        <v>0</v>
      </c>
      <c r="L17" s="6">
        <f t="shared" si="11"/>
        <v>0</v>
      </c>
      <c r="M17" s="6">
        <f t="shared" si="11"/>
        <v>170130</v>
      </c>
      <c r="N17" s="6">
        <f t="shared" si="11"/>
        <v>0</v>
      </c>
      <c r="O17" s="6">
        <f t="shared" si="11"/>
        <v>113420</v>
      </c>
      <c r="P17" s="6">
        <f t="shared" si="11"/>
        <v>0</v>
      </c>
      <c r="Q17" s="6">
        <f t="shared" si="11"/>
        <v>54240</v>
      </c>
      <c r="R17" s="6">
        <f t="shared" si="2"/>
        <v>567100</v>
      </c>
      <c r="S17" s="6">
        <v>2465.6794349860952</v>
      </c>
      <c r="V17" s="1">
        <v>35</v>
      </c>
      <c r="X17" s="1">
        <v>58</v>
      </c>
      <c r="AA17" s="1">
        <v>69</v>
      </c>
      <c r="AC17" s="1">
        <v>46</v>
      </c>
      <c r="AE17" s="1">
        <v>22</v>
      </c>
    </row>
    <row r="18" spans="4:31" ht="14.25" customHeight="1" x14ac:dyDescent="0.35">
      <c r="D18" s="1" t="s">
        <v>457</v>
      </c>
      <c r="E18" s="1"/>
      <c r="F18" s="6">
        <f t="shared" ref="F18:Q18" si="12">ROUND(+$S18*T18,-1)</f>
        <v>0</v>
      </c>
      <c r="G18" s="6">
        <f t="shared" si="12"/>
        <v>0</v>
      </c>
      <c r="H18" s="6">
        <f t="shared" si="12"/>
        <v>24200</v>
      </c>
      <c r="I18" s="6">
        <f t="shared" si="12"/>
        <v>0</v>
      </c>
      <c r="J18" s="6">
        <f t="shared" si="12"/>
        <v>39600</v>
      </c>
      <c r="K18" s="6">
        <f t="shared" si="12"/>
        <v>0</v>
      </c>
      <c r="L18" s="6">
        <f t="shared" si="12"/>
        <v>0</v>
      </c>
      <c r="M18" s="6">
        <f t="shared" si="12"/>
        <v>46200</v>
      </c>
      <c r="N18" s="6">
        <f t="shared" si="12"/>
        <v>0</v>
      </c>
      <c r="O18" s="6">
        <f t="shared" si="12"/>
        <v>30800</v>
      </c>
      <c r="P18" s="6">
        <f t="shared" si="12"/>
        <v>0</v>
      </c>
      <c r="Q18" s="6">
        <f t="shared" si="12"/>
        <v>13200</v>
      </c>
      <c r="R18" s="6">
        <f t="shared" si="2"/>
        <v>154000</v>
      </c>
      <c r="S18" s="6">
        <v>2200.2123020569175</v>
      </c>
      <c r="V18" s="1">
        <v>11</v>
      </c>
      <c r="X18" s="1">
        <v>18</v>
      </c>
      <c r="AA18" s="1">
        <v>21</v>
      </c>
      <c r="AC18" s="1">
        <v>14</v>
      </c>
      <c r="AE18" s="1">
        <v>6</v>
      </c>
    </row>
    <row r="19" spans="4:31" ht="14.25" customHeight="1" x14ac:dyDescent="0.35">
      <c r="D19" s="1" t="s">
        <v>458</v>
      </c>
      <c r="E19" s="1"/>
      <c r="F19" s="6">
        <f t="shared" ref="F19:Q19" si="13">ROUND(+$S19*T19,-1)</f>
        <v>0</v>
      </c>
      <c r="G19" s="6">
        <f t="shared" si="13"/>
        <v>0</v>
      </c>
      <c r="H19" s="6">
        <f t="shared" si="13"/>
        <v>11890</v>
      </c>
      <c r="I19" s="6">
        <f t="shared" si="13"/>
        <v>0</v>
      </c>
      <c r="J19" s="6">
        <f t="shared" si="13"/>
        <v>17830</v>
      </c>
      <c r="K19" s="6">
        <f t="shared" si="13"/>
        <v>0</v>
      </c>
      <c r="L19" s="6">
        <f t="shared" si="13"/>
        <v>0</v>
      </c>
      <c r="M19" s="6">
        <f t="shared" si="13"/>
        <v>17830</v>
      </c>
      <c r="N19" s="6">
        <f t="shared" si="13"/>
        <v>0</v>
      </c>
      <c r="O19" s="6">
        <f t="shared" si="13"/>
        <v>11890</v>
      </c>
      <c r="P19" s="6">
        <f t="shared" si="13"/>
        <v>0</v>
      </c>
      <c r="Q19" s="6">
        <f t="shared" si="13"/>
        <v>0</v>
      </c>
      <c r="R19" s="6">
        <f t="shared" si="2"/>
        <v>59440</v>
      </c>
      <c r="S19" s="6">
        <v>5942.9578359511343</v>
      </c>
      <c r="V19" s="1">
        <v>2</v>
      </c>
      <c r="X19" s="1">
        <v>3</v>
      </c>
      <c r="AA19" s="1">
        <v>3</v>
      </c>
      <c r="AC19" s="1">
        <v>2</v>
      </c>
      <c r="AE19" s="1">
        <v>0</v>
      </c>
    </row>
    <row r="20" spans="4:31" ht="14.25" customHeight="1" x14ac:dyDescent="0.35">
      <c r="D20" s="1" t="s">
        <v>459</v>
      </c>
      <c r="E20" s="1"/>
      <c r="F20" s="6">
        <f t="shared" ref="F20:Q20" si="14">ROUND(+$S20*T20,-1)</f>
        <v>0</v>
      </c>
      <c r="G20" s="6">
        <f t="shared" si="14"/>
        <v>0</v>
      </c>
      <c r="H20" s="6">
        <f t="shared" si="14"/>
        <v>84690</v>
      </c>
      <c r="I20" s="6">
        <f t="shared" si="14"/>
        <v>0</v>
      </c>
      <c r="J20" s="6">
        <f t="shared" si="14"/>
        <v>140410</v>
      </c>
      <c r="K20" s="6">
        <f t="shared" si="14"/>
        <v>0</v>
      </c>
      <c r="L20" s="6">
        <f t="shared" si="14"/>
        <v>0</v>
      </c>
      <c r="M20" s="6">
        <f t="shared" si="14"/>
        <v>167160</v>
      </c>
      <c r="N20" s="6">
        <f t="shared" si="14"/>
        <v>0</v>
      </c>
      <c r="O20" s="6">
        <f t="shared" si="14"/>
        <v>111440</v>
      </c>
      <c r="P20" s="6">
        <f t="shared" si="14"/>
        <v>0</v>
      </c>
      <c r="Q20" s="6">
        <f t="shared" si="14"/>
        <v>53490</v>
      </c>
      <c r="R20" s="6">
        <f t="shared" si="2"/>
        <v>557190</v>
      </c>
      <c r="S20" s="6">
        <v>2228.7648777108016</v>
      </c>
      <c r="V20" s="1">
        <v>38</v>
      </c>
      <c r="X20" s="1">
        <v>63</v>
      </c>
      <c r="AA20" s="1">
        <v>75</v>
      </c>
      <c r="AC20" s="1">
        <v>50</v>
      </c>
      <c r="AE20" s="1">
        <v>24</v>
      </c>
    </row>
    <row r="21" spans="4:31" ht="14.25" customHeight="1" x14ac:dyDescent="0.35">
      <c r="D21" s="1" t="s">
        <v>460</v>
      </c>
      <c r="E21" s="1"/>
      <c r="F21" s="6">
        <f t="shared" ref="F21:Q21" si="15">ROUND(+$S21*T21,-1)</f>
        <v>0</v>
      </c>
      <c r="G21" s="6">
        <f t="shared" si="15"/>
        <v>0</v>
      </c>
      <c r="H21" s="6">
        <f t="shared" si="15"/>
        <v>77740</v>
      </c>
      <c r="I21" s="6">
        <f t="shared" si="15"/>
        <v>0</v>
      </c>
      <c r="J21" s="6">
        <f t="shared" si="15"/>
        <v>128670</v>
      </c>
      <c r="K21" s="6">
        <f t="shared" si="15"/>
        <v>0</v>
      </c>
      <c r="L21" s="6">
        <f t="shared" si="15"/>
        <v>0</v>
      </c>
      <c r="M21" s="6">
        <f t="shared" si="15"/>
        <v>152800</v>
      </c>
      <c r="N21" s="6">
        <f t="shared" si="15"/>
        <v>0</v>
      </c>
      <c r="O21" s="6">
        <f t="shared" si="15"/>
        <v>101870</v>
      </c>
      <c r="P21" s="6">
        <f t="shared" si="15"/>
        <v>0</v>
      </c>
      <c r="Q21" s="6">
        <f t="shared" si="15"/>
        <v>48250</v>
      </c>
      <c r="R21" s="6">
        <f t="shared" si="2"/>
        <v>509330</v>
      </c>
      <c r="S21" s="6">
        <v>2680.6749710197423</v>
      </c>
      <c r="V21" s="1">
        <v>29</v>
      </c>
      <c r="X21" s="1">
        <v>48</v>
      </c>
      <c r="AA21" s="1">
        <v>57</v>
      </c>
      <c r="AC21" s="1">
        <v>38</v>
      </c>
      <c r="AE21" s="1">
        <v>18</v>
      </c>
    </row>
    <row r="22" spans="4:31" ht="14.25" customHeight="1" x14ac:dyDescent="0.35">
      <c r="D22" s="1" t="s">
        <v>461</v>
      </c>
      <c r="E22" s="1"/>
      <c r="F22" s="6">
        <f t="shared" ref="F22:Q22" si="16">ROUND(+$S22*T22,-1)</f>
        <v>0</v>
      </c>
      <c r="G22" s="6">
        <f t="shared" si="16"/>
        <v>0</v>
      </c>
      <c r="H22" s="6">
        <f t="shared" si="16"/>
        <v>51580</v>
      </c>
      <c r="I22" s="6">
        <f t="shared" si="16"/>
        <v>0</v>
      </c>
      <c r="J22" s="6">
        <f t="shared" si="16"/>
        <v>85430</v>
      </c>
      <c r="K22" s="6">
        <f t="shared" si="16"/>
        <v>0</v>
      </c>
      <c r="L22" s="6">
        <f t="shared" si="16"/>
        <v>0</v>
      </c>
      <c r="M22" s="6">
        <f t="shared" si="16"/>
        <v>101550</v>
      </c>
      <c r="N22" s="6">
        <f t="shared" si="16"/>
        <v>0</v>
      </c>
      <c r="O22" s="6">
        <f t="shared" si="16"/>
        <v>67700</v>
      </c>
      <c r="P22" s="6">
        <f t="shared" si="16"/>
        <v>0</v>
      </c>
      <c r="Q22" s="6">
        <f t="shared" si="16"/>
        <v>32240</v>
      </c>
      <c r="R22" s="6">
        <f t="shared" si="2"/>
        <v>338500</v>
      </c>
      <c r="S22" s="6">
        <v>1611.8339740372135</v>
      </c>
      <c r="V22" s="1">
        <v>32</v>
      </c>
      <c r="X22" s="1">
        <v>53</v>
      </c>
      <c r="AA22" s="1">
        <v>63</v>
      </c>
      <c r="AC22" s="1">
        <v>42</v>
      </c>
      <c r="AE22" s="1">
        <v>20</v>
      </c>
    </row>
    <row r="23" spans="4:31" ht="14.25" customHeight="1" x14ac:dyDescent="0.35">
      <c r="D23" s="1" t="s">
        <v>462</v>
      </c>
      <c r="E23" s="1"/>
      <c r="F23" s="6">
        <f t="shared" ref="F23:Q23" si="17">ROUND(+$S23*T23,-1)</f>
        <v>0</v>
      </c>
      <c r="G23" s="6">
        <f t="shared" si="17"/>
        <v>0</v>
      </c>
      <c r="H23" s="6">
        <f t="shared" si="17"/>
        <v>55940</v>
      </c>
      <c r="I23" s="6">
        <f t="shared" si="17"/>
        <v>0</v>
      </c>
      <c r="J23" s="6">
        <f t="shared" si="17"/>
        <v>93230</v>
      </c>
      <c r="K23" s="6">
        <f t="shared" si="17"/>
        <v>0</v>
      </c>
      <c r="L23" s="6">
        <f t="shared" si="17"/>
        <v>0</v>
      </c>
      <c r="M23" s="6">
        <f t="shared" si="17"/>
        <v>111880</v>
      </c>
      <c r="N23" s="6">
        <f t="shared" si="17"/>
        <v>0</v>
      </c>
      <c r="O23" s="6">
        <f t="shared" si="17"/>
        <v>74590</v>
      </c>
      <c r="P23" s="6">
        <f t="shared" si="17"/>
        <v>0</v>
      </c>
      <c r="Q23" s="6">
        <f t="shared" si="17"/>
        <v>37290</v>
      </c>
      <c r="R23" s="6">
        <f t="shared" si="2"/>
        <v>372930</v>
      </c>
      <c r="S23" s="6">
        <v>810.70794814586873</v>
      </c>
      <c r="V23" s="1">
        <v>69</v>
      </c>
      <c r="X23" s="1">
        <v>115</v>
      </c>
      <c r="AA23" s="1">
        <v>138</v>
      </c>
      <c r="AC23" s="1">
        <v>92</v>
      </c>
      <c r="AE23" s="1">
        <v>46</v>
      </c>
    </row>
    <row r="24" spans="4:31" ht="14.25" customHeight="1" x14ac:dyDescent="0.35">
      <c r="D24" s="110"/>
      <c r="E24" s="110"/>
      <c r="F24" s="111"/>
      <c r="G24" s="111"/>
      <c r="H24" s="111"/>
      <c r="I24" s="111"/>
      <c r="J24" s="111"/>
      <c r="K24" s="111"/>
      <c r="L24" s="111"/>
      <c r="M24" s="111"/>
      <c r="N24" s="111"/>
      <c r="O24" s="111"/>
      <c r="P24" s="111"/>
      <c r="Q24" s="111"/>
      <c r="R24" s="110"/>
      <c r="S24" s="6"/>
    </row>
    <row r="25" spans="4:31" ht="14.25" customHeight="1" x14ac:dyDescent="0.35">
      <c r="D25" s="1" t="s">
        <v>483</v>
      </c>
      <c r="E25" s="1"/>
      <c r="F25" s="6">
        <f t="shared" ref="F25:Q25" si="18">ROUND(+$S25*T25,-1)</f>
        <v>0</v>
      </c>
      <c r="G25" s="6">
        <f t="shared" si="18"/>
        <v>0</v>
      </c>
      <c r="H25" s="6">
        <f t="shared" si="18"/>
        <v>58030</v>
      </c>
      <c r="I25" s="6">
        <f t="shared" si="18"/>
        <v>0</v>
      </c>
      <c r="J25" s="6">
        <f t="shared" si="18"/>
        <v>95980</v>
      </c>
      <c r="K25" s="6">
        <f t="shared" si="18"/>
        <v>0</v>
      </c>
      <c r="L25" s="6">
        <f t="shared" si="18"/>
        <v>0</v>
      </c>
      <c r="M25" s="6">
        <f t="shared" si="18"/>
        <v>113830</v>
      </c>
      <c r="N25" s="6">
        <f t="shared" si="18"/>
        <v>0</v>
      </c>
      <c r="O25" s="6">
        <f t="shared" si="18"/>
        <v>75890</v>
      </c>
      <c r="P25" s="6">
        <f t="shared" si="18"/>
        <v>0</v>
      </c>
      <c r="Q25" s="6">
        <f t="shared" si="18"/>
        <v>35710</v>
      </c>
      <c r="R25" s="6">
        <f t="shared" ref="R25:R29" si="19">SUM(F25:Q25)</f>
        <v>379440</v>
      </c>
      <c r="S25" s="6">
        <v>2232.0359860117792</v>
      </c>
      <c r="V25" s="1">
        <v>26</v>
      </c>
      <c r="X25" s="1">
        <v>43</v>
      </c>
      <c r="AA25" s="1">
        <v>51</v>
      </c>
      <c r="AC25" s="1">
        <v>34</v>
      </c>
      <c r="AE25" s="1">
        <v>16</v>
      </c>
    </row>
    <row r="26" spans="4:31" ht="14.25" customHeight="1" x14ac:dyDescent="0.35">
      <c r="D26" s="1" t="s">
        <v>484</v>
      </c>
      <c r="E26" s="1"/>
      <c r="F26" s="6">
        <f t="shared" ref="F26:Q26" si="20">ROUND(+$S26*T26,-1)</f>
        <v>0</v>
      </c>
      <c r="G26" s="6">
        <f t="shared" si="20"/>
        <v>0</v>
      </c>
      <c r="H26" s="6">
        <f t="shared" si="20"/>
        <v>46870</v>
      </c>
      <c r="I26" s="6">
        <f t="shared" si="20"/>
        <v>0</v>
      </c>
      <c r="J26" s="6">
        <f t="shared" si="20"/>
        <v>78120</v>
      </c>
      <c r="K26" s="6">
        <f t="shared" si="20"/>
        <v>0</v>
      </c>
      <c r="L26" s="6">
        <f t="shared" si="20"/>
        <v>0</v>
      </c>
      <c r="M26" s="6">
        <f t="shared" si="20"/>
        <v>93750</v>
      </c>
      <c r="N26" s="6">
        <f t="shared" si="20"/>
        <v>0</v>
      </c>
      <c r="O26" s="6">
        <f t="shared" si="20"/>
        <v>62500</v>
      </c>
      <c r="P26" s="6">
        <f t="shared" si="20"/>
        <v>0</v>
      </c>
      <c r="Q26" s="6">
        <f t="shared" si="20"/>
        <v>31250</v>
      </c>
      <c r="R26" s="6">
        <f t="shared" si="19"/>
        <v>312490</v>
      </c>
      <c r="S26" s="6">
        <v>2232.0359860117792</v>
      </c>
      <c r="V26" s="1">
        <v>21</v>
      </c>
      <c r="X26" s="1">
        <v>35</v>
      </c>
      <c r="AA26" s="1">
        <v>42</v>
      </c>
      <c r="AC26" s="1">
        <v>28</v>
      </c>
      <c r="AE26" s="1">
        <v>14</v>
      </c>
    </row>
    <row r="27" spans="4:31" ht="14.25" customHeight="1" x14ac:dyDescent="0.35">
      <c r="D27" s="1" t="s">
        <v>485</v>
      </c>
      <c r="E27" s="1"/>
      <c r="F27" s="6">
        <f t="shared" ref="F27:Q27" si="21">ROUND(+$S27*T27,-1)</f>
        <v>0</v>
      </c>
      <c r="G27" s="6">
        <f t="shared" si="21"/>
        <v>0</v>
      </c>
      <c r="H27" s="6">
        <f t="shared" si="21"/>
        <v>4460</v>
      </c>
      <c r="I27" s="6">
        <f t="shared" si="21"/>
        <v>0</v>
      </c>
      <c r="J27" s="6">
        <f t="shared" si="21"/>
        <v>6700</v>
      </c>
      <c r="K27" s="6">
        <f t="shared" si="21"/>
        <v>0</v>
      </c>
      <c r="L27" s="6">
        <f t="shared" si="21"/>
        <v>0</v>
      </c>
      <c r="M27" s="6">
        <f t="shared" si="21"/>
        <v>6700</v>
      </c>
      <c r="N27" s="6">
        <f t="shared" si="21"/>
        <v>0</v>
      </c>
      <c r="O27" s="6">
        <f t="shared" si="21"/>
        <v>4460</v>
      </c>
      <c r="P27" s="6">
        <f t="shared" si="21"/>
        <v>0</v>
      </c>
      <c r="Q27" s="6">
        <f t="shared" si="21"/>
        <v>0</v>
      </c>
      <c r="R27" s="6">
        <f t="shared" si="19"/>
        <v>22320</v>
      </c>
      <c r="S27" s="6">
        <v>2232.0359860117792</v>
      </c>
      <c r="V27" s="1">
        <v>2</v>
      </c>
      <c r="X27" s="1">
        <v>3</v>
      </c>
      <c r="AA27" s="1">
        <v>3</v>
      </c>
      <c r="AC27" s="1">
        <v>2</v>
      </c>
      <c r="AE27" s="1">
        <v>0</v>
      </c>
    </row>
    <row r="28" spans="4:31" ht="14.25" customHeight="1" x14ac:dyDescent="0.35">
      <c r="D28" s="1" t="s">
        <v>486</v>
      </c>
      <c r="E28" s="1"/>
      <c r="F28" s="6">
        <f t="shared" ref="F28:Q28" si="22">ROUND(+$S28*T28,-1)</f>
        <v>0</v>
      </c>
      <c r="G28" s="6">
        <f t="shared" si="22"/>
        <v>0</v>
      </c>
      <c r="H28" s="6">
        <f t="shared" si="22"/>
        <v>29710</v>
      </c>
      <c r="I28" s="6">
        <f t="shared" si="22"/>
        <v>0</v>
      </c>
      <c r="J28" s="6">
        <f t="shared" si="22"/>
        <v>47540</v>
      </c>
      <c r="K28" s="6">
        <f t="shared" si="22"/>
        <v>0</v>
      </c>
      <c r="L28" s="6">
        <f t="shared" si="22"/>
        <v>0</v>
      </c>
      <c r="M28" s="6">
        <f t="shared" si="22"/>
        <v>53490</v>
      </c>
      <c r="N28" s="6">
        <f t="shared" si="22"/>
        <v>0</v>
      </c>
      <c r="O28" s="6">
        <f t="shared" si="22"/>
        <v>35660</v>
      </c>
      <c r="P28" s="6">
        <f t="shared" si="22"/>
        <v>0</v>
      </c>
      <c r="Q28" s="6">
        <f t="shared" si="22"/>
        <v>11890</v>
      </c>
      <c r="R28" s="6">
        <f t="shared" si="19"/>
        <v>178290</v>
      </c>
      <c r="S28" s="6">
        <v>5942.9578359511343</v>
      </c>
      <c r="V28" s="1">
        <v>5</v>
      </c>
      <c r="X28" s="1">
        <v>8</v>
      </c>
      <c r="AA28" s="1">
        <v>9</v>
      </c>
      <c r="AC28" s="1">
        <v>6</v>
      </c>
      <c r="AE28" s="1">
        <v>2</v>
      </c>
    </row>
    <row r="29" spans="4:31" ht="14.25" customHeight="1" x14ac:dyDescent="0.35">
      <c r="D29" s="1" t="s">
        <v>489</v>
      </c>
      <c r="E29" s="1"/>
      <c r="F29" s="6">
        <f t="shared" ref="F29:Q29" si="23">ROUND(+$S29*T29,-1)</f>
        <v>0</v>
      </c>
      <c r="G29" s="6">
        <f t="shared" si="23"/>
        <v>0</v>
      </c>
      <c r="H29" s="6">
        <f t="shared" si="23"/>
        <v>7400</v>
      </c>
      <c r="I29" s="6">
        <f t="shared" si="23"/>
        <v>0</v>
      </c>
      <c r="J29" s="6">
        <f t="shared" si="23"/>
        <v>12330</v>
      </c>
      <c r="K29" s="6">
        <f t="shared" si="23"/>
        <v>0</v>
      </c>
      <c r="L29" s="6">
        <f t="shared" si="23"/>
        <v>0</v>
      </c>
      <c r="M29" s="6">
        <f t="shared" si="23"/>
        <v>14790</v>
      </c>
      <c r="N29" s="6">
        <f t="shared" si="23"/>
        <v>0</v>
      </c>
      <c r="O29" s="6">
        <f t="shared" si="23"/>
        <v>9860</v>
      </c>
      <c r="P29" s="6">
        <f t="shared" si="23"/>
        <v>0</v>
      </c>
      <c r="Q29" s="6">
        <f t="shared" si="23"/>
        <v>4930</v>
      </c>
      <c r="R29" s="6">
        <f t="shared" si="19"/>
        <v>49310</v>
      </c>
      <c r="S29" s="6">
        <v>2465.6794349860952</v>
      </c>
      <c r="V29" s="1">
        <v>3</v>
      </c>
      <c r="X29" s="1">
        <v>5</v>
      </c>
      <c r="AA29" s="1">
        <v>6</v>
      </c>
      <c r="AC29" s="1">
        <v>4</v>
      </c>
      <c r="AE29" s="1">
        <v>2</v>
      </c>
    </row>
    <row r="30" spans="4:31" ht="14.25" customHeight="1" x14ac:dyDescent="0.35">
      <c r="F30" s="6"/>
      <c r="G30" s="6"/>
      <c r="H30" s="6"/>
      <c r="I30" s="6"/>
      <c r="J30" s="6"/>
      <c r="K30" s="6"/>
      <c r="L30" s="6"/>
      <c r="M30" s="6"/>
      <c r="N30" s="6"/>
      <c r="O30" s="6"/>
      <c r="P30" s="6"/>
      <c r="Q30" s="6"/>
      <c r="S30" s="6"/>
    </row>
    <row r="31" spans="4:31" ht="14.25" customHeight="1" x14ac:dyDescent="0.35">
      <c r="F31" s="6"/>
      <c r="G31" s="6"/>
      <c r="H31" s="6"/>
      <c r="I31" s="6"/>
      <c r="J31" s="6"/>
      <c r="K31" s="6"/>
      <c r="L31" s="6"/>
      <c r="M31" s="6"/>
      <c r="N31" s="6"/>
      <c r="O31" s="6"/>
      <c r="P31" s="6"/>
      <c r="Q31" s="6"/>
      <c r="S31" s="6"/>
    </row>
    <row r="32" spans="4:31" ht="14.25" customHeight="1" x14ac:dyDescent="0.35">
      <c r="F32" s="6"/>
      <c r="G32" s="6"/>
      <c r="H32" s="6"/>
      <c r="I32" s="6"/>
      <c r="J32" s="6"/>
      <c r="K32" s="6"/>
      <c r="L32" s="6"/>
      <c r="M32" s="6"/>
      <c r="N32" s="6"/>
      <c r="O32" s="6"/>
      <c r="P32" s="6"/>
      <c r="Q32" s="6"/>
      <c r="S32" s="6"/>
    </row>
    <row r="33" spans="6:19" ht="14.25" customHeight="1" x14ac:dyDescent="0.35">
      <c r="F33" s="6"/>
      <c r="G33" s="6"/>
      <c r="H33" s="6"/>
      <c r="I33" s="6"/>
      <c r="J33" s="6"/>
      <c r="K33" s="6"/>
      <c r="L33" s="6"/>
      <c r="M33" s="6"/>
      <c r="N33" s="6"/>
      <c r="O33" s="6"/>
      <c r="P33" s="6"/>
      <c r="Q33" s="6"/>
      <c r="S33" s="6"/>
    </row>
    <row r="34" spans="6:19" ht="14.25" customHeight="1" x14ac:dyDescent="0.35">
      <c r="F34" s="6"/>
      <c r="G34" s="6"/>
      <c r="H34" s="6"/>
      <c r="I34" s="6"/>
      <c r="J34" s="6"/>
      <c r="K34" s="6"/>
      <c r="L34" s="6"/>
      <c r="M34" s="6"/>
      <c r="N34" s="6"/>
      <c r="O34" s="6"/>
      <c r="P34" s="6"/>
      <c r="Q34" s="6"/>
      <c r="S34" s="6"/>
    </row>
    <row r="35" spans="6:19" ht="14.25" customHeight="1" x14ac:dyDescent="0.35">
      <c r="F35" s="6"/>
      <c r="G35" s="6"/>
      <c r="H35" s="6"/>
      <c r="I35" s="6"/>
      <c r="J35" s="6"/>
      <c r="K35" s="6"/>
      <c r="L35" s="6"/>
      <c r="M35" s="6"/>
      <c r="N35" s="6"/>
      <c r="O35" s="6"/>
      <c r="P35" s="6"/>
      <c r="Q35" s="6"/>
      <c r="S35" s="6"/>
    </row>
    <row r="36" spans="6:19" ht="14.25" customHeight="1" x14ac:dyDescent="0.35">
      <c r="F36" s="6"/>
      <c r="G36" s="6"/>
      <c r="H36" s="6"/>
      <c r="I36" s="6"/>
      <c r="J36" s="6"/>
      <c r="K36" s="6"/>
      <c r="L36" s="6"/>
      <c r="M36" s="6"/>
      <c r="N36" s="6"/>
      <c r="O36" s="6"/>
      <c r="P36" s="6"/>
      <c r="Q36" s="6"/>
      <c r="S36" s="6"/>
    </row>
    <row r="37" spans="6:19" ht="14.25" customHeight="1" x14ac:dyDescent="0.35">
      <c r="F37" s="6"/>
      <c r="G37" s="6"/>
      <c r="H37" s="6"/>
      <c r="I37" s="6"/>
      <c r="J37" s="6"/>
      <c r="K37" s="6"/>
      <c r="L37" s="6"/>
      <c r="M37" s="6"/>
      <c r="N37" s="6"/>
      <c r="O37" s="6"/>
      <c r="P37" s="6"/>
      <c r="Q37" s="6"/>
      <c r="S37" s="6"/>
    </row>
    <row r="38" spans="6:19" ht="14.25" customHeight="1" x14ac:dyDescent="0.35">
      <c r="F38" s="6"/>
      <c r="G38" s="6"/>
      <c r="H38" s="6"/>
      <c r="I38" s="6"/>
      <c r="J38" s="6"/>
      <c r="K38" s="6"/>
      <c r="L38" s="6"/>
      <c r="M38" s="6"/>
      <c r="N38" s="6"/>
      <c r="O38" s="6"/>
      <c r="P38" s="6"/>
      <c r="Q38" s="6"/>
      <c r="S38" s="6"/>
    </row>
    <row r="39" spans="6:19" ht="14.25" customHeight="1" x14ac:dyDescent="0.35">
      <c r="F39" s="6"/>
      <c r="G39" s="6"/>
      <c r="H39" s="6"/>
      <c r="I39" s="6"/>
      <c r="J39" s="6"/>
      <c r="K39" s="6"/>
      <c r="L39" s="6"/>
      <c r="M39" s="6"/>
      <c r="N39" s="6"/>
      <c r="O39" s="6"/>
      <c r="P39" s="6"/>
      <c r="Q39" s="6"/>
      <c r="S39" s="6"/>
    </row>
    <row r="40" spans="6:19" ht="14.25" customHeight="1" x14ac:dyDescent="0.35">
      <c r="F40" s="6"/>
      <c r="G40" s="6"/>
      <c r="H40" s="6"/>
      <c r="I40" s="6"/>
      <c r="J40" s="6"/>
      <c r="K40" s="6"/>
      <c r="L40" s="6"/>
      <c r="M40" s="6"/>
      <c r="N40" s="6"/>
      <c r="O40" s="6"/>
      <c r="P40" s="6"/>
      <c r="Q40" s="6"/>
      <c r="S40" s="6"/>
    </row>
    <row r="41" spans="6:19" ht="14.25" customHeight="1" x14ac:dyDescent="0.35">
      <c r="F41" s="6"/>
      <c r="G41" s="6"/>
      <c r="H41" s="6"/>
      <c r="I41" s="6"/>
      <c r="J41" s="6"/>
      <c r="K41" s="6"/>
      <c r="L41" s="6"/>
      <c r="M41" s="6"/>
      <c r="N41" s="6"/>
      <c r="O41" s="6"/>
      <c r="P41" s="6"/>
      <c r="Q41" s="6"/>
      <c r="S41" s="6"/>
    </row>
    <row r="42" spans="6:19" ht="14.25" customHeight="1" x14ac:dyDescent="0.35">
      <c r="F42" s="6"/>
      <c r="G42" s="6"/>
      <c r="H42" s="6"/>
      <c r="I42" s="6"/>
      <c r="J42" s="6"/>
      <c r="K42" s="6"/>
      <c r="L42" s="6"/>
      <c r="M42" s="6"/>
      <c r="N42" s="6"/>
      <c r="O42" s="6"/>
      <c r="P42" s="6"/>
      <c r="Q42" s="6"/>
      <c r="S42" s="6"/>
    </row>
    <row r="43" spans="6:19" ht="14.25" customHeight="1" x14ac:dyDescent="0.35">
      <c r="F43" s="6"/>
      <c r="G43" s="6"/>
      <c r="H43" s="6"/>
      <c r="I43" s="6"/>
      <c r="J43" s="6"/>
      <c r="K43" s="6"/>
      <c r="L43" s="6"/>
      <c r="M43" s="6"/>
      <c r="N43" s="6"/>
      <c r="O43" s="6"/>
      <c r="P43" s="6"/>
      <c r="Q43" s="6"/>
      <c r="S43" s="6"/>
    </row>
    <row r="44" spans="6:19" ht="14.25" customHeight="1" x14ac:dyDescent="0.35">
      <c r="F44" s="6"/>
      <c r="G44" s="6"/>
      <c r="H44" s="6"/>
      <c r="I44" s="6"/>
      <c r="J44" s="6"/>
      <c r="K44" s="6"/>
      <c r="L44" s="6"/>
      <c r="M44" s="6"/>
      <c r="N44" s="6"/>
      <c r="O44" s="6"/>
      <c r="P44" s="6"/>
      <c r="Q44" s="6"/>
      <c r="S44" s="6"/>
    </row>
    <row r="45" spans="6:19" ht="14.25" customHeight="1" x14ac:dyDescent="0.35">
      <c r="F45" s="6"/>
      <c r="G45" s="6"/>
      <c r="H45" s="6"/>
      <c r="I45" s="6"/>
      <c r="J45" s="6"/>
      <c r="K45" s="6"/>
      <c r="L45" s="6"/>
      <c r="M45" s="6"/>
      <c r="N45" s="6"/>
      <c r="O45" s="6"/>
      <c r="P45" s="6"/>
      <c r="Q45" s="6"/>
      <c r="S45" s="6"/>
    </row>
    <row r="46" spans="6:19" ht="14.25" customHeight="1" x14ac:dyDescent="0.35">
      <c r="F46" s="6"/>
      <c r="G46" s="6"/>
      <c r="H46" s="6"/>
      <c r="I46" s="6"/>
      <c r="J46" s="6"/>
      <c r="K46" s="6"/>
      <c r="L46" s="6"/>
      <c r="M46" s="6"/>
      <c r="N46" s="6"/>
      <c r="O46" s="6"/>
      <c r="P46" s="6"/>
      <c r="Q46" s="6"/>
      <c r="S46" s="6"/>
    </row>
    <row r="47" spans="6:19" ht="14.25" customHeight="1" x14ac:dyDescent="0.35">
      <c r="F47" s="6"/>
      <c r="G47" s="6"/>
      <c r="H47" s="6"/>
      <c r="I47" s="6"/>
      <c r="J47" s="6"/>
      <c r="K47" s="6"/>
      <c r="L47" s="6"/>
      <c r="M47" s="6"/>
      <c r="N47" s="6"/>
      <c r="O47" s="6"/>
      <c r="P47" s="6"/>
      <c r="Q47" s="6"/>
      <c r="S47" s="6"/>
    </row>
    <row r="48" spans="6:19" ht="14.25" customHeight="1" x14ac:dyDescent="0.35">
      <c r="F48" s="6"/>
      <c r="G48" s="6"/>
      <c r="H48" s="6"/>
      <c r="I48" s="6"/>
      <c r="J48" s="6"/>
      <c r="K48" s="6"/>
      <c r="L48" s="6"/>
      <c r="M48" s="6"/>
      <c r="N48" s="6"/>
      <c r="O48" s="6"/>
      <c r="P48" s="6"/>
      <c r="Q48" s="6"/>
      <c r="S48" s="6"/>
    </row>
    <row r="49" spans="6:19" ht="14.25" customHeight="1" x14ac:dyDescent="0.35">
      <c r="F49" s="6"/>
      <c r="G49" s="6"/>
      <c r="H49" s="6"/>
      <c r="I49" s="6"/>
      <c r="J49" s="6"/>
      <c r="K49" s="6"/>
      <c r="L49" s="6"/>
      <c r="M49" s="6"/>
      <c r="N49" s="6"/>
      <c r="O49" s="6"/>
      <c r="P49" s="6"/>
      <c r="Q49" s="6"/>
      <c r="S49" s="6"/>
    </row>
    <row r="50" spans="6:19" ht="14.25" customHeight="1" x14ac:dyDescent="0.35">
      <c r="F50" s="6"/>
      <c r="G50" s="6"/>
      <c r="H50" s="6"/>
      <c r="I50" s="6"/>
      <c r="J50" s="6"/>
      <c r="K50" s="6"/>
      <c r="L50" s="6"/>
      <c r="M50" s="6"/>
      <c r="N50" s="6"/>
      <c r="O50" s="6"/>
      <c r="P50" s="6"/>
      <c r="Q50" s="6"/>
      <c r="S50" s="6"/>
    </row>
    <row r="51" spans="6:19" ht="14.25" customHeight="1" x14ac:dyDescent="0.35">
      <c r="F51" s="6"/>
      <c r="G51" s="6"/>
      <c r="H51" s="6"/>
      <c r="I51" s="6"/>
      <c r="J51" s="6"/>
      <c r="K51" s="6"/>
      <c r="L51" s="6"/>
      <c r="M51" s="6"/>
      <c r="N51" s="6"/>
      <c r="O51" s="6"/>
      <c r="P51" s="6"/>
      <c r="Q51" s="6"/>
      <c r="S51" s="6"/>
    </row>
    <row r="52" spans="6:19" ht="14.25" customHeight="1" x14ac:dyDescent="0.35">
      <c r="F52" s="6"/>
      <c r="G52" s="6"/>
      <c r="H52" s="6"/>
      <c r="I52" s="6"/>
      <c r="J52" s="6"/>
      <c r="K52" s="6"/>
      <c r="L52" s="6"/>
      <c r="M52" s="6"/>
      <c r="N52" s="6"/>
      <c r="O52" s="6"/>
      <c r="P52" s="6"/>
      <c r="Q52" s="6"/>
      <c r="S52" s="6"/>
    </row>
    <row r="53" spans="6:19" ht="14.25" customHeight="1" x14ac:dyDescent="0.35">
      <c r="F53" s="6"/>
      <c r="G53" s="6"/>
      <c r="H53" s="6"/>
      <c r="I53" s="6"/>
      <c r="J53" s="6"/>
      <c r="K53" s="6"/>
      <c r="L53" s="6"/>
      <c r="M53" s="6"/>
      <c r="N53" s="6"/>
      <c r="O53" s="6"/>
      <c r="P53" s="6"/>
      <c r="Q53" s="6"/>
      <c r="S53" s="6"/>
    </row>
    <row r="54" spans="6:19" ht="14.25" customHeight="1" x14ac:dyDescent="0.35">
      <c r="F54" s="6"/>
      <c r="G54" s="6"/>
      <c r="H54" s="6"/>
      <c r="I54" s="6"/>
      <c r="J54" s="6"/>
      <c r="K54" s="6"/>
      <c r="L54" s="6"/>
      <c r="M54" s="6"/>
      <c r="N54" s="6"/>
      <c r="O54" s="6"/>
      <c r="P54" s="6"/>
      <c r="Q54" s="6"/>
      <c r="S54" s="6"/>
    </row>
    <row r="55" spans="6:19" ht="14.25" customHeight="1" x14ac:dyDescent="0.35">
      <c r="F55" s="6"/>
      <c r="G55" s="6"/>
      <c r="H55" s="6"/>
      <c r="I55" s="6"/>
      <c r="J55" s="6"/>
      <c r="K55" s="6"/>
      <c r="L55" s="6"/>
      <c r="M55" s="6"/>
      <c r="N55" s="6"/>
      <c r="O55" s="6"/>
      <c r="P55" s="6"/>
      <c r="Q55" s="6"/>
      <c r="S55" s="6"/>
    </row>
    <row r="56" spans="6:19" ht="14.25" customHeight="1" x14ac:dyDescent="0.35">
      <c r="F56" s="6"/>
      <c r="G56" s="6"/>
      <c r="H56" s="6"/>
      <c r="I56" s="6"/>
      <c r="J56" s="6"/>
      <c r="K56" s="6"/>
      <c r="L56" s="6"/>
      <c r="M56" s="6"/>
      <c r="N56" s="6"/>
      <c r="O56" s="6"/>
      <c r="P56" s="6"/>
      <c r="Q56" s="6"/>
      <c r="S56" s="6"/>
    </row>
    <row r="57" spans="6:19" ht="14.25" customHeight="1" x14ac:dyDescent="0.35">
      <c r="F57" s="6"/>
      <c r="G57" s="6"/>
      <c r="H57" s="6"/>
      <c r="I57" s="6"/>
      <c r="J57" s="6"/>
      <c r="K57" s="6"/>
      <c r="L57" s="6"/>
      <c r="M57" s="6"/>
      <c r="N57" s="6"/>
      <c r="O57" s="6"/>
      <c r="P57" s="6"/>
      <c r="Q57" s="6"/>
      <c r="S57" s="6"/>
    </row>
    <row r="58" spans="6:19" ht="14.25" customHeight="1" x14ac:dyDescent="0.35">
      <c r="F58" s="6"/>
      <c r="G58" s="6"/>
      <c r="H58" s="6"/>
      <c r="I58" s="6"/>
      <c r="J58" s="6"/>
      <c r="K58" s="6"/>
      <c r="L58" s="6"/>
      <c r="M58" s="6"/>
      <c r="N58" s="6"/>
      <c r="O58" s="6"/>
      <c r="P58" s="6"/>
      <c r="Q58" s="6"/>
      <c r="S58" s="6"/>
    </row>
    <row r="59" spans="6:19" ht="14.25" customHeight="1" x14ac:dyDescent="0.35">
      <c r="F59" s="6"/>
      <c r="G59" s="6"/>
      <c r="H59" s="6"/>
      <c r="I59" s="6"/>
      <c r="J59" s="6"/>
      <c r="K59" s="6"/>
      <c r="L59" s="6"/>
      <c r="M59" s="6"/>
      <c r="N59" s="6"/>
      <c r="O59" s="6"/>
      <c r="P59" s="6"/>
      <c r="Q59" s="6"/>
      <c r="S59" s="6"/>
    </row>
    <row r="60" spans="6:19" ht="14.25" customHeight="1" x14ac:dyDescent="0.35">
      <c r="F60" s="6"/>
      <c r="G60" s="6"/>
      <c r="H60" s="6"/>
      <c r="I60" s="6"/>
      <c r="J60" s="6"/>
      <c r="K60" s="6"/>
      <c r="L60" s="6"/>
      <c r="M60" s="6"/>
      <c r="N60" s="6"/>
      <c r="O60" s="6"/>
      <c r="P60" s="6"/>
      <c r="Q60" s="6"/>
      <c r="S60" s="6"/>
    </row>
    <row r="61" spans="6:19" ht="14.25" customHeight="1" x14ac:dyDescent="0.35">
      <c r="F61" s="6"/>
      <c r="G61" s="6"/>
      <c r="H61" s="6"/>
      <c r="I61" s="6"/>
      <c r="J61" s="6"/>
      <c r="K61" s="6"/>
      <c r="L61" s="6"/>
      <c r="M61" s="6"/>
      <c r="N61" s="6"/>
      <c r="O61" s="6"/>
      <c r="P61" s="6"/>
      <c r="Q61" s="6"/>
      <c r="S61" s="6"/>
    </row>
    <row r="62" spans="6:19" ht="14.25" customHeight="1" x14ac:dyDescent="0.35">
      <c r="F62" s="6"/>
      <c r="G62" s="6"/>
      <c r="H62" s="6"/>
      <c r="I62" s="6"/>
      <c r="J62" s="6"/>
      <c r="K62" s="6"/>
      <c r="L62" s="6"/>
      <c r="M62" s="6"/>
      <c r="N62" s="6"/>
      <c r="O62" s="6"/>
      <c r="P62" s="6"/>
      <c r="Q62" s="6"/>
      <c r="S62" s="6"/>
    </row>
    <row r="63" spans="6:19" ht="14.25" customHeight="1" x14ac:dyDescent="0.35">
      <c r="F63" s="6"/>
      <c r="G63" s="6"/>
      <c r="H63" s="6"/>
      <c r="I63" s="6"/>
      <c r="J63" s="6"/>
      <c r="K63" s="6"/>
      <c r="L63" s="6"/>
      <c r="M63" s="6"/>
      <c r="N63" s="6"/>
      <c r="O63" s="6"/>
      <c r="P63" s="6"/>
      <c r="Q63" s="6"/>
      <c r="S63" s="6"/>
    </row>
    <row r="64" spans="6:19" ht="14.25" customHeight="1" x14ac:dyDescent="0.35">
      <c r="F64" s="6"/>
      <c r="G64" s="6"/>
      <c r="H64" s="6"/>
      <c r="I64" s="6"/>
      <c r="J64" s="6"/>
      <c r="K64" s="6"/>
      <c r="L64" s="6"/>
      <c r="M64" s="6"/>
      <c r="N64" s="6"/>
      <c r="O64" s="6"/>
      <c r="P64" s="6"/>
      <c r="Q64" s="6"/>
      <c r="S64" s="6"/>
    </row>
    <row r="65" spans="6:19" ht="14.25" customHeight="1" x14ac:dyDescent="0.35">
      <c r="F65" s="6"/>
      <c r="G65" s="6"/>
      <c r="H65" s="6"/>
      <c r="I65" s="6"/>
      <c r="J65" s="6"/>
      <c r="K65" s="6"/>
      <c r="L65" s="6"/>
      <c r="M65" s="6"/>
      <c r="N65" s="6"/>
      <c r="O65" s="6"/>
      <c r="P65" s="6"/>
      <c r="Q65" s="6"/>
      <c r="S65" s="6"/>
    </row>
    <row r="66" spans="6:19" ht="14.25" customHeight="1" x14ac:dyDescent="0.35">
      <c r="F66" s="6"/>
      <c r="G66" s="6"/>
      <c r="H66" s="6"/>
      <c r="I66" s="6"/>
      <c r="J66" s="6"/>
      <c r="K66" s="6"/>
      <c r="L66" s="6"/>
      <c r="M66" s="6"/>
      <c r="N66" s="6"/>
      <c r="O66" s="6"/>
      <c r="P66" s="6"/>
      <c r="Q66" s="6"/>
      <c r="S66" s="6"/>
    </row>
    <row r="67" spans="6:19" ht="14.25" customHeight="1" x14ac:dyDescent="0.35">
      <c r="F67" s="6"/>
      <c r="G67" s="6"/>
      <c r="H67" s="6"/>
      <c r="I67" s="6"/>
      <c r="J67" s="6"/>
      <c r="K67" s="6"/>
      <c r="L67" s="6"/>
      <c r="M67" s="6"/>
      <c r="N67" s="6"/>
      <c r="O67" s="6"/>
      <c r="P67" s="6"/>
      <c r="Q67" s="6"/>
      <c r="S67" s="6"/>
    </row>
    <row r="68" spans="6:19" ht="14.25" customHeight="1" x14ac:dyDescent="0.35">
      <c r="F68" s="6"/>
      <c r="G68" s="6"/>
      <c r="H68" s="6"/>
      <c r="I68" s="6"/>
      <c r="J68" s="6"/>
      <c r="K68" s="6"/>
      <c r="L68" s="6"/>
      <c r="M68" s="6"/>
      <c r="N68" s="6"/>
      <c r="O68" s="6"/>
      <c r="P68" s="6"/>
      <c r="Q68" s="6"/>
      <c r="S68" s="6"/>
    </row>
    <row r="69" spans="6:19" ht="14.25" customHeight="1" x14ac:dyDescent="0.35">
      <c r="F69" s="6"/>
      <c r="G69" s="6"/>
      <c r="H69" s="6"/>
      <c r="I69" s="6"/>
      <c r="J69" s="6"/>
      <c r="K69" s="6"/>
      <c r="L69" s="6"/>
      <c r="M69" s="6"/>
      <c r="N69" s="6"/>
      <c r="O69" s="6"/>
      <c r="P69" s="6"/>
      <c r="Q69" s="6"/>
      <c r="S69" s="6"/>
    </row>
    <row r="70" spans="6:19" ht="14.25" customHeight="1" x14ac:dyDescent="0.35">
      <c r="F70" s="6"/>
      <c r="G70" s="6"/>
      <c r="H70" s="6"/>
      <c r="I70" s="6"/>
      <c r="J70" s="6"/>
      <c r="K70" s="6"/>
      <c r="L70" s="6"/>
      <c r="M70" s="6"/>
      <c r="N70" s="6"/>
      <c r="O70" s="6"/>
      <c r="P70" s="6"/>
      <c r="Q70" s="6"/>
      <c r="S70" s="6"/>
    </row>
    <row r="71" spans="6:19" ht="14.25" customHeight="1" x14ac:dyDescent="0.35">
      <c r="F71" s="6"/>
      <c r="G71" s="6"/>
      <c r="H71" s="6"/>
      <c r="I71" s="6"/>
      <c r="J71" s="6"/>
      <c r="K71" s="6"/>
      <c r="L71" s="6"/>
      <c r="M71" s="6"/>
      <c r="N71" s="6"/>
      <c r="O71" s="6"/>
      <c r="P71" s="6"/>
      <c r="Q71" s="6"/>
      <c r="S71" s="6"/>
    </row>
    <row r="72" spans="6:19" ht="14.25" customHeight="1" x14ac:dyDescent="0.35">
      <c r="F72" s="6"/>
      <c r="G72" s="6"/>
      <c r="H72" s="6"/>
      <c r="I72" s="6"/>
      <c r="J72" s="6"/>
      <c r="K72" s="6"/>
      <c r="L72" s="6"/>
      <c r="M72" s="6"/>
      <c r="N72" s="6"/>
      <c r="O72" s="6"/>
      <c r="P72" s="6"/>
      <c r="Q72" s="6"/>
      <c r="S72" s="6"/>
    </row>
    <row r="73" spans="6:19" ht="14.25" customHeight="1" x14ac:dyDescent="0.35">
      <c r="F73" s="6"/>
      <c r="G73" s="6"/>
      <c r="H73" s="6"/>
      <c r="I73" s="6"/>
      <c r="J73" s="6"/>
      <c r="K73" s="6"/>
      <c r="L73" s="6"/>
      <c r="M73" s="6"/>
      <c r="N73" s="6"/>
      <c r="O73" s="6"/>
      <c r="P73" s="6"/>
      <c r="Q73" s="6"/>
      <c r="S73" s="6"/>
    </row>
    <row r="74" spans="6:19" ht="14.25" customHeight="1" x14ac:dyDescent="0.35">
      <c r="F74" s="6"/>
      <c r="G74" s="6"/>
      <c r="H74" s="6"/>
      <c r="I74" s="6"/>
      <c r="J74" s="6"/>
      <c r="K74" s="6"/>
      <c r="L74" s="6"/>
      <c r="M74" s="6"/>
      <c r="N74" s="6"/>
      <c r="O74" s="6"/>
      <c r="P74" s="6"/>
      <c r="Q74" s="6"/>
      <c r="S74" s="6"/>
    </row>
    <row r="75" spans="6:19" ht="14.25" customHeight="1" x14ac:dyDescent="0.35">
      <c r="F75" s="6"/>
      <c r="G75" s="6"/>
      <c r="H75" s="6"/>
      <c r="I75" s="6"/>
      <c r="J75" s="6"/>
      <c r="K75" s="6"/>
      <c r="L75" s="6"/>
      <c r="M75" s="6"/>
      <c r="N75" s="6"/>
      <c r="O75" s="6"/>
      <c r="P75" s="6"/>
      <c r="Q75" s="6"/>
      <c r="S75" s="6"/>
    </row>
    <row r="76" spans="6:19" ht="14.25" customHeight="1" x14ac:dyDescent="0.35">
      <c r="F76" s="6"/>
      <c r="G76" s="6"/>
      <c r="H76" s="6"/>
      <c r="I76" s="6"/>
      <c r="J76" s="6"/>
      <c r="K76" s="6"/>
      <c r="L76" s="6"/>
      <c r="M76" s="6"/>
      <c r="N76" s="6"/>
      <c r="O76" s="6"/>
      <c r="P76" s="6"/>
      <c r="Q76" s="6"/>
      <c r="S76" s="6"/>
    </row>
    <row r="77" spans="6:19" ht="14.25" customHeight="1" x14ac:dyDescent="0.35">
      <c r="F77" s="6"/>
      <c r="G77" s="6"/>
      <c r="H77" s="6"/>
      <c r="I77" s="6"/>
      <c r="J77" s="6"/>
      <c r="K77" s="6"/>
      <c r="L77" s="6"/>
      <c r="M77" s="6"/>
      <c r="N77" s="6"/>
      <c r="O77" s="6"/>
      <c r="P77" s="6"/>
      <c r="Q77" s="6"/>
      <c r="S77" s="6"/>
    </row>
    <row r="78" spans="6:19" ht="14.25" customHeight="1" x14ac:dyDescent="0.35">
      <c r="F78" s="6"/>
      <c r="G78" s="6"/>
      <c r="H78" s="6"/>
      <c r="I78" s="6"/>
      <c r="J78" s="6"/>
      <c r="K78" s="6"/>
      <c r="L78" s="6"/>
      <c r="M78" s="6"/>
      <c r="N78" s="6"/>
      <c r="O78" s="6"/>
      <c r="P78" s="6"/>
      <c r="Q78" s="6"/>
      <c r="S78" s="6"/>
    </row>
    <row r="79" spans="6:19" ht="14.25" customHeight="1" x14ac:dyDescent="0.35">
      <c r="F79" s="6"/>
      <c r="G79" s="6"/>
      <c r="H79" s="6"/>
      <c r="I79" s="6"/>
      <c r="J79" s="6"/>
      <c r="K79" s="6"/>
      <c r="L79" s="6"/>
      <c r="M79" s="6"/>
      <c r="N79" s="6"/>
      <c r="O79" s="6"/>
      <c r="P79" s="6"/>
      <c r="Q79" s="6"/>
      <c r="S79" s="6"/>
    </row>
    <row r="80" spans="6:19" ht="14.25" customHeight="1" x14ac:dyDescent="0.35">
      <c r="F80" s="6"/>
      <c r="G80" s="6"/>
      <c r="H80" s="6"/>
      <c r="I80" s="6"/>
      <c r="J80" s="6"/>
      <c r="K80" s="6"/>
      <c r="L80" s="6"/>
      <c r="M80" s="6"/>
      <c r="N80" s="6"/>
      <c r="O80" s="6"/>
      <c r="P80" s="6"/>
      <c r="Q80" s="6"/>
      <c r="S80" s="6"/>
    </row>
    <row r="81" spans="6:19" ht="14.25" customHeight="1" x14ac:dyDescent="0.35">
      <c r="F81" s="6"/>
      <c r="G81" s="6"/>
      <c r="H81" s="6"/>
      <c r="I81" s="6"/>
      <c r="J81" s="6"/>
      <c r="K81" s="6"/>
      <c r="L81" s="6"/>
      <c r="M81" s="6"/>
      <c r="N81" s="6"/>
      <c r="O81" s="6"/>
      <c r="P81" s="6"/>
      <c r="Q81" s="6"/>
      <c r="S81" s="6"/>
    </row>
    <row r="82" spans="6:19" ht="14.25" customHeight="1" x14ac:dyDescent="0.35">
      <c r="F82" s="6"/>
      <c r="G82" s="6"/>
      <c r="H82" s="6"/>
      <c r="I82" s="6"/>
      <c r="J82" s="6"/>
      <c r="K82" s="6"/>
      <c r="L82" s="6"/>
      <c r="M82" s="6"/>
      <c r="N82" s="6"/>
      <c r="O82" s="6"/>
      <c r="P82" s="6"/>
      <c r="Q82" s="6"/>
      <c r="S82" s="6"/>
    </row>
    <row r="83" spans="6:19" ht="14.25" customHeight="1" x14ac:dyDescent="0.35">
      <c r="F83" s="6"/>
      <c r="G83" s="6"/>
      <c r="H83" s="6"/>
      <c r="I83" s="6"/>
      <c r="J83" s="6"/>
      <c r="K83" s="6"/>
      <c r="L83" s="6"/>
      <c r="M83" s="6"/>
      <c r="N83" s="6"/>
      <c r="O83" s="6"/>
      <c r="P83" s="6"/>
      <c r="Q83" s="6"/>
      <c r="S83" s="6"/>
    </row>
    <row r="84" spans="6:19" ht="14.25" customHeight="1" x14ac:dyDescent="0.35">
      <c r="F84" s="6"/>
      <c r="G84" s="6"/>
      <c r="H84" s="6"/>
      <c r="I84" s="6"/>
      <c r="J84" s="6"/>
      <c r="K84" s="6"/>
      <c r="L84" s="6"/>
      <c r="M84" s="6"/>
      <c r="N84" s="6"/>
      <c r="O84" s="6"/>
      <c r="P84" s="6"/>
      <c r="Q84" s="6"/>
      <c r="S84" s="6"/>
    </row>
    <row r="85" spans="6:19" ht="14.25" customHeight="1" x14ac:dyDescent="0.35">
      <c r="F85" s="6"/>
      <c r="G85" s="6"/>
      <c r="H85" s="6"/>
      <c r="I85" s="6"/>
      <c r="J85" s="6"/>
      <c r="K85" s="6"/>
      <c r="L85" s="6"/>
      <c r="M85" s="6"/>
      <c r="N85" s="6"/>
      <c r="O85" s="6"/>
      <c r="P85" s="6"/>
      <c r="Q85" s="6"/>
      <c r="S85" s="6"/>
    </row>
    <row r="86" spans="6:19" ht="14.25" customHeight="1" x14ac:dyDescent="0.35">
      <c r="F86" s="6"/>
      <c r="G86" s="6"/>
      <c r="H86" s="6"/>
      <c r="I86" s="6"/>
      <c r="J86" s="6"/>
      <c r="K86" s="6"/>
      <c r="L86" s="6"/>
      <c r="M86" s="6"/>
      <c r="N86" s="6"/>
      <c r="O86" s="6"/>
      <c r="P86" s="6"/>
      <c r="Q86" s="6"/>
      <c r="S86" s="6"/>
    </row>
    <row r="87" spans="6:19" ht="14.25" customHeight="1" x14ac:dyDescent="0.35">
      <c r="F87" s="6"/>
      <c r="G87" s="6"/>
      <c r="H87" s="6"/>
      <c r="I87" s="6"/>
      <c r="J87" s="6"/>
      <c r="K87" s="6"/>
      <c r="L87" s="6"/>
      <c r="M87" s="6"/>
      <c r="N87" s="6"/>
      <c r="O87" s="6"/>
      <c r="P87" s="6"/>
      <c r="Q87" s="6"/>
      <c r="S87" s="6"/>
    </row>
    <row r="88" spans="6:19" ht="14.25" customHeight="1" x14ac:dyDescent="0.35">
      <c r="F88" s="6"/>
      <c r="G88" s="6"/>
      <c r="H88" s="6"/>
      <c r="I88" s="6"/>
      <c r="J88" s="6"/>
      <c r="K88" s="6"/>
      <c r="L88" s="6"/>
      <c r="M88" s="6"/>
      <c r="N88" s="6"/>
      <c r="O88" s="6"/>
      <c r="P88" s="6"/>
      <c r="Q88" s="6"/>
      <c r="S88" s="6"/>
    </row>
    <row r="89" spans="6:19" ht="14.25" customHeight="1" x14ac:dyDescent="0.35">
      <c r="F89" s="6"/>
      <c r="G89" s="6"/>
      <c r="H89" s="6"/>
      <c r="I89" s="6"/>
      <c r="J89" s="6"/>
      <c r="K89" s="6"/>
      <c r="L89" s="6"/>
      <c r="M89" s="6"/>
      <c r="N89" s="6"/>
      <c r="O89" s="6"/>
      <c r="P89" s="6"/>
      <c r="Q89" s="6"/>
      <c r="S89" s="6"/>
    </row>
    <row r="90" spans="6:19" ht="14.25" customHeight="1" x14ac:dyDescent="0.35">
      <c r="F90" s="6"/>
      <c r="G90" s="6"/>
      <c r="H90" s="6"/>
      <c r="I90" s="6"/>
      <c r="J90" s="6"/>
      <c r="K90" s="6"/>
      <c r="L90" s="6"/>
      <c r="M90" s="6"/>
      <c r="N90" s="6"/>
      <c r="O90" s="6"/>
      <c r="P90" s="6"/>
      <c r="Q90" s="6"/>
      <c r="S90" s="6"/>
    </row>
    <row r="91" spans="6:19" ht="14.25" customHeight="1" x14ac:dyDescent="0.35">
      <c r="F91" s="6"/>
      <c r="G91" s="6"/>
      <c r="H91" s="6"/>
      <c r="I91" s="6"/>
      <c r="J91" s="6"/>
      <c r="K91" s="6"/>
      <c r="L91" s="6"/>
      <c r="M91" s="6"/>
      <c r="N91" s="6"/>
      <c r="O91" s="6"/>
      <c r="P91" s="6"/>
      <c r="Q91" s="6"/>
      <c r="S91" s="6"/>
    </row>
    <row r="92" spans="6:19" ht="14.25" customHeight="1" x14ac:dyDescent="0.35">
      <c r="F92" s="6"/>
      <c r="G92" s="6"/>
      <c r="H92" s="6"/>
      <c r="I92" s="6"/>
      <c r="J92" s="6"/>
      <c r="K92" s="6"/>
      <c r="L92" s="6"/>
      <c r="M92" s="6"/>
      <c r="N92" s="6"/>
      <c r="O92" s="6"/>
      <c r="P92" s="6"/>
      <c r="Q92" s="6"/>
      <c r="S92" s="6"/>
    </row>
    <row r="93" spans="6:19" ht="14.25" customHeight="1" x14ac:dyDescent="0.35">
      <c r="F93" s="6"/>
      <c r="G93" s="6"/>
      <c r="H93" s="6"/>
      <c r="I93" s="6"/>
      <c r="J93" s="6"/>
      <c r="K93" s="6"/>
      <c r="L93" s="6"/>
      <c r="M93" s="6"/>
      <c r="N93" s="6"/>
      <c r="O93" s="6"/>
      <c r="P93" s="6"/>
      <c r="Q93" s="6"/>
      <c r="S93" s="6"/>
    </row>
    <row r="94" spans="6:19" ht="14.25" customHeight="1" x14ac:dyDescent="0.35">
      <c r="F94" s="6"/>
      <c r="G94" s="6"/>
      <c r="H94" s="6"/>
      <c r="I94" s="6"/>
      <c r="J94" s="6"/>
      <c r="K94" s="6"/>
      <c r="L94" s="6"/>
      <c r="M94" s="6"/>
      <c r="N94" s="6"/>
      <c r="O94" s="6"/>
      <c r="P94" s="6"/>
      <c r="Q94" s="6"/>
      <c r="S94" s="6"/>
    </row>
    <row r="95" spans="6:19" ht="14.25" customHeight="1" x14ac:dyDescent="0.35">
      <c r="F95" s="6"/>
      <c r="G95" s="6"/>
      <c r="H95" s="6"/>
      <c r="I95" s="6"/>
      <c r="J95" s="6"/>
      <c r="K95" s="6"/>
      <c r="L95" s="6"/>
      <c r="M95" s="6"/>
      <c r="N95" s="6"/>
      <c r="O95" s="6"/>
      <c r="P95" s="6"/>
      <c r="Q95" s="6"/>
      <c r="S95" s="6"/>
    </row>
    <row r="96" spans="6:19" ht="14.25" customHeight="1" x14ac:dyDescent="0.35">
      <c r="F96" s="6"/>
      <c r="G96" s="6"/>
      <c r="H96" s="6"/>
      <c r="I96" s="6"/>
      <c r="J96" s="6"/>
      <c r="K96" s="6"/>
      <c r="L96" s="6"/>
      <c r="M96" s="6"/>
      <c r="N96" s="6"/>
      <c r="O96" s="6"/>
      <c r="P96" s="6"/>
      <c r="Q96" s="6"/>
      <c r="S96" s="6"/>
    </row>
    <row r="97" spans="6:19" ht="14.25" customHeight="1" x14ac:dyDescent="0.35">
      <c r="F97" s="6"/>
      <c r="G97" s="6"/>
      <c r="H97" s="6"/>
      <c r="I97" s="6"/>
      <c r="J97" s="6"/>
      <c r="K97" s="6"/>
      <c r="L97" s="6"/>
      <c r="M97" s="6"/>
      <c r="N97" s="6"/>
      <c r="O97" s="6"/>
      <c r="P97" s="6"/>
      <c r="Q97" s="6"/>
      <c r="S97" s="6"/>
    </row>
    <row r="98" spans="6:19" ht="14.25" customHeight="1" x14ac:dyDescent="0.35">
      <c r="F98" s="6"/>
      <c r="G98" s="6"/>
      <c r="H98" s="6"/>
      <c r="I98" s="6"/>
      <c r="J98" s="6"/>
      <c r="K98" s="6"/>
      <c r="L98" s="6"/>
      <c r="M98" s="6"/>
      <c r="N98" s="6"/>
      <c r="O98" s="6"/>
      <c r="P98" s="6"/>
      <c r="Q98" s="6"/>
      <c r="S98" s="6"/>
    </row>
    <row r="99" spans="6:19" ht="14.25" customHeight="1" x14ac:dyDescent="0.35">
      <c r="F99" s="6"/>
      <c r="G99" s="6"/>
      <c r="H99" s="6"/>
      <c r="I99" s="6"/>
      <c r="J99" s="6"/>
      <c r="K99" s="6"/>
      <c r="L99" s="6"/>
      <c r="M99" s="6"/>
      <c r="N99" s="6"/>
      <c r="O99" s="6"/>
      <c r="P99" s="6"/>
      <c r="Q99" s="6"/>
      <c r="S99" s="6"/>
    </row>
    <row r="100" spans="6:19" ht="14.25" customHeight="1" x14ac:dyDescent="0.35">
      <c r="F100" s="6"/>
      <c r="G100" s="6"/>
      <c r="H100" s="6"/>
      <c r="I100" s="6"/>
      <c r="J100" s="6"/>
      <c r="K100" s="6"/>
      <c r="L100" s="6"/>
      <c r="M100" s="6"/>
      <c r="N100" s="6"/>
      <c r="O100" s="6"/>
      <c r="P100" s="6"/>
      <c r="Q100" s="6"/>
      <c r="S100" s="6"/>
    </row>
    <row r="101" spans="6:19" ht="14.25" customHeight="1" x14ac:dyDescent="0.35">
      <c r="F101" s="6"/>
      <c r="G101" s="6"/>
      <c r="H101" s="6"/>
      <c r="I101" s="6"/>
      <c r="J101" s="6"/>
      <c r="K101" s="6"/>
      <c r="L101" s="6"/>
      <c r="M101" s="6"/>
      <c r="N101" s="6"/>
      <c r="O101" s="6"/>
      <c r="P101" s="6"/>
      <c r="Q101" s="6"/>
      <c r="S101" s="6"/>
    </row>
    <row r="102" spans="6:19" ht="14.25" customHeight="1" x14ac:dyDescent="0.35">
      <c r="F102" s="6"/>
      <c r="G102" s="6"/>
      <c r="H102" s="6"/>
      <c r="I102" s="6"/>
      <c r="J102" s="6"/>
      <c r="K102" s="6"/>
      <c r="L102" s="6"/>
      <c r="M102" s="6"/>
      <c r="N102" s="6"/>
      <c r="O102" s="6"/>
      <c r="P102" s="6"/>
      <c r="Q102" s="6"/>
      <c r="S102" s="6"/>
    </row>
    <row r="103" spans="6:19" ht="14.25" customHeight="1" x14ac:dyDescent="0.35">
      <c r="F103" s="6"/>
      <c r="G103" s="6"/>
      <c r="H103" s="6"/>
      <c r="I103" s="6"/>
      <c r="J103" s="6"/>
      <c r="K103" s="6"/>
      <c r="L103" s="6"/>
      <c r="M103" s="6"/>
      <c r="N103" s="6"/>
      <c r="O103" s="6"/>
      <c r="P103" s="6"/>
      <c r="Q103" s="6"/>
      <c r="S103" s="6"/>
    </row>
    <row r="104" spans="6:19" ht="14.25" customHeight="1" x14ac:dyDescent="0.35">
      <c r="F104" s="6"/>
      <c r="G104" s="6"/>
      <c r="H104" s="6"/>
      <c r="I104" s="6"/>
      <c r="J104" s="6"/>
      <c r="K104" s="6"/>
      <c r="L104" s="6"/>
      <c r="M104" s="6"/>
      <c r="N104" s="6"/>
      <c r="O104" s="6"/>
      <c r="P104" s="6"/>
      <c r="Q104" s="6"/>
      <c r="S104" s="6"/>
    </row>
    <row r="105" spans="6:19" ht="14.25" customHeight="1" x14ac:dyDescent="0.35">
      <c r="F105" s="6"/>
      <c r="G105" s="6"/>
      <c r="H105" s="6"/>
      <c r="I105" s="6"/>
      <c r="J105" s="6"/>
      <c r="K105" s="6"/>
      <c r="L105" s="6"/>
      <c r="M105" s="6"/>
      <c r="N105" s="6"/>
      <c r="O105" s="6"/>
      <c r="P105" s="6"/>
      <c r="Q105" s="6"/>
      <c r="S105" s="6"/>
    </row>
    <row r="106" spans="6:19" ht="14.25" customHeight="1" x14ac:dyDescent="0.35">
      <c r="F106" s="6"/>
      <c r="G106" s="6"/>
      <c r="H106" s="6"/>
      <c r="I106" s="6"/>
      <c r="J106" s="6"/>
      <c r="K106" s="6"/>
      <c r="L106" s="6"/>
      <c r="M106" s="6"/>
      <c r="N106" s="6"/>
      <c r="O106" s="6"/>
      <c r="P106" s="6"/>
      <c r="Q106" s="6"/>
      <c r="S106" s="6"/>
    </row>
    <row r="107" spans="6:19" ht="14.25" customHeight="1" x14ac:dyDescent="0.35">
      <c r="F107" s="6"/>
      <c r="G107" s="6"/>
      <c r="H107" s="6"/>
      <c r="I107" s="6"/>
      <c r="J107" s="6"/>
      <c r="K107" s="6"/>
      <c r="L107" s="6"/>
      <c r="M107" s="6"/>
      <c r="N107" s="6"/>
      <c r="O107" s="6"/>
      <c r="P107" s="6"/>
      <c r="Q107" s="6"/>
      <c r="S107" s="6"/>
    </row>
    <row r="108" spans="6:19" ht="14.25" customHeight="1" x14ac:dyDescent="0.35">
      <c r="F108" s="6"/>
      <c r="G108" s="6"/>
      <c r="H108" s="6"/>
      <c r="I108" s="6"/>
      <c r="J108" s="6"/>
      <c r="K108" s="6"/>
      <c r="L108" s="6"/>
      <c r="M108" s="6"/>
      <c r="N108" s="6"/>
      <c r="O108" s="6"/>
      <c r="P108" s="6"/>
      <c r="Q108" s="6"/>
      <c r="S108" s="6"/>
    </row>
    <row r="109" spans="6:19" ht="14.25" customHeight="1" x14ac:dyDescent="0.35">
      <c r="F109" s="6"/>
      <c r="G109" s="6"/>
      <c r="H109" s="6"/>
      <c r="I109" s="6"/>
      <c r="J109" s="6"/>
      <c r="K109" s="6"/>
      <c r="L109" s="6"/>
      <c r="M109" s="6"/>
      <c r="N109" s="6"/>
      <c r="O109" s="6"/>
      <c r="P109" s="6"/>
      <c r="Q109" s="6"/>
      <c r="S109" s="6"/>
    </row>
    <row r="110" spans="6:19" ht="14.25" customHeight="1" x14ac:dyDescent="0.35">
      <c r="F110" s="6"/>
      <c r="G110" s="6"/>
      <c r="H110" s="6"/>
      <c r="I110" s="6"/>
      <c r="J110" s="6"/>
      <c r="K110" s="6"/>
      <c r="L110" s="6"/>
      <c r="M110" s="6"/>
      <c r="N110" s="6"/>
      <c r="O110" s="6"/>
      <c r="P110" s="6"/>
      <c r="Q110" s="6"/>
      <c r="S110" s="6"/>
    </row>
    <row r="111" spans="6:19" ht="14.25" customHeight="1" x14ac:dyDescent="0.35">
      <c r="F111" s="6"/>
      <c r="G111" s="6"/>
      <c r="H111" s="6"/>
      <c r="I111" s="6"/>
      <c r="J111" s="6"/>
      <c r="K111" s="6"/>
      <c r="L111" s="6"/>
      <c r="M111" s="6"/>
      <c r="N111" s="6"/>
      <c r="O111" s="6"/>
      <c r="P111" s="6"/>
      <c r="Q111" s="6"/>
      <c r="S111" s="6"/>
    </row>
    <row r="112" spans="6:19" ht="14.25" customHeight="1" x14ac:dyDescent="0.35">
      <c r="F112" s="6"/>
      <c r="G112" s="6"/>
      <c r="H112" s="6"/>
      <c r="I112" s="6"/>
      <c r="J112" s="6"/>
      <c r="K112" s="6"/>
      <c r="L112" s="6"/>
      <c r="M112" s="6"/>
      <c r="N112" s="6"/>
      <c r="O112" s="6"/>
      <c r="P112" s="6"/>
      <c r="Q112" s="6"/>
      <c r="S112" s="6"/>
    </row>
    <row r="113" spans="6:19" ht="14.25" customHeight="1" x14ac:dyDescent="0.35">
      <c r="F113" s="6"/>
      <c r="G113" s="6"/>
      <c r="H113" s="6"/>
      <c r="I113" s="6"/>
      <c r="J113" s="6"/>
      <c r="K113" s="6"/>
      <c r="L113" s="6"/>
      <c r="M113" s="6"/>
      <c r="N113" s="6"/>
      <c r="O113" s="6"/>
      <c r="P113" s="6"/>
      <c r="Q113" s="6"/>
      <c r="S113" s="6"/>
    </row>
    <row r="114" spans="6:19" ht="14.25" customHeight="1" x14ac:dyDescent="0.35">
      <c r="F114" s="6"/>
      <c r="G114" s="6"/>
      <c r="H114" s="6"/>
      <c r="I114" s="6"/>
      <c r="J114" s="6"/>
      <c r="K114" s="6"/>
      <c r="L114" s="6"/>
      <c r="M114" s="6"/>
      <c r="N114" s="6"/>
      <c r="O114" s="6"/>
      <c r="P114" s="6"/>
      <c r="Q114" s="6"/>
      <c r="S114" s="6"/>
    </row>
    <row r="115" spans="6:19" ht="14.25" customHeight="1" x14ac:dyDescent="0.35">
      <c r="F115" s="6"/>
      <c r="G115" s="6"/>
      <c r="H115" s="6"/>
      <c r="I115" s="6"/>
      <c r="J115" s="6"/>
      <c r="K115" s="6"/>
      <c r="L115" s="6"/>
      <c r="M115" s="6"/>
      <c r="N115" s="6"/>
      <c r="O115" s="6"/>
      <c r="P115" s="6"/>
      <c r="Q115" s="6"/>
      <c r="S115" s="6"/>
    </row>
    <row r="116" spans="6:19" ht="14.25" customHeight="1" x14ac:dyDescent="0.35">
      <c r="F116" s="6"/>
      <c r="G116" s="6"/>
      <c r="H116" s="6"/>
      <c r="I116" s="6"/>
      <c r="J116" s="6"/>
      <c r="K116" s="6"/>
      <c r="L116" s="6"/>
      <c r="M116" s="6"/>
      <c r="N116" s="6"/>
      <c r="O116" s="6"/>
      <c r="P116" s="6"/>
      <c r="Q116" s="6"/>
      <c r="S116" s="6"/>
    </row>
    <row r="117" spans="6:19" ht="14.25" customHeight="1" x14ac:dyDescent="0.35">
      <c r="F117" s="6"/>
      <c r="G117" s="6"/>
      <c r="H117" s="6"/>
      <c r="I117" s="6"/>
      <c r="J117" s="6"/>
      <c r="K117" s="6"/>
      <c r="L117" s="6"/>
      <c r="M117" s="6"/>
      <c r="N117" s="6"/>
      <c r="O117" s="6"/>
      <c r="P117" s="6"/>
      <c r="Q117" s="6"/>
      <c r="S117" s="6"/>
    </row>
    <row r="118" spans="6:19" ht="14.25" customHeight="1" x14ac:dyDescent="0.35">
      <c r="F118" s="6"/>
      <c r="G118" s="6"/>
      <c r="H118" s="6"/>
      <c r="I118" s="6"/>
      <c r="J118" s="6"/>
      <c r="K118" s="6"/>
      <c r="L118" s="6"/>
      <c r="M118" s="6"/>
      <c r="N118" s="6"/>
      <c r="O118" s="6"/>
      <c r="P118" s="6"/>
      <c r="Q118" s="6"/>
      <c r="S118" s="6"/>
    </row>
    <row r="119" spans="6:19" ht="14.25" customHeight="1" x14ac:dyDescent="0.35">
      <c r="F119" s="6"/>
      <c r="G119" s="6"/>
      <c r="H119" s="6"/>
      <c r="I119" s="6"/>
      <c r="J119" s="6"/>
      <c r="K119" s="6"/>
      <c r="L119" s="6"/>
      <c r="M119" s="6"/>
      <c r="N119" s="6"/>
      <c r="O119" s="6"/>
      <c r="P119" s="6"/>
      <c r="Q119" s="6"/>
      <c r="S119" s="6"/>
    </row>
    <row r="120" spans="6:19" ht="14.25" customHeight="1" x14ac:dyDescent="0.35">
      <c r="F120" s="6"/>
      <c r="G120" s="6"/>
      <c r="H120" s="6"/>
      <c r="I120" s="6"/>
      <c r="J120" s="6"/>
      <c r="K120" s="6"/>
      <c r="L120" s="6"/>
      <c r="M120" s="6"/>
      <c r="N120" s="6"/>
      <c r="O120" s="6"/>
      <c r="P120" s="6"/>
      <c r="Q120" s="6"/>
      <c r="S120" s="6"/>
    </row>
    <row r="121" spans="6:19" ht="14.25" customHeight="1" x14ac:dyDescent="0.35">
      <c r="F121" s="6"/>
      <c r="G121" s="6"/>
      <c r="H121" s="6"/>
      <c r="I121" s="6"/>
      <c r="J121" s="6"/>
      <c r="K121" s="6"/>
      <c r="L121" s="6"/>
      <c r="M121" s="6"/>
      <c r="N121" s="6"/>
      <c r="O121" s="6"/>
      <c r="P121" s="6"/>
      <c r="Q121" s="6"/>
      <c r="S121" s="6"/>
    </row>
    <row r="122" spans="6:19" ht="14.25" customHeight="1" x14ac:dyDescent="0.35">
      <c r="F122" s="6"/>
      <c r="G122" s="6"/>
      <c r="H122" s="6"/>
      <c r="I122" s="6"/>
      <c r="J122" s="6"/>
      <c r="K122" s="6"/>
      <c r="L122" s="6"/>
      <c r="M122" s="6"/>
      <c r="N122" s="6"/>
      <c r="O122" s="6"/>
      <c r="P122" s="6"/>
      <c r="Q122" s="6"/>
      <c r="S122" s="6"/>
    </row>
    <row r="123" spans="6:19" ht="14.25" customHeight="1" x14ac:dyDescent="0.35">
      <c r="F123" s="6"/>
      <c r="G123" s="6"/>
      <c r="H123" s="6"/>
      <c r="I123" s="6"/>
      <c r="J123" s="6"/>
      <c r="K123" s="6"/>
      <c r="L123" s="6"/>
      <c r="M123" s="6"/>
      <c r="N123" s="6"/>
      <c r="O123" s="6"/>
      <c r="P123" s="6"/>
      <c r="Q123" s="6"/>
      <c r="S123" s="6"/>
    </row>
    <row r="124" spans="6:19" ht="14.25" customHeight="1" x14ac:dyDescent="0.35">
      <c r="F124" s="6"/>
      <c r="G124" s="6"/>
      <c r="H124" s="6"/>
      <c r="I124" s="6"/>
      <c r="J124" s="6"/>
      <c r="K124" s="6"/>
      <c r="L124" s="6"/>
      <c r="M124" s="6"/>
      <c r="N124" s="6"/>
      <c r="O124" s="6"/>
      <c r="P124" s="6"/>
      <c r="Q124" s="6"/>
      <c r="S124" s="6"/>
    </row>
    <row r="125" spans="6:19" ht="14.25" customHeight="1" x14ac:dyDescent="0.35">
      <c r="F125" s="6"/>
      <c r="G125" s="6"/>
      <c r="H125" s="6"/>
      <c r="I125" s="6"/>
      <c r="J125" s="6"/>
      <c r="K125" s="6"/>
      <c r="L125" s="6"/>
      <c r="M125" s="6"/>
      <c r="N125" s="6"/>
      <c r="O125" s="6"/>
      <c r="P125" s="6"/>
      <c r="Q125" s="6"/>
      <c r="S125" s="6"/>
    </row>
    <row r="126" spans="6:19" ht="14.25" customHeight="1" x14ac:dyDescent="0.35">
      <c r="F126" s="6"/>
      <c r="G126" s="6"/>
      <c r="H126" s="6"/>
      <c r="I126" s="6"/>
      <c r="J126" s="6"/>
      <c r="K126" s="6"/>
      <c r="L126" s="6"/>
      <c r="M126" s="6"/>
      <c r="N126" s="6"/>
      <c r="O126" s="6"/>
      <c r="P126" s="6"/>
      <c r="Q126" s="6"/>
      <c r="S126" s="6"/>
    </row>
    <row r="127" spans="6:19" ht="14.25" customHeight="1" x14ac:dyDescent="0.35">
      <c r="F127" s="6"/>
      <c r="G127" s="6"/>
      <c r="H127" s="6"/>
      <c r="I127" s="6"/>
      <c r="J127" s="6"/>
      <c r="K127" s="6"/>
      <c r="L127" s="6"/>
      <c r="M127" s="6"/>
      <c r="N127" s="6"/>
      <c r="O127" s="6"/>
      <c r="P127" s="6"/>
      <c r="Q127" s="6"/>
      <c r="S127" s="6"/>
    </row>
    <row r="128" spans="6:19" ht="14.25" customHeight="1" x14ac:dyDescent="0.35">
      <c r="F128" s="6"/>
      <c r="G128" s="6"/>
      <c r="H128" s="6"/>
      <c r="I128" s="6"/>
      <c r="J128" s="6"/>
      <c r="K128" s="6"/>
      <c r="L128" s="6"/>
      <c r="M128" s="6"/>
      <c r="N128" s="6"/>
      <c r="O128" s="6"/>
      <c r="P128" s="6"/>
      <c r="Q128" s="6"/>
      <c r="S128" s="6"/>
    </row>
    <row r="129" spans="6:19" ht="14.25" customHeight="1" x14ac:dyDescent="0.35">
      <c r="F129" s="6"/>
      <c r="G129" s="6"/>
      <c r="H129" s="6"/>
      <c r="I129" s="6"/>
      <c r="J129" s="6"/>
      <c r="K129" s="6"/>
      <c r="L129" s="6"/>
      <c r="M129" s="6"/>
      <c r="N129" s="6"/>
      <c r="O129" s="6"/>
      <c r="P129" s="6"/>
      <c r="Q129" s="6"/>
      <c r="S129" s="6"/>
    </row>
    <row r="130" spans="6:19" ht="14.25" customHeight="1" x14ac:dyDescent="0.35">
      <c r="F130" s="6"/>
      <c r="G130" s="6"/>
      <c r="H130" s="6"/>
      <c r="I130" s="6"/>
      <c r="J130" s="6"/>
      <c r="K130" s="6"/>
      <c r="L130" s="6"/>
      <c r="M130" s="6"/>
      <c r="N130" s="6"/>
      <c r="O130" s="6"/>
      <c r="P130" s="6"/>
      <c r="Q130" s="6"/>
      <c r="S130" s="6"/>
    </row>
    <row r="131" spans="6:19" ht="14.25" customHeight="1" x14ac:dyDescent="0.35">
      <c r="F131" s="6"/>
      <c r="G131" s="6"/>
      <c r="H131" s="6"/>
      <c r="I131" s="6"/>
      <c r="J131" s="6"/>
      <c r="K131" s="6"/>
      <c r="L131" s="6"/>
      <c r="M131" s="6"/>
      <c r="N131" s="6"/>
      <c r="O131" s="6"/>
      <c r="P131" s="6"/>
      <c r="Q131" s="6"/>
      <c r="S131" s="6"/>
    </row>
    <row r="132" spans="6:19" ht="14.25" customHeight="1" x14ac:dyDescent="0.35">
      <c r="F132" s="6"/>
      <c r="G132" s="6"/>
      <c r="H132" s="6"/>
      <c r="I132" s="6"/>
      <c r="J132" s="6"/>
      <c r="K132" s="6"/>
      <c r="L132" s="6"/>
      <c r="M132" s="6"/>
      <c r="N132" s="6"/>
      <c r="O132" s="6"/>
      <c r="P132" s="6"/>
      <c r="Q132" s="6"/>
      <c r="S132" s="6"/>
    </row>
    <row r="133" spans="6:19" ht="14.25" customHeight="1" x14ac:dyDescent="0.35">
      <c r="F133" s="6"/>
      <c r="G133" s="6"/>
      <c r="H133" s="6"/>
      <c r="I133" s="6"/>
      <c r="J133" s="6"/>
      <c r="K133" s="6"/>
      <c r="L133" s="6"/>
      <c r="M133" s="6"/>
      <c r="N133" s="6"/>
      <c r="O133" s="6"/>
      <c r="P133" s="6"/>
      <c r="Q133" s="6"/>
      <c r="S133" s="6"/>
    </row>
    <row r="134" spans="6:19" ht="14.25" customHeight="1" x14ac:dyDescent="0.35">
      <c r="F134" s="6"/>
      <c r="G134" s="6"/>
      <c r="H134" s="6"/>
      <c r="I134" s="6"/>
      <c r="J134" s="6"/>
      <c r="K134" s="6"/>
      <c r="L134" s="6"/>
      <c r="M134" s="6"/>
      <c r="N134" s="6"/>
      <c r="O134" s="6"/>
      <c r="P134" s="6"/>
      <c r="Q134" s="6"/>
      <c r="S134" s="6"/>
    </row>
    <row r="135" spans="6:19" ht="14.25" customHeight="1" x14ac:dyDescent="0.35">
      <c r="F135" s="6"/>
      <c r="G135" s="6"/>
      <c r="H135" s="6"/>
      <c r="I135" s="6"/>
      <c r="J135" s="6"/>
      <c r="K135" s="6"/>
      <c r="L135" s="6"/>
      <c r="M135" s="6"/>
      <c r="N135" s="6"/>
      <c r="O135" s="6"/>
      <c r="P135" s="6"/>
      <c r="Q135" s="6"/>
      <c r="S135" s="6"/>
    </row>
    <row r="136" spans="6:19" ht="14.25" customHeight="1" x14ac:dyDescent="0.35">
      <c r="F136" s="6"/>
      <c r="G136" s="6"/>
      <c r="H136" s="6"/>
      <c r="I136" s="6"/>
      <c r="J136" s="6"/>
      <c r="K136" s="6"/>
      <c r="L136" s="6"/>
      <c r="M136" s="6"/>
      <c r="N136" s="6"/>
      <c r="O136" s="6"/>
      <c r="P136" s="6"/>
      <c r="Q136" s="6"/>
      <c r="S136" s="6"/>
    </row>
    <row r="137" spans="6:19" ht="14.25" customHeight="1" x14ac:dyDescent="0.35">
      <c r="F137" s="6"/>
      <c r="G137" s="6"/>
      <c r="H137" s="6"/>
      <c r="I137" s="6"/>
      <c r="J137" s="6"/>
      <c r="K137" s="6"/>
      <c r="L137" s="6"/>
      <c r="M137" s="6"/>
      <c r="N137" s="6"/>
      <c r="O137" s="6"/>
      <c r="P137" s="6"/>
      <c r="Q137" s="6"/>
      <c r="S137" s="6"/>
    </row>
    <row r="138" spans="6:19" ht="14.25" customHeight="1" x14ac:dyDescent="0.35">
      <c r="F138" s="6"/>
      <c r="G138" s="6"/>
      <c r="H138" s="6"/>
      <c r="I138" s="6"/>
      <c r="J138" s="6"/>
      <c r="K138" s="6"/>
      <c r="L138" s="6"/>
      <c r="M138" s="6"/>
      <c r="N138" s="6"/>
      <c r="O138" s="6"/>
      <c r="P138" s="6"/>
      <c r="Q138" s="6"/>
      <c r="S138" s="6"/>
    </row>
    <row r="139" spans="6:19" ht="14.25" customHeight="1" x14ac:dyDescent="0.35">
      <c r="F139" s="6"/>
      <c r="G139" s="6"/>
      <c r="H139" s="6"/>
      <c r="I139" s="6"/>
      <c r="J139" s="6"/>
      <c r="K139" s="6"/>
      <c r="L139" s="6"/>
      <c r="M139" s="6"/>
      <c r="N139" s="6"/>
      <c r="O139" s="6"/>
      <c r="P139" s="6"/>
      <c r="Q139" s="6"/>
      <c r="S139" s="6"/>
    </row>
    <row r="140" spans="6:19" ht="14.25" customHeight="1" x14ac:dyDescent="0.35">
      <c r="F140" s="6"/>
      <c r="G140" s="6"/>
      <c r="H140" s="6"/>
      <c r="I140" s="6"/>
      <c r="J140" s="6"/>
      <c r="K140" s="6"/>
      <c r="L140" s="6"/>
      <c r="M140" s="6"/>
      <c r="N140" s="6"/>
      <c r="O140" s="6"/>
      <c r="P140" s="6"/>
      <c r="Q140" s="6"/>
      <c r="S140" s="6"/>
    </row>
    <row r="141" spans="6:19" ht="14.25" customHeight="1" x14ac:dyDescent="0.35">
      <c r="F141" s="6"/>
      <c r="G141" s="6"/>
      <c r="H141" s="6"/>
      <c r="I141" s="6"/>
      <c r="J141" s="6"/>
      <c r="K141" s="6"/>
      <c r="L141" s="6"/>
      <c r="M141" s="6"/>
      <c r="N141" s="6"/>
      <c r="O141" s="6"/>
      <c r="P141" s="6"/>
      <c r="Q141" s="6"/>
      <c r="S141" s="6"/>
    </row>
    <row r="142" spans="6:19" ht="14.25" customHeight="1" x14ac:dyDescent="0.35">
      <c r="F142" s="6"/>
      <c r="G142" s="6"/>
      <c r="H142" s="6"/>
      <c r="I142" s="6"/>
      <c r="J142" s="6"/>
      <c r="K142" s="6"/>
      <c r="L142" s="6"/>
      <c r="M142" s="6"/>
      <c r="N142" s="6"/>
      <c r="O142" s="6"/>
      <c r="P142" s="6"/>
      <c r="Q142" s="6"/>
      <c r="S142" s="6"/>
    </row>
    <row r="143" spans="6:19" ht="14.25" customHeight="1" x14ac:dyDescent="0.35">
      <c r="F143" s="6"/>
      <c r="G143" s="6"/>
      <c r="H143" s="6"/>
      <c r="I143" s="6"/>
      <c r="J143" s="6"/>
      <c r="K143" s="6"/>
      <c r="L143" s="6"/>
      <c r="M143" s="6"/>
      <c r="N143" s="6"/>
      <c r="O143" s="6"/>
      <c r="P143" s="6"/>
      <c r="Q143" s="6"/>
      <c r="S143" s="6"/>
    </row>
    <row r="144" spans="6:19" ht="14.25" customHeight="1" x14ac:dyDescent="0.35">
      <c r="F144" s="6"/>
      <c r="G144" s="6"/>
      <c r="H144" s="6"/>
      <c r="I144" s="6"/>
      <c r="J144" s="6"/>
      <c r="K144" s="6"/>
      <c r="L144" s="6"/>
      <c r="M144" s="6"/>
      <c r="N144" s="6"/>
      <c r="O144" s="6"/>
      <c r="P144" s="6"/>
      <c r="Q144" s="6"/>
      <c r="S144" s="6"/>
    </row>
    <row r="145" spans="6:19" ht="14.25" customHeight="1" x14ac:dyDescent="0.35">
      <c r="F145" s="6"/>
      <c r="G145" s="6"/>
      <c r="H145" s="6"/>
      <c r="I145" s="6"/>
      <c r="J145" s="6"/>
      <c r="K145" s="6"/>
      <c r="L145" s="6"/>
      <c r="M145" s="6"/>
      <c r="N145" s="6"/>
      <c r="O145" s="6"/>
      <c r="P145" s="6"/>
      <c r="Q145" s="6"/>
      <c r="S145" s="6"/>
    </row>
    <row r="146" spans="6:19" ht="14.25" customHeight="1" x14ac:dyDescent="0.35">
      <c r="F146" s="6"/>
      <c r="G146" s="6"/>
      <c r="H146" s="6"/>
      <c r="I146" s="6"/>
      <c r="J146" s="6"/>
      <c r="K146" s="6"/>
      <c r="L146" s="6"/>
      <c r="M146" s="6"/>
      <c r="N146" s="6"/>
      <c r="O146" s="6"/>
      <c r="P146" s="6"/>
      <c r="Q146" s="6"/>
      <c r="S146" s="6"/>
    </row>
    <row r="147" spans="6:19" ht="14.25" customHeight="1" x14ac:dyDescent="0.35">
      <c r="F147" s="6"/>
      <c r="G147" s="6"/>
      <c r="H147" s="6"/>
      <c r="I147" s="6"/>
      <c r="J147" s="6"/>
      <c r="K147" s="6"/>
      <c r="L147" s="6"/>
      <c r="M147" s="6"/>
      <c r="N147" s="6"/>
      <c r="O147" s="6"/>
      <c r="P147" s="6"/>
      <c r="Q147" s="6"/>
      <c r="S147" s="6"/>
    </row>
    <row r="148" spans="6:19" ht="14.25" customHeight="1" x14ac:dyDescent="0.35">
      <c r="F148" s="6"/>
      <c r="G148" s="6"/>
      <c r="H148" s="6"/>
      <c r="I148" s="6"/>
      <c r="J148" s="6"/>
      <c r="K148" s="6"/>
      <c r="L148" s="6"/>
      <c r="M148" s="6"/>
      <c r="N148" s="6"/>
      <c r="O148" s="6"/>
      <c r="P148" s="6"/>
      <c r="Q148" s="6"/>
      <c r="S148" s="6"/>
    </row>
    <row r="149" spans="6:19" ht="14.25" customHeight="1" x14ac:dyDescent="0.35">
      <c r="F149" s="6"/>
      <c r="G149" s="6"/>
      <c r="H149" s="6"/>
      <c r="I149" s="6"/>
      <c r="J149" s="6"/>
      <c r="K149" s="6"/>
      <c r="L149" s="6"/>
      <c r="M149" s="6"/>
      <c r="N149" s="6"/>
      <c r="O149" s="6"/>
      <c r="P149" s="6"/>
      <c r="Q149" s="6"/>
      <c r="S149" s="6"/>
    </row>
    <row r="150" spans="6:19" ht="14.25" customHeight="1" x14ac:dyDescent="0.35">
      <c r="F150" s="6"/>
      <c r="G150" s="6"/>
      <c r="H150" s="6"/>
      <c r="I150" s="6"/>
      <c r="J150" s="6"/>
      <c r="K150" s="6"/>
      <c r="L150" s="6"/>
      <c r="M150" s="6"/>
      <c r="N150" s="6"/>
      <c r="O150" s="6"/>
      <c r="P150" s="6"/>
      <c r="Q150" s="6"/>
      <c r="S150" s="6"/>
    </row>
    <row r="151" spans="6:19" ht="14.25" customHeight="1" x14ac:dyDescent="0.35">
      <c r="F151" s="6"/>
      <c r="G151" s="6"/>
      <c r="H151" s="6"/>
      <c r="I151" s="6"/>
      <c r="J151" s="6"/>
      <c r="K151" s="6"/>
      <c r="L151" s="6"/>
      <c r="M151" s="6"/>
      <c r="N151" s="6"/>
      <c r="O151" s="6"/>
      <c r="P151" s="6"/>
      <c r="Q151" s="6"/>
      <c r="S151" s="6"/>
    </row>
    <row r="152" spans="6:19" ht="14.25" customHeight="1" x14ac:dyDescent="0.35">
      <c r="F152" s="6"/>
      <c r="G152" s="6"/>
      <c r="H152" s="6"/>
      <c r="I152" s="6"/>
      <c r="J152" s="6"/>
      <c r="K152" s="6"/>
      <c r="L152" s="6"/>
      <c r="M152" s="6"/>
      <c r="N152" s="6"/>
      <c r="O152" s="6"/>
      <c r="P152" s="6"/>
      <c r="Q152" s="6"/>
      <c r="S152" s="6"/>
    </row>
    <row r="153" spans="6:19" ht="14.25" customHeight="1" x14ac:dyDescent="0.35">
      <c r="F153" s="6"/>
      <c r="G153" s="6"/>
      <c r="H153" s="6"/>
      <c r="I153" s="6"/>
      <c r="J153" s="6"/>
      <c r="K153" s="6"/>
      <c r="L153" s="6"/>
      <c r="M153" s="6"/>
      <c r="N153" s="6"/>
      <c r="O153" s="6"/>
      <c r="P153" s="6"/>
      <c r="Q153" s="6"/>
      <c r="S153" s="6"/>
    </row>
    <row r="154" spans="6:19" ht="14.25" customHeight="1" x14ac:dyDescent="0.35">
      <c r="F154" s="6"/>
      <c r="G154" s="6"/>
      <c r="H154" s="6"/>
      <c r="I154" s="6"/>
      <c r="J154" s="6"/>
      <c r="K154" s="6"/>
      <c r="L154" s="6"/>
      <c r="M154" s="6"/>
      <c r="N154" s="6"/>
      <c r="O154" s="6"/>
      <c r="P154" s="6"/>
      <c r="Q154" s="6"/>
      <c r="S154" s="6"/>
    </row>
    <row r="155" spans="6:19" ht="14.25" customHeight="1" x14ac:dyDescent="0.35">
      <c r="F155" s="6"/>
      <c r="G155" s="6"/>
      <c r="H155" s="6"/>
      <c r="I155" s="6"/>
      <c r="J155" s="6"/>
      <c r="K155" s="6"/>
      <c r="L155" s="6"/>
      <c r="M155" s="6"/>
      <c r="N155" s="6"/>
      <c r="O155" s="6"/>
      <c r="P155" s="6"/>
      <c r="Q155" s="6"/>
      <c r="S155" s="6"/>
    </row>
    <row r="156" spans="6:19" ht="14.25" customHeight="1" x14ac:dyDescent="0.35">
      <c r="F156" s="6"/>
      <c r="G156" s="6"/>
      <c r="H156" s="6"/>
      <c r="I156" s="6"/>
      <c r="J156" s="6"/>
      <c r="K156" s="6"/>
      <c r="L156" s="6"/>
      <c r="M156" s="6"/>
      <c r="N156" s="6"/>
      <c r="O156" s="6"/>
      <c r="P156" s="6"/>
      <c r="Q156" s="6"/>
      <c r="S156" s="6"/>
    </row>
    <row r="157" spans="6:19" ht="14.25" customHeight="1" x14ac:dyDescent="0.35">
      <c r="F157" s="6"/>
      <c r="G157" s="6"/>
      <c r="H157" s="6"/>
      <c r="I157" s="6"/>
      <c r="J157" s="6"/>
      <c r="K157" s="6"/>
      <c r="L157" s="6"/>
      <c r="M157" s="6"/>
      <c r="N157" s="6"/>
      <c r="O157" s="6"/>
      <c r="P157" s="6"/>
      <c r="Q157" s="6"/>
      <c r="S157" s="6"/>
    </row>
    <row r="158" spans="6:19" ht="14.25" customHeight="1" x14ac:dyDescent="0.35">
      <c r="F158" s="6"/>
      <c r="G158" s="6"/>
      <c r="H158" s="6"/>
      <c r="I158" s="6"/>
      <c r="J158" s="6"/>
      <c r="K158" s="6"/>
      <c r="L158" s="6"/>
      <c r="M158" s="6"/>
      <c r="N158" s="6"/>
      <c r="O158" s="6"/>
      <c r="P158" s="6"/>
      <c r="Q158" s="6"/>
      <c r="S158" s="6"/>
    </row>
    <row r="159" spans="6:19" ht="14.25" customHeight="1" x14ac:dyDescent="0.35">
      <c r="F159" s="6"/>
      <c r="G159" s="6"/>
      <c r="H159" s="6"/>
      <c r="I159" s="6"/>
      <c r="J159" s="6"/>
      <c r="K159" s="6"/>
      <c r="L159" s="6"/>
      <c r="M159" s="6"/>
      <c r="N159" s="6"/>
      <c r="O159" s="6"/>
      <c r="P159" s="6"/>
      <c r="Q159" s="6"/>
      <c r="S159" s="6"/>
    </row>
    <row r="160" spans="6:19" ht="14.25" customHeight="1" x14ac:dyDescent="0.35">
      <c r="F160" s="6"/>
      <c r="G160" s="6"/>
      <c r="H160" s="6"/>
      <c r="I160" s="6"/>
      <c r="J160" s="6"/>
      <c r="K160" s="6"/>
      <c r="L160" s="6"/>
      <c r="M160" s="6"/>
      <c r="N160" s="6"/>
      <c r="O160" s="6"/>
      <c r="P160" s="6"/>
      <c r="Q160" s="6"/>
      <c r="S160" s="6"/>
    </row>
    <row r="161" spans="6:19" ht="14.25" customHeight="1" x14ac:dyDescent="0.35">
      <c r="F161" s="6"/>
      <c r="G161" s="6"/>
      <c r="H161" s="6"/>
      <c r="I161" s="6"/>
      <c r="J161" s="6"/>
      <c r="K161" s="6"/>
      <c r="L161" s="6"/>
      <c r="M161" s="6"/>
      <c r="N161" s="6"/>
      <c r="O161" s="6"/>
      <c r="P161" s="6"/>
      <c r="Q161" s="6"/>
      <c r="S161" s="6"/>
    </row>
    <row r="162" spans="6:19" ht="14.25" customHeight="1" x14ac:dyDescent="0.35">
      <c r="F162" s="6"/>
      <c r="G162" s="6"/>
      <c r="H162" s="6"/>
      <c r="I162" s="6"/>
      <c r="J162" s="6"/>
      <c r="K162" s="6"/>
      <c r="L162" s="6"/>
      <c r="M162" s="6"/>
      <c r="N162" s="6"/>
      <c r="O162" s="6"/>
      <c r="P162" s="6"/>
      <c r="Q162" s="6"/>
      <c r="S162" s="6"/>
    </row>
    <row r="163" spans="6:19" ht="14.25" customHeight="1" x14ac:dyDescent="0.35">
      <c r="F163" s="6"/>
      <c r="G163" s="6"/>
      <c r="H163" s="6"/>
      <c r="I163" s="6"/>
      <c r="J163" s="6"/>
      <c r="K163" s="6"/>
      <c r="L163" s="6"/>
      <c r="M163" s="6"/>
      <c r="N163" s="6"/>
      <c r="O163" s="6"/>
      <c r="P163" s="6"/>
      <c r="Q163" s="6"/>
      <c r="S163" s="6"/>
    </row>
    <row r="164" spans="6:19" ht="14.25" customHeight="1" x14ac:dyDescent="0.35">
      <c r="F164" s="6"/>
      <c r="G164" s="6"/>
      <c r="H164" s="6"/>
      <c r="I164" s="6"/>
      <c r="J164" s="6"/>
      <c r="K164" s="6"/>
      <c r="L164" s="6"/>
      <c r="M164" s="6"/>
      <c r="N164" s="6"/>
      <c r="O164" s="6"/>
      <c r="P164" s="6"/>
      <c r="Q164" s="6"/>
      <c r="S164" s="6"/>
    </row>
    <row r="165" spans="6:19" ht="14.25" customHeight="1" x14ac:dyDescent="0.35">
      <c r="F165" s="6"/>
      <c r="G165" s="6"/>
      <c r="H165" s="6"/>
      <c r="I165" s="6"/>
      <c r="J165" s="6"/>
      <c r="K165" s="6"/>
      <c r="L165" s="6"/>
      <c r="M165" s="6"/>
      <c r="N165" s="6"/>
      <c r="O165" s="6"/>
      <c r="P165" s="6"/>
      <c r="Q165" s="6"/>
      <c r="S165" s="6"/>
    </row>
    <row r="166" spans="6:19" ht="14.25" customHeight="1" x14ac:dyDescent="0.35">
      <c r="F166" s="6"/>
      <c r="G166" s="6"/>
      <c r="H166" s="6"/>
      <c r="I166" s="6"/>
      <c r="J166" s="6"/>
      <c r="K166" s="6"/>
      <c r="L166" s="6"/>
      <c r="M166" s="6"/>
      <c r="N166" s="6"/>
      <c r="O166" s="6"/>
      <c r="P166" s="6"/>
      <c r="Q166" s="6"/>
      <c r="S166" s="6"/>
    </row>
    <row r="167" spans="6:19" ht="14.25" customHeight="1" x14ac:dyDescent="0.35">
      <c r="F167" s="6"/>
      <c r="G167" s="6"/>
      <c r="H167" s="6"/>
      <c r="I167" s="6"/>
      <c r="J167" s="6"/>
      <c r="K167" s="6"/>
      <c r="L167" s="6"/>
      <c r="M167" s="6"/>
      <c r="N167" s="6"/>
      <c r="O167" s="6"/>
      <c r="P167" s="6"/>
      <c r="Q167" s="6"/>
      <c r="S167" s="6"/>
    </row>
    <row r="168" spans="6:19" ht="14.25" customHeight="1" x14ac:dyDescent="0.35">
      <c r="F168" s="6"/>
      <c r="G168" s="6"/>
      <c r="H168" s="6"/>
      <c r="I168" s="6"/>
      <c r="J168" s="6"/>
      <c r="K168" s="6"/>
      <c r="L168" s="6"/>
      <c r="M168" s="6"/>
      <c r="N168" s="6"/>
      <c r="O168" s="6"/>
      <c r="P168" s="6"/>
      <c r="Q168" s="6"/>
      <c r="S168" s="6"/>
    </row>
    <row r="169" spans="6:19" ht="14.25" customHeight="1" x14ac:dyDescent="0.35">
      <c r="F169" s="6"/>
      <c r="G169" s="6"/>
      <c r="H169" s="6"/>
      <c r="I169" s="6"/>
      <c r="J169" s="6"/>
      <c r="K169" s="6"/>
      <c r="L169" s="6"/>
      <c r="M169" s="6"/>
      <c r="N169" s="6"/>
      <c r="O169" s="6"/>
      <c r="P169" s="6"/>
      <c r="Q169" s="6"/>
      <c r="S169" s="6"/>
    </row>
    <row r="170" spans="6:19" ht="14.25" customHeight="1" x14ac:dyDescent="0.35">
      <c r="F170" s="6"/>
      <c r="G170" s="6"/>
      <c r="H170" s="6"/>
      <c r="I170" s="6"/>
      <c r="J170" s="6"/>
      <c r="K170" s="6"/>
      <c r="L170" s="6"/>
      <c r="M170" s="6"/>
      <c r="N170" s="6"/>
      <c r="O170" s="6"/>
      <c r="P170" s="6"/>
      <c r="Q170" s="6"/>
      <c r="S170" s="6"/>
    </row>
    <row r="171" spans="6:19" ht="14.25" customHeight="1" x14ac:dyDescent="0.35">
      <c r="F171" s="6"/>
      <c r="G171" s="6"/>
      <c r="H171" s="6"/>
      <c r="I171" s="6"/>
      <c r="J171" s="6"/>
      <c r="K171" s="6"/>
      <c r="L171" s="6"/>
      <c r="M171" s="6"/>
      <c r="N171" s="6"/>
      <c r="O171" s="6"/>
      <c r="P171" s="6"/>
      <c r="Q171" s="6"/>
      <c r="S171" s="6"/>
    </row>
    <row r="172" spans="6:19" ht="14.25" customHeight="1" x14ac:dyDescent="0.35">
      <c r="F172" s="6"/>
      <c r="G172" s="6"/>
      <c r="H172" s="6"/>
      <c r="I172" s="6"/>
      <c r="J172" s="6"/>
      <c r="K172" s="6"/>
      <c r="L172" s="6"/>
      <c r="M172" s="6"/>
      <c r="N172" s="6"/>
      <c r="O172" s="6"/>
      <c r="P172" s="6"/>
      <c r="Q172" s="6"/>
      <c r="S172" s="6"/>
    </row>
    <row r="173" spans="6:19" ht="14.25" customHeight="1" x14ac:dyDescent="0.35">
      <c r="F173" s="6"/>
      <c r="G173" s="6"/>
      <c r="H173" s="6"/>
      <c r="I173" s="6"/>
      <c r="J173" s="6"/>
      <c r="K173" s="6"/>
      <c r="L173" s="6"/>
      <c r="M173" s="6"/>
      <c r="N173" s="6"/>
      <c r="O173" s="6"/>
      <c r="P173" s="6"/>
      <c r="Q173" s="6"/>
      <c r="S173" s="6"/>
    </row>
    <row r="174" spans="6:19" ht="14.25" customHeight="1" x14ac:dyDescent="0.35">
      <c r="F174" s="6"/>
      <c r="G174" s="6"/>
      <c r="H174" s="6"/>
      <c r="I174" s="6"/>
      <c r="J174" s="6"/>
      <c r="K174" s="6"/>
      <c r="L174" s="6"/>
      <c r="M174" s="6"/>
      <c r="N174" s="6"/>
      <c r="O174" s="6"/>
      <c r="P174" s="6"/>
      <c r="Q174" s="6"/>
      <c r="S174" s="6"/>
    </row>
    <row r="175" spans="6:19" ht="14.25" customHeight="1" x14ac:dyDescent="0.35">
      <c r="F175" s="6"/>
      <c r="G175" s="6"/>
      <c r="H175" s="6"/>
      <c r="I175" s="6"/>
      <c r="J175" s="6"/>
      <c r="K175" s="6"/>
      <c r="L175" s="6"/>
      <c r="M175" s="6"/>
      <c r="N175" s="6"/>
      <c r="O175" s="6"/>
      <c r="P175" s="6"/>
      <c r="Q175" s="6"/>
      <c r="S175" s="6"/>
    </row>
    <row r="176" spans="6:19" ht="14.25" customHeight="1" x14ac:dyDescent="0.35">
      <c r="F176" s="6"/>
      <c r="G176" s="6"/>
      <c r="H176" s="6"/>
      <c r="I176" s="6"/>
      <c r="J176" s="6"/>
      <c r="K176" s="6"/>
      <c r="L176" s="6"/>
      <c r="M176" s="6"/>
      <c r="N176" s="6"/>
      <c r="O176" s="6"/>
      <c r="P176" s="6"/>
      <c r="Q176" s="6"/>
      <c r="S176" s="6"/>
    </row>
    <row r="177" spans="6:19" ht="14.25" customHeight="1" x14ac:dyDescent="0.35">
      <c r="F177" s="6"/>
      <c r="G177" s="6"/>
      <c r="H177" s="6"/>
      <c r="I177" s="6"/>
      <c r="J177" s="6"/>
      <c r="K177" s="6"/>
      <c r="L177" s="6"/>
      <c r="M177" s="6"/>
      <c r="N177" s="6"/>
      <c r="O177" s="6"/>
      <c r="P177" s="6"/>
      <c r="Q177" s="6"/>
      <c r="S177" s="6"/>
    </row>
    <row r="178" spans="6:19" ht="14.25" customHeight="1" x14ac:dyDescent="0.35">
      <c r="F178" s="6"/>
      <c r="G178" s="6"/>
      <c r="H178" s="6"/>
      <c r="I178" s="6"/>
      <c r="J178" s="6"/>
      <c r="K178" s="6"/>
      <c r="L178" s="6"/>
      <c r="M178" s="6"/>
      <c r="N178" s="6"/>
      <c r="O178" s="6"/>
      <c r="P178" s="6"/>
      <c r="Q178" s="6"/>
      <c r="S178" s="6"/>
    </row>
    <row r="179" spans="6:19" ht="14.25" customHeight="1" x14ac:dyDescent="0.35">
      <c r="F179" s="6"/>
      <c r="G179" s="6"/>
      <c r="H179" s="6"/>
      <c r="I179" s="6"/>
      <c r="J179" s="6"/>
      <c r="K179" s="6"/>
      <c r="L179" s="6"/>
      <c r="M179" s="6"/>
      <c r="N179" s="6"/>
      <c r="O179" s="6"/>
      <c r="P179" s="6"/>
      <c r="Q179" s="6"/>
      <c r="S179" s="6"/>
    </row>
    <row r="180" spans="6:19" ht="14.25" customHeight="1" x14ac:dyDescent="0.35">
      <c r="F180" s="6"/>
      <c r="G180" s="6"/>
      <c r="H180" s="6"/>
      <c r="I180" s="6"/>
      <c r="J180" s="6"/>
      <c r="K180" s="6"/>
      <c r="L180" s="6"/>
      <c r="M180" s="6"/>
      <c r="N180" s="6"/>
      <c r="O180" s="6"/>
      <c r="P180" s="6"/>
      <c r="Q180" s="6"/>
      <c r="S180" s="6"/>
    </row>
    <row r="181" spans="6:19" ht="14.25" customHeight="1" x14ac:dyDescent="0.35">
      <c r="F181" s="6"/>
      <c r="G181" s="6"/>
      <c r="H181" s="6"/>
      <c r="I181" s="6"/>
      <c r="J181" s="6"/>
      <c r="K181" s="6"/>
      <c r="L181" s="6"/>
      <c r="M181" s="6"/>
      <c r="N181" s="6"/>
      <c r="O181" s="6"/>
      <c r="P181" s="6"/>
      <c r="Q181" s="6"/>
      <c r="S181" s="6"/>
    </row>
    <row r="182" spans="6:19" ht="14.25" customHeight="1" x14ac:dyDescent="0.35">
      <c r="F182" s="6"/>
      <c r="G182" s="6"/>
      <c r="H182" s="6"/>
      <c r="I182" s="6"/>
      <c r="J182" s="6"/>
      <c r="K182" s="6"/>
      <c r="L182" s="6"/>
      <c r="M182" s="6"/>
      <c r="N182" s="6"/>
      <c r="O182" s="6"/>
      <c r="P182" s="6"/>
      <c r="Q182" s="6"/>
      <c r="S182" s="6"/>
    </row>
    <row r="183" spans="6:19" ht="14.25" customHeight="1" x14ac:dyDescent="0.35">
      <c r="F183" s="6"/>
      <c r="G183" s="6"/>
      <c r="H183" s="6"/>
      <c r="I183" s="6"/>
      <c r="J183" s="6"/>
      <c r="K183" s="6"/>
      <c r="L183" s="6"/>
      <c r="M183" s="6"/>
      <c r="N183" s="6"/>
      <c r="O183" s="6"/>
      <c r="P183" s="6"/>
      <c r="Q183" s="6"/>
      <c r="S183" s="6"/>
    </row>
    <row r="184" spans="6:19" ht="14.25" customHeight="1" x14ac:dyDescent="0.35">
      <c r="F184" s="6"/>
      <c r="G184" s="6"/>
      <c r="H184" s="6"/>
      <c r="I184" s="6"/>
      <c r="J184" s="6"/>
      <c r="K184" s="6"/>
      <c r="L184" s="6"/>
      <c r="M184" s="6"/>
      <c r="N184" s="6"/>
      <c r="O184" s="6"/>
      <c r="P184" s="6"/>
      <c r="Q184" s="6"/>
      <c r="S184" s="6"/>
    </row>
    <row r="185" spans="6:19" ht="14.25" customHeight="1" x14ac:dyDescent="0.35">
      <c r="F185" s="6"/>
      <c r="G185" s="6"/>
      <c r="H185" s="6"/>
      <c r="I185" s="6"/>
      <c r="J185" s="6"/>
      <c r="K185" s="6"/>
      <c r="L185" s="6"/>
      <c r="M185" s="6"/>
      <c r="N185" s="6"/>
      <c r="O185" s="6"/>
      <c r="P185" s="6"/>
      <c r="Q185" s="6"/>
      <c r="S185" s="6"/>
    </row>
    <row r="186" spans="6:19" ht="14.25" customHeight="1" x14ac:dyDescent="0.35">
      <c r="F186" s="6"/>
      <c r="G186" s="6"/>
      <c r="H186" s="6"/>
      <c r="I186" s="6"/>
      <c r="J186" s="6"/>
      <c r="K186" s="6"/>
      <c r="L186" s="6"/>
      <c r="M186" s="6"/>
      <c r="N186" s="6"/>
      <c r="O186" s="6"/>
      <c r="P186" s="6"/>
      <c r="Q186" s="6"/>
      <c r="S186" s="6"/>
    </row>
    <row r="187" spans="6:19" ht="14.25" customHeight="1" x14ac:dyDescent="0.35">
      <c r="F187" s="6"/>
      <c r="G187" s="6"/>
      <c r="H187" s="6"/>
      <c r="I187" s="6"/>
      <c r="J187" s="6"/>
      <c r="K187" s="6"/>
      <c r="L187" s="6"/>
      <c r="M187" s="6"/>
      <c r="N187" s="6"/>
      <c r="O187" s="6"/>
      <c r="P187" s="6"/>
      <c r="Q187" s="6"/>
      <c r="S187" s="6"/>
    </row>
    <row r="188" spans="6:19" ht="14.25" customHeight="1" x14ac:dyDescent="0.35">
      <c r="F188" s="6"/>
      <c r="G188" s="6"/>
      <c r="H188" s="6"/>
      <c r="I188" s="6"/>
      <c r="J188" s="6"/>
      <c r="K188" s="6"/>
      <c r="L188" s="6"/>
      <c r="M188" s="6"/>
      <c r="N188" s="6"/>
      <c r="O188" s="6"/>
      <c r="P188" s="6"/>
      <c r="Q188" s="6"/>
      <c r="S188" s="6"/>
    </row>
    <row r="189" spans="6:19" ht="14.25" customHeight="1" x14ac:dyDescent="0.35">
      <c r="F189" s="6"/>
      <c r="G189" s="6"/>
      <c r="H189" s="6"/>
      <c r="I189" s="6"/>
      <c r="J189" s="6"/>
      <c r="K189" s="6"/>
      <c r="L189" s="6"/>
      <c r="M189" s="6"/>
      <c r="N189" s="6"/>
      <c r="O189" s="6"/>
      <c r="P189" s="6"/>
      <c r="Q189" s="6"/>
      <c r="S189" s="6"/>
    </row>
    <row r="190" spans="6:19" ht="14.25" customHeight="1" x14ac:dyDescent="0.35">
      <c r="F190" s="6"/>
      <c r="G190" s="6"/>
      <c r="H190" s="6"/>
      <c r="I190" s="6"/>
      <c r="J190" s="6"/>
      <c r="K190" s="6"/>
      <c r="L190" s="6"/>
      <c r="M190" s="6"/>
      <c r="N190" s="6"/>
      <c r="O190" s="6"/>
      <c r="P190" s="6"/>
      <c r="Q190" s="6"/>
      <c r="S190" s="6"/>
    </row>
    <row r="191" spans="6:19" ht="14.25" customHeight="1" x14ac:dyDescent="0.35">
      <c r="F191" s="6"/>
      <c r="G191" s="6"/>
      <c r="H191" s="6"/>
      <c r="I191" s="6"/>
      <c r="J191" s="6"/>
      <c r="K191" s="6"/>
      <c r="L191" s="6"/>
      <c r="M191" s="6"/>
      <c r="N191" s="6"/>
      <c r="O191" s="6"/>
      <c r="P191" s="6"/>
      <c r="Q191" s="6"/>
      <c r="S191" s="6"/>
    </row>
    <row r="192" spans="6:19" ht="14.25" customHeight="1" x14ac:dyDescent="0.35">
      <c r="F192" s="6"/>
      <c r="G192" s="6"/>
      <c r="H192" s="6"/>
      <c r="I192" s="6"/>
      <c r="J192" s="6"/>
      <c r="K192" s="6"/>
      <c r="L192" s="6"/>
      <c r="M192" s="6"/>
      <c r="N192" s="6"/>
      <c r="O192" s="6"/>
      <c r="P192" s="6"/>
      <c r="Q192" s="6"/>
      <c r="S192" s="6"/>
    </row>
    <row r="193" spans="6:19" ht="14.25" customHeight="1" x14ac:dyDescent="0.35">
      <c r="F193" s="6"/>
      <c r="G193" s="6"/>
      <c r="H193" s="6"/>
      <c r="I193" s="6"/>
      <c r="J193" s="6"/>
      <c r="K193" s="6"/>
      <c r="L193" s="6"/>
      <c r="M193" s="6"/>
      <c r="N193" s="6"/>
      <c r="O193" s="6"/>
      <c r="P193" s="6"/>
      <c r="Q193" s="6"/>
      <c r="S193" s="6"/>
    </row>
    <row r="194" spans="6:19" ht="14.25" customHeight="1" x14ac:dyDescent="0.35">
      <c r="F194" s="6"/>
      <c r="G194" s="6"/>
      <c r="H194" s="6"/>
      <c r="I194" s="6"/>
      <c r="J194" s="6"/>
      <c r="K194" s="6"/>
      <c r="L194" s="6"/>
      <c r="M194" s="6"/>
      <c r="N194" s="6"/>
      <c r="O194" s="6"/>
      <c r="P194" s="6"/>
      <c r="Q194" s="6"/>
      <c r="S194" s="6"/>
    </row>
    <row r="195" spans="6:19" ht="14.25" customHeight="1" x14ac:dyDescent="0.35">
      <c r="F195" s="6"/>
      <c r="G195" s="6"/>
      <c r="H195" s="6"/>
      <c r="I195" s="6"/>
      <c r="J195" s="6"/>
      <c r="K195" s="6"/>
      <c r="L195" s="6"/>
      <c r="M195" s="6"/>
      <c r="N195" s="6"/>
      <c r="O195" s="6"/>
      <c r="P195" s="6"/>
      <c r="Q195" s="6"/>
      <c r="S195" s="6"/>
    </row>
    <row r="196" spans="6:19" ht="14.25" customHeight="1" x14ac:dyDescent="0.35">
      <c r="F196" s="6"/>
      <c r="G196" s="6"/>
      <c r="H196" s="6"/>
      <c r="I196" s="6"/>
      <c r="J196" s="6"/>
      <c r="K196" s="6"/>
      <c r="L196" s="6"/>
      <c r="M196" s="6"/>
      <c r="N196" s="6"/>
      <c r="O196" s="6"/>
      <c r="P196" s="6"/>
      <c r="Q196" s="6"/>
      <c r="S196" s="6"/>
    </row>
    <row r="197" spans="6:19" ht="14.25" customHeight="1" x14ac:dyDescent="0.35">
      <c r="F197" s="6"/>
      <c r="G197" s="6"/>
      <c r="H197" s="6"/>
      <c r="I197" s="6"/>
      <c r="J197" s="6"/>
      <c r="K197" s="6"/>
      <c r="L197" s="6"/>
      <c r="M197" s="6"/>
      <c r="N197" s="6"/>
      <c r="O197" s="6"/>
      <c r="P197" s="6"/>
      <c r="Q197" s="6"/>
      <c r="S197" s="6"/>
    </row>
    <row r="198" spans="6:19" ht="14.25" customHeight="1" x14ac:dyDescent="0.35">
      <c r="F198" s="6"/>
      <c r="G198" s="6"/>
      <c r="H198" s="6"/>
      <c r="I198" s="6"/>
      <c r="J198" s="6"/>
      <c r="K198" s="6"/>
      <c r="L198" s="6"/>
      <c r="M198" s="6"/>
      <c r="N198" s="6"/>
      <c r="O198" s="6"/>
      <c r="P198" s="6"/>
      <c r="Q198" s="6"/>
      <c r="S198" s="6"/>
    </row>
    <row r="199" spans="6:19" ht="14.25" customHeight="1" x14ac:dyDescent="0.35">
      <c r="F199" s="6"/>
      <c r="G199" s="6"/>
      <c r="H199" s="6"/>
      <c r="I199" s="6"/>
      <c r="J199" s="6"/>
      <c r="K199" s="6"/>
      <c r="L199" s="6"/>
      <c r="M199" s="6"/>
      <c r="N199" s="6"/>
      <c r="O199" s="6"/>
      <c r="P199" s="6"/>
      <c r="Q199" s="6"/>
      <c r="S199" s="6"/>
    </row>
    <row r="200" spans="6:19" ht="14.25" customHeight="1" x14ac:dyDescent="0.35">
      <c r="F200" s="6"/>
      <c r="G200" s="6"/>
      <c r="H200" s="6"/>
      <c r="I200" s="6"/>
      <c r="J200" s="6"/>
      <c r="K200" s="6"/>
      <c r="L200" s="6"/>
      <c r="M200" s="6"/>
      <c r="N200" s="6"/>
      <c r="O200" s="6"/>
      <c r="P200" s="6"/>
      <c r="Q200" s="6"/>
      <c r="S200" s="6"/>
    </row>
    <row r="201" spans="6:19" ht="14.25" customHeight="1" x14ac:dyDescent="0.35">
      <c r="F201" s="6"/>
      <c r="G201" s="6"/>
      <c r="H201" s="6"/>
      <c r="I201" s="6"/>
      <c r="J201" s="6"/>
      <c r="K201" s="6"/>
      <c r="L201" s="6"/>
      <c r="M201" s="6"/>
      <c r="N201" s="6"/>
      <c r="O201" s="6"/>
      <c r="P201" s="6"/>
      <c r="Q201" s="6"/>
      <c r="S201" s="6"/>
    </row>
    <row r="202" spans="6:19" ht="14.25" customHeight="1" x14ac:dyDescent="0.35">
      <c r="F202" s="6"/>
      <c r="G202" s="6"/>
      <c r="H202" s="6"/>
      <c r="I202" s="6"/>
      <c r="J202" s="6"/>
      <c r="K202" s="6"/>
      <c r="L202" s="6"/>
      <c r="M202" s="6"/>
      <c r="N202" s="6"/>
      <c r="O202" s="6"/>
      <c r="P202" s="6"/>
      <c r="Q202" s="6"/>
      <c r="S202" s="6"/>
    </row>
    <row r="203" spans="6:19" ht="14.25" customHeight="1" x14ac:dyDescent="0.35">
      <c r="F203" s="6"/>
      <c r="G203" s="6"/>
      <c r="H203" s="6"/>
      <c r="I203" s="6"/>
      <c r="J203" s="6"/>
      <c r="K203" s="6"/>
      <c r="L203" s="6"/>
      <c r="M203" s="6"/>
      <c r="N203" s="6"/>
      <c r="O203" s="6"/>
      <c r="P203" s="6"/>
      <c r="Q203" s="6"/>
      <c r="S203" s="6"/>
    </row>
    <row r="204" spans="6:19" ht="14.25" customHeight="1" x14ac:dyDescent="0.35">
      <c r="F204" s="6"/>
      <c r="G204" s="6"/>
      <c r="H204" s="6"/>
      <c r="I204" s="6"/>
      <c r="J204" s="6"/>
      <c r="K204" s="6"/>
      <c r="L204" s="6"/>
      <c r="M204" s="6"/>
      <c r="N204" s="6"/>
      <c r="O204" s="6"/>
      <c r="P204" s="6"/>
      <c r="Q204" s="6"/>
      <c r="S204" s="6"/>
    </row>
    <row r="205" spans="6:19" ht="14.25" customHeight="1" x14ac:dyDescent="0.35">
      <c r="F205" s="6"/>
      <c r="G205" s="6"/>
      <c r="H205" s="6"/>
      <c r="I205" s="6"/>
      <c r="J205" s="6"/>
      <c r="K205" s="6"/>
      <c r="L205" s="6"/>
      <c r="M205" s="6"/>
      <c r="N205" s="6"/>
      <c r="O205" s="6"/>
      <c r="P205" s="6"/>
      <c r="Q205" s="6"/>
      <c r="S205" s="6"/>
    </row>
    <row r="206" spans="6:19" ht="14.25" customHeight="1" x14ac:dyDescent="0.35">
      <c r="F206" s="6"/>
      <c r="G206" s="6"/>
      <c r="H206" s="6"/>
      <c r="I206" s="6"/>
      <c r="J206" s="6"/>
      <c r="K206" s="6"/>
      <c r="L206" s="6"/>
      <c r="M206" s="6"/>
      <c r="N206" s="6"/>
      <c r="O206" s="6"/>
      <c r="P206" s="6"/>
      <c r="Q206" s="6"/>
      <c r="S206" s="6"/>
    </row>
    <row r="207" spans="6:19" ht="14.25" customHeight="1" x14ac:dyDescent="0.35">
      <c r="F207" s="6"/>
      <c r="G207" s="6"/>
      <c r="H207" s="6"/>
      <c r="I207" s="6"/>
      <c r="J207" s="6"/>
      <c r="K207" s="6"/>
      <c r="L207" s="6"/>
      <c r="M207" s="6"/>
      <c r="N207" s="6"/>
      <c r="O207" s="6"/>
      <c r="P207" s="6"/>
      <c r="Q207" s="6"/>
      <c r="S207" s="6"/>
    </row>
    <row r="208" spans="6:19" ht="14.25" customHeight="1" x14ac:dyDescent="0.35">
      <c r="F208" s="6"/>
      <c r="G208" s="6"/>
      <c r="H208" s="6"/>
      <c r="I208" s="6"/>
      <c r="J208" s="6"/>
      <c r="K208" s="6"/>
      <c r="L208" s="6"/>
      <c r="M208" s="6"/>
      <c r="N208" s="6"/>
      <c r="O208" s="6"/>
      <c r="P208" s="6"/>
      <c r="Q208" s="6"/>
      <c r="S208" s="6"/>
    </row>
    <row r="209" spans="6:19" ht="14.25" customHeight="1" x14ac:dyDescent="0.35">
      <c r="F209" s="6"/>
      <c r="G209" s="6"/>
      <c r="H209" s="6"/>
      <c r="I209" s="6"/>
      <c r="J209" s="6"/>
      <c r="K209" s="6"/>
      <c r="L209" s="6"/>
      <c r="M209" s="6"/>
      <c r="N209" s="6"/>
      <c r="O209" s="6"/>
      <c r="P209" s="6"/>
      <c r="Q209" s="6"/>
      <c r="S209" s="6"/>
    </row>
    <row r="210" spans="6:19" ht="14.25" customHeight="1" x14ac:dyDescent="0.35">
      <c r="F210" s="6"/>
      <c r="G210" s="6"/>
      <c r="H210" s="6"/>
      <c r="I210" s="6"/>
      <c r="J210" s="6"/>
      <c r="K210" s="6"/>
      <c r="L210" s="6"/>
      <c r="M210" s="6"/>
      <c r="N210" s="6"/>
      <c r="O210" s="6"/>
      <c r="P210" s="6"/>
      <c r="Q210" s="6"/>
      <c r="S210" s="6"/>
    </row>
    <row r="211" spans="6:19" ht="14.25" customHeight="1" x14ac:dyDescent="0.35">
      <c r="F211" s="6"/>
      <c r="G211" s="6"/>
      <c r="H211" s="6"/>
      <c r="I211" s="6"/>
      <c r="J211" s="6"/>
      <c r="K211" s="6"/>
      <c r="L211" s="6"/>
      <c r="M211" s="6"/>
      <c r="N211" s="6"/>
      <c r="O211" s="6"/>
      <c r="P211" s="6"/>
      <c r="Q211" s="6"/>
      <c r="S211" s="6"/>
    </row>
    <row r="212" spans="6:19" ht="14.25" customHeight="1" x14ac:dyDescent="0.35">
      <c r="F212" s="6"/>
      <c r="G212" s="6"/>
      <c r="H212" s="6"/>
      <c r="I212" s="6"/>
      <c r="J212" s="6"/>
      <c r="K212" s="6"/>
      <c r="L212" s="6"/>
      <c r="M212" s="6"/>
      <c r="N212" s="6"/>
      <c r="O212" s="6"/>
      <c r="P212" s="6"/>
      <c r="Q212" s="6"/>
      <c r="S212" s="6"/>
    </row>
    <row r="213" spans="6:19" ht="14.25" customHeight="1" x14ac:dyDescent="0.35">
      <c r="F213" s="6"/>
      <c r="G213" s="6"/>
      <c r="H213" s="6"/>
      <c r="I213" s="6"/>
      <c r="J213" s="6"/>
      <c r="K213" s="6"/>
      <c r="L213" s="6"/>
      <c r="M213" s="6"/>
      <c r="N213" s="6"/>
      <c r="O213" s="6"/>
      <c r="P213" s="6"/>
      <c r="Q213" s="6"/>
      <c r="S213" s="6"/>
    </row>
    <row r="214" spans="6:19" ht="14.25" customHeight="1" x14ac:dyDescent="0.35">
      <c r="F214" s="6"/>
      <c r="G214" s="6"/>
      <c r="H214" s="6"/>
      <c r="I214" s="6"/>
      <c r="J214" s="6"/>
      <c r="K214" s="6"/>
      <c r="L214" s="6"/>
      <c r="M214" s="6"/>
      <c r="N214" s="6"/>
      <c r="O214" s="6"/>
      <c r="P214" s="6"/>
      <c r="Q214" s="6"/>
      <c r="S214" s="6"/>
    </row>
    <row r="215" spans="6:19" ht="14.25" customHeight="1" x14ac:dyDescent="0.35">
      <c r="F215" s="6"/>
      <c r="G215" s="6"/>
      <c r="H215" s="6"/>
      <c r="I215" s="6"/>
      <c r="J215" s="6"/>
      <c r="K215" s="6"/>
      <c r="L215" s="6"/>
      <c r="M215" s="6"/>
      <c r="N215" s="6"/>
      <c r="O215" s="6"/>
      <c r="P215" s="6"/>
      <c r="Q215" s="6"/>
      <c r="S215" s="6"/>
    </row>
    <row r="216" spans="6:19" ht="14.25" customHeight="1" x14ac:dyDescent="0.35">
      <c r="F216" s="6"/>
      <c r="G216" s="6"/>
      <c r="H216" s="6"/>
      <c r="I216" s="6"/>
      <c r="J216" s="6"/>
      <c r="K216" s="6"/>
      <c r="L216" s="6"/>
      <c r="M216" s="6"/>
      <c r="N216" s="6"/>
      <c r="O216" s="6"/>
      <c r="P216" s="6"/>
      <c r="Q216" s="6"/>
      <c r="S216" s="6"/>
    </row>
    <row r="217" spans="6:19" ht="14.25" customHeight="1" x14ac:dyDescent="0.35">
      <c r="F217" s="6"/>
      <c r="G217" s="6"/>
      <c r="H217" s="6"/>
      <c r="I217" s="6"/>
      <c r="J217" s="6"/>
      <c r="K217" s="6"/>
      <c r="L217" s="6"/>
      <c r="M217" s="6"/>
      <c r="N217" s="6"/>
      <c r="O217" s="6"/>
      <c r="P217" s="6"/>
      <c r="Q217" s="6"/>
      <c r="S217" s="6"/>
    </row>
    <row r="218" spans="6:19" ht="14.25" customHeight="1" x14ac:dyDescent="0.35">
      <c r="F218" s="6"/>
      <c r="G218" s="6"/>
      <c r="H218" s="6"/>
      <c r="I218" s="6"/>
      <c r="J218" s="6"/>
      <c r="K218" s="6"/>
      <c r="L218" s="6"/>
      <c r="M218" s="6"/>
      <c r="N218" s="6"/>
      <c r="O218" s="6"/>
      <c r="P218" s="6"/>
      <c r="Q218" s="6"/>
      <c r="S218" s="6"/>
    </row>
    <row r="219" spans="6:19" ht="14.25" customHeight="1" x14ac:dyDescent="0.35">
      <c r="F219" s="6"/>
      <c r="G219" s="6"/>
      <c r="H219" s="6"/>
      <c r="I219" s="6"/>
      <c r="J219" s="6"/>
      <c r="K219" s="6"/>
      <c r="L219" s="6"/>
      <c r="M219" s="6"/>
      <c r="N219" s="6"/>
      <c r="O219" s="6"/>
      <c r="P219" s="6"/>
      <c r="Q219" s="6"/>
      <c r="S219" s="6"/>
    </row>
    <row r="220" spans="6:19" ht="14.25" customHeight="1" x14ac:dyDescent="0.35">
      <c r="F220" s="6"/>
      <c r="G220" s="6"/>
      <c r="H220" s="6"/>
      <c r="I220" s="6"/>
      <c r="J220" s="6"/>
      <c r="K220" s="6"/>
      <c r="L220" s="6"/>
      <c r="M220" s="6"/>
      <c r="N220" s="6"/>
      <c r="O220" s="6"/>
      <c r="P220" s="6"/>
      <c r="Q220" s="6"/>
      <c r="S220" s="6"/>
    </row>
    <row r="221" spans="6:19" ht="14.25" customHeight="1" x14ac:dyDescent="0.35">
      <c r="F221" s="6"/>
      <c r="G221" s="6"/>
      <c r="H221" s="6"/>
      <c r="I221" s="6"/>
      <c r="J221" s="6"/>
      <c r="K221" s="6"/>
      <c r="L221" s="6"/>
      <c r="M221" s="6"/>
      <c r="N221" s="6"/>
      <c r="O221" s="6"/>
      <c r="P221" s="6"/>
      <c r="Q221" s="6"/>
      <c r="S221" s="6"/>
    </row>
    <row r="222" spans="6:19" ht="14.25" customHeight="1" x14ac:dyDescent="0.35">
      <c r="F222" s="6"/>
      <c r="G222" s="6"/>
      <c r="H222" s="6"/>
      <c r="I222" s="6"/>
      <c r="J222" s="6"/>
      <c r="K222" s="6"/>
      <c r="L222" s="6"/>
      <c r="M222" s="6"/>
      <c r="N222" s="6"/>
      <c r="O222" s="6"/>
      <c r="P222" s="6"/>
      <c r="Q222" s="6"/>
      <c r="S222" s="6"/>
    </row>
    <row r="223" spans="6:19" ht="14.25" customHeight="1" x14ac:dyDescent="0.35">
      <c r="F223" s="6"/>
      <c r="G223" s="6"/>
      <c r="H223" s="6"/>
      <c r="I223" s="6"/>
      <c r="J223" s="6"/>
      <c r="K223" s="6"/>
      <c r="L223" s="6"/>
      <c r="M223" s="6"/>
      <c r="N223" s="6"/>
      <c r="O223" s="6"/>
      <c r="P223" s="6"/>
      <c r="Q223" s="6"/>
      <c r="S223" s="6"/>
    </row>
    <row r="224" spans="6:19" ht="14.25" customHeight="1" x14ac:dyDescent="0.35">
      <c r="F224" s="6"/>
      <c r="G224" s="6"/>
      <c r="H224" s="6"/>
      <c r="I224" s="6"/>
      <c r="J224" s="6"/>
      <c r="K224" s="6"/>
      <c r="L224" s="6"/>
      <c r="M224" s="6"/>
      <c r="N224" s="6"/>
      <c r="O224" s="6"/>
      <c r="P224" s="6"/>
      <c r="Q224" s="6"/>
      <c r="S224" s="6"/>
    </row>
    <row r="225" spans="6:19" ht="14.25" customHeight="1" x14ac:dyDescent="0.35">
      <c r="F225" s="6"/>
      <c r="G225" s="6"/>
      <c r="H225" s="6"/>
      <c r="I225" s="6"/>
      <c r="J225" s="6"/>
      <c r="K225" s="6"/>
      <c r="L225" s="6"/>
      <c r="M225" s="6"/>
      <c r="N225" s="6"/>
      <c r="O225" s="6"/>
      <c r="P225" s="6"/>
      <c r="Q225" s="6"/>
      <c r="S225" s="6"/>
    </row>
    <row r="226" spans="6:19" ht="14.25" customHeight="1" x14ac:dyDescent="0.35">
      <c r="F226" s="6"/>
      <c r="G226" s="6"/>
      <c r="H226" s="6"/>
      <c r="I226" s="6"/>
      <c r="J226" s="6"/>
      <c r="K226" s="6"/>
      <c r="L226" s="6"/>
      <c r="M226" s="6"/>
      <c r="N226" s="6"/>
      <c r="O226" s="6"/>
      <c r="P226" s="6"/>
      <c r="Q226" s="6"/>
      <c r="S226" s="6"/>
    </row>
    <row r="227" spans="6:19" ht="14.25" customHeight="1" x14ac:dyDescent="0.35">
      <c r="F227" s="6"/>
      <c r="G227" s="6"/>
      <c r="H227" s="6"/>
      <c r="I227" s="6"/>
      <c r="J227" s="6"/>
      <c r="K227" s="6"/>
      <c r="L227" s="6"/>
      <c r="M227" s="6"/>
      <c r="N227" s="6"/>
      <c r="O227" s="6"/>
      <c r="P227" s="6"/>
      <c r="Q227" s="6"/>
      <c r="S227" s="6"/>
    </row>
    <row r="228" spans="6:19" ht="14.25" customHeight="1" x14ac:dyDescent="0.35">
      <c r="F228" s="6"/>
      <c r="G228" s="6"/>
      <c r="H228" s="6"/>
      <c r="I228" s="6"/>
      <c r="J228" s="6"/>
      <c r="K228" s="6"/>
      <c r="L228" s="6"/>
      <c r="M228" s="6"/>
      <c r="N228" s="6"/>
      <c r="O228" s="6"/>
      <c r="P228" s="6"/>
      <c r="Q228" s="6"/>
      <c r="S228" s="6"/>
    </row>
    <row r="229" spans="6:19" ht="14.25" customHeight="1" x14ac:dyDescent="0.35">
      <c r="F229" s="6"/>
      <c r="G229" s="6"/>
      <c r="H229" s="6"/>
      <c r="I229" s="6"/>
      <c r="J229" s="6"/>
      <c r="K229" s="6"/>
      <c r="L229" s="6"/>
      <c r="M229" s="6"/>
      <c r="N229" s="6"/>
      <c r="O229" s="6"/>
      <c r="P229" s="6"/>
      <c r="Q229" s="6"/>
      <c r="S229" s="6"/>
    </row>
    <row r="230" spans="6:19" ht="14.25" customHeight="1" x14ac:dyDescent="0.35">
      <c r="F230" s="6"/>
      <c r="G230" s="6"/>
      <c r="H230" s="6"/>
      <c r="I230" s="6"/>
      <c r="J230" s="6"/>
      <c r="K230" s="6"/>
      <c r="L230" s="6"/>
      <c r="M230" s="6"/>
      <c r="N230" s="6"/>
      <c r="O230" s="6"/>
      <c r="P230" s="6"/>
      <c r="Q230" s="6"/>
      <c r="S230" s="6"/>
    </row>
    <row r="231" spans="6:19" ht="14.25" customHeight="1" x14ac:dyDescent="0.35">
      <c r="F231" s="6"/>
      <c r="G231" s="6"/>
      <c r="H231" s="6"/>
      <c r="I231" s="6"/>
      <c r="J231" s="6"/>
      <c r="K231" s="6"/>
      <c r="L231" s="6"/>
      <c r="M231" s="6"/>
      <c r="N231" s="6"/>
      <c r="O231" s="6"/>
      <c r="P231" s="6"/>
      <c r="Q231" s="6"/>
      <c r="S231" s="6"/>
    </row>
    <row r="232" spans="6:19" ht="14.25" customHeight="1" x14ac:dyDescent="0.35">
      <c r="F232" s="6"/>
      <c r="G232" s="6"/>
      <c r="H232" s="6"/>
      <c r="I232" s="6"/>
      <c r="J232" s="6"/>
      <c r="K232" s="6"/>
      <c r="L232" s="6"/>
      <c r="M232" s="6"/>
      <c r="N232" s="6"/>
      <c r="O232" s="6"/>
      <c r="P232" s="6"/>
      <c r="Q232" s="6"/>
      <c r="S232" s="6"/>
    </row>
    <row r="233" spans="6:19" ht="14.25" customHeight="1" x14ac:dyDescent="0.35">
      <c r="F233" s="6"/>
      <c r="G233" s="6"/>
      <c r="H233" s="6"/>
      <c r="I233" s="6"/>
      <c r="J233" s="6"/>
      <c r="K233" s="6"/>
      <c r="L233" s="6"/>
      <c r="M233" s="6"/>
      <c r="N233" s="6"/>
      <c r="O233" s="6"/>
      <c r="P233" s="6"/>
      <c r="Q233" s="6"/>
      <c r="S233" s="6"/>
    </row>
    <row r="234" spans="6:19" ht="14.25" customHeight="1" x14ac:dyDescent="0.35">
      <c r="F234" s="6"/>
      <c r="G234" s="6"/>
      <c r="H234" s="6"/>
      <c r="I234" s="6"/>
      <c r="J234" s="6"/>
      <c r="K234" s="6"/>
      <c r="L234" s="6"/>
      <c r="M234" s="6"/>
      <c r="N234" s="6"/>
      <c r="O234" s="6"/>
      <c r="P234" s="6"/>
      <c r="Q234" s="6"/>
      <c r="S234" s="6"/>
    </row>
    <row r="235" spans="6:19" ht="14.25" customHeight="1" x14ac:dyDescent="0.35">
      <c r="F235" s="6"/>
      <c r="G235" s="6"/>
      <c r="H235" s="6"/>
      <c r="I235" s="6"/>
      <c r="J235" s="6"/>
      <c r="K235" s="6"/>
      <c r="L235" s="6"/>
      <c r="M235" s="6"/>
      <c r="N235" s="6"/>
      <c r="O235" s="6"/>
      <c r="P235" s="6"/>
      <c r="Q235" s="6"/>
      <c r="S235" s="6"/>
    </row>
    <row r="236" spans="6:19" ht="14.25" customHeight="1" x14ac:dyDescent="0.35">
      <c r="F236" s="6"/>
      <c r="G236" s="6"/>
      <c r="H236" s="6"/>
      <c r="I236" s="6"/>
      <c r="J236" s="6"/>
      <c r="K236" s="6"/>
      <c r="L236" s="6"/>
      <c r="M236" s="6"/>
      <c r="N236" s="6"/>
      <c r="O236" s="6"/>
      <c r="P236" s="6"/>
      <c r="Q236" s="6"/>
      <c r="S236" s="6"/>
    </row>
    <row r="237" spans="6:19" ht="14.25" customHeight="1" x14ac:dyDescent="0.35">
      <c r="F237" s="6"/>
      <c r="G237" s="6"/>
      <c r="H237" s="6"/>
      <c r="I237" s="6"/>
      <c r="J237" s="6"/>
      <c r="K237" s="6"/>
      <c r="L237" s="6"/>
      <c r="M237" s="6"/>
      <c r="N237" s="6"/>
      <c r="O237" s="6"/>
      <c r="P237" s="6"/>
      <c r="Q237" s="6"/>
      <c r="S237" s="6"/>
    </row>
    <row r="238" spans="6:19" ht="14.25" customHeight="1" x14ac:dyDescent="0.35">
      <c r="F238" s="6"/>
      <c r="G238" s="6"/>
      <c r="H238" s="6"/>
      <c r="I238" s="6"/>
      <c r="J238" s="6"/>
      <c r="K238" s="6"/>
      <c r="L238" s="6"/>
      <c r="M238" s="6"/>
      <c r="N238" s="6"/>
      <c r="O238" s="6"/>
      <c r="P238" s="6"/>
      <c r="Q238" s="6"/>
      <c r="S238" s="6"/>
    </row>
    <row r="239" spans="6:19" ht="14.25" customHeight="1" x14ac:dyDescent="0.35">
      <c r="F239" s="6"/>
      <c r="G239" s="6"/>
      <c r="H239" s="6"/>
      <c r="I239" s="6"/>
      <c r="J239" s="6"/>
      <c r="K239" s="6"/>
      <c r="L239" s="6"/>
      <c r="M239" s="6"/>
      <c r="N239" s="6"/>
      <c r="O239" s="6"/>
      <c r="P239" s="6"/>
      <c r="Q239" s="6"/>
      <c r="S239" s="6"/>
    </row>
    <row r="240" spans="6:19" ht="14.25" customHeight="1" x14ac:dyDescent="0.35">
      <c r="F240" s="6"/>
      <c r="G240" s="6"/>
      <c r="H240" s="6"/>
      <c r="I240" s="6"/>
      <c r="J240" s="6"/>
      <c r="K240" s="6"/>
      <c r="L240" s="6"/>
      <c r="M240" s="6"/>
      <c r="N240" s="6"/>
      <c r="O240" s="6"/>
      <c r="P240" s="6"/>
      <c r="Q240" s="6"/>
      <c r="S240" s="6"/>
    </row>
    <row r="241" spans="6:19" ht="14.25" customHeight="1" x14ac:dyDescent="0.35">
      <c r="F241" s="6"/>
      <c r="G241" s="6"/>
      <c r="H241" s="6"/>
      <c r="I241" s="6"/>
      <c r="J241" s="6"/>
      <c r="K241" s="6"/>
      <c r="L241" s="6"/>
      <c r="M241" s="6"/>
      <c r="N241" s="6"/>
      <c r="O241" s="6"/>
      <c r="P241" s="6"/>
      <c r="Q241" s="6"/>
      <c r="S241" s="6"/>
    </row>
    <row r="242" spans="6:19" ht="14.25" customHeight="1" x14ac:dyDescent="0.35">
      <c r="F242" s="6"/>
      <c r="G242" s="6"/>
      <c r="H242" s="6"/>
      <c r="I242" s="6"/>
      <c r="J242" s="6"/>
      <c r="K242" s="6"/>
      <c r="L242" s="6"/>
      <c r="M242" s="6"/>
      <c r="N242" s="6"/>
      <c r="O242" s="6"/>
      <c r="P242" s="6"/>
      <c r="Q242" s="6"/>
      <c r="S242" s="6"/>
    </row>
    <row r="243" spans="6:19" ht="14.25" customHeight="1" x14ac:dyDescent="0.35">
      <c r="F243" s="6"/>
      <c r="G243" s="6"/>
      <c r="H243" s="6"/>
      <c r="I243" s="6"/>
      <c r="J243" s="6"/>
      <c r="K243" s="6"/>
      <c r="L243" s="6"/>
      <c r="M243" s="6"/>
      <c r="N243" s="6"/>
      <c r="O243" s="6"/>
      <c r="P243" s="6"/>
      <c r="Q243" s="6"/>
      <c r="S243" s="6"/>
    </row>
    <row r="244" spans="6:19" ht="14.25" customHeight="1" x14ac:dyDescent="0.35">
      <c r="F244" s="6"/>
      <c r="G244" s="6"/>
      <c r="H244" s="6"/>
      <c r="I244" s="6"/>
      <c r="J244" s="6"/>
      <c r="K244" s="6"/>
      <c r="L244" s="6"/>
      <c r="M244" s="6"/>
      <c r="N244" s="6"/>
      <c r="O244" s="6"/>
      <c r="P244" s="6"/>
      <c r="Q244" s="6"/>
      <c r="S244" s="6"/>
    </row>
    <row r="245" spans="6:19" ht="14.25" customHeight="1" x14ac:dyDescent="0.35">
      <c r="F245" s="6"/>
      <c r="G245" s="6"/>
      <c r="H245" s="6"/>
      <c r="I245" s="6"/>
      <c r="J245" s="6"/>
      <c r="K245" s="6"/>
      <c r="L245" s="6"/>
      <c r="M245" s="6"/>
      <c r="N245" s="6"/>
      <c r="O245" s="6"/>
      <c r="P245" s="6"/>
      <c r="Q245" s="6"/>
      <c r="S245" s="6"/>
    </row>
    <row r="246" spans="6:19" ht="14.25" customHeight="1" x14ac:dyDescent="0.35">
      <c r="F246" s="6"/>
      <c r="G246" s="6"/>
      <c r="H246" s="6"/>
      <c r="I246" s="6"/>
      <c r="J246" s="6"/>
      <c r="K246" s="6"/>
      <c r="L246" s="6"/>
      <c r="M246" s="6"/>
      <c r="N246" s="6"/>
      <c r="O246" s="6"/>
      <c r="P246" s="6"/>
      <c r="Q246" s="6"/>
      <c r="S246" s="6"/>
    </row>
    <row r="247" spans="6:19" ht="14.25" customHeight="1" x14ac:dyDescent="0.35">
      <c r="F247" s="6"/>
      <c r="G247" s="6"/>
      <c r="H247" s="6"/>
      <c r="I247" s="6"/>
      <c r="J247" s="6"/>
      <c r="K247" s="6"/>
      <c r="L247" s="6"/>
      <c r="M247" s="6"/>
      <c r="N247" s="6"/>
      <c r="O247" s="6"/>
      <c r="P247" s="6"/>
      <c r="Q247" s="6"/>
      <c r="S247" s="6"/>
    </row>
    <row r="248" spans="6:19" ht="14.25" customHeight="1" x14ac:dyDescent="0.35">
      <c r="F248" s="6"/>
      <c r="G248" s="6"/>
      <c r="H248" s="6"/>
      <c r="I248" s="6"/>
      <c r="J248" s="6"/>
      <c r="K248" s="6"/>
      <c r="L248" s="6"/>
      <c r="M248" s="6"/>
      <c r="N248" s="6"/>
      <c r="O248" s="6"/>
      <c r="P248" s="6"/>
      <c r="Q248" s="6"/>
      <c r="S248" s="6"/>
    </row>
    <row r="249" spans="6:19" ht="14.25" customHeight="1" x14ac:dyDescent="0.35">
      <c r="F249" s="6"/>
      <c r="G249" s="6"/>
      <c r="H249" s="6"/>
      <c r="I249" s="6"/>
      <c r="J249" s="6"/>
      <c r="K249" s="6"/>
      <c r="L249" s="6"/>
      <c r="M249" s="6"/>
      <c r="N249" s="6"/>
      <c r="O249" s="6"/>
      <c r="P249" s="6"/>
      <c r="Q249" s="6"/>
      <c r="S249" s="6"/>
    </row>
    <row r="250" spans="6:19" ht="14.25" customHeight="1" x14ac:dyDescent="0.35">
      <c r="F250" s="6"/>
      <c r="G250" s="6"/>
      <c r="H250" s="6"/>
      <c r="I250" s="6"/>
      <c r="J250" s="6"/>
      <c r="K250" s="6"/>
      <c r="L250" s="6"/>
      <c r="M250" s="6"/>
      <c r="N250" s="6"/>
      <c r="O250" s="6"/>
      <c r="P250" s="6"/>
      <c r="Q250" s="6"/>
      <c r="S250" s="6"/>
    </row>
    <row r="251" spans="6:19" ht="14.25" customHeight="1" x14ac:dyDescent="0.35">
      <c r="F251" s="6"/>
      <c r="G251" s="6"/>
      <c r="H251" s="6"/>
      <c r="I251" s="6"/>
      <c r="J251" s="6"/>
      <c r="K251" s="6"/>
      <c r="L251" s="6"/>
      <c r="M251" s="6"/>
      <c r="N251" s="6"/>
      <c r="O251" s="6"/>
      <c r="P251" s="6"/>
      <c r="Q251" s="6"/>
      <c r="S251" s="6"/>
    </row>
    <row r="252" spans="6:19" ht="14.25" customHeight="1" x14ac:dyDescent="0.35">
      <c r="F252" s="6"/>
      <c r="G252" s="6"/>
      <c r="H252" s="6"/>
      <c r="I252" s="6"/>
      <c r="J252" s="6"/>
      <c r="K252" s="6"/>
      <c r="L252" s="6"/>
      <c r="M252" s="6"/>
      <c r="N252" s="6"/>
      <c r="O252" s="6"/>
      <c r="P252" s="6"/>
      <c r="Q252" s="6"/>
      <c r="S252" s="6"/>
    </row>
    <row r="253" spans="6:19" ht="14.25" customHeight="1" x14ac:dyDescent="0.35">
      <c r="F253" s="6"/>
      <c r="G253" s="6"/>
      <c r="H253" s="6"/>
      <c r="I253" s="6"/>
      <c r="J253" s="6"/>
      <c r="K253" s="6"/>
      <c r="L253" s="6"/>
      <c r="M253" s="6"/>
      <c r="N253" s="6"/>
      <c r="O253" s="6"/>
      <c r="P253" s="6"/>
      <c r="Q253" s="6"/>
      <c r="S253" s="6"/>
    </row>
    <row r="254" spans="6:19" ht="14.25" customHeight="1" x14ac:dyDescent="0.35">
      <c r="F254" s="6"/>
      <c r="G254" s="6"/>
      <c r="H254" s="6"/>
      <c r="I254" s="6"/>
      <c r="J254" s="6"/>
      <c r="K254" s="6"/>
      <c r="L254" s="6"/>
      <c r="M254" s="6"/>
      <c r="N254" s="6"/>
      <c r="O254" s="6"/>
      <c r="P254" s="6"/>
      <c r="Q254" s="6"/>
      <c r="S254" s="6"/>
    </row>
    <row r="255" spans="6:19" ht="14.25" customHeight="1" x14ac:dyDescent="0.35">
      <c r="F255" s="6"/>
      <c r="G255" s="6"/>
      <c r="H255" s="6"/>
      <c r="I255" s="6"/>
      <c r="J255" s="6"/>
      <c r="K255" s="6"/>
      <c r="L255" s="6"/>
      <c r="M255" s="6"/>
      <c r="N255" s="6"/>
      <c r="O255" s="6"/>
      <c r="P255" s="6"/>
      <c r="Q255" s="6"/>
      <c r="S255" s="6"/>
    </row>
    <row r="256" spans="6:19" ht="14.25" customHeight="1" x14ac:dyDescent="0.35">
      <c r="F256" s="6"/>
      <c r="G256" s="6"/>
      <c r="H256" s="6"/>
      <c r="I256" s="6"/>
      <c r="J256" s="6"/>
      <c r="K256" s="6"/>
      <c r="L256" s="6"/>
      <c r="M256" s="6"/>
      <c r="N256" s="6"/>
      <c r="O256" s="6"/>
      <c r="P256" s="6"/>
      <c r="Q256" s="6"/>
      <c r="S256" s="6"/>
    </row>
    <row r="257" spans="6:19" ht="14.25" customHeight="1" x14ac:dyDescent="0.35">
      <c r="F257" s="6"/>
      <c r="G257" s="6"/>
      <c r="H257" s="6"/>
      <c r="I257" s="6"/>
      <c r="J257" s="6"/>
      <c r="K257" s="6"/>
      <c r="L257" s="6"/>
      <c r="M257" s="6"/>
      <c r="N257" s="6"/>
      <c r="O257" s="6"/>
      <c r="P257" s="6"/>
      <c r="Q257" s="6"/>
      <c r="S257" s="6"/>
    </row>
    <row r="258" spans="6:19" ht="14.25" customHeight="1" x14ac:dyDescent="0.35">
      <c r="F258" s="6"/>
      <c r="G258" s="6"/>
      <c r="H258" s="6"/>
      <c r="I258" s="6"/>
      <c r="J258" s="6"/>
      <c r="K258" s="6"/>
      <c r="L258" s="6"/>
      <c r="M258" s="6"/>
      <c r="N258" s="6"/>
      <c r="O258" s="6"/>
      <c r="P258" s="6"/>
      <c r="Q258" s="6"/>
      <c r="S258" s="6"/>
    </row>
    <row r="259" spans="6:19" ht="14.25" customHeight="1" x14ac:dyDescent="0.35">
      <c r="F259" s="6"/>
      <c r="G259" s="6"/>
      <c r="H259" s="6"/>
      <c r="I259" s="6"/>
      <c r="J259" s="6"/>
      <c r="K259" s="6"/>
      <c r="L259" s="6"/>
      <c r="M259" s="6"/>
      <c r="N259" s="6"/>
      <c r="O259" s="6"/>
      <c r="P259" s="6"/>
      <c r="Q259" s="6"/>
      <c r="S259" s="6"/>
    </row>
    <row r="260" spans="6:19" ht="14.25" customHeight="1" x14ac:dyDescent="0.35">
      <c r="F260" s="6"/>
      <c r="G260" s="6"/>
      <c r="H260" s="6"/>
      <c r="I260" s="6"/>
      <c r="J260" s="6"/>
      <c r="K260" s="6"/>
      <c r="L260" s="6"/>
      <c r="M260" s="6"/>
      <c r="N260" s="6"/>
      <c r="O260" s="6"/>
      <c r="P260" s="6"/>
      <c r="Q260" s="6"/>
      <c r="S260" s="6"/>
    </row>
    <row r="261" spans="6:19" ht="14.25" customHeight="1" x14ac:dyDescent="0.35">
      <c r="F261" s="6"/>
      <c r="G261" s="6"/>
      <c r="H261" s="6"/>
      <c r="I261" s="6"/>
      <c r="J261" s="6"/>
      <c r="K261" s="6"/>
      <c r="L261" s="6"/>
      <c r="M261" s="6"/>
      <c r="N261" s="6"/>
      <c r="O261" s="6"/>
      <c r="P261" s="6"/>
      <c r="Q261" s="6"/>
      <c r="S261" s="6"/>
    </row>
    <row r="262" spans="6:19" ht="14.25" customHeight="1" x14ac:dyDescent="0.35">
      <c r="F262" s="6"/>
      <c r="G262" s="6"/>
      <c r="H262" s="6"/>
      <c r="I262" s="6"/>
      <c r="J262" s="6"/>
      <c r="K262" s="6"/>
      <c r="L262" s="6"/>
      <c r="M262" s="6"/>
      <c r="N262" s="6"/>
      <c r="O262" s="6"/>
      <c r="P262" s="6"/>
      <c r="Q262" s="6"/>
      <c r="S262" s="6"/>
    </row>
    <row r="263" spans="6:19" ht="14.25" customHeight="1" x14ac:dyDescent="0.35">
      <c r="F263" s="6"/>
      <c r="G263" s="6"/>
      <c r="H263" s="6"/>
      <c r="I263" s="6"/>
      <c r="J263" s="6"/>
      <c r="K263" s="6"/>
      <c r="L263" s="6"/>
      <c r="M263" s="6"/>
      <c r="N263" s="6"/>
      <c r="O263" s="6"/>
      <c r="P263" s="6"/>
      <c r="Q263" s="6"/>
      <c r="S263" s="6"/>
    </row>
    <row r="264" spans="6:19" ht="14.25" customHeight="1" x14ac:dyDescent="0.35">
      <c r="F264" s="6"/>
      <c r="G264" s="6"/>
      <c r="H264" s="6"/>
      <c r="I264" s="6"/>
      <c r="J264" s="6"/>
      <c r="K264" s="6"/>
      <c r="L264" s="6"/>
      <c r="M264" s="6"/>
      <c r="N264" s="6"/>
      <c r="O264" s="6"/>
      <c r="P264" s="6"/>
      <c r="Q264" s="6"/>
      <c r="S264" s="6"/>
    </row>
    <row r="265" spans="6:19" ht="14.25" customHeight="1" x14ac:dyDescent="0.35">
      <c r="F265" s="6"/>
      <c r="G265" s="6"/>
      <c r="H265" s="6"/>
      <c r="I265" s="6"/>
      <c r="J265" s="6"/>
      <c r="K265" s="6"/>
      <c r="L265" s="6"/>
      <c r="M265" s="6"/>
      <c r="N265" s="6"/>
      <c r="O265" s="6"/>
      <c r="P265" s="6"/>
      <c r="Q265" s="6"/>
      <c r="S265" s="6"/>
    </row>
    <row r="266" spans="6:19" ht="14.25" customHeight="1" x14ac:dyDescent="0.35">
      <c r="F266" s="6"/>
      <c r="G266" s="6"/>
      <c r="H266" s="6"/>
      <c r="I266" s="6"/>
      <c r="J266" s="6"/>
      <c r="K266" s="6"/>
      <c r="L266" s="6"/>
      <c r="M266" s="6"/>
      <c r="N266" s="6"/>
      <c r="O266" s="6"/>
      <c r="P266" s="6"/>
      <c r="Q266" s="6"/>
      <c r="S266" s="6"/>
    </row>
    <row r="267" spans="6:19" ht="14.25" customHeight="1" x14ac:dyDescent="0.35">
      <c r="F267" s="6"/>
      <c r="G267" s="6"/>
      <c r="H267" s="6"/>
      <c r="I267" s="6"/>
      <c r="J267" s="6"/>
      <c r="K267" s="6"/>
      <c r="L267" s="6"/>
      <c r="M267" s="6"/>
      <c r="N267" s="6"/>
      <c r="O267" s="6"/>
      <c r="P267" s="6"/>
      <c r="Q267" s="6"/>
      <c r="S267" s="6"/>
    </row>
    <row r="268" spans="6:19" ht="14.25" customHeight="1" x14ac:dyDescent="0.35">
      <c r="F268" s="6"/>
      <c r="G268" s="6"/>
      <c r="H268" s="6"/>
      <c r="I268" s="6"/>
      <c r="J268" s="6"/>
      <c r="K268" s="6"/>
      <c r="L268" s="6"/>
      <c r="M268" s="6"/>
      <c r="N268" s="6"/>
      <c r="O268" s="6"/>
      <c r="P268" s="6"/>
      <c r="Q268" s="6"/>
      <c r="S268" s="6"/>
    </row>
    <row r="269" spans="6:19" ht="14.25" customHeight="1" x14ac:dyDescent="0.35">
      <c r="F269" s="6"/>
      <c r="G269" s="6"/>
      <c r="H269" s="6"/>
      <c r="I269" s="6"/>
      <c r="J269" s="6"/>
      <c r="K269" s="6"/>
      <c r="L269" s="6"/>
      <c r="M269" s="6"/>
      <c r="N269" s="6"/>
      <c r="O269" s="6"/>
      <c r="P269" s="6"/>
      <c r="Q269" s="6"/>
      <c r="S269" s="6"/>
    </row>
    <row r="270" spans="6:19" ht="14.25" customHeight="1" x14ac:dyDescent="0.35">
      <c r="F270" s="6"/>
      <c r="G270" s="6"/>
      <c r="H270" s="6"/>
      <c r="I270" s="6"/>
      <c r="J270" s="6"/>
      <c r="K270" s="6"/>
      <c r="L270" s="6"/>
      <c r="M270" s="6"/>
      <c r="N270" s="6"/>
      <c r="O270" s="6"/>
      <c r="P270" s="6"/>
      <c r="Q270" s="6"/>
      <c r="S270" s="6"/>
    </row>
    <row r="271" spans="6:19" ht="14.25" customHeight="1" x14ac:dyDescent="0.35">
      <c r="F271" s="6"/>
      <c r="G271" s="6"/>
      <c r="H271" s="6"/>
      <c r="I271" s="6"/>
      <c r="J271" s="6"/>
      <c r="K271" s="6"/>
      <c r="L271" s="6"/>
      <c r="M271" s="6"/>
      <c r="N271" s="6"/>
      <c r="O271" s="6"/>
      <c r="P271" s="6"/>
      <c r="Q271" s="6"/>
      <c r="S271" s="6"/>
    </row>
    <row r="272" spans="6:19" ht="14.25" customHeight="1" x14ac:dyDescent="0.35">
      <c r="F272" s="6"/>
      <c r="G272" s="6"/>
      <c r="H272" s="6"/>
      <c r="I272" s="6"/>
      <c r="J272" s="6"/>
      <c r="K272" s="6"/>
      <c r="L272" s="6"/>
      <c r="M272" s="6"/>
      <c r="N272" s="6"/>
      <c r="O272" s="6"/>
      <c r="P272" s="6"/>
      <c r="Q272" s="6"/>
      <c r="S272" s="6"/>
    </row>
    <row r="273" spans="6:19" ht="14.25" customHeight="1" x14ac:dyDescent="0.35">
      <c r="F273" s="6"/>
      <c r="G273" s="6"/>
      <c r="H273" s="6"/>
      <c r="I273" s="6"/>
      <c r="J273" s="6"/>
      <c r="K273" s="6"/>
      <c r="L273" s="6"/>
      <c r="M273" s="6"/>
      <c r="N273" s="6"/>
      <c r="O273" s="6"/>
      <c r="P273" s="6"/>
      <c r="Q273" s="6"/>
      <c r="S273" s="6"/>
    </row>
    <row r="274" spans="6:19" ht="14.25" customHeight="1" x14ac:dyDescent="0.35">
      <c r="F274" s="6"/>
      <c r="G274" s="6"/>
      <c r="H274" s="6"/>
      <c r="I274" s="6"/>
      <c r="J274" s="6"/>
      <c r="K274" s="6"/>
      <c r="L274" s="6"/>
      <c r="M274" s="6"/>
      <c r="N274" s="6"/>
      <c r="O274" s="6"/>
      <c r="P274" s="6"/>
      <c r="Q274" s="6"/>
      <c r="S274" s="6"/>
    </row>
    <row r="275" spans="6:19" ht="14.25" customHeight="1" x14ac:dyDescent="0.35">
      <c r="F275" s="6"/>
      <c r="G275" s="6"/>
      <c r="H275" s="6"/>
      <c r="I275" s="6"/>
      <c r="J275" s="6"/>
      <c r="K275" s="6"/>
      <c r="L275" s="6"/>
      <c r="M275" s="6"/>
      <c r="N275" s="6"/>
      <c r="O275" s="6"/>
      <c r="P275" s="6"/>
      <c r="Q275" s="6"/>
      <c r="S275" s="6"/>
    </row>
    <row r="276" spans="6:19" ht="14.25" customHeight="1" x14ac:dyDescent="0.35">
      <c r="F276" s="6"/>
      <c r="G276" s="6"/>
      <c r="H276" s="6"/>
      <c r="I276" s="6"/>
      <c r="J276" s="6"/>
      <c r="K276" s="6"/>
      <c r="L276" s="6"/>
      <c r="M276" s="6"/>
      <c r="N276" s="6"/>
      <c r="O276" s="6"/>
      <c r="P276" s="6"/>
      <c r="Q276" s="6"/>
      <c r="S276" s="6"/>
    </row>
    <row r="277" spans="6:19" ht="14.25" customHeight="1" x14ac:dyDescent="0.35">
      <c r="F277" s="6"/>
      <c r="G277" s="6"/>
      <c r="H277" s="6"/>
      <c r="I277" s="6"/>
      <c r="J277" s="6"/>
      <c r="K277" s="6"/>
      <c r="L277" s="6"/>
      <c r="M277" s="6"/>
      <c r="N277" s="6"/>
      <c r="O277" s="6"/>
      <c r="P277" s="6"/>
      <c r="Q277" s="6"/>
      <c r="S277" s="6"/>
    </row>
    <row r="278" spans="6:19" ht="14.25" customHeight="1" x14ac:dyDescent="0.35">
      <c r="F278" s="6"/>
      <c r="G278" s="6"/>
      <c r="H278" s="6"/>
      <c r="I278" s="6"/>
      <c r="J278" s="6"/>
      <c r="K278" s="6"/>
      <c r="L278" s="6"/>
      <c r="M278" s="6"/>
      <c r="N278" s="6"/>
      <c r="O278" s="6"/>
      <c r="P278" s="6"/>
      <c r="Q278" s="6"/>
      <c r="S278" s="6"/>
    </row>
    <row r="279" spans="6:19" ht="14.25" customHeight="1" x14ac:dyDescent="0.35">
      <c r="F279" s="6"/>
      <c r="G279" s="6"/>
      <c r="H279" s="6"/>
      <c r="I279" s="6"/>
      <c r="J279" s="6"/>
      <c r="K279" s="6"/>
      <c r="L279" s="6"/>
      <c r="M279" s="6"/>
      <c r="N279" s="6"/>
      <c r="O279" s="6"/>
      <c r="P279" s="6"/>
      <c r="Q279" s="6"/>
      <c r="S279" s="6"/>
    </row>
    <row r="280" spans="6:19" ht="14.25" customHeight="1" x14ac:dyDescent="0.35">
      <c r="F280" s="6"/>
      <c r="G280" s="6"/>
      <c r="H280" s="6"/>
      <c r="I280" s="6"/>
      <c r="J280" s="6"/>
      <c r="K280" s="6"/>
      <c r="L280" s="6"/>
      <c r="M280" s="6"/>
      <c r="N280" s="6"/>
      <c r="O280" s="6"/>
      <c r="P280" s="6"/>
      <c r="Q280" s="6"/>
      <c r="S280" s="6"/>
    </row>
    <row r="281" spans="6:19" ht="14.25" customHeight="1" x14ac:dyDescent="0.35">
      <c r="F281" s="6"/>
      <c r="G281" s="6"/>
      <c r="H281" s="6"/>
      <c r="I281" s="6"/>
      <c r="J281" s="6"/>
      <c r="K281" s="6"/>
      <c r="L281" s="6"/>
      <c r="M281" s="6"/>
      <c r="N281" s="6"/>
      <c r="O281" s="6"/>
      <c r="P281" s="6"/>
      <c r="Q281" s="6"/>
      <c r="S281" s="6"/>
    </row>
    <row r="282" spans="6:19" ht="14.25" customHeight="1" x14ac:dyDescent="0.35">
      <c r="F282" s="6"/>
      <c r="G282" s="6"/>
      <c r="H282" s="6"/>
      <c r="I282" s="6"/>
      <c r="J282" s="6"/>
      <c r="K282" s="6"/>
      <c r="L282" s="6"/>
      <c r="M282" s="6"/>
      <c r="N282" s="6"/>
      <c r="O282" s="6"/>
      <c r="P282" s="6"/>
      <c r="Q282" s="6"/>
      <c r="S282" s="6"/>
    </row>
    <row r="283" spans="6:19" ht="14.25" customHeight="1" x14ac:dyDescent="0.35">
      <c r="F283" s="6"/>
      <c r="G283" s="6"/>
      <c r="H283" s="6"/>
      <c r="I283" s="6"/>
      <c r="J283" s="6"/>
      <c r="K283" s="6"/>
      <c r="L283" s="6"/>
      <c r="M283" s="6"/>
      <c r="N283" s="6"/>
      <c r="O283" s="6"/>
      <c r="P283" s="6"/>
      <c r="Q283" s="6"/>
      <c r="S283" s="6"/>
    </row>
    <row r="284" spans="6:19" ht="14.25" customHeight="1" x14ac:dyDescent="0.35">
      <c r="F284" s="6"/>
      <c r="G284" s="6"/>
      <c r="H284" s="6"/>
      <c r="I284" s="6"/>
      <c r="J284" s="6"/>
      <c r="K284" s="6"/>
      <c r="L284" s="6"/>
      <c r="M284" s="6"/>
      <c r="N284" s="6"/>
      <c r="O284" s="6"/>
      <c r="P284" s="6"/>
      <c r="Q284" s="6"/>
      <c r="S284" s="6"/>
    </row>
    <row r="285" spans="6:19" ht="14.25" customHeight="1" x14ac:dyDescent="0.35">
      <c r="F285" s="6"/>
      <c r="G285" s="6"/>
      <c r="H285" s="6"/>
      <c r="I285" s="6"/>
      <c r="J285" s="6"/>
      <c r="K285" s="6"/>
      <c r="L285" s="6"/>
      <c r="M285" s="6"/>
      <c r="N285" s="6"/>
      <c r="O285" s="6"/>
      <c r="P285" s="6"/>
      <c r="Q285" s="6"/>
      <c r="S285" s="6"/>
    </row>
    <row r="286" spans="6:19" ht="14.25" customHeight="1" x14ac:dyDescent="0.35">
      <c r="F286" s="6"/>
      <c r="G286" s="6"/>
      <c r="H286" s="6"/>
      <c r="I286" s="6"/>
      <c r="J286" s="6"/>
      <c r="K286" s="6"/>
      <c r="L286" s="6"/>
      <c r="M286" s="6"/>
      <c r="N286" s="6"/>
      <c r="O286" s="6"/>
      <c r="P286" s="6"/>
      <c r="Q286" s="6"/>
      <c r="S286" s="6"/>
    </row>
    <row r="287" spans="6:19" ht="14.25" customHeight="1" x14ac:dyDescent="0.35">
      <c r="F287" s="6"/>
      <c r="G287" s="6"/>
      <c r="H287" s="6"/>
      <c r="I287" s="6"/>
      <c r="J287" s="6"/>
      <c r="K287" s="6"/>
      <c r="L287" s="6"/>
      <c r="M287" s="6"/>
      <c r="N287" s="6"/>
      <c r="O287" s="6"/>
      <c r="P287" s="6"/>
      <c r="Q287" s="6"/>
      <c r="S287" s="6"/>
    </row>
    <row r="288" spans="6:19" ht="14.25" customHeight="1" x14ac:dyDescent="0.35">
      <c r="F288" s="6"/>
      <c r="G288" s="6"/>
      <c r="H288" s="6"/>
      <c r="I288" s="6"/>
      <c r="J288" s="6"/>
      <c r="K288" s="6"/>
      <c r="L288" s="6"/>
      <c r="M288" s="6"/>
      <c r="N288" s="6"/>
      <c r="O288" s="6"/>
      <c r="P288" s="6"/>
      <c r="Q288" s="6"/>
      <c r="S288" s="6"/>
    </row>
    <row r="289" spans="6:19" ht="14.25" customHeight="1" x14ac:dyDescent="0.35">
      <c r="F289" s="6"/>
      <c r="G289" s="6"/>
      <c r="H289" s="6"/>
      <c r="I289" s="6"/>
      <c r="J289" s="6"/>
      <c r="K289" s="6"/>
      <c r="L289" s="6"/>
      <c r="M289" s="6"/>
      <c r="N289" s="6"/>
      <c r="O289" s="6"/>
      <c r="P289" s="6"/>
      <c r="Q289" s="6"/>
      <c r="S289" s="6"/>
    </row>
    <row r="290" spans="6:19" ht="14.25" customHeight="1" x14ac:dyDescent="0.35">
      <c r="F290" s="6"/>
      <c r="G290" s="6"/>
      <c r="H290" s="6"/>
      <c r="I290" s="6"/>
      <c r="J290" s="6"/>
      <c r="K290" s="6"/>
      <c r="L290" s="6"/>
      <c r="M290" s="6"/>
      <c r="N290" s="6"/>
      <c r="O290" s="6"/>
      <c r="P290" s="6"/>
      <c r="Q290" s="6"/>
      <c r="S290" s="6"/>
    </row>
    <row r="291" spans="6:19" ht="14.25" customHeight="1" x14ac:dyDescent="0.35">
      <c r="F291" s="6"/>
      <c r="G291" s="6"/>
      <c r="H291" s="6"/>
      <c r="I291" s="6"/>
      <c r="J291" s="6"/>
      <c r="K291" s="6"/>
      <c r="L291" s="6"/>
      <c r="M291" s="6"/>
      <c r="N291" s="6"/>
      <c r="O291" s="6"/>
      <c r="P291" s="6"/>
      <c r="Q291" s="6"/>
      <c r="S291" s="6"/>
    </row>
    <row r="292" spans="6:19" ht="14.25" customHeight="1" x14ac:dyDescent="0.35">
      <c r="F292" s="6"/>
      <c r="G292" s="6"/>
      <c r="H292" s="6"/>
      <c r="I292" s="6"/>
      <c r="J292" s="6"/>
      <c r="K292" s="6"/>
      <c r="L292" s="6"/>
      <c r="M292" s="6"/>
      <c r="N292" s="6"/>
      <c r="O292" s="6"/>
      <c r="P292" s="6"/>
      <c r="Q292" s="6"/>
      <c r="S292" s="6"/>
    </row>
    <row r="293" spans="6:19" ht="14.25" customHeight="1" x14ac:dyDescent="0.35">
      <c r="F293" s="6"/>
      <c r="G293" s="6"/>
      <c r="H293" s="6"/>
      <c r="I293" s="6"/>
      <c r="J293" s="6"/>
      <c r="K293" s="6"/>
      <c r="L293" s="6"/>
      <c r="M293" s="6"/>
      <c r="N293" s="6"/>
      <c r="O293" s="6"/>
      <c r="P293" s="6"/>
      <c r="Q293" s="6"/>
      <c r="S293" s="6"/>
    </row>
    <row r="294" spans="6:19" ht="14.25" customHeight="1" x14ac:dyDescent="0.35">
      <c r="F294" s="6"/>
      <c r="G294" s="6"/>
      <c r="H294" s="6"/>
      <c r="I294" s="6"/>
      <c r="J294" s="6"/>
      <c r="K294" s="6"/>
      <c r="L294" s="6"/>
      <c r="M294" s="6"/>
      <c r="N294" s="6"/>
      <c r="O294" s="6"/>
      <c r="P294" s="6"/>
      <c r="Q294" s="6"/>
      <c r="S294" s="6"/>
    </row>
    <row r="295" spans="6:19" ht="14.25" customHeight="1" x14ac:dyDescent="0.35">
      <c r="F295" s="6"/>
      <c r="G295" s="6"/>
      <c r="H295" s="6"/>
      <c r="I295" s="6"/>
      <c r="J295" s="6"/>
      <c r="K295" s="6"/>
      <c r="L295" s="6"/>
      <c r="M295" s="6"/>
      <c r="N295" s="6"/>
      <c r="O295" s="6"/>
      <c r="P295" s="6"/>
      <c r="Q295" s="6"/>
      <c r="S295" s="6"/>
    </row>
    <row r="296" spans="6:19" ht="14.25" customHeight="1" x14ac:dyDescent="0.35">
      <c r="F296" s="6"/>
      <c r="G296" s="6"/>
      <c r="H296" s="6"/>
      <c r="I296" s="6"/>
      <c r="J296" s="6"/>
      <c r="K296" s="6"/>
      <c r="L296" s="6"/>
      <c r="M296" s="6"/>
      <c r="N296" s="6"/>
      <c r="O296" s="6"/>
      <c r="P296" s="6"/>
      <c r="Q296" s="6"/>
      <c r="S296" s="6"/>
    </row>
    <row r="297" spans="6:19" ht="14.25" customHeight="1" x14ac:dyDescent="0.35">
      <c r="F297" s="6"/>
      <c r="G297" s="6"/>
      <c r="H297" s="6"/>
      <c r="I297" s="6"/>
      <c r="J297" s="6"/>
      <c r="K297" s="6"/>
      <c r="L297" s="6"/>
      <c r="M297" s="6"/>
      <c r="N297" s="6"/>
      <c r="O297" s="6"/>
      <c r="P297" s="6"/>
      <c r="Q297" s="6"/>
      <c r="S297" s="6"/>
    </row>
    <row r="298" spans="6:19" ht="14.25" customHeight="1" x14ac:dyDescent="0.35">
      <c r="F298" s="6"/>
      <c r="G298" s="6"/>
      <c r="H298" s="6"/>
      <c r="I298" s="6"/>
      <c r="J298" s="6"/>
      <c r="K298" s="6"/>
      <c r="L298" s="6"/>
      <c r="M298" s="6"/>
      <c r="N298" s="6"/>
      <c r="O298" s="6"/>
      <c r="P298" s="6"/>
      <c r="Q298" s="6"/>
      <c r="S298" s="6"/>
    </row>
    <row r="299" spans="6:19" ht="14.25" customHeight="1" x14ac:dyDescent="0.35">
      <c r="F299" s="6"/>
      <c r="G299" s="6"/>
      <c r="H299" s="6"/>
      <c r="I299" s="6"/>
      <c r="J299" s="6"/>
      <c r="K299" s="6"/>
      <c r="L299" s="6"/>
      <c r="M299" s="6"/>
      <c r="N299" s="6"/>
      <c r="O299" s="6"/>
      <c r="P299" s="6"/>
      <c r="Q299" s="6"/>
      <c r="S299" s="6"/>
    </row>
    <row r="300" spans="6:19" ht="14.25" customHeight="1" x14ac:dyDescent="0.35">
      <c r="F300" s="6"/>
      <c r="G300" s="6"/>
      <c r="H300" s="6"/>
      <c r="I300" s="6"/>
      <c r="J300" s="6"/>
      <c r="K300" s="6"/>
      <c r="L300" s="6"/>
      <c r="M300" s="6"/>
      <c r="N300" s="6"/>
      <c r="O300" s="6"/>
      <c r="P300" s="6"/>
      <c r="Q300" s="6"/>
      <c r="S300" s="6"/>
    </row>
    <row r="301" spans="6:19" ht="14.25" customHeight="1" x14ac:dyDescent="0.35">
      <c r="F301" s="6"/>
      <c r="G301" s="6"/>
      <c r="H301" s="6"/>
      <c r="I301" s="6"/>
      <c r="J301" s="6"/>
      <c r="K301" s="6"/>
      <c r="L301" s="6"/>
      <c r="M301" s="6"/>
      <c r="N301" s="6"/>
      <c r="O301" s="6"/>
      <c r="P301" s="6"/>
      <c r="Q301" s="6"/>
      <c r="S301" s="6"/>
    </row>
    <row r="302" spans="6:19" ht="14.25" customHeight="1" x14ac:dyDescent="0.35">
      <c r="F302" s="6"/>
      <c r="G302" s="6"/>
      <c r="H302" s="6"/>
      <c r="I302" s="6"/>
      <c r="J302" s="6"/>
      <c r="K302" s="6"/>
      <c r="L302" s="6"/>
      <c r="M302" s="6"/>
      <c r="N302" s="6"/>
      <c r="O302" s="6"/>
      <c r="P302" s="6"/>
      <c r="Q302" s="6"/>
      <c r="S302" s="6"/>
    </row>
    <row r="303" spans="6:19" ht="14.25" customHeight="1" x14ac:dyDescent="0.35">
      <c r="F303" s="6"/>
      <c r="G303" s="6"/>
      <c r="H303" s="6"/>
      <c r="I303" s="6"/>
      <c r="J303" s="6"/>
      <c r="K303" s="6"/>
      <c r="L303" s="6"/>
      <c r="M303" s="6"/>
      <c r="N303" s="6"/>
      <c r="O303" s="6"/>
      <c r="P303" s="6"/>
      <c r="Q303" s="6"/>
      <c r="S303" s="6"/>
    </row>
    <row r="304" spans="6:19" ht="14.25" customHeight="1" x14ac:dyDescent="0.35">
      <c r="F304" s="6"/>
      <c r="G304" s="6"/>
      <c r="H304" s="6"/>
      <c r="I304" s="6"/>
      <c r="J304" s="6"/>
      <c r="K304" s="6"/>
      <c r="L304" s="6"/>
      <c r="M304" s="6"/>
      <c r="N304" s="6"/>
      <c r="O304" s="6"/>
      <c r="P304" s="6"/>
      <c r="Q304" s="6"/>
      <c r="S304" s="6"/>
    </row>
    <row r="305" spans="6:19" ht="14.25" customHeight="1" x14ac:dyDescent="0.35">
      <c r="F305" s="6"/>
      <c r="G305" s="6"/>
      <c r="H305" s="6"/>
      <c r="I305" s="6"/>
      <c r="J305" s="6"/>
      <c r="K305" s="6"/>
      <c r="L305" s="6"/>
      <c r="M305" s="6"/>
      <c r="N305" s="6"/>
      <c r="O305" s="6"/>
      <c r="P305" s="6"/>
      <c r="Q305" s="6"/>
      <c r="S305" s="6"/>
    </row>
    <row r="306" spans="6:19" ht="14.25" customHeight="1" x14ac:dyDescent="0.35">
      <c r="F306" s="6"/>
      <c r="G306" s="6"/>
      <c r="H306" s="6"/>
      <c r="I306" s="6"/>
      <c r="J306" s="6"/>
      <c r="K306" s="6"/>
      <c r="L306" s="6"/>
      <c r="M306" s="6"/>
      <c r="N306" s="6"/>
      <c r="O306" s="6"/>
      <c r="P306" s="6"/>
      <c r="Q306" s="6"/>
      <c r="S306" s="6"/>
    </row>
    <row r="307" spans="6:19" ht="14.25" customHeight="1" x14ac:dyDescent="0.35">
      <c r="F307" s="6"/>
      <c r="G307" s="6"/>
      <c r="H307" s="6"/>
      <c r="I307" s="6"/>
      <c r="J307" s="6"/>
      <c r="K307" s="6"/>
      <c r="L307" s="6"/>
      <c r="M307" s="6"/>
      <c r="N307" s="6"/>
      <c r="O307" s="6"/>
      <c r="P307" s="6"/>
      <c r="Q307" s="6"/>
      <c r="S307" s="6"/>
    </row>
    <row r="308" spans="6:19" ht="14.25" customHeight="1" x14ac:dyDescent="0.35">
      <c r="F308" s="6"/>
      <c r="G308" s="6"/>
      <c r="H308" s="6"/>
      <c r="I308" s="6"/>
      <c r="J308" s="6"/>
      <c r="K308" s="6"/>
      <c r="L308" s="6"/>
      <c r="M308" s="6"/>
      <c r="N308" s="6"/>
      <c r="O308" s="6"/>
      <c r="P308" s="6"/>
      <c r="Q308" s="6"/>
      <c r="S308" s="6"/>
    </row>
    <row r="309" spans="6:19" ht="14.25" customHeight="1" x14ac:dyDescent="0.35">
      <c r="F309" s="6"/>
      <c r="G309" s="6"/>
      <c r="H309" s="6"/>
      <c r="I309" s="6"/>
      <c r="J309" s="6"/>
      <c r="K309" s="6"/>
      <c r="L309" s="6"/>
      <c r="M309" s="6"/>
      <c r="N309" s="6"/>
      <c r="O309" s="6"/>
      <c r="P309" s="6"/>
      <c r="Q309" s="6"/>
      <c r="S309" s="6"/>
    </row>
    <row r="310" spans="6:19" ht="14.25" customHeight="1" x14ac:dyDescent="0.35">
      <c r="F310" s="6"/>
      <c r="G310" s="6"/>
      <c r="H310" s="6"/>
      <c r="I310" s="6"/>
      <c r="J310" s="6"/>
      <c r="K310" s="6"/>
      <c r="L310" s="6"/>
      <c r="M310" s="6"/>
      <c r="N310" s="6"/>
      <c r="O310" s="6"/>
      <c r="P310" s="6"/>
      <c r="Q310" s="6"/>
      <c r="S310" s="6"/>
    </row>
    <row r="311" spans="6:19" ht="14.25" customHeight="1" x14ac:dyDescent="0.35">
      <c r="F311" s="6"/>
      <c r="G311" s="6"/>
      <c r="H311" s="6"/>
      <c r="I311" s="6"/>
      <c r="J311" s="6"/>
      <c r="K311" s="6"/>
      <c r="L311" s="6"/>
      <c r="M311" s="6"/>
      <c r="N311" s="6"/>
      <c r="O311" s="6"/>
      <c r="P311" s="6"/>
      <c r="Q311" s="6"/>
      <c r="S311" s="6"/>
    </row>
    <row r="312" spans="6:19" ht="14.25" customHeight="1" x14ac:dyDescent="0.35">
      <c r="F312" s="6"/>
      <c r="G312" s="6"/>
      <c r="H312" s="6"/>
      <c r="I312" s="6"/>
      <c r="J312" s="6"/>
      <c r="K312" s="6"/>
      <c r="L312" s="6"/>
      <c r="M312" s="6"/>
      <c r="N312" s="6"/>
      <c r="O312" s="6"/>
      <c r="P312" s="6"/>
      <c r="Q312" s="6"/>
      <c r="S312" s="6"/>
    </row>
    <row r="313" spans="6:19" ht="14.25" customHeight="1" x14ac:dyDescent="0.35">
      <c r="F313" s="6"/>
      <c r="G313" s="6"/>
      <c r="H313" s="6"/>
      <c r="I313" s="6"/>
      <c r="J313" s="6"/>
      <c r="K313" s="6"/>
      <c r="L313" s="6"/>
      <c r="M313" s="6"/>
      <c r="N313" s="6"/>
      <c r="O313" s="6"/>
      <c r="P313" s="6"/>
      <c r="Q313" s="6"/>
      <c r="S313" s="6"/>
    </row>
    <row r="314" spans="6:19" ht="14.25" customHeight="1" x14ac:dyDescent="0.35">
      <c r="F314" s="6"/>
      <c r="G314" s="6"/>
      <c r="H314" s="6"/>
      <c r="I314" s="6"/>
      <c r="J314" s="6"/>
      <c r="K314" s="6"/>
      <c r="L314" s="6"/>
      <c r="M314" s="6"/>
      <c r="N314" s="6"/>
      <c r="O314" s="6"/>
      <c r="P314" s="6"/>
      <c r="Q314" s="6"/>
      <c r="S314" s="6"/>
    </row>
    <row r="315" spans="6:19" ht="14.25" customHeight="1" x14ac:dyDescent="0.35">
      <c r="F315" s="6"/>
      <c r="G315" s="6"/>
      <c r="H315" s="6"/>
      <c r="I315" s="6"/>
      <c r="J315" s="6"/>
      <c r="K315" s="6"/>
      <c r="L315" s="6"/>
      <c r="M315" s="6"/>
      <c r="N315" s="6"/>
      <c r="O315" s="6"/>
      <c r="P315" s="6"/>
      <c r="Q315" s="6"/>
      <c r="S315" s="6"/>
    </row>
    <row r="316" spans="6:19" ht="14.25" customHeight="1" x14ac:dyDescent="0.35">
      <c r="F316" s="6"/>
      <c r="G316" s="6"/>
      <c r="H316" s="6"/>
      <c r="I316" s="6"/>
      <c r="J316" s="6"/>
      <c r="K316" s="6"/>
      <c r="L316" s="6"/>
      <c r="M316" s="6"/>
      <c r="N316" s="6"/>
      <c r="O316" s="6"/>
      <c r="P316" s="6"/>
      <c r="Q316" s="6"/>
      <c r="S316" s="6"/>
    </row>
    <row r="317" spans="6:19" ht="14.25" customHeight="1" x14ac:dyDescent="0.35">
      <c r="F317" s="6"/>
      <c r="G317" s="6"/>
      <c r="H317" s="6"/>
      <c r="I317" s="6"/>
      <c r="J317" s="6"/>
      <c r="K317" s="6"/>
      <c r="L317" s="6"/>
      <c r="M317" s="6"/>
      <c r="N317" s="6"/>
      <c r="O317" s="6"/>
      <c r="P317" s="6"/>
      <c r="Q317" s="6"/>
      <c r="S317" s="6"/>
    </row>
    <row r="318" spans="6:19" ht="14.25" customHeight="1" x14ac:dyDescent="0.35">
      <c r="F318" s="6"/>
      <c r="G318" s="6"/>
      <c r="H318" s="6"/>
      <c r="I318" s="6"/>
      <c r="J318" s="6"/>
      <c r="K318" s="6"/>
      <c r="L318" s="6"/>
      <c r="M318" s="6"/>
      <c r="N318" s="6"/>
      <c r="O318" s="6"/>
      <c r="P318" s="6"/>
      <c r="Q318" s="6"/>
      <c r="S318" s="6"/>
    </row>
    <row r="319" spans="6:19" ht="14.25" customHeight="1" x14ac:dyDescent="0.35">
      <c r="F319" s="6"/>
      <c r="G319" s="6"/>
      <c r="H319" s="6"/>
      <c r="I319" s="6"/>
      <c r="J319" s="6"/>
      <c r="K319" s="6"/>
      <c r="L319" s="6"/>
      <c r="M319" s="6"/>
      <c r="N319" s="6"/>
      <c r="O319" s="6"/>
      <c r="P319" s="6"/>
      <c r="Q319" s="6"/>
      <c r="S319" s="6"/>
    </row>
    <row r="320" spans="6:19" ht="14.25" customHeight="1" x14ac:dyDescent="0.35">
      <c r="F320" s="6"/>
      <c r="G320" s="6"/>
      <c r="H320" s="6"/>
      <c r="I320" s="6"/>
      <c r="J320" s="6"/>
      <c r="K320" s="6"/>
      <c r="L320" s="6"/>
      <c r="M320" s="6"/>
      <c r="N320" s="6"/>
      <c r="O320" s="6"/>
      <c r="P320" s="6"/>
      <c r="Q320" s="6"/>
      <c r="S320" s="6"/>
    </row>
    <row r="321" spans="6:19" ht="14.25" customHeight="1" x14ac:dyDescent="0.35">
      <c r="F321" s="6"/>
      <c r="G321" s="6"/>
      <c r="H321" s="6"/>
      <c r="I321" s="6"/>
      <c r="J321" s="6"/>
      <c r="K321" s="6"/>
      <c r="L321" s="6"/>
      <c r="M321" s="6"/>
      <c r="N321" s="6"/>
      <c r="O321" s="6"/>
      <c r="P321" s="6"/>
      <c r="Q321" s="6"/>
      <c r="S321" s="6"/>
    </row>
    <row r="322" spans="6:19" ht="14.25" customHeight="1" x14ac:dyDescent="0.35">
      <c r="F322" s="6"/>
      <c r="G322" s="6"/>
      <c r="H322" s="6"/>
      <c r="I322" s="6"/>
      <c r="J322" s="6"/>
      <c r="K322" s="6"/>
      <c r="L322" s="6"/>
      <c r="M322" s="6"/>
      <c r="N322" s="6"/>
      <c r="O322" s="6"/>
      <c r="P322" s="6"/>
      <c r="Q322" s="6"/>
      <c r="S322" s="6"/>
    </row>
    <row r="323" spans="6:19" ht="14.25" customHeight="1" x14ac:dyDescent="0.35">
      <c r="F323" s="6"/>
      <c r="G323" s="6"/>
      <c r="H323" s="6"/>
      <c r="I323" s="6"/>
      <c r="J323" s="6"/>
      <c r="K323" s="6"/>
      <c r="L323" s="6"/>
      <c r="M323" s="6"/>
      <c r="N323" s="6"/>
      <c r="O323" s="6"/>
      <c r="P323" s="6"/>
      <c r="Q323" s="6"/>
      <c r="S323" s="6"/>
    </row>
    <row r="324" spans="6:19" ht="14.25" customHeight="1" x14ac:dyDescent="0.35">
      <c r="F324" s="6"/>
      <c r="G324" s="6"/>
      <c r="H324" s="6"/>
      <c r="I324" s="6"/>
      <c r="J324" s="6"/>
      <c r="K324" s="6"/>
      <c r="L324" s="6"/>
      <c r="M324" s="6"/>
      <c r="N324" s="6"/>
      <c r="O324" s="6"/>
      <c r="P324" s="6"/>
      <c r="Q324" s="6"/>
      <c r="S324" s="6"/>
    </row>
    <row r="325" spans="6:19" ht="14.25" customHeight="1" x14ac:dyDescent="0.35">
      <c r="F325" s="6"/>
      <c r="G325" s="6"/>
      <c r="H325" s="6"/>
      <c r="I325" s="6"/>
      <c r="J325" s="6"/>
      <c r="K325" s="6"/>
      <c r="L325" s="6"/>
      <c r="M325" s="6"/>
      <c r="N325" s="6"/>
      <c r="O325" s="6"/>
      <c r="P325" s="6"/>
      <c r="Q325" s="6"/>
      <c r="S325" s="6"/>
    </row>
    <row r="326" spans="6:19" ht="14.25" customHeight="1" x14ac:dyDescent="0.35">
      <c r="F326" s="6"/>
      <c r="G326" s="6"/>
      <c r="H326" s="6"/>
      <c r="I326" s="6"/>
      <c r="J326" s="6"/>
      <c r="K326" s="6"/>
      <c r="L326" s="6"/>
      <c r="M326" s="6"/>
      <c r="N326" s="6"/>
      <c r="O326" s="6"/>
      <c r="P326" s="6"/>
      <c r="Q326" s="6"/>
      <c r="S326" s="6"/>
    </row>
    <row r="327" spans="6:19" ht="14.25" customHeight="1" x14ac:dyDescent="0.35">
      <c r="F327" s="6"/>
      <c r="G327" s="6"/>
      <c r="H327" s="6"/>
      <c r="I327" s="6"/>
      <c r="J327" s="6"/>
      <c r="K327" s="6"/>
      <c r="L327" s="6"/>
      <c r="M327" s="6"/>
      <c r="N327" s="6"/>
      <c r="O327" s="6"/>
      <c r="P327" s="6"/>
      <c r="Q327" s="6"/>
      <c r="S327" s="6"/>
    </row>
    <row r="328" spans="6:19" ht="14.25" customHeight="1" x14ac:dyDescent="0.35">
      <c r="F328" s="6"/>
      <c r="G328" s="6"/>
      <c r="H328" s="6"/>
      <c r="I328" s="6"/>
      <c r="J328" s="6"/>
      <c r="K328" s="6"/>
      <c r="L328" s="6"/>
      <c r="M328" s="6"/>
      <c r="N328" s="6"/>
      <c r="O328" s="6"/>
      <c r="P328" s="6"/>
      <c r="Q328" s="6"/>
      <c r="S328" s="6"/>
    </row>
    <row r="329" spans="6:19" ht="14.25" customHeight="1" x14ac:dyDescent="0.35">
      <c r="F329" s="6"/>
      <c r="G329" s="6"/>
      <c r="H329" s="6"/>
      <c r="I329" s="6"/>
      <c r="J329" s="6"/>
      <c r="K329" s="6"/>
      <c r="L329" s="6"/>
      <c r="M329" s="6"/>
      <c r="N329" s="6"/>
      <c r="O329" s="6"/>
      <c r="P329" s="6"/>
      <c r="Q329" s="6"/>
      <c r="S329" s="6"/>
    </row>
    <row r="330" spans="6:19" ht="14.25" customHeight="1" x14ac:dyDescent="0.35">
      <c r="F330" s="6"/>
      <c r="G330" s="6"/>
      <c r="H330" s="6"/>
      <c r="I330" s="6"/>
      <c r="J330" s="6"/>
      <c r="K330" s="6"/>
      <c r="L330" s="6"/>
      <c r="M330" s="6"/>
      <c r="N330" s="6"/>
      <c r="O330" s="6"/>
      <c r="P330" s="6"/>
      <c r="Q330" s="6"/>
      <c r="S330" s="6"/>
    </row>
    <row r="331" spans="6:19" ht="14.25" customHeight="1" x14ac:dyDescent="0.35">
      <c r="F331" s="6"/>
      <c r="G331" s="6"/>
      <c r="H331" s="6"/>
      <c r="I331" s="6"/>
      <c r="J331" s="6"/>
      <c r="K331" s="6"/>
      <c r="L331" s="6"/>
      <c r="M331" s="6"/>
      <c r="N331" s="6"/>
      <c r="O331" s="6"/>
      <c r="P331" s="6"/>
      <c r="Q331" s="6"/>
      <c r="S331" s="6"/>
    </row>
    <row r="332" spans="6:19" ht="14.25" customHeight="1" x14ac:dyDescent="0.35">
      <c r="F332" s="6"/>
      <c r="G332" s="6"/>
      <c r="H332" s="6"/>
      <c r="I332" s="6"/>
      <c r="J332" s="6"/>
      <c r="K332" s="6"/>
      <c r="L332" s="6"/>
      <c r="M332" s="6"/>
      <c r="N332" s="6"/>
      <c r="O332" s="6"/>
      <c r="P332" s="6"/>
      <c r="Q332" s="6"/>
      <c r="S332" s="6"/>
    </row>
    <row r="333" spans="6:19" ht="14.25" customHeight="1" x14ac:dyDescent="0.35">
      <c r="F333" s="6"/>
      <c r="G333" s="6"/>
      <c r="H333" s="6"/>
      <c r="I333" s="6"/>
      <c r="J333" s="6"/>
      <c r="K333" s="6"/>
      <c r="L333" s="6"/>
      <c r="M333" s="6"/>
      <c r="N333" s="6"/>
      <c r="O333" s="6"/>
      <c r="P333" s="6"/>
      <c r="Q333" s="6"/>
      <c r="S333" s="6"/>
    </row>
    <row r="334" spans="6:19" ht="14.25" customHeight="1" x14ac:dyDescent="0.35">
      <c r="F334" s="6"/>
      <c r="G334" s="6"/>
      <c r="H334" s="6"/>
      <c r="I334" s="6"/>
      <c r="J334" s="6"/>
      <c r="K334" s="6"/>
      <c r="L334" s="6"/>
      <c r="M334" s="6"/>
      <c r="N334" s="6"/>
      <c r="O334" s="6"/>
      <c r="P334" s="6"/>
      <c r="Q334" s="6"/>
      <c r="S334" s="6"/>
    </row>
    <row r="335" spans="6:19" ht="14.25" customHeight="1" x14ac:dyDescent="0.35">
      <c r="F335" s="6"/>
      <c r="G335" s="6"/>
      <c r="H335" s="6"/>
      <c r="I335" s="6"/>
      <c r="J335" s="6"/>
      <c r="K335" s="6"/>
      <c r="L335" s="6"/>
      <c r="M335" s="6"/>
      <c r="N335" s="6"/>
      <c r="O335" s="6"/>
      <c r="P335" s="6"/>
      <c r="Q335" s="6"/>
      <c r="S335" s="6"/>
    </row>
    <row r="336" spans="6:19" ht="14.25" customHeight="1" x14ac:dyDescent="0.35">
      <c r="F336" s="6"/>
      <c r="G336" s="6"/>
      <c r="H336" s="6"/>
      <c r="I336" s="6"/>
      <c r="J336" s="6"/>
      <c r="K336" s="6"/>
      <c r="L336" s="6"/>
      <c r="M336" s="6"/>
      <c r="N336" s="6"/>
      <c r="O336" s="6"/>
      <c r="P336" s="6"/>
      <c r="Q336" s="6"/>
      <c r="S336" s="6"/>
    </row>
    <row r="337" spans="6:19" ht="14.25" customHeight="1" x14ac:dyDescent="0.35">
      <c r="F337" s="6"/>
      <c r="G337" s="6"/>
      <c r="H337" s="6"/>
      <c r="I337" s="6"/>
      <c r="J337" s="6"/>
      <c r="K337" s="6"/>
      <c r="L337" s="6"/>
      <c r="M337" s="6"/>
      <c r="N337" s="6"/>
      <c r="O337" s="6"/>
      <c r="P337" s="6"/>
      <c r="Q337" s="6"/>
      <c r="S337" s="6"/>
    </row>
    <row r="338" spans="6:19" ht="14.25" customHeight="1" x14ac:dyDescent="0.35">
      <c r="F338" s="6"/>
      <c r="G338" s="6"/>
      <c r="H338" s="6"/>
      <c r="I338" s="6"/>
      <c r="J338" s="6"/>
      <c r="K338" s="6"/>
      <c r="L338" s="6"/>
      <c r="M338" s="6"/>
      <c r="N338" s="6"/>
      <c r="O338" s="6"/>
      <c r="P338" s="6"/>
      <c r="Q338" s="6"/>
      <c r="S338" s="6"/>
    </row>
    <row r="339" spans="6:19" ht="14.25" customHeight="1" x14ac:dyDescent="0.35">
      <c r="F339" s="6"/>
      <c r="G339" s="6"/>
      <c r="H339" s="6"/>
      <c r="I339" s="6"/>
      <c r="J339" s="6"/>
      <c r="K339" s="6"/>
      <c r="L339" s="6"/>
      <c r="M339" s="6"/>
      <c r="N339" s="6"/>
      <c r="O339" s="6"/>
      <c r="P339" s="6"/>
      <c r="Q339" s="6"/>
      <c r="S339" s="6"/>
    </row>
    <row r="340" spans="6:19" ht="14.25" customHeight="1" x14ac:dyDescent="0.35">
      <c r="F340" s="6"/>
      <c r="G340" s="6"/>
      <c r="H340" s="6"/>
      <c r="I340" s="6"/>
      <c r="J340" s="6"/>
      <c r="K340" s="6"/>
      <c r="L340" s="6"/>
      <c r="M340" s="6"/>
      <c r="N340" s="6"/>
      <c r="O340" s="6"/>
      <c r="P340" s="6"/>
      <c r="Q340" s="6"/>
      <c r="S340" s="6"/>
    </row>
    <row r="341" spans="6:19" ht="14.25" customHeight="1" x14ac:dyDescent="0.35">
      <c r="F341" s="6"/>
      <c r="G341" s="6"/>
      <c r="H341" s="6"/>
      <c r="I341" s="6"/>
      <c r="J341" s="6"/>
      <c r="K341" s="6"/>
      <c r="L341" s="6"/>
      <c r="M341" s="6"/>
      <c r="N341" s="6"/>
      <c r="O341" s="6"/>
      <c r="P341" s="6"/>
      <c r="Q341" s="6"/>
      <c r="S341" s="6"/>
    </row>
    <row r="342" spans="6:19" ht="14.25" customHeight="1" x14ac:dyDescent="0.35">
      <c r="F342" s="6"/>
      <c r="G342" s="6"/>
      <c r="H342" s="6"/>
      <c r="I342" s="6"/>
      <c r="J342" s="6"/>
      <c r="K342" s="6"/>
      <c r="L342" s="6"/>
      <c r="M342" s="6"/>
      <c r="N342" s="6"/>
      <c r="O342" s="6"/>
      <c r="P342" s="6"/>
      <c r="Q342" s="6"/>
      <c r="S342" s="6"/>
    </row>
    <row r="343" spans="6:19" ht="14.25" customHeight="1" x14ac:dyDescent="0.35">
      <c r="F343" s="6"/>
      <c r="G343" s="6"/>
      <c r="H343" s="6"/>
      <c r="I343" s="6"/>
      <c r="J343" s="6"/>
      <c r="K343" s="6"/>
      <c r="L343" s="6"/>
      <c r="M343" s="6"/>
      <c r="N343" s="6"/>
      <c r="O343" s="6"/>
      <c r="P343" s="6"/>
      <c r="Q343" s="6"/>
      <c r="S343" s="6"/>
    </row>
    <row r="344" spans="6:19" ht="14.25" customHeight="1" x14ac:dyDescent="0.35">
      <c r="F344" s="6"/>
      <c r="G344" s="6"/>
      <c r="H344" s="6"/>
      <c r="I344" s="6"/>
      <c r="J344" s="6"/>
      <c r="K344" s="6"/>
      <c r="L344" s="6"/>
      <c r="M344" s="6"/>
      <c r="N344" s="6"/>
      <c r="O344" s="6"/>
      <c r="P344" s="6"/>
      <c r="Q344" s="6"/>
      <c r="S344" s="6"/>
    </row>
    <row r="345" spans="6:19" ht="14.25" customHeight="1" x14ac:dyDescent="0.35">
      <c r="F345" s="6"/>
      <c r="G345" s="6"/>
      <c r="H345" s="6"/>
      <c r="I345" s="6"/>
      <c r="J345" s="6"/>
      <c r="K345" s="6"/>
      <c r="L345" s="6"/>
      <c r="M345" s="6"/>
      <c r="N345" s="6"/>
      <c r="O345" s="6"/>
      <c r="P345" s="6"/>
      <c r="Q345" s="6"/>
      <c r="S345" s="6"/>
    </row>
    <row r="346" spans="6:19" ht="14.25" customHeight="1" x14ac:dyDescent="0.35">
      <c r="F346" s="6"/>
      <c r="G346" s="6"/>
      <c r="H346" s="6"/>
      <c r="I346" s="6"/>
      <c r="J346" s="6"/>
      <c r="K346" s="6"/>
      <c r="L346" s="6"/>
      <c r="M346" s="6"/>
      <c r="N346" s="6"/>
      <c r="O346" s="6"/>
      <c r="P346" s="6"/>
      <c r="Q346" s="6"/>
      <c r="S346" s="6"/>
    </row>
    <row r="347" spans="6:19" ht="14.25" customHeight="1" x14ac:dyDescent="0.35">
      <c r="F347" s="6"/>
      <c r="G347" s="6"/>
      <c r="H347" s="6"/>
      <c r="I347" s="6"/>
      <c r="J347" s="6"/>
      <c r="K347" s="6"/>
      <c r="L347" s="6"/>
      <c r="M347" s="6"/>
      <c r="N347" s="6"/>
      <c r="O347" s="6"/>
      <c r="P347" s="6"/>
      <c r="Q347" s="6"/>
      <c r="S347" s="6"/>
    </row>
    <row r="348" spans="6:19" ht="14.25" customHeight="1" x14ac:dyDescent="0.35">
      <c r="F348" s="6"/>
      <c r="G348" s="6"/>
      <c r="H348" s="6"/>
      <c r="I348" s="6"/>
      <c r="J348" s="6"/>
      <c r="K348" s="6"/>
      <c r="L348" s="6"/>
      <c r="M348" s="6"/>
      <c r="N348" s="6"/>
      <c r="O348" s="6"/>
      <c r="P348" s="6"/>
      <c r="Q348" s="6"/>
      <c r="S348" s="6"/>
    </row>
    <row r="349" spans="6:19" ht="14.25" customHeight="1" x14ac:dyDescent="0.35">
      <c r="F349" s="6"/>
      <c r="G349" s="6"/>
      <c r="H349" s="6"/>
      <c r="I349" s="6"/>
      <c r="J349" s="6"/>
      <c r="K349" s="6"/>
      <c r="L349" s="6"/>
      <c r="M349" s="6"/>
      <c r="N349" s="6"/>
      <c r="O349" s="6"/>
      <c r="P349" s="6"/>
      <c r="Q349" s="6"/>
      <c r="S349" s="6"/>
    </row>
    <row r="350" spans="6:19" ht="14.25" customHeight="1" x14ac:dyDescent="0.35">
      <c r="F350" s="6"/>
      <c r="G350" s="6"/>
      <c r="H350" s="6"/>
      <c r="I350" s="6"/>
      <c r="J350" s="6"/>
      <c r="K350" s="6"/>
      <c r="L350" s="6"/>
      <c r="M350" s="6"/>
      <c r="N350" s="6"/>
      <c r="O350" s="6"/>
      <c r="P350" s="6"/>
      <c r="Q350" s="6"/>
      <c r="S350" s="6"/>
    </row>
    <row r="351" spans="6:19" ht="14.25" customHeight="1" x14ac:dyDescent="0.35">
      <c r="F351" s="6"/>
      <c r="G351" s="6"/>
      <c r="H351" s="6"/>
      <c r="I351" s="6"/>
      <c r="J351" s="6"/>
      <c r="K351" s="6"/>
      <c r="L351" s="6"/>
      <c r="M351" s="6"/>
      <c r="N351" s="6"/>
      <c r="O351" s="6"/>
      <c r="P351" s="6"/>
      <c r="Q351" s="6"/>
      <c r="S351" s="6"/>
    </row>
    <row r="352" spans="6:19" ht="14.25" customHeight="1" x14ac:dyDescent="0.35">
      <c r="F352" s="6"/>
      <c r="G352" s="6"/>
      <c r="H352" s="6"/>
      <c r="I352" s="6"/>
      <c r="J352" s="6"/>
      <c r="K352" s="6"/>
      <c r="L352" s="6"/>
      <c r="M352" s="6"/>
      <c r="N352" s="6"/>
      <c r="O352" s="6"/>
      <c r="P352" s="6"/>
      <c r="Q352" s="6"/>
      <c r="S352" s="6"/>
    </row>
    <row r="353" spans="6:19" ht="14.25" customHeight="1" x14ac:dyDescent="0.35">
      <c r="F353" s="6"/>
      <c r="G353" s="6"/>
      <c r="H353" s="6"/>
      <c r="I353" s="6"/>
      <c r="J353" s="6"/>
      <c r="K353" s="6"/>
      <c r="L353" s="6"/>
      <c r="M353" s="6"/>
      <c r="N353" s="6"/>
      <c r="O353" s="6"/>
      <c r="P353" s="6"/>
      <c r="Q353" s="6"/>
      <c r="S353" s="6"/>
    </row>
    <row r="354" spans="6:19" ht="14.25" customHeight="1" x14ac:dyDescent="0.35">
      <c r="F354" s="6"/>
      <c r="G354" s="6"/>
      <c r="H354" s="6"/>
      <c r="I354" s="6"/>
      <c r="J354" s="6"/>
      <c r="K354" s="6"/>
      <c r="L354" s="6"/>
      <c r="M354" s="6"/>
      <c r="N354" s="6"/>
      <c r="O354" s="6"/>
      <c r="P354" s="6"/>
      <c r="Q354" s="6"/>
      <c r="S354" s="6"/>
    </row>
    <row r="355" spans="6:19" ht="14.25" customHeight="1" x14ac:dyDescent="0.35">
      <c r="F355" s="6"/>
      <c r="G355" s="6"/>
      <c r="H355" s="6"/>
      <c r="I355" s="6"/>
      <c r="J355" s="6"/>
      <c r="K355" s="6"/>
      <c r="L355" s="6"/>
      <c r="M355" s="6"/>
      <c r="N355" s="6"/>
      <c r="O355" s="6"/>
      <c r="P355" s="6"/>
      <c r="Q355" s="6"/>
      <c r="S355" s="6"/>
    </row>
    <row r="356" spans="6:19" ht="14.25" customHeight="1" x14ac:dyDescent="0.35">
      <c r="F356" s="6"/>
      <c r="G356" s="6"/>
      <c r="H356" s="6"/>
      <c r="I356" s="6"/>
      <c r="J356" s="6"/>
      <c r="K356" s="6"/>
      <c r="L356" s="6"/>
      <c r="M356" s="6"/>
      <c r="N356" s="6"/>
      <c r="O356" s="6"/>
      <c r="P356" s="6"/>
      <c r="Q356" s="6"/>
      <c r="S356" s="6"/>
    </row>
    <row r="357" spans="6:19" ht="14.25" customHeight="1" x14ac:dyDescent="0.35">
      <c r="F357" s="6"/>
      <c r="G357" s="6"/>
      <c r="H357" s="6"/>
      <c r="I357" s="6"/>
      <c r="J357" s="6"/>
      <c r="K357" s="6"/>
      <c r="L357" s="6"/>
      <c r="M357" s="6"/>
      <c r="N357" s="6"/>
      <c r="O357" s="6"/>
      <c r="P357" s="6"/>
      <c r="Q357" s="6"/>
      <c r="S357" s="6"/>
    </row>
    <row r="358" spans="6:19" ht="14.25" customHeight="1" x14ac:dyDescent="0.35">
      <c r="F358" s="6"/>
      <c r="G358" s="6"/>
      <c r="H358" s="6"/>
      <c r="I358" s="6"/>
      <c r="J358" s="6"/>
      <c r="K358" s="6"/>
      <c r="L358" s="6"/>
      <c r="M358" s="6"/>
      <c r="N358" s="6"/>
      <c r="O358" s="6"/>
      <c r="P358" s="6"/>
      <c r="Q358" s="6"/>
      <c r="S358" s="6"/>
    </row>
    <row r="359" spans="6:19" ht="14.25" customHeight="1" x14ac:dyDescent="0.35">
      <c r="F359" s="6"/>
      <c r="G359" s="6"/>
      <c r="H359" s="6"/>
      <c r="I359" s="6"/>
      <c r="J359" s="6"/>
      <c r="K359" s="6"/>
      <c r="L359" s="6"/>
      <c r="M359" s="6"/>
      <c r="N359" s="6"/>
      <c r="O359" s="6"/>
      <c r="P359" s="6"/>
      <c r="Q359" s="6"/>
      <c r="S359" s="6"/>
    </row>
    <row r="360" spans="6:19" ht="14.25" customHeight="1" x14ac:dyDescent="0.35">
      <c r="F360" s="6"/>
      <c r="G360" s="6"/>
      <c r="H360" s="6"/>
      <c r="I360" s="6"/>
      <c r="J360" s="6"/>
      <c r="K360" s="6"/>
      <c r="L360" s="6"/>
      <c r="M360" s="6"/>
      <c r="N360" s="6"/>
      <c r="O360" s="6"/>
      <c r="P360" s="6"/>
      <c r="Q360" s="6"/>
      <c r="S360" s="6"/>
    </row>
    <row r="361" spans="6:19" ht="14.25" customHeight="1" x14ac:dyDescent="0.35">
      <c r="F361" s="6"/>
      <c r="G361" s="6"/>
      <c r="H361" s="6"/>
      <c r="I361" s="6"/>
      <c r="J361" s="6"/>
      <c r="K361" s="6"/>
      <c r="L361" s="6"/>
      <c r="M361" s="6"/>
      <c r="N361" s="6"/>
      <c r="O361" s="6"/>
      <c r="P361" s="6"/>
      <c r="Q361" s="6"/>
      <c r="S361" s="6"/>
    </row>
    <row r="362" spans="6:19" ht="14.25" customHeight="1" x14ac:dyDescent="0.35">
      <c r="F362" s="6"/>
      <c r="G362" s="6"/>
      <c r="H362" s="6"/>
      <c r="I362" s="6"/>
      <c r="J362" s="6"/>
      <c r="K362" s="6"/>
      <c r="L362" s="6"/>
      <c r="M362" s="6"/>
      <c r="N362" s="6"/>
      <c r="O362" s="6"/>
      <c r="P362" s="6"/>
      <c r="Q362" s="6"/>
      <c r="S362" s="6"/>
    </row>
    <row r="363" spans="6:19" ht="14.25" customHeight="1" x14ac:dyDescent="0.35">
      <c r="F363" s="6"/>
      <c r="G363" s="6"/>
      <c r="H363" s="6"/>
      <c r="I363" s="6"/>
      <c r="J363" s="6"/>
      <c r="K363" s="6"/>
      <c r="L363" s="6"/>
      <c r="M363" s="6"/>
      <c r="N363" s="6"/>
      <c r="O363" s="6"/>
      <c r="P363" s="6"/>
      <c r="Q363" s="6"/>
      <c r="S363" s="6"/>
    </row>
    <row r="364" spans="6:19" ht="14.25" customHeight="1" x14ac:dyDescent="0.35">
      <c r="F364" s="6"/>
      <c r="G364" s="6"/>
      <c r="H364" s="6"/>
      <c r="I364" s="6"/>
      <c r="J364" s="6"/>
      <c r="K364" s="6"/>
      <c r="L364" s="6"/>
      <c r="M364" s="6"/>
      <c r="N364" s="6"/>
      <c r="O364" s="6"/>
      <c r="P364" s="6"/>
      <c r="Q364" s="6"/>
      <c r="S364" s="6"/>
    </row>
    <row r="365" spans="6:19" ht="14.25" customHeight="1" x14ac:dyDescent="0.35">
      <c r="F365" s="6"/>
      <c r="G365" s="6"/>
      <c r="H365" s="6"/>
      <c r="I365" s="6"/>
      <c r="J365" s="6"/>
      <c r="K365" s="6"/>
      <c r="L365" s="6"/>
      <c r="M365" s="6"/>
      <c r="N365" s="6"/>
      <c r="O365" s="6"/>
      <c r="P365" s="6"/>
      <c r="Q365" s="6"/>
      <c r="S365" s="6"/>
    </row>
    <row r="366" spans="6:19" ht="14.25" customHeight="1" x14ac:dyDescent="0.35">
      <c r="F366" s="6"/>
      <c r="G366" s="6"/>
      <c r="H366" s="6"/>
      <c r="I366" s="6"/>
      <c r="J366" s="6"/>
      <c r="K366" s="6"/>
      <c r="L366" s="6"/>
      <c r="M366" s="6"/>
      <c r="N366" s="6"/>
      <c r="O366" s="6"/>
      <c r="P366" s="6"/>
      <c r="Q366" s="6"/>
      <c r="S366" s="6"/>
    </row>
    <row r="367" spans="6:19" ht="14.25" customHeight="1" x14ac:dyDescent="0.35">
      <c r="F367" s="6"/>
      <c r="G367" s="6"/>
      <c r="H367" s="6"/>
      <c r="I367" s="6"/>
      <c r="J367" s="6"/>
      <c r="K367" s="6"/>
      <c r="L367" s="6"/>
      <c r="M367" s="6"/>
      <c r="N367" s="6"/>
      <c r="O367" s="6"/>
      <c r="P367" s="6"/>
      <c r="Q367" s="6"/>
      <c r="S367" s="6"/>
    </row>
    <row r="368" spans="6:19" ht="14.25" customHeight="1" x14ac:dyDescent="0.35">
      <c r="F368" s="6"/>
      <c r="G368" s="6"/>
      <c r="H368" s="6"/>
      <c r="I368" s="6"/>
      <c r="J368" s="6"/>
      <c r="K368" s="6"/>
      <c r="L368" s="6"/>
      <c r="M368" s="6"/>
      <c r="N368" s="6"/>
      <c r="O368" s="6"/>
      <c r="P368" s="6"/>
      <c r="Q368" s="6"/>
      <c r="S368" s="6"/>
    </row>
    <row r="369" spans="6:19" ht="14.25" customHeight="1" x14ac:dyDescent="0.35">
      <c r="F369" s="6"/>
      <c r="G369" s="6"/>
      <c r="H369" s="6"/>
      <c r="I369" s="6"/>
      <c r="J369" s="6"/>
      <c r="K369" s="6"/>
      <c r="L369" s="6"/>
      <c r="M369" s="6"/>
      <c r="N369" s="6"/>
      <c r="O369" s="6"/>
      <c r="P369" s="6"/>
      <c r="Q369" s="6"/>
      <c r="S369" s="6"/>
    </row>
    <row r="370" spans="6:19" ht="14.25" customHeight="1" x14ac:dyDescent="0.35">
      <c r="F370" s="6"/>
      <c r="G370" s="6"/>
      <c r="H370" s="6"/>
      <c r="I370" s="6"/>
      <c r="J370" s="6"/>
      <c r="K370" s="6"/>
      <c r="L370" s="6"/>
      <c r="M370" s="6"/>
      <c r="N370" s="6"/>
      <c r="O370" s="6"/>
      <c r="P370" s="6"/>
      <c r="Q370" s="6"/>
      <c r="S370" s="6"/>
    </row>
    <row r="371" spans="6:19" ht="14.25" customHeight="1" x14ac:dyDescent="0.35">
      <c r="F371" s="6"/>
      <c r="G371" s="6"/>
      <c r="H371" s="6"/>
      <c r="I371" s="6"/>
      <c r="J371" s="6"/>
      <c r="K371" s="6"/>
      <c r="L371" s="6"/>
      <c r="M371" s="6"/>
      <c r="N371" s="6"/>
      <c r="O371" s="6"/>
      <c r="P371" s="6"/>
      <c r="Q371" s="6"/>
      <c r="S371" s="6"/>
    </row>
    <row r="372" spans="6:19" ht="14.25" customHeight="1" x14ac:dyDescent="0.35">
      <c r="F372" s="6"/>
      <c r="G372" s="6"/>
      <c r="H372" s="6"/>
      <c r="I372" s="6"/>
      <c r="J372" s="6"/>
      <c r="K372" s="6"/>
      <c r="L372" s="6"/>
      <c r="M372" s="6"/>
      <c r="N372" s="6"/>
      <c r="O372" s="6"/>
      <c r="P372" s="6"/>
      <c r="Q372" s="6"/>
      <c r="S372" s="6"/>
    </row>
    <row r="373" spans="6:19" ht="14.25" customHeight="1" x14ac:dyDescent="0.35">
      <c r="F373" s="6"/>
      <c r="G373" s="6"/>
      <c r="H373" s="6"/>
      <c r="I373" s="6"/>
      <c r="J373" s="6"/>
      <c r="K373" s="6"/>
      <c r="L373" s="6"/>
      <c r="M373" s="6"/>
      <c r="N373" s="6"/>
      <c r="O373" s="6"/>
      <c r="P373" s="6"/>
      <c r="Q373" s="6"/>
      <c r="S373" s="6"/>
    </row>
    <row r="374" spans="6:19" ht="14.25" customHeight="1" x14ac:dyDescent="0.35">
      <c r="F374" s="6"/>
      <c r="G374" s="6"/>
      <c r="H374" s="6"/>
      <c r="I374" s="6"/>
      <c r="J374" s="6"/>
      <c r="K374" s="6"/>
      <c r="L374" s="6"/>
      <c r="M374" s="6"/>
      <c r="N374" s="6"/>
      <c r="O374" s="6"/>
      <c r="P374" s="6"/>
      <c r="Q374" s="6"/>
      <c r="S374" s="6"/>
    </row>
    <row r="375" spans="6:19" ht="14.25" customHeight="1" x14ac:dyDescent="0.35">
      <c r="F375" s="6"/>
      <c r="G375" s="6"/>
      <c r="H375" s="6"/>
      <c r="I375" s="6"/>
      <c r="J375" s="6"/>
      <c r="K375" s="6"/>
      <c r="L375" s="6"/>
      <c r="M375" s="6"/>
      <c r="N375" s="6"/>
      <c r="O375" s="6"/>
      <c r="P375" s="6"/>
      <c r="Q375" s="6"/>
      <c r="S375" s="6"/>
    </row>
    <row r="376" spans="6:19" ht="14.25" customHeight="1" x14ac:dyDescent="0.35">
      <c r="F376" s="6"/>
      <c r="G376" s="6"/>
      <c r="H376" s="6"/>
      <c r="I376" s="6"/>
      <c r="J376" s="6"/>
      <c r="K376" s="6"/>
      <c r="L376" s="6"/>
      <c r="M376" s="6"/>
      <c r="N376" s="6"/>
      <c r="O376" s="6"/>
      <c r="P376" s="6"/>
      <c r="Q376" s="6"/>
      <c r="S376" s="6"/>
    </row>
    <row r="377" spans="6:19" ht="14.25" customHeight="1" x14ac:dyDescent="0.35">
      <c r="F377" s="6"/>
      <c r="G377" s="6"/>
      <c r="H377" s="6"/>
      <c r="I377" s="6"/>
      <c r="J377" s="6"/>
      <c r="K377" s="6"/>
      <c r="L377" s="6"/>
      <c r="M377" s="6"/>
      <c r="N377" s="6"/>
      <c r="O377" s="6"/>
      <c r="P377" s="6"/>
      <c r="Q377" s="6"/>
      <c r="S377" s="6"/>
    </row>
    <row r="378" spans="6:19" ht="14.25" customHeight="1" x14ac:dyDescent="0.35">
      <c r="F378" s="6"/>
      <c r="G378" s="6"/>
      <c r="H378" s="6"/>
      <c r="I378" s="6"/>
      <c r="J378" s="6"/>
      <c r="K378" s="6"/>
      <c r="L378" s="6"/>
      <c r="M378" s="6"/>
      <c r="N378" s="6"/>
      <c r="O378" s="6"/>
      <c r="P378" s="6"/>
      <c r="Q378" s="6"/>
      <c r="S378" s="6"/>
    </row>
    <row r="379" spans="6:19" ht="14.25" customHeight="1" x14ac:dyDescent="0.35">
      <c r="F379" s="6"/>
      <c r="G379" s="6"/>
      <c r="H379" s="6"/>
      <c r="I379" s="6"/>
      <c r="J379" s="6"/>
      <c r="K379" s="6"/>
      <c r="L379" s="6"/>
      <c r="M379" s="6"/>
      <c r="N379" s="6"/>
      <c r="O379" s="6"/>
      <c r="P379" s="6"/>
      <c r="Q379" s="6"/>
      <c r="S379" s="6"/>
    </row>
    <row r="380" spans="6:19" ht="14.25" customHeight="1" x14ac:dyDescent="0.35">
      <c r="F380" s="6"/>
      <c r="G380" s="6"/>
      <c r="H380" s="6"/>
      <c r="I380" s="6"/>
      <c r="J380" s="6"/>
      <c r="K380" s="6"/>
      <c r="L380" s="6"/>
      <c r="M380" s="6"/>
      <c r="N380" s="6"/>
      <c r="O380" s="6"/>
      <c r="P380" s="6"/>
      <c r="Q380" s="6"/>
      <c r="S380" s="6"/>
    </row>
    <row r="381" spans="6:19" ht="14.25" customHeight="1" x14ac:dyDescent="0.35">
      <c r="F381" s="6"/>
      <c r="G381" s="6"/>
      <c r="H381" s="6"/>
      <c r="I381" s="6"/>
      <c r="J381" s="6"/>
      <c r="K381" s="6"/>
      <c r="L381" s="6"/>
      <c r="M381" s="6"/>
      <c r="N381" s="6"/>
      <c r="O381" s="6"/>
      <c r="P381" s="6"/>
      <c r="Q381" s="6"/>
      <c r="S381" s="6"/>
    </row>
    <row r="382" spans="6:19" ht="14.25" customHeight="1" x14ac:dyDescent="0.35">
      <c r="F382" s="6"/>
      <c r="G382" s="6"/>
      <c r="H382" s="6"/>
      <c r="I382" s="6"/>
      <c r="J382" s="6"/>
      <c r="K382" s="6"/>
      <c r="L382" s="6"/>
      <c r="M382" s="6"/>
      <c r="N382" s="6"/>
      <c r="O382" s="6"/>
      <c r="P382" s="6"/>
      <c r="Q382" s="6"/>
      <c r="S382" s="6"/>
    </row>
    <row r="383" spans="6:19" ht="14.25" customHeight="1" x14ac:dyDescent="0.35">
      <c r="F383" s="6"/>
      <c r="G383" s="6"/>
      <c r="H383" s="6"/>
      <c r="I383" s="6"/>
      <c r="J383" s="6"/>
      <c r="K383" s="6"/>
      <c r="L383" s="6"/>
      <c r="M383" s="6"/>
      <c r="N383" s="6"/>
      <c r="O383" s="6"/>
      <c r="P383" s="6"/>
      <c r="Q383" s="6"/>
      <c r="S383" s="6"/>
    </row>
    <row r="384" spans="6:19" ht="14.25" customHeight="1" x14ac:dyDescent="0.35">
      <c r="F384" s="6"/>
      <c r="G384" s="6"/>
      <c r="H384" s="6"/>
      <c r="I384" s="6"/>
      <c r="J384" s="6"/>
      <c r="K384" s="6"/>
      <c r="L384" s="6"/>
      <c r="M384" s="6"/>
      <c r="N384" s="6"/>
      <c r="O384" s="6"/>
      <c r="P384" s="6"/>
      <c r="Q384" s="6"/>
      <c r="S384" s="6"/>
    </row>
    <row r="385" spans="6:19" ht="14.25" customHeight="1" x14ac:dyDescent="0.35">
      <c r="F385" s="6"/>
      <c r="G385" s="6"/>
      <c r="H385" s="6"/>
      <c r="I385" s="6"/>
      <c r="J385" s="6"/>
      <c r="K385" s="6"/>
      <c r="L385" s="6"/>
      <c r="M385" s="6"/>
      <c r="N385" s="6"/>
      <c r="O385" s="6"/>
      <c r="P385" s="6"/>
      <c r="Q385" s="6"/>
      <c r="S385" s="6"/>
    </row>
    <row r="386" spans="6:19" ht="14.25" customHeight="1" x14ac:dyDescent="0.35">
      <c r="F386" s="6"/>
      <c r="G386" s="6"/>
      <c r="H386" s="6"/>
      <c r="I386" s="6"/>
      <c r="J386" s="6"/>
      <c r="K386" s="6"/>
      <c r="L386" s="6"/>
      <c r="M386" s="6"/>
      <c r="N386" s="6"/>
      <c r="O386" s="6"/>
      <c r="P386" s="6"/>
      <c r="Q386" s="6"/>
      <c r="S386" s="6"/>
    </row>
    <row r="387" spans="6:19" ht="14.25" customHeight="1" x14ac:dyDescent="0.35">
      <c r="F387" s="6"/>
      <c r="G387" s="6"/>
      <c r="H387" s="6"/>
      <c r="I387" s="6"/>
      <c r="J387" s="6"/>
      <c r="K387" s="6"/>
      <c r="L387" s="6"/>
      <c r="M387" s="6"/>
      <c r="N387" s="6"/>
      <c r="O387" s="6"/>
      <c r="P387" s="6"/>
      <c r="Q387" s="6"/>
      <c r="S387" s="6"/>
    </row>
    <row r="388" spans="6:19" ht="14.25" customHeight="1" x14ac:dyDescent="0.35">
      <c r="F388" s="6"/>
      <c r="G388" s="6"/>
      <c r="H388" s="6"/>
      <c r="I388" s="6"/>
      <c r="J388" s="6"/>
      <c r="K388" s="6"/>
      <c r="L388" s="6"/>
      <c r="M388" s="6"/>
      <c r="N388" s="6"/>
      <c r="O388" s="6"/>
      <c r="P388" s="6"/>
      <c r="Q388" s="6"/>
      <c r="S388" s="6"/>
    </row>
    <row r="389" spans="6:19" ht="14.25" customHeight="1" x14ac:dyDescent="0.35">
      <c r="F389" s="6"/>
      <c r="G389" s="6"/>
      <c r="H389" s="6"/>
      <c r="I389" s="6"/>
      <c r="J389" s="6"/>
      <c r="K389" s="6"/>
      <c r="L389" s="6"/>
      <c r="M389" s="6"/>
      <c r="N389" s="6"/>
      <c r="O389" s="6"/>
      <c r="P389" s="6"/>
      <c r="Q389" s="6"/>
      <c r="S389" s="6"/>
    </row>
    <row r="390" spans="6:19" ht="14.25" customHeight="1" x14ac:dyDescent="0.35">
      <c r="F390" s="6"/>
      <c r="G390" s="6"/>
      <c r="H390" s="6"/>
      <c r="I390" s="6"/>
      <c r="J390" s="6"/>
      <c r="K390" s="6"/>
      <c r="L390" s="6"/>
      <c r="M390" s="6"/>
      <c r="N390" s="6"/>
      <c r="O390" s="6"/>
      <c r="P390" s="6"/>
      <c r="Q390" s="6"/>
      <c r="S390" s="6"/>
    </row>
    <row r="391" spans="6:19" ht="14.25" customHeight="1" x14ac:dyDescent="0.35">
      <c r="F391" s="6"/>
      <c r="G391" s="6"/>
      <c r="H391" s="6"/>
      <c r="I391" s="6"/>
      <c r="J391" s="6"/>
      <c r="K391" s="6"/>
      <c r="L391" s="6"/>
      <c r="M391" s="6"/>
      <c r="N391" s="6"/>
      <c r="O391" s="6"/>
      <c r="P391" s="6"/>
      <c r="Q391" s="6"/>
      <c r="S391" s="6"/>
    </row>
    <row r="392" spans="6:19" ht="14.25" customHeight="1" x14ac:dyDescent="0.35">
      <c r="F392" s="6"/>
      <c r="G392" s="6"/>
      <c r="H392" s="6"/>
      <c r="I392" s="6"/>
      <c r="J392" s="6"/>
      <c r="K392" s="6"/>
      <c r="L392" s="6"/>
      <c r="M392" s="6"/>
      <c r="N392" s="6"/>
      <c r="O392" s="6"/>
      <c r="P392" s="6"/>
      <c r="Q392" s="6"/>
      <c r="S392" s="6"/>
    </row>
    <row r="393" spans="6:19" ht="14.25" customHeight="1" x14ac:dyDescent="0.35">
      <c r="F393" s="6"/>
      <c r="G393" s="6"/>
      <c r="H393" s="6"/>
      <c r="I393" s="6"/>
      <c r="J393" s="6"/>
      <c r="K393" s="6"/>
      <c r="L393" s="6"/>
      <c r="M393" s="6"/>
      <c r="N393" s="6"/>
      <c r="O393" s="6"/>
      <c r="P393" s="6"/>
      <c r="Q393" s="6"/>
      <c r="S393" s="6"/>
    </row>
    <row r="394" spans="6:19" ht="14.25" customHeight="1" x14ac:dyDescent="0.35">
      <c r="F394" s="6"/>
      <c r="G394" s="6"/>
      <c r="H394" s="6"/>
      <c r="I394" s="6"/>
      <c r="J394" s="6"/>
      <c r="K394" s="6"/>
      <c r="L394" s="6"/>
      <c r="M394" s="6"/>
      <c r="N394" s="6"/>
      <c r="O394" s="6"/>
      <c r="P394" s="6"/>
      <c r="Q394" s="6"/>
      <c r="S394" s="6"/>
    </row>
    <row r="395" spans="6:19" ht="14.25" customHeight="1" x14ac:dyDescent="0.35">
      <c r="F395" s="6"/>
      <c r="G395" s="6"/>
      <c r="H395" s="6"/>
      <c r="I395" s="6"/>
      <c r="J395" s="6"/>
      <c r="K395" s="6"/>
      <c r="L395" s="6"/>
      <c r="M395" s="6"/>
      <c r="N395" s="6"/>
      <c r="O395" s="6"/>
      <c r="P395" s="6"/>
      <c r="Q395" s="6"/>
      <c r="S395" s="6"/>
    </row>
    <row r="396" spans="6:19" ht="14.25" customHeight="1" x14ac:dyDescent="0.35">
      <c r="F396" s="6"/>
      <c r="G396" s="6"/>
      <c r="H396" s="6"/>
      <c r="I396" s="6"/>
      <c r="J396" s="6"/>
      <c r="K396" s="6"/>
      <c r="L396" s="6"/>
      <c r="M396" s="6"/>
      <c r="N396" s="6"/>
      <c r="O396" s="6"/>
      <c r="P396" s="6"/>
      <c r="Q396" s="6"/>
      <c r="S396" s="6"/>
    </row>
    <row r="397" spans="6:19" ht="14.25" customHeight="1" x14ac:dyDescent="0.35">
      <c r="F397" s="6"/>
      <c r="G397" s="6"/>
      <c r="H397" s="6"/>
      <c r="I397" s="6"/>
      <c r="J397" s="6"/>
      <c r="K397" s="6"/>
      <c r="L397" s="6"/>
      <c r="M397" s="6"/>
      <c r="N397" s="6"/>
      <c r="O397" s="6"/>
      <c r="P397" s="6"/>
      <c r="Q397" s="6"/>
      <c r="S397" s="6"/>
    </row>
    <row r="398" spans="6:19" ht="14.25" customHeight="1" x14ac:dyDescent="0.35">
      <c r="F398" s="6"/>
      <c r="G398" s="6"/>
      <c r="H398" s="6"/>
      <c r="I398" s="6"/>
      <c r="J398" s="6"/>
      <c r="K398" s="6"/>
      <c r="L398" s="6"/>
      <c r="M398" s="6"/>
      <c r="N398" s="6"/>
      <c r="O398" s="6"/>
      <c r="P398" s="6"/>
      <c r="Q398" s="6"/>
      <c r="S398" s="6"/>
    </row>
    <row r="399" spans="6:19" ht="14.25" customHeight="1" x14ac:dyDescent="0.35">
      <c r="F399" s="6"/>
      <c r="G399" s="6"/>
      <c r="H399" s="6"/>
      <c r="I399" s="6"/>
      <c r="J399" s="6"/>
      <c r="K399" s="6"/>
      <c r="L399" s="6"/>
      <c r="M399" s="6"/>
      <c r="N399" s="6"/>
      <c r="O399" s="6"/>
      <c r="P399" s="6"/>
      <c r="Q399" s="6"/>
      <c r="S399" s="6"/>
    </row>
    <row r="400" spans="6:19" ht="14.25" customHeight="1" x14ac:dyDescent="0.35">
      <c r="F400" s="6"/>
      <c r="G400" s="6"/>
      <c r="H400" s="6"/>
      <c r="I400" s="6"/>
      <c r="J400" s="6"/>
      <c r="K400" s="6"/>
      <c r="L400" s="6"/>
      <c r="M400" s="6"/>
      <c r="N400" s="6"/>
      <c r="O400" s="6"/>
      <c r="P400" s="6"/>
      <c r="Q400" s="6"/>
      <c r="S400" s="6"/>
    </row>
    <row r="401" spans="6:19" ht="14.25" customHeight="1" x14ac:dyDescent="0.35">
      <c r="F401" s="6"/>
      <c r="G401" s="6"/>
      <c r="H401" s="6"/>
      <c r="I401" s="6"/>
      <c r="J401" s="6"/>
      <c r="K401" s="6"/>
      <c r="L401" s="6"/>
      <c r="M401" s="6"/>
      <c r="N401" s="6"/>
      <c r="O401" s="6"/>
      <c r="P401" s="6"/>
      <c r="Q401" s="6"/>
      <c r="S401" s="6"/>
    </row>
    <row r="402" spans="6:19" ht="14.25" customHeight="1" x14ac:dyDescent="0.35">
      <c r="F402" s="6"/>
      <c r="G402" s="6"/>
      <c r="H402" s="6"/>
      <c r="I402" s="6"/>
      <c r="J402" s="6"/>
      <c r="K402" s="6"/>
      <c r="L402" s="6"/>
      <c r="M402" s="6"/>
      <c r="N402" s="6"/>
      <c r="O402" s="6"/>
      <c r="P402" s="6"/>
      <c r="Q402" s="6"/>
      <c r="S402" s="6"/>
    </row>
    <row r="403" spans="6:19" ht="14.25" customHeight="1" x14ac:dyDescent="0.35">
      <c r="F403" s="6"/>
      <c r="G403" s="6"/>
      <c r="H403" s="6"/>
      <c r="I403" s="6"/>
      <c r="J403" s="6"/>
      <c r="K403" s="6"/>
      <c r="L403" s="6"/>
      <c r="M403" s="6"/>
      <c r="N403" s="6"/>
      <c r="O403" s="6"/>
      <c r="P403" s="6"/>
      <c r="Q403" s="6"/>
      <c r="S403" s="6"/>
    </row>
    <row r="404" spans="6:19" ht="14.25" customHeight="1" x14ac:dyDescent="0.35">
      <c r="F404" s="6"/>
      <c r="G404" s="6"/>
      <c r="H404" s="6"/>
      <c r="I404" s="6"/>
      <c r="J404" s="6"/>
      <c r="K404" s="6"/>
      <c r="L404" s="6"/>
      <c r="M404" s="6"/>
      <c r="N404" s="6"/>
      <c r="O404" s="6"/>
      <c r="P404" s="6"/>
      <c r="Q404" s="6"/>
      <c r="S404" s="6"/>
    </row>
    <row r="405" spans="6:19" ht="14.25" customHeight="1" x14ac:dyDescent="0.35">
      <c r="F405" s="6"/>
      <c r="G405" s="6"/>
      <c r="H405" s="6"/>
      <c r="I405" s="6"/>
      <c r="J405" s="6"/>
      <c r="K405" s="6"/>
      <c r="L405" s="6"/>
      <c r="M405" s="6"/>
      <c r="N405" s="6"/>
      <c r="O405" s="6"/>
      <c r="P405" s="6"/>
      <c r="Q405" s="6"/>
      <c r="S405" s="6"/>
    </row>
    <row r="406" spans="6:19" ht="14.25" customHeight="1" x14ac:dyDescent="0.35">
      <c r="F406" s="6"/>
      <c r="G406" s="6"/>
      <c r="H406" s="6"/>
      <c r="I406" s="6"/>
      <c r="J406" s="6"/>
      <c r="K406" s="6"/>
      <c r="L406" s="6"/>
      <c r="M406" s="6"/>
      <c r="N406" s="6"/>
      <c r="O406" s="6"/>
      <c r="P406" s="6"/>
      <c r="Q406" s="6"/>
      <c r="S406" s="6"/>
    </row>
    <row r="407" spans="6:19" ht="14.25" customHeight="1" x14ac:dyDescent="0.35">
      <c r="F407" s="6"/>
      <c r="G407" s="6"/>
      <c r="H407" s="6"/>
      <c r="I407" s="6"/>
      <c r="J407" s="6"/>
      <c r="K407" s="6"/>
      <c r="L407" s="6"/>
      <c r="M407" s="6"/>
      <c r="N407" s="6"/>
      <c r="O407" s="6"/>
      <c r="P407" s="6"/>
      <c r="Q407" s="6"/>
      <c r="S407" s="6"/>
    </row>
    <row r="408" spans="6:19" ht="14.25" customHeight="1" x14ac:dyDescent="0.35">
      <c r="F408" s="6"/>
      <c r="G408" s="6"/>
      <c r="H408" s="6"/>
      <c r="I408" s="6"/>
      <c r="J408" s="6"/>
      <c r="K408" s="6"/>
      <c r="L408" s="6"/>
      <c r="M408" s="6"/>
      <c r="N408" s="6"/>
      <c r="O408" s="6"/>
      <c r="P408" s="6"/>
      <c r="Q408" s="6"/>
      <c r="S408" s="6"/>
    </row>
    <row r="409" spans="6:19" ht="14.25" customHeight="1" x14ac:dyDescent="0.35">
      <c r="F409" s="6"/>
      <c r="G409" s="6"/>
      <c r="H409" s="6"/>
      <c r="I409" s="6"/>
      <c r="J409" s="6"/>
      <c r="K409" s="6"/>
      <c r="L409" s="6"/>
      <c r="M409" s="6"/>
      <c r="N409" s="6"/>
      <c r="O409" s="6"/>
      <c r="P409" s="6"/>
      <c r="Q409" s="6"/>
      <c r="S409" s="6"/>
    </row>
    <row r="410" spans="6:19" ht="14.25" customHeight="1" x14ac:dyDescent="0.35">
      <c r="F410" s="6"/>
      <c r="G410" s="6"/>
      <c r="H410" s="6"/>
      <c r="I410" s="6"/>
      <c r="J410" s="6"/>
      <c r="K410" s="6"/>
      <c r="L410" s="6"/>
      <c r="M410" s="6"/>
      <c r="N410" s="6"/>
      <c r="O410" s="6"/>
      <c r="P410" s="6"/>
      <c r="Q410" s="6"/>
      <c r="S410" s="6"/>
    </row>
    <row r="411" spans="6:19" ht="14.25" customHeight="1" x14ac:dyDescent="0.35">
      <c r="F411" s="6"/>
      <c r="G411" s="6"/>
      <c r="H411" s="6"/>
      <c r="I411" s="6"/>
      <c r="J411" s="6"/>
      <c r="K411" s="6"/>
      <c r="L411" s="6"/>
      <c r="M411" s="6"/>
      <c r="N411" s="6"/>
      <c r="O411" s="6"/>
      <c r="P411" s="6"/>
      <c r="Q411" s="6"/>
      <c r="S411" s="6"/>
    </row>
    <row r="412" spans="6:19" ht="14.25" customHeight="1" x14ac:dyDescent="0.35">
      <c r="F412" s="6"/>
      <c r="G412" s="6"/>
      <c r="H412" s="6"/>
      <c r="I412" s="6"/>
      <c r="J412" s="6"/>
      <c r="K412" s="6"/>
      <c r="L412" s="6"/>
      <c r="M412" s="6"/>
      <c r="N412" s="6"/>
      <c r="O412" s="6"/>
      <c r="P412" s="6"/>
      <c r="Q412" s="6"/>
      <c r="S412" s="6"/>
    </row>
    <row r="413" spans="6:19" ht="14.25" customHeight="1" x14ac:dyDescent="0.35">
      <c r="F413" s="6"/>
      <c r="G413" s="6"/>
      <c r="H413" s="6"/>
      <c r="I413" s="6"/>
      <c r="J413" s="6"/>
      <c r="K413" s="6"/>
      <c r="L413" s="6"/>
      <c r="M413" s="6"/>
      <c r="N413" s="6"/>
      <c r="O413" s="6"/>
      <c r="P413" s="6"/>
      <c r="Q413" s="6"/>
      <c r="S413" s="6"/>
    </row>
    <row r="414" spans="6:19" ht="14.25" customHeight="1" x14ac:dyDescent="0.35">
      <c r="F414" s="6"/>
      <c r="G414" s="6"/>
      <c r="H414" s="6"/>
      <c r="I414" s="6"/>
      <c r="J414" s="6"/>
      <c r="K414" s="6"/>
      <c r="L414" s="6"/>
      <c r="M414" s="6"/>
      <c r="N414" s="6"/>
      <c r="O414" s="6"/>
      <c r="P414" s="6"/>
      <c r="Q414" s="6"/>
      <c r="S414" s="6"/>
    </row>
    <row r="415" spans="6:19" ht="14.25" customHeight="1" x14ac:dyDescent="0.35">
      <c r="F415" s="6"/>
      <c r="G415" s="6"/>
      <c r="H415" s="6"/>
      <c r="I415" s="6"/>
      <c r="J415" s="6"/>
      <c r="K415" s="6"/>
      <c r="L415" s="6"/>
      <c r="M415" s="6"/>
      <c r="N415" s="6"/>
      <c r="O415" s="6"/>
      <c r="P415" s="6"/>
      <c r="Q415" s="6"/>
      <c r="S415" s="6"/>
    </row>
    <row r="416" spans="6:19" ht="14.25" customHeight="1" x14ac:dyDescent="0.35">
      <c r="F416" s="6"/>
      <c r="G416" s="6"/>
      <c r="H416" s="6"/>
      <c r="I416" s="6"/>
      <c r="J416" s="6"/>
      <c r="K416" s="6"/>
      <c r="L416" s="6"/>
      <c r="M416" s="6"/>
      <c r="N416" s="6"/>
      <c r="O416" s="6"/>
      <c r="P416" s="6"/>
      <c r="Q416" s="6"/>
      <c r="S416" s="6"/>
    </row>
    <row r="417" spans="6:19" ht="14.25" customHeight="1" x14ac:dyDescent="0.35">
      <c r="F417" s="6"/>
      <c r="G417" s="6"/>
      <c r="H417" s="6"/>
      <c r="I417" s="6"/>
      <c r="J417" s="6"/>
      <c r="K417" s="6"/>
      <c r="L417" s="6"/>
      <c r="M417" s="6"/>
      <c r="N417" s="6"/>
      <c r="O417" s="6"/>
      <c r="P417" s="6"/>
      <c r="Q417" s="6"/>
      <c r="S417" s="6"/>
    </row>
    <row r="418" spans="6:19" ht="14.25" customHeight="1" x14ac:dyDescent="0.35">
      <c r="F418" s="6"/>
      <c r="G418" s="6"/>
      <c r="H418" s="6"/>
      <c r="I418" s="6"/>
      <c r="J418" s="6"/>
      <c r="K418" s="6"/>
      <c r="L418" s="6"/>
      <c r="M418" s="6"/>
      <c r="N418" s="6"/>
      <c r="O418" s="6"/>
      <c r="P418" s="6"/>
      <c r="Q418" s="6"/>
      <c r="S418" s="6"/>
    </row>
    <row r="419" spans="6:19" ht="14.25" customHeight="1" x14ac:dyDescent="0.35">
      <c r="F419" s="6"/>
      <c r="G419" s="6"/>
      <c r="H419" s="6"/>
      <c r="I419" s="6"/>
      <c r="J419" s="6"/>
      <c r="K419" s="6"/>
      <c r="L419" s="6"/>
      <c r="M419" s="6"/>
      <c r="N419" s="6"/>
      <c r="O419" s="6"/>
      <c r="P419" s="6"/>
      <c r="Q419" s="6"/>
      <c r="S419" s="6"/>
    </row>
    <row r="420" spans="6:19" ht="14.25" customHeight="1" x14ac:dyDescent="0.35">
      <c r="F420" s="6"/>
      <c r="G420" s="6"/>
      <c r="H420" s="6"/>
      <c r="I420" s="6"/>
      <c r="J420" s="6"/>
      <c r="K420" s="6"/>
      <c r="L420" s="6"/>
      <c r="M420" s="6"/>
      <c r="N420" s="6"/>
      <c r="O420" s="6"/>
      <c r="P420" s="6"/>
      <c r="Q420" s="6"/>
      <c r="S420" s="6"/>
    </row>
    <row r="421" spans="6:19" ht="14.25" customHeight="1" x14ac:dyDescent="0.35">
      <c r="F421" s="6"/>
      <c r="G421" s="6"/>
      <c r="H421" s="6"/>
      <c r="I421" s="6"/>
      <c r="J421" s="6"/>
      <c r="K421" s="6"/>
      <c r="L421" s="6"/>
      <c r="M421" s="6"/>
      <c r="N421" s="6"/>
      <c r="O421" s="6"/>
      <c r="P421" s="6"/>
      <c r="Q421" s="6"/>
      <c r="S421" s="6"/>
    </row>
    <row r="422" spans="6:19" ht="14.25" customHeight="1" x14ac:dyDescent="0.35">
      <c r="F422" s="6"/>
      <c r="G422" s="6"/>
      <c r="H422" s="6"/>
      <c r="I422" s="6"/>
      <c r="J422" s="6"/>
      <c r="K422" s="6"/>
      <c r="L422" s="6"/>
      <c r="M422" s="6"/>
      <c r="N422" s="6"/>
      <c r="O422" s="6"/>
      <c r="P422" s="6"/>
      <c r="Q422" s="6"/>
      <c r="S422" s="6"/>
    </row>
    <row r="423" spans="6:19" ht="14.25" customHeight="1" x14ac:dyDescent="0.35">
      <c r="F423" s="6"/>
      <c r="G423" s="6"/>
      <c r="H423" s="6"/>
      <c r="I423" s="6"/>
      <c r="J423" s="6"/>
      <c r="K423" s="6"/>
      <c r="L423" s="6"/>
      <c r="M423" s="6"/>
      <c r="N423" s="6"/>
      <c r="O423" s="6"/>
      <c r="P423" s="6"/>
      <c r="Q423" s="6"/>
      <c r="S423" s="6"/>
    </row>
    <row r="424" spans="6:19" ht="14.25" customHeight="1" x14ac:dyDescent="0.35">
      <c r="F424" s="6"/>
      <c r="G424" s="6"/>
      <c r="H424" s="6"/>
      <c r="I424" s="6"/>
      <c r="J424" s="6"/>
      <c r="K424" s="6"/>
      <c r="L424" s="6"/>
      <c r="M424" s="6"/>
      <c r="N424" s="6"/>
      <c r="O424" s="6"/>
      <c r="P424" s="6"/>
      <c r="Q424" s="6"/>
      <c r="S424" s="6"/>
    </row>
    <row r="425" spans="6:19" ht="14.25" customHeight="1" x14ac:dyDescent="0.35">
      <c r="F425" s="6"/>
      <c r="G425" s="6"/>
      <c r="H425" s="6"/>
      <c r="I425" s="6"/>
      <c r="J425" s="6"/>
      <c r="K425" s="6"/>
      <c r="L425" s="6"/>
      <c r="M425" s="6"/>
      <c r="N425" s="6"/>
      <c r="O425" s="6"/>
      <c r="P425" s="6"/>
      <c r="Q425" s="6"/>
      <c r="S425" s="6"/>
    </row>
    <row r="426" spans="6:19" ht="14.25" customHeight="1" x14ac:dyDescent="0.35">
      <c r="F426" s="6"/>
      <c r="G426" s="6"/>
      <c r="H426" s="6"/>
      <c r="I426" s="6"/>
      <c r="J426" s="6"/>
      <c r="K426" s="6"/>
      <c r="L426" s="6"/>
      <c r="M426" s="6"/>
      <c r="N426" s="6"/>
      <c r="O426" s="6"/>
      <c r="P426" s="6"/>
      <c r="Q426" s="6"/>
      <c r="S426" s="6"/>
    </row>
    <row r="427" spans="6:19" ht="14.25" customHeight="1" x14ac:dyDescent="0.35">
      <c r="F427" s="6"/>
      <c r="G427" s="6"/>
      <c r="H427" s="6"/>
      <c r="I427" s="6"/>
      <c r="J427" s="6"/>
      <c r="K427" s="6"/>
      <c r="L427" s="6"/>
      <c r="M427" s="6"/>
      <c r="N427" s="6"/>
      <c r="O427" s="6"/>
      <c r="P427" s="6"/>
      <c r="Q427" s="6"/>
      <c r="S427" s="6"/>
    </row>
    <row r="428" spans="6:19" ht="14.25" customHeight="1" x14ac:dyDescent="0.35">
      <c r="F428" s="6"/>
      <c r="G428" s="6"/>
      <c r="H428" s="6"/>
      <c r="I428" s="6"/>
      <c r="J428" s="6"/>
      <c r="K428" s="6"/>
      <c r="L428" s="6"/>
      <c r="M428" s="6"/>
      <c r="N428" s="6"/>
      <c r="O428" s="6"/>
      <c r="P428" s="6"/>
      <c r="Q428" s="6"/>
      <c r="S428" s="6"/>
    </row>
    <row r="429" spans="6:19" ht="14.25" customHeight="1" x14ac:dyDescent="0.35">
      <c r="F429" s="6"/>
      <c r="G429" s="6"/>
      <c r="H429" s="6"/>
      <c r="I429" s="6"/>
      <c r="J429" s="6"/>
      <c r="K429" s="6"/>
      <c r="L429" s="6"/>
      <c r="M429" s="6"/>
      <c r="N429" s="6"/>
      <c r="O429" s="6"/>
      <c r="P429" s="6"/>
      <c r="Q429" s="6"/>
      <c r="S429" s="6"/>
    </row>
    <row r="430" spans="6:19" ht="14.25" customHeight="1" x14ac:dyDescent="0.35">
      <c r="F430" s="6"/>
      <c r="G430" s="6"/>
      <c r="H430" s="6"/>
      <c r="I430" s="6"/>
      <c r="J430" s="6"/>
      <c r="K430" s="6"/>
      <c r="L430" s="6"/>
      <c r="M430" s="6"/>
      <c r="N430" s="6"/>
      <c r="O430" s="6"/>
      <c r="P430" s="6"/>
      <c r="Q430" s="6"/>
      <c r="S430" s="6"/>
    </row>
    <row r="431" spans="6:19" ht="14.25" customHeight="1" x14ac:dyDescent="0.35">
      <c r="F431" s="6"/>
      <c r="G431" s="6"/>
      <c r="H431" s="6"/>
      <c r="I431" s="6"/>
      <c r="J431" s="6"/>
      <c r="K431" s="6"/>
      <c r="L431" s="6"/>
      <c r="M431" s="6"/>
      <c r="N431" s="6"/>
      <c r="O431" s="6"/>
      <c r="P431" s="6"/>
      <c r="Q431" s="6"/>
      <c r="S431" s="6"/>
    </row>
    <row r="432" spans="6:19" ht="14.25" customHeight="1" x14ac:dyDescent="0.35">
      <c r="F432" s="6"/>
      <c r="G432" s="6"/>
      <c r="H432" s="6"/>
      <c r="I432" s="6"/>
      <c r="J432" s="6"/>
      <c r="K432" s="6"/>
      <c r="L432" s="6"/>
      <c r="M432" s="6"/>
      <c r="N432" s="6"/>
      <c r="O432" s="6"/>
      <c r="P432" s="6"/>
      <c r="Q432" s="6"/>
      <c r="S432" s="6"/>
    </row>
    <row r="433" spans="6:19" ht="14.25" customHeight="1" x14ac:dyDescent="0.35">
      <c r="F433" s="6"/>
      <c r="G433" s="6"/>
      <c r="H433" s="6"/>
      <c r="I433" s="6"/>
      <c r="J433" s="6"/>
      <c r="K433" s="6"/>
      <c r="L433" s="6"/>
      <c r="M433" s="6"/>
      <c r="N433" s="6"/>
      <c r="O433" s="6"/>
      <c r="P433" s="6"/>
      <c r="Q433" s="6"/>
      <c r="S433" s="6"/>
    </row>
    <row r="434" spans="6:19" ht="14.25" customHeight="1" x14ac:dyDescent="0.35">
      <c r="F434" s="6"/>
      <c r="G434" s="6"/>
      <c r="H434" s="6"/>
      <c r="I434" s="6"/>
      <c r="J434" s="6"/>
      <c r="K434" s="6"/>
      <c r="L434" s="6"/>
      <c r="M434" s="6"/>
      <c r="N434" s="6"/>
      <c r="O434" s="6"/>
      <c r="P434" s="6"/>
      <c r="Q434" s="6"/>
      <c r="S434" s="6"/>
    </row>
    <row r="435" spans="6:19" ht="14.25" customHeight="1" x14ac:dyDescent="0.35">
      <c r="F435" s="6"/>
      <c r="G435" s="6"/>
      <c r="H435" s="6"/>
      <c r="I435" s="6"/>
      <c r="J435" s="6"/>
      <c r="K435" s="6"/>
      <c r="L435" s="6"/>
      <c r="M435" s="6"/>
      <c r="N435" s="6"/>
      <c r="O435" s="6"/>
      <c r="P435" s="6"/>
      <c r="Q435" s="6"/>
      <c r="S435" s="6"/>
    </row>
    <row r="436" spans="6:19" ht="14.25" customHeight="1" x14ac:dyDescent="0.35">
      <c r="F436" s="6"/>
      <c r="G436" s="6"/>
      <c r="H436" s="6"/>
      <c r="I436" s="6"/>
      <c r="J436" s="6"/>
      <c r="K436" s="6"/>
      <c r="L436" s="6"/>
      <c r="M436" s="6"/>
      <c r="N436" s="6"/>
      <c r="O436" s="6"/>
      <c r="P436" s="6"/>
      <c r="Q436" s="6"/>
      <c r="S436" s="6"/>
    </row>
    <row r="437" spans="6:19" ht="14.25" customHeight="1" x14ac:dyDescent="0.35">
      <c r="F437" s="6"/>
      <c r="G437" s="6"/>
      <c r="H437" s="6"/>
      <c r="I437" s="6"/>
      <c r="J437" s="6"/>
      <c r="K437" s="6"/>
      <c r="L437" s="6"/>
      <c r="M437" s="6"/>
      <c r="N437" s="6"/>
      <c r="O437" s="6"/>
      <c r="P437" s="6"/>
      <c r="Q437" s="6"/>
      <c r="S437" s="6"/>
    </row>
    <row r="438" spans="6:19" ht="14.25" customHeight="1" x14ac:dyDescent="0.35">
      <c r="F438" s="6"/>
      <c r="G438" s="6"/>
      <c r="H438" s="6"/>
      <c r="I438" s="6"/>
      <c r="J438" s="6"/>
      <c r="K438" s="6"/>
      <c r="L438" s="6"/>
      <c r="M438" s="6"/>
      <c r="N438" s="6"/>
      <c r="O438" s="6"/>
      <c r="P438" s="6"/>
      <c r="Q438" s="6"/>
      <c r="S438" s="6"/>
    </row>
    <row r="439" spans="6:19" ht="14.25" customHeight="1" x14ac:dyDescent="0.35">
      <c r="F439" s="6"/>
      <c r="G439" s="6"/>
      <c r="H439" s="6"/>
      <c r="I439" s="6"/>
      <c r="J439" s="6"/>
      <c r="K439" s="6"/>
      <c r="L439" s="6"/>
      <c r="M439" s="6"/>
      <c r="N439" s="6"/>
      <c r="O439" s="6"/>
      <c r="P439" s="6"/>
      <c r="Q439" s="6"/>
      <c r="S439" s="6"/>
    </row>
    <row r="440" spans="6:19" ht="14.25" customHeight="1" x14ac:dyDescent="0.35">
      <c r="F440" s="6"/>
      <c r="G440" s="6"/>
      <c r="H440" s="6"/>
      <c r="I440" s="6"/>
      <c r="J440" s="6"/>
      <c r="K440" s="6"/>
      <c r="L440" s="6"/>
      <c r="M440" s="6"/>
      <c r="N440" s="6"/>
      <c r="O440" s="6"/>
      <c r="P440" s="6"/>
      <c r="Q440" s="6"/>
      <c r="S440" s="6"/>
    </row>
    <row r="441" spans="6:19" ht="14.25" customHeight="1" x14ac:dyDescent="0.35">
      <c r="F441" s="6"/>
      <c r="G441" s="6"/>
      <c r="H441" s="6"/>
      <c r="I441" s="6"/>
      <c r="J441" s="6"/>
      <c r="K441" s="6"/>
      <c r="L441" s="6"/>
      <c r="M441" s="6"/>
      <c r="N441" s="6"/>
      <c r="O441" s="6"/>
      <c r="P441" s="6"/>
      <c r="Q441" s="6"/>
      <c r="S441" s="6"/>
    </row>
    <row r="442" spans="6:19" ht="14.25" customHeight="1" x14ac:dyDescent="0.35">
      <c r="F442" s="6"/>
      <c r="G442" s="6"/>
      <c r="H442" s="6"/>
      <c r="I442" s="6"/>
      <c r="J442" s="6"/>
      <c r="K442" s="6"/>
      <c r="L442" s="6"/>
      <c r="M442" s="6"/>
      <c r="N442" s="6"/>
      <c r="O442" s="6"/>
      <c r="P442" s="6"/>
      <c r="Q442" s="6"/>
      <c r="S442" s="6"/>
    </row>
    <row r="443" spans="6:19" ht="14.25" customHeight="1" x14ac:dyDescent="0.35">
      <c r="F443" s="6"/>
      <c r="G443" s="6"/>
      <c r="H443" s="6"/>
      <c r="I443" s="6"/>
      <c r="J443" s="6"/>
      <c r="K443" s="6"/>
      <c r="L443" s="6"/>
      <c r="M443" s="6"/>
      <c r="N443" s="6"/>
      <c r="O443" s="6"/>
      <c r="P443" s="6"/>
      <c r="Q443" s="6"/>
      <c r="S443" s="6"/>
    </row>
    <row r="444" spans="6:19" ht="14.25" customHeight="1" x14ac:dyDescent="0.35">
      <c r="F444" s="6"/>
      <c r="G444" s="6"/>
      <c r="H444" s="6"/>
      <c r="I444" s="6"/>
      <c r="J444" s="6"/>
      <c r="K444" s="6"/>
      <c r="L444" s="6"/>
      <c r="M444" s="6"/>
      <c r="N444" s="6"/>
      <c r="O444" s="6"/>
      <c r="P444" s="6"/>
      <c r="Q444" s="6"/>
      <c r="S444" s="6"/>
    </row>
    <row r="445" spans="6:19" ht="14.25" customHeight="1" x14ac:dyDescent="0.35">
      <c r="F445" s="6"/>
      <c r="G445" s="6"/>
      <c r="H445" s="6"/>
      <c r="I445" s="6"/>
      <c r="J445" s="6"/>
      <c r="K445" s="6"/>
      <c r="L445" s="6"/>
      <c r="M445" s="6"/>
      <c r="N445" s="6"/>
      <c r="O445" s="6"/>
      <c r="P445" s="6"/>
      <c r="Q445" s="6"/>
      <c r="S445" s="6"/>
    </row>
    <row r="446" spans="6:19" ht="14.25" customHeight="1" x14ac:dyDescent="0.35">
      <c r="F446" s="6"/>
      <c r="G446" s="6"/>
      <c r="H446" s="6"/>
      <c r="I446" s="6"/>
      <c r="J446" s="6"/>
      <c r="K446" s="6"/>
      <c r="L446" s="6"/>
      <c r="M446" s="6"/>
      <c r="N446" s="6"/>
      <c r="O446" s="6"/>
      <c r="P446" s="6"/>
      <c r="Q446" s="6"/>
      <c r="S446" s="6"/>
    </row>
    <row r="447" spans="6:19" ht="14.25" customHeight="1" x14ac:dyDescent="0.35">
      <c r="F447" s="6"/>
      <c r="G447" s="6"/>
      <c r="H447" s="6"/>
      <c r="I447" s="6"/>
      <c r="J447" s="6"/>
      <c r="K447" s="6"/>
      <c r="L447" s="6"/>
      <c r="M447" s="6"/>
      <c r="N447" s="6"/>
      <c r="O447" s="6"/>
      <c r="P447" s="6"/>
      <c r="Q447" s="6"/>
      <c r="S447" s="6"/>
    </row>
    <row r="448" spans="6:19" ht="14.25" customHeight="1" x14ac:dyDescent="0.35">
      <c r="F448" s="6"/>
      <c r="G448" s="6"/>
      <c r="H448" s="6"/>
      <c r="I448" s="6"/>
      <c r="J448" s="6"/>
      <c r="K448" s="6"/>
      <c r="L448" s="6"/>
      <c r="M448" s="6"/>
      <c r="N448" s="6"/>
      <c r="O448" s="6"/>
      <c r="P448" s="6"/>
      <c r="Q448" s="6"/>
      <c r="S448" s="6"/>
    </row>
    <row r="449" spans="6:19" ht="14.25" customHeight="1" x14ac:dyDescent="0.35">
      <c r="F449" s="6"/>
      <c r="G449" s="6"/>
      <c r="H449" s="6"/>
      <c r="I449" s="6"/>
      <c r="J449" s="6"/>
      <c r="K449" s="6"/>
      <c r="L449" s="6"/>
      <c r="M449" s="6"/>
      <c r="N449" s="6"/>
      <c r="O449" s="6"/>
      <c r="P449" s="6"/>
      <c r="Q449" s="6"/>
      <c r="S449" s="6"/>
    </row>
    <row r="450" spans="6:19" ht="14.25" customHeight="1" x14ac:dyDescent="0.35">
      <c r="F450" s="6"/>
      <c r="G450" s="6"/>
      <c r="H450" s="6"/>
      <c r="I450" s="6"/>
      <c r="J450" s="6"/>
      <c r="K450" s="6"/>
      <c r="L450" s="6"/>
      <c r="M450" s="6"/>
      <c r="N450" s="6"/>
      <c r="O450" s="6"/>
      <c r="P450" s="6"/>
      <c r="Q450" s="6"/>
      <c r="S450" s="6"/>
    </row>
    <row r="451" spans="6:19" ht="14.25" customHeight="1" x14ac:dyDescent="0.35">
      <c r="F451" s="6"/>
      <c r="G451" s="6"/>
      <c r="H451" s="6"/>
      <c r="I451" s="6"/>
      <c r="J451" s="6"/>
      <c r="K451" s="6"/>
      <c r="L451" s="6"/>
      <c r="M451" s="6"/>
      <c r="N451" s="6"/>
      <c r="O451" s="6"/>
      <c r="P451" s="6"/>
      <c r="Q451" s="6"/>
      <c r="S451" s="6"/>
    </row>
    <row r="452" spans="6:19" ht="14.25" customHeight="1" x14ac:dyDescent="0.35">
      <c r="F452" s="6"/>
      <c r="G452" s="6"/>
      <c r="H452" s="6"/>
      <c r="I452" s="6"/>
      <c r="J452" s="6"/>
      <c r="K452" s="6"/>
      <c r="L452" s="6"/>
      <c r="M452" s="6"/>
      <c r="N452" s="6"/>
      <c r="O452" s="6"/>
      <c r="P452" s="6"/>
      <c r="Q452" s="6"/>
      <c r="S452" s="6"/>
    </row>
    <row r="453" spans="6:19" ht="14.25" customHeight="1" x14ac:dyDescent="0.35">
      <c r="F453" s="6"/>
      <c r="G453" s="6"/>
      <c r="H453" s="6"/>
      <c r="I453" s="6"/>
      <c r="J453" s="6"/>
      <c r="K453" s="6"/>
      <c r="L453" s="6"/>
      <c r="M453" s="6"/>
      <c r="N453" s="6"/>
      <c r="O453" s="6"/>
      <c r="P453" s="6"/>
      <c r="Q453" s="6"/>
      <c r="S453" s="6"/>
    </row>
    <row r="454" spans="6:19" ht="14.25" customHeight="1" x14ac:dyDescent="0.35">
      <c r="F454" s="6"/>
      <c r="G454" s="6"/>
      <c r="H454" s="6"/>
      <c r="I454" s="6"/>
      <c r="J454" s="6"/>
      <c r="K454" s="6"/>
      <c r="L454" s="6"/>
      <c r="M454" s="6"/>
      <c r="N454" s="6"/>
      <c r="O454" s="6"/>
      <c r="P454" s="6"/>
      <c r="Q454" s="6"/>
      <c r="S454" s="6"/>
    </row>
    <row r="455" spans="6:19" ht="14.25" customHeight="1" x14ac:dyDescent="0.35">
      <c r="F455" s="6"/>
      <c r="G455" s="6"/>
      <c r="H455" s="6"/>
      <c r="I455" s="6"/>
      <c r="J455" s="6"/>
      <c r="K455" s="6"/>
      <c r="L455" s="6"/>
      <c r="M455" s="6"/>
      <c r="N455" s="6"/>
      <c r="O455" s="6"/>
      <c r="P455" s="6"/>
      <c r="Q455" s="6"/>
      <c r="S455" s="6"/>
    </row>
    <row r="456" spans="6:19" ht="14.25" customHeight="1" x14ac:dyDescent="0.35">
      <c r="F456" s="6"/>
      <c r="G456" s="6"/>
      <c r="H456" s="6"/>
      <c r="I456" s="6"/>
      <c r="J456" s="6"/>
      <c r="K456" s="6"/>
      <c r="L456" s="6"/>
      <c r="M456" s="6"/>
      <c r="N456" s="6"/>
      <c r="O456" s="6"/>
      <c r="P456" s="6"/>
      <c r="Q456" s="6"/>
      <c r="S456" s="6"/>
    </row>
    <row r="457" spans="6:19" ht="14.25" customHeight="1" x14ac:dyDescent="0.35">
      <c r="F457" s="6"/>
      <c r="G457" s="6"/>
      <c r="H457" s="6"/>
      <c r="I457" s="6"/>
      <c r="J457" s="6"/>
      <c r="K457" s="6"/>
      <c r="L457" s="6"/>
      <c r="M457" s="6"/>
      <c r="N457" s="6"/>
      <c r="O457" s="6"/>
      <c r="P457" s="6"/>
      <c r="Q457" s="6"/>
      <c r="S457" s="6"/>
    </row>
    <row r="458" spans="6:19" ht="14.25" customHeight="1" x14ac:dyDescent="0.35">
      <c r="F458" s="6"/>
      <c r="G458" s="6"/>
      <c r="H458" s="6"/>
      <c r="I458" s="6"/>
      <c r="J458" s="6"/>
      <c r="K458" s="6"/>
      <c r="L458" s="6"/>
      <c r="M458" s="6"/>
      <c r="N458" s="6"/>
      <c r="O458" s="6"/>
      <c r="P458" s="6"/>
      <c r="Q458" s="6"/>
      <c r="S458" s="6"/>
    </row>
    <row r="459" spans="6:19" ht="14.25" customHeight="1" x14ac:dyDescent="0.35">
      <c r="F459" s="6"/>
      <c r="G459" s="6"/>
      <c r="H459" s="6"/>
      <c r="I459" s="6"/>
      <c r="J459" s="6"/>
      <c r="K459" s="6"/>
      <c r="L459" s="6"/>
      <c r="M459" s="6"/>
      <c r="N459" s="6"/>
      <c r="O459" s="6"/>
      <c r="P459" s="6"/>
      <c r="Q459" s="6"/>
      <c r="S459" s="6"/>
    </row>
    <row r="460" spans="6:19" ht="14.25" customHeight="1" x14ac:dyDescent="0.35">
      <c r="F460" s="6"/>
      <c r="G460" s="6"/>
      <c r="H460" s="6"/>
      <c r="I460" s="6"/>
      <c r="J460" s="6"/>
      <c r="K460" s="6"/>
      <c r="L460" s="6"/>
      <c r="M460" s="6"/>
      <c r="N460" s="6"/>
      <c r="O460" s="6"/>
      <c r="P460" s="6"/>
      <c r="Q460" s="6"/>
      <c r="S460" s="6"/>
    </row>
    <row r="461" spans="6:19" ht="14.25" customHeight="1" x14ac:dyDescent="0.35">
      <c r="F461" s="6"/>
      <c r="G461" s="6"/>
      <c r="H461" s="6"/>
      <c r="I461" s="6"/>
      <c r="J461" s="6"/>
      <c r="K461" s="6"/>
      <c r="L461" s="6"/>
      <c r="M461" s="6"/>
      <c r="N461" s="6"/>
      <c r="O461" s="6"/>
      <c r="P461" s="6"/>
      <c r="Q461" s="6"/>
      <c r="S461" s="6"/>
    </row>
    <row r="462" spans="6:19" ht="14.25" customHeight="1" x14ac:dyDescent="0.35">
      <c r="F462" s="6"/>
      <c r="G462" s="6"/>
      <c r="H462" s="6"/>
      <c r="I462" s="6"/>
      <c r="J462" s="6"/>
      <c r="K462" s="6"/>
      <c r="L462" s="6"/>
      <c r="M462" s="6"/>
      <c r="N462" s="6"/>
      <c r="O462" s="6"/>
      <c r="P462" s="6"/>
      <c r="Q462" s="6"/>
      <c r="S462" s="6"/>
    </row>
    <row r="463" spans="6:19" ht="14.25" customHeight="1" x14ac:dyDescent="0.35">
      <c r="F463" s="6"/>
      <c r="G463" s="6"/>
      <c r="H463" s="6"/>
      <c r="I463" s="6"/>
      <c r="J463" s="6"/>
      <c r="K463" s="6"/>
      <c r="L463" s="6"/>
      <c r="M463" s="6"/>
      <c r="N463" s="6"/>
      <c r="O463" s="6"/>
      <c r="P463" s="6"/>
      <c r="Q463" s="6"/>
      <c r="S463" s="6"/>
    </row>
    <row r="464" spans="6:19" ht="14.25" customHeight="1" x14ac:dyDescent="0.35">
      <c r="F464" s="6"/>
      <c r="G464" s="6"/>
      <c r="H464" s="6"/>
      <c r="I464" s="6"/>
      <c r="J464" s="6"/>
      <c r="K464" s="6"/>
      <c r="L464" s="6"/>
      <c r="M464" s="6"/>
      <c r="N464" s="6"/>
      <c r="O464" s="6"/>
      <c r="P464" s="6"/>
      <c r="Q464" s="6"/>
      <c r="S464" s="6"/>
    </row>
    <row r="465" spans="6:19" ht="14.25" customHeight="1" x14ac:dyDescent="0.35">
      <c r="F465" s="6"/>
      <c r="G465" s="6"/>
      <c r="H465" s="6"/>
      <c r="I465" s="6"/>
      <c r="J465" s="6"/>
      <c r="K465" s="6"/>
      <c r="L465" s="6"/>
      <c r="M465" s="6"/>
      <c r="N465" s="6"/>
      <c r="O465" s="6"/>
      <c r="P465" s="6"/>
      <c r="Q465" s="6"/>
      <c r="S465" s="6"/>
    </row>
    <row r="466" spans="6:19" ht="14.25" customHeight="1" x14ac:dyDescent="0.35">
      <c r="F466" s="6"/>
      <c r="G466" s="6"/>
      <c r="H466" s="6"/>
      <c r="I466" s="6"/>
      <c r="J466" s="6"/>
      <c r="K466" s="6"/>
      <c r="L466" s="6"/>
      <c r="M466" s="6"/>
      <c r="N466" s="6"/>
      <c r="O466" s="6"/>
      <c r="P466" s="6"/>
      <c r="Q466" s="6"/>
      <c r="S466" s="6"/>
    </row>
    <row r="467" spans="6:19" ht="14.25" customHeight="1" x14ac:dyDescent="0.35">
      <c r="F467" s="6"/>
      <c r="G467" s="6"/>
      <c r="H467" s="6"/>
      <c r="I467" s="6"/>
      <c r="J467" s="6"/>
      <c r="K467" s="6"/>
      <c r="L467" s="6"/>
      <c r="M467" s="6"/>
      <c r="N467" s="6"/>
      <c r="O467" s="6"/>
      <c r="P467" s="6"/>
      <c r="Q467" s="6"/>
      <c r="S467" s="6"/>
    </row>
    <row r="468" spans="6:19" ht="14.25" customHeight="1" x14ac:dyDescent="0.35">
      <c r="F468" s="6"/>
      <c r="G468" s="6"/>
      <c r="H468" s="6"/>
      <c r="I468" s="6"/>
      <c r="J468" s="6"/>
      <c r="K468" s="6"/>
      <c r="L468" s="6"/>
      <c r="M468" s="6"/>
      <c r="N468" s="6"/>
      <c r="O468" s="6"/>
      <c r="P468" s="6"/>
      <c r="Q468" s="6"/>
      <c r="S468" s="6"/>
    </row>
    <row r="469" spans="6:19" ht="14.25" customHeight="1" x14ac:dyDescent="0.35">
      <c r="F469" s="6"/>
      <c r="G469" s="6"/>
      <c r="H469" s="6"/>
      <c r="I469" s="6"/>
      <c r="J469" s="6"/>
      <c r="K469" s="6"/>
      <c r="L469" s="6"/>
      <c r="M469" s="6"/>
      <c r="N469" s="6"/>
      <c r="O469" s="6"/>
      <c r="P469" s="6"/>
      <c r="Q469" s="6"/>
      <c r="S469" s="6"/>
    </row>
    <row r="470" spans="6:19" ht="14.25" customHeight="1" x14ac:dyDescent="0.35">
      <c r="F470" s="6"/>
      <c r="G470" s="6"/>
      <c r="H470" s="6"/>
      <c r="I470" s="6"/>
      <c r="J470" s="6"/>
      <c r="K470" s="6"/>
      <c r="L470" s="6"/>
      <c r="M470" s="6"/>
      <c r="N470" s="6"/>
      <c r="O470" s="6"/>
      <c r="P470" s="6"/>
      <c r="Q470" s="6"/>
      <c r="S470" s="6"/>
    </row>
    <row r="471" spans="6:19" ht="14.25" customHeight="1" x14ac:dyDescent="0.35">
      <c r="F471" s="6"/>
      <c r="G471" s="6"/>
      <c r="H471" s="6"/>
      <c r="I471" s="6"/>
      <c r="J471" s="6"/>
      <c r="K471" s="6"/>
      <c r="L471" s="6"/>
      <c r="M471" s="6"/>
      <c r="N471" s="6"/>
      <c r="O471" s="6"/>
      <c r="P471" s="6"/>
      <c r="Q471" s="6"/>
      <c r="S471" s="6"/>
    </row>
    <row r="472" spans="6:19" ht="14.25" customHeight="1" x14ac:dyDescent="0.35">
      <c r="F472" s="6"/>
      <c r="G472" s="6"/>
      <c r="H472" s="6"/>
      <c r="I472" s="6"/>
      <c r="J472" s="6"/>
      <c r="K472" s="6"/>
      <c r="L472" s="6"/>
      <c r="M472" s="6"/>
      <c r="N472" s="6"/>
      <c r="O472" s="6"/>
      <c r="P472" s="6"/>
      <c r="Q472" s="6"/>
      <c r="S472" s="6"/>
    </row>
    <row r="473" spans="6:19" ht="14.25" customHeight="1" x14ac:dyDescent="0.35">
      <c r="F473" s="6"/>
      <c r="G473" s="6"/>
      <c r="H473" s="6"/>
      <c r="I473" s="6"/>
      <c r="J473" s="6"/>
      <c r="K473" s="6"/>
      <c r="L473" s="6"/>
      <c r="M473" s="6"/>
      <c r="N473" s="6"/>
      <c r="O473" s="6"/>
      <c r="P473" s="6"/>
      <c r="Q473" s="6"/>
      <c r="S473" s="6"/>
    </row>
    <row r="474" spans="6:19" ht="14.25" customHeight="1" x14ac:dyDescent="0.35">
      <c r="F474" s="6"/>
      <c r="G474" s="6"/>
      <c r="H474" s="6"/>
      <c r="I474" s="6"/>
      <c r="J474" s="6"/>
      <c r="K474" s="6"/>
      <c r="L474" s="6"/>
      <c r="M474" s="6"/>
      <c r="N474" s="6"/>
      <c r="O474" s="6"/>
      <c r="P474" s="6"/>
      <c r="Q474" s="6"/>
      <c r="S474" s="6"/>
    </row>
    <row r="475" spans="6:19" ht="14.25" customHeight="1" x14ac:dyDescent="0.35">
      <c r="F475" s="6"/>
      <c r="G475" s="6"/>
      <c r="H475" s="6"/>
      <c r="I475" s="6"/>
      <c r="J475" s="6"/>
      <c r="K475" s="6"/>
      <c r="L475" s="6"/>
      <c r="M475" s="6"/>
      <c r="N475" s="6"/>
      <c r="O475" s="6"/>
      <c r="P475" s="6"/>
      <c r="Q475" s="6"/>
      <c r="S475" s="6"/>
    </row>
    <row r="476" spans="6:19" ht="14.25" customHeight="1" x14ac:dyDescent="0.35">
      <c r="F476" s="6"/>
      <c r="G476" s="6"/>
      <c r="H476" s="6"/>
      <c r="I476" s="6"/>
      <c r="J476" s="6"/>
      <c r="K476" s="6"/>
      <c r="L476" s="6"/>
      <c r="M476" s="6"/>
      <c r="N476" s="6"/>
      <c r="O476" s="6"/>
      <c r="P476" s="6"/>
      <c r="Q476" s="6"/>
      <c r="S476" s="6"/>
    </row>
    <row r="477" spans="6:19" ht="14.25" customHeight="1" x14ac:dyDescent="0.35">
      <c r="F477" s="6"/>
      <c r="G477" s="6"/>
      <c r="H477" s="6"/>
      <c r="I477" s="6"/>
      <c r="J477" s="6"/>
      <c r="K477" s="6"/>
      <c r="L477" s="6"/>
      <c r="M477" s="6"/>
      <c r="N477" s="6"/>
      <c r="O477" s="6"/>
      <c r="P477" s="6"/>
      <c r="Q477" s="6"/>
      <c r="S477" s="6"/>
    </row>
    <row r="478" spans="6:19" ht="14.25" customHeight="1" x14ac:dyDescent="0.35">
      <c r="F478" s="6"/>
      <c r="G478" s="6"/>
      <c r="H478" s="6"/>
      <c r="I478" s="6"/>
      <c r="J478" s="6"/>
      <c r="K478" s="6"/>
      <c r="L478" s="6"/>
      <c r="M478" s="6"/>
      <c r="N478" s="6"/>
      <c r="O478" s="6"/>
      <c r="P478" s="6"/>
      <c r="Q478" s="6"/>
      <c r="S478" s="6"/>
    </row>
    <row r="479" spans="6:19" ht="14.25" customHeight="1" x14ac:dyDescent="0.35">
      <c r="F479" s="6"/>
      <c r="G479" s="6"/>
      <c r="H479" s="6"/>
      <c r="I479" s="6"/>
      <c r="J479" s="6"/>
      <c r="K479" s="6"/>
      <c r="L479" s="6"/>
      <c r="M479" s="6"/>
      <c r="N479" s="6"/>
      <c r="O479" s="6"/>
      <c r="P479" s="6"/>
      <c r="Q479" s="6"/>
      <c r="S479" s="6"/>
    </row>
    <row r="480" spans="6:19" ht="14.25" customHeight="1" x14ac:dyDescent="0.35">
      <c r="F480" s="6"/>
      <c r="G480" s="6"/>
      <c r="H480" s="6"/>
      <c r="I480" s="6"/>
      <c r="J480" s="6"/>
      <c r="K480" s="6"/>
      <c r="L480" s="6"/>
      <c r="M480" s="6"/>
      <c r="N480" s="6"/>
      <c r="O480" s="6"/>
      <c r="P480" s="6"/>
      <c r="Q480" s="6"/>
      <c r="S480" s="6"/>
    </row>
    <row r="481" spans="6:19" ht="14.25" customHeight="1" x14ac:dyDescent="0.35">
      <c r="F481" s="6"/>
      <c r="G481" s="6"/>
      <c r="H481" s="6"/>
      <c r="I481" s="6"/>
      <c r="J481" s="6"/>
      <c r="K481" s="6"/>
      <c r="L481" s="6"/>
      <c r="M481" s="6"/>
      <c r="N481" s="6"/>
      <c r="O481" s="6"/>
      <c r="P481" s="6"/>
      <c r="Q481" s="6"/>
      <c r="S481" s="6"/>
    </row>
    <row r="482" spans="6:19" ht="14.25" customHeight="1" x14ac:dyDescent="0.35">
      <c r="F482" s="6"/>
      <c r="G482" s="6"/>
      <c r="H482" s="6"/>
      <c r="I482" s="6"/>
      <c r="J482" s="6"/>
      <c r="K482" s="6"/>
      <c r="L482" s="6"/>
      <c r="M482" s="6"/>
      <c r="N482" s="6"/>
      <c r="O482" s="6"/>
      <c r="P482" s="6"/>
      <c r="Q482" s="6"/>
      <c r="S482" s="6"/>
    </row>
    <row r="483" spans="6:19" ht="14.25" customHeight="1" x14ac:dyDescent="0.35">
      <c r="F483" s="6"/>
      <c r="G483" s="6"/>
      <c r="H483" s="6"/>
      <c r="I483" s="6"/>
      <c r="J483" s="6"/>
      <c r="K483" s="6"/>
      <c r="L483" s="6"/>
      <c r="M483" s="6"/>
      <c r="N483" s="6"/>
      <c r="O483" s="6"/>
      <c r="P483" s="6"/>
      <c r="Q483" s="6"/>
      <c r="S483" s="6"/>
    </row>
    <row r="484" spans="6:19" ht="14.25" customHeight="1" x14ac:dyDescent="0.35">
      <c r="F484" s="6"/>
      <c r="G484" s="6"/>
      <c r="H484" s="6"/>
      <c r="I484" s="6"/>
      <c r="J484" s="6"/>
      <c r="K484" s="6"/>
      <c r="L484" s="6"/>
      <c r="M484" s="6"/>
      <c r="N484" s="6"/>
      <c r="O484" s="6"/>
      <c r="P484" s="6"/>
      <c r="Q484" s="6"/>
      <c r="S484" s="6"/>
    </row>
    <row r="485" spans="6:19" ht="14.25" customHeight="1" x14ac:dyDescent="0.35">
      <c r="F485" s="6"/>
      <c r="G485" s="6"/>
      <c r="H485" s="6"/>
      <c r="I485" s="6"/>
      <c r="J485" s="6"/>
      <c r="K485" s="6"/>
      <c r="L485" s="6"/>
      <c r="M485" s="6"/>
      <c r="N485" s="6"/>
      <c r="O485" s="6"/>
      <c r="P485" s="6"/>
      <c r="Q485" s="6"/>
      <c r="S485" s="6"/>
    </row>
    <row r="486" spans="6:19" ht="14.25" customHeight="1" x14ac:dyDescent="0.35">
      <c r="F486" s="6"/>
      <c r="G486" s="6"/>
      <c r="H486" s="6"/>
      <c r="I486" s="6"/>
      <c r="J486" s="6"/>
      <c r="K486" s="6"/>
      <c r="L486" s="6"/>
      <c r="M486" s="6"/>
      <c r="N486" s="6"/>
      <c r="O486" s="6"/>
      <c r="P486" s="6"/>
      <c r="Q486" s="6"/>
      <c r="S486" s="6"/>
    </row>
    <row r="487" spans="6:19" ht="14.25" customHeight="1" x14ac:dyDescent="0.35">
      <c r="F487" s="6"/>
      <c r="G487" s="6"/>
      <c r="H487" s="6"/>
      <c r="I487" s="6"/>
      <c r="J487" s="6"/>
      <c r="K487" s="6"/>
      <c r="L487" s="6"/>
      <c r="M487" s="6"/>
      <c r="N487" s="6"/>
      <c r="O487" s="6"/>
      <c r="P487" s="6"/>
      <c r="Q487" s="6"/>
      <c r="S487" s="6"/>
    </row>
    <row r="488" spans="6:19" ht="14.25" customHeight="1" x14ac:dyDescent="0.35">
      <c r="F488" s="6"/>
      <c r="G488" s="6"/>
      <c r="H488" s="6"/>
      <c r="I488" s="6"/>
      <c r="J488" s="6"/>
      <c r="K488" s="6"/>
      <c r="L488" s="6"/>
      <c r="M488" s="6"/>
      <c r="N488" s="6"/>
      <c r="O488" s="6"/>
      <c r="P488" s="6"/>
      <c r="Q488" s="6"/>
      <c r="S488" s="6"/>
    </row>
    <row r="489" spans="6:19" ht="14.25" customHeight="1" x14ac:dyDescent="0.35">
      <c r="F489" s="6"/>
      <c r="G489" s="6"/>
      <c r="H489" s="6"/>
      <c r="I489" s="6"/>
      <c r="J489" s="6"/>
      <c r="K489" s="6"/>
      <c r="L489" s="6"/>
      <c r="M489" s="6"/>
      <c r="N489" s="6"/>
      <c r="O489" s="6"/>
      <c r="P489" s="6"/>
      <c r="Q489" s="6"/>
      <c r="S489" s="6"/>
    </row>
    <row r="490" spans="6:19" ht="14.25" customHeight="1" x14ac:dyDescent="0.35">
      <c r="F490" s="6"/>
      <c r="G490" s="6"/>
      <c r="H490" s="6"/>
      <c r="I490" s="6"/>
      <c r="J490" s="6"/>
      <c r="K490" s="6"/>
      <c r="L490" s="6"/>
      <c r="M490" s="6"/>
      <c r="N490" s="6"/>
      <c r="O490" s="6"/>
      <c r="P490" s="6"/>
      <c r="Q490" s="6"/>
      <c r="S490" s="6"/>
    </row>
    <row r="491" spans="6:19" ht="14.25" customHeight="1" x14ac:dyDescent="0.35">
      <c r="F491" s="6"/>
      <c r="G491" s="6"/>
      <c r="H491" s="6"/>
      <c r="I491" s="6"/>
      <c r="J491" s="6"/>
      <c r="K491" s="6"/>
      <c r="L491" s="6"/>
      <c r="M491" s="6"/>
      <c r="N491" s="6"/>
      <c r="O491" s="6"/>
      <c r="P491" s="6"/>
      <c r="Q491" s="6"/>
      <c r="S491" s="6"/>
    </row>
    <row r="492" spans="6:19" ht="14.25" customHeight="1" x14ac:dyDescent="0.35">
      <c r="F492" s="6"/>
      <c r="G492" s="6"/>
      <c r="H492" s="6"/>
      <c r="I492" s="6"/>
      <c r="J492" s="6"/>
      <c r="K492" s="6"/>
      <c r="L492" s="6"/>
      <c r="M492" s="6"/>
      <c r="N492" s="6"/>
      <c r="O492" s="6"/>
      <c r="P492" s="6"/>
      <c r="Q492" s="6"/>
      <c r="S492" s="6"/>
    </row>
    <row r="493" spans="6:19" ht="14.25" customHeight="1" x14ac:dyDescent="0.35">
      <c r="F493" s="6"/>
      <c r="G493" s="6"/>
      <c r="H493" s="6"/>
      <c r="I493" s="6"/>
      <c r="J493" s="6"/>
      <c r="K493" s="6"/>
      <c r="L493" s="6"/>
      <c r="M493" s="6"/>
      <c r="N493" s="6"/>
      <c r="O493" s="6"/>
      <c r="P493" s="6"/>
      <c r="Q493" s="6"/>
      <c r="S493" s="6"/>
    </row>
    <row r="494" spans="6:19" ht="14.25" customHeight="1" x14ac:dyDescent="0.35">
      <c r="F494" s="6"/>
      <c r="G494" s="6"/>
      <c r="H494" s="6"/>
      <c r="I494" s="6"/>
      <c r="J494" s="6"/>
      <c r="K494" s="6"/>
      <c r="L494" s="6"/>
      <c r="M494" s="6"/>
      <c r="N494" s="6"/>
      <c r="O494" s="6"/>
      <c r="P494" s="6"/>
      <c r="Q494" s="6"/>
      <c r="S494" s="6"/>
    </row>
    <row r="495" spans="6:19" ht="14.25" customHeight="1" x14ac:dyDescent="0.35">
      <c r="F495" s="6"/>
      <c r="G495" s="6"/>
      <c r="H495" s="6"/>
      <c r="I495" s="6"/>
      <c r="J495" s="6"/>
      <c r="K495" s="6"/>
      <c r="L495" s="6"/>
      <c r="M495" s="6"/>
      <c r="N495" s="6"/>
      <c r="O495" s="6"/>
      <c r="P495" s="6"/>
      <c r="Q495" s="6"/>
      <c r="S495" s="6"/>
    </row>
    <row r="496" spans="6:19" ht="14.25" customHeight="1" x14ac:dyDescent="0.35">
      <c r="F496" s="6"/>
      <c r="G496" s="6"/>
      <c r="H496" s="6"/>
      <c r="I496" s="6"/>
      <c r="J496" s="6"/>
      <c r="K496" s="6"/>
      <c r="L496" s="6"/>
      <c r="M496" s="6"/>
      <c r="N496" s="6"/>
      <c r="O496" s="6"/>
      <c r="P496" s="6"/>
      <c r="Q496" s="6"/>
      <c r="S496" s="6"/>
    </row>
    <row r="497" spans="6:19" ht="14.25" customHeight="1" x14ac:dyDescent="0.35">
      <c r="F497" s="6"/>
      <c r="G497" s="6"/>
      <c r="H497" s="6"/>
      <c r="I497" s="6"/>
      <c r="J497" s="6"/>
      <c r="K497" s="6"/>
      <c r="L497" s="6"/>
      <c r="M497" s="6"/>
      <c r="N497" s="6"/>
      <c r="O497" s="6"/>
      <c r="P497" s="6"/>
      <c r="Q497" s="6"/>
      <c r="S497" s="6"/>
    </row>
    <row r="498" spans="6:19" ht="14.25" customHeight="1" x14ac:dyDescent="0.35">
      <c r="F498" s="6"/>
      <c r="G498" s="6"/>
      <c r="H498" s="6"/>
      <c r="I498" s="6"/>
      <c r="J498" s="6"/>
      <c r="K498" s="6"/>
      <c r="L498" s="6"/>
      <c r="M498" s="6"/>
      <c r="N498" s="6"/>
      <c r="O498" s="6"/>
      <c r="P498" s="6"/>
      <c r="Q498" s="6"/>
      <c r="S498" s="6"/>
    </row>
    <row r="499" spans="6:19" ht="14.25" customHeight="1" x14ac:dyDescent="0.35">
      <c r="F499" s="6"/>
      <c r="G499" s="6"/>
      <c r="H499" s="6"/>
      <c r="I499" s="6"/>
      <c r="J499" s="6"/>
      <c r="K499" s="6"/>
      <c r="L499" s="6"/>
      <c r="M499" s="6"/>
      <c r="N499" s="6"/>
      <c r="O499" s="6"/>
      <c r="P499" s="6"/>
      <c r="Q499" s="6"/>
      <c r="S499" s="6"/>
    </row>
    <row r="500" spans="6:19" ht="14.25" customHeight="1" x14ac:dyDescent="0.35">
      <c r="F500" s="6"/>
      <c r="G500" s="6"/>
      <c r="H500" s="6"/>
      <c r="I500" s="6"/>
      <c r="J500" s="6"/>
      <c r="K500" s="6"/>
      <c r="L500" s="6"/>
      <c r="M500" s="6"/>
      <c r="N500" s="6"/>
      <c r="O500" s="6"/>
      <c r="P500" s="6"/>
      <c r="Q500" s="6"/>
      <c r="S500" s="6"/>
    </row>
    <row r="501" spans="6:19" ht="14.25" customHeight="1" x14ac:dyDescent="0.35">
      <c r="F501" s="6"/>
      <c r="G501" s="6"/>
      <c r="H501" s="6"/>
      <c r="I501" s="6"/>
      <c r="J501" s="6"/>
      <c r="K501" s="6"/>
      <c r="L501" s="6"/>
      <c r="M501" s="6"/>
      <c r="N501" s="6"/>
      <c r="O501" s="6"/>
      <c r="P501" s="6"/>
      <c r="Q501" s="6"/>
      <c r="S501" s="6"/>
    </row>
    <row r="502" spans="6:19" ht="14.25" customHeight="1" x14ac:dyDescent="0.35">
      <c r="F502" s="6"/>
      <c r="G502" s="6"/>
      <c r="H502" s="6"/>
      <c r="I502" s="6"/>
      <c r="J502" s="6"/>
      <c r="K502" s="6"/>
      <c r="L502" s="6"/>
      <c r="M502" s="6"/>
      <c r="N502" s="6"/>
      <c r="O502" s="6"/>
      <c r="P502" s="6"/>
      <c r="Q502" s="6"/>
      <c r="S502" s="6"/>
    </row>
    <row r="503" spans="6:19" ht="14.25" customHeight="1" x14ac:dyDescent="0.35">
      <c r="F503" s="6"/>
      <c r="G503" s="6"/>
      <c r="H503" s="6"/>
      <c r="I503" s="6"/>
      <c r="J503" s="6"/>
      <c r="K503" s="6"/>
      <c r="L503" s="6"/>
      <c r="M503" s="6"/>
      <c r="N503" s="6"/>
      <c r="O503" s="6"/>
      <c r="P503" s="6"/>
      <c r="Q503" s="6"/>
      <c r="S503" s="6"/>
    </row>
    <row r="504" spans="6:19" ht="14.25" customHeight="1" x14ac:dyDescent="0.35">
      <c r="F504" s="6"/>
      <c r="G504" s="6"/>
      <c r="H504" s="6"/>
      <c r="I504" s="6"/>
      <c r="J504" s="6"/>
      <c r="K504" s="6"/>
      <c r="L504" s="6"/>
      <c r="M504" s="6"/>
      <c r="N504" s="6"/>
      <c r="O504" s="6"/>
      <c r="P504" s="6"/>
      <c r="Q504" s="6"/>
      <c r="S504" s="6"/>
    </row>
    <row r="505" spans="6:19" ht="14.25" customHeight="1" x14ac:dyDescent="0.35">
      <c r="F505" s="6"/>
      <c r="G505" s="6"/>
      <c r="H505" s="6"/>
      <c r="I505" s="6"/>
      <c r="J505" s="6"/>
      <c r="K505" s="6"/>
      <c r="L505" s="6"/>
      <c r="M505" s="6"/>
      <c r="N505" s="6"/>
      <c r="O505" s="6"/>
      <c r="P505" s="6"/>
      <c r="Q505" s="6"/>
      <c r="S505" s="6"/>
    </row>
    <row r="506" spans="6:19" ht="14.25" customHeight="1" x14ac:dyDescent="0.35">
      <c r="F506" s="6"/>
      <c r="G506" s="6"/>
      <c r="H506" s="6"/>
      <c r="I506" s="6"/>
      <c r="J506" s="6"/>
      <c r="K506" s="6"/>
      <c r="L506" s="6"/>
      <c r="M506" s="6"/>
      <c r="N506" s="6"/>
      <c r="O506" s="6"/>
      <c r="P506" s="6"/>
      <c r="Q506" s="6"/>
      <c r="S506" s="6"/>
    </row>
    <row r="507" spans="6:19" ht="14.25" customHeight="1" x14ac:dyDescent="0.35">
      <c r="F507" s="6"/>
      <c r="G507" s="6"/>
      <c r="H507" s="6"/>
      <c r="I507" s="6"/>
      <c r="J507" s="6"/>
      <c r="K507" s="6"/>
      <c r="L507" s="6"/>
      <c r="M507" s="6"/>
      <c r="N507" s="6"/>
      <c r="O507" s="6"/>
      <c r="P507" s="6"/>
      <c r="Q507" s="6"/>
      <c r="S507" s="6"/>
    </row>
    <row r="508" spans="6:19" ht="14.25" customHeight="1" x14ac:dyDescent="0.35">
      <c r="F508" s="6"/>
      <c r="G508" s="6"/>
      <c r="H508" s="6"/>
      <c r="I508" s="6"/>
      <c r="J508" s="6"/>
      <c r="K508" s="6"/>
      <c r="L508" s="6"/>
      <c r="M508" s="6"/>
      <c r="N508" s="6"/>
      <c r="O508" s="6"/>
      <c r="P508" s="6"/>
      <c r="Q508" s="6"/>
      <c r="S508" s="6"/>
    </row>
    <row r="509" spans="6:19" ht="14.25" customHeight="1" x14ac:dyDescent="0.35">
      <c r="F509" s="6"/>
      <c r="G509" s="6"/>
      <c r="H509" s="6"/>
      <c r="I509" s="6"/>
      <c r="J509" s="6"/>
      <c r="K509" s="6"/>
      <c r="L509" s="6"/>
      <c r="M509" s="6"/>
      <c r="N509" s="6"/>
      <c r="O509" s="6"/>
      <c r="P509" s="6"/>
      <c r="Q509" s="6"/>
      <c r="S509" s="6"/>
    </row>
    <row r="510" spans="6:19" ht="14.25" customHeight="1" x14ac:dyDescent="0.35">
      <c r="F510" s="6"/>
      <c r="G510" s="6"/>
      <c r="H510" s="6"/>
      <c r="I510" s="6"/>
      <c r="J510" s="6"/>
      <c r="K510" s="6"/>
      <c r="L510" s="6"/>
      <c r="M510" s="6"/>
      <c r="N510" s="6"/>
      <c r="O510" s="6"/>
      <c r="P510" s="6"/>
      <c r="Q510" s="6"/>
      <c r="S510" s="6"/>
    </row>
    <row r="511" spans="6:19" ht="14.25" customHeight="1" x14ac:dyDescent="0.35">
      <c r="F511" s="6"/>
      <c r="G511" s="6"/>
      <c r="H511" s="6"/>
      <c r="I511" s="6"/>
      <c r="J511" s="6"/>
      <c r="K511" s="6"/>
      <c r="L511" s="6"/>
      <c r="M511" s="6"/>
      <c r="N511" s="6"/>
      <c r="O511" s="6"/>
      <c r="P511" s="6"/>
      <c r="Q511" s="6"/>
      <c r="S511" s="6"/>
    </row>
    <row r="512" spans="6:19" ht="14.25" customHeight="1" x14ac:dyDescent="0.35">
      <c r="F512" s="6"/>
      <c r="G512" s="6"/>
      <c r="H512" s="6"/>
      <c r="I512" s="6"/>
      <c r="J512" s="6"/>
      <c r="K512" s="6"/>
      <c r="L512" s="6"/>
      <c r="M512" s="6"/>
      <c r="N512" s="6"/>
      <c r="O512" s="6"/>
      <c r="P512" s="6"/>
      <c r="Q512" s="6"/>
      <c r="S512" s="6"/>
    </row>
    <row r="513" spans="6:19" ht="14.25" customHeight="1" x14ac:dyDescent="0.35">
      <c r="F513" s="6"/>
      <c r="G513" s="6"/>
      <c r="H513" s="6"/>
      <c r="I513" s="6"/>
      <c r="J513" s="6"/>
      <c r="K513" s="6"/>
      <c r="L513" s="6"/>
      <c r="M513" s="6"/>
      <c r="N513" s="6"/>
      <c r="O513" s="6"/>
      <c r="P513" s="6"/>
      <c r="Q513" s="6"/>
      <c r="S513" s="6"/>
    </row>
    <row r="514" spans="6:19" ht="14.25" customHeight="1" x14ac:dyDescent="0.35">
      <c r="F514" s="6"/>
      <c r="G514" s="6"/>
      <c r="H514" s="6"/>
      <c r="I514" s="6"/>
      <c r="J514" s="6"/>
      <c r="K514" s="6"/>
      <c r="L514" s="6"/>
      <c r="M514" s="6"/>
      <c r="N514" s="6"/>
      <c r="O514" s="6"/>
      <c r="P514" s="6"/>
      <c r="Q514" s="6"/>
      <c r="S514" s="6"/>
    </row>
    <row r="515" spans="6:19" ht="14.25" customHeight="1" x14ac:dyDescent="0.35">
      <c r="F515" s="6"/>
      <c r="G515" s="6"/>
      <c r="H515" s="6"/>
      <c r="I515" s="6"/>
      <c r="J515" s="6"/>
      <c r="K515" s="6"/>
      <c r="L515" s="6"/>
      <c r="M515" s="6"/>
      <c r="N515" s="6"/>
      <c r="O515" s="6"/>
      <c r="P515" s="6"/>
      <c r="Q515" s="6"/>
      <c r="S515" s="6"/>
    </row>
    <row r="516" spans="6:19" ht="14.25" customHeight="1" x14ac:dyDescent="0.35">
      <c r="F516" s="6"/>
      <c r="G516" s="6"/>
      <c r="H516" s="6"/>
      <c r="I516" s="6"/>
      <c r="J516" s="6"/>
      <c r="K516" s="6"/>
      <c r="L516" s="6"/>
      <c r="M516" s="6"/>
      <c r="N516" s="6"/>
      <c r="O516" s="6"/>
      <c r="P516" s="6"/>
      <c r="Q516" s="6"/>
      <c r="S516" s="6"/>
    </row>
    <row r="517" spans="6:19" ht="14.25" customHeight="1" x14ac:dyDescent="0.35">
      <c r="F517" s="6"/>
      <c r="G517" s="6"/>
      <c r="H517" s="6"/>
      <c r="I517" s="6"/>
      <c r="J517" s="6"/>
      <c r="K517" s="6"/>
      <c r="L517" s="6"/>
      <c r="M517" s="6"/>
      <c r="N517" s="6"/>
      <c r="O517" s="6"/>
      <c r="P517" s="6"/>
      <c r="Q517" s="6"/>
      <c r="S517" s="6"/>
    </row>
    <row r="518" spans="6:19" ht="14.25" customHeight="1" x14ac:dyDescent="0.35">
      <c r="F518" s="6"/>
      <c r="G518" s="6"/>
      <c r="H518" s="6"/>
      <c r="I518" s="6"/>
      <c r="J518" s="6"/>
      <c r="K518" s="6"/>
      <c r="L518" s="6"/>
      <c r="M518" s="6"/>
      <c r="N518" s="6"/>
      <c r="O518" s="6"/>
      <c r="P518" s="6"/>
      <c r="Q518" s="6"/>
      <c r="S518" s="6"/>
    </row>
    <row r="519" spans="6:19" ht="14.25" customHeight="1" x14ac:dyDescent="0.35">
      <c r="F519" s="6"/>
      <c r="G519" s="6"/>
      <c r="H519" s="6"/>
      <c r="I519" s="6"/>
      <c r="J519" s="6"/>
      <c r="K519" s="6"/>
      <c r="L519" s="6"/>
      <c r="M519" s="6"/>
      <c r="N519" s="6"/>
      <c r="O519" s="6"/>
      <c r="P519" s="6"/>
      <c r="Q519" s="6"/>
      <c r="S519" s="6"/>
    </row>
    <row r="520" spans="6:19" ht="14.25" customHeight="1" x14ac:dyDescent="0.35">
      <c r="F520" s="6"/>
      <c r="G520" s="6"/>
      <c r="H520" s="6"/>
      <c r="I520" s="6"/>
      <c r="J520" s="6"/>
      <c r="K520" s="6"/>
      <c r="L520" s="6"/>
      <c r="M520" s="6"/>
      <c r="N520" s="6"/>
      <c r="O520" s="6"/>
      <c r="P520" s="6"/>
      <c r="Q520" s="6"/>
      <c r="S520" s="6"/>
    </row>
    <row r="521" spans="6:19" ht="14.25" customHeight="1" x14ac:dyDescent="0.35">
      <c r="F521" s="6"/>
      <c r="G521" s="6"/>
      <c r="H521" s="6"/>
      <c r="I521" s="6"/>
      <c r="J521" s="6"/>
      <c r="K521" s="6"/>
      <c r="L521" s="6"/>
      <c r="M521" s="6"/>
      <c r="N521" s="6"/>
      <c r="O521" s="6"/>
      <c r="P521" s="6"/>
      <c r="Q521" s="6"/>
      <c r="S521" s="6"/>
    </row>
    <row r="522" spans="6:19" ht="14.25" customHeight="1" x14ac:dyDescent="0.35">
      <c r="F522" s="6"/>
      <c r="G522" s="6"/>
      <c r="H522" s="6"/>
      <c r="I522" s="6"/>
      <c r="J522" s="6"/>
      <c r="K522" s="6"/>
      <c r="L522" s="6"/>
      <c r="M522" s="6"/>
      <c r="N522" s="6"/>
      <c r="O522" s="6"/>
      <c r="P522" s="6"/>
      <c r="Q522" s="6"/>
      <c r="S522" s="6"/>
    </row>
    <row r="523" spans="6:19" ht="14.25" customHeight="1" x14ac:dyDescent="0.35">
      <c r="F523" s="6"/>
      <c r="G523" s="6"/>
      <c r="H523" s="6"/>
      <c r="I523" s="6"/>
      <c r="J523" s="6"/>
      <c r="K523" s="6"/>
      <c r="L523" s="6"/>
      <c r="M523" s="6"/>
      <c r="N523" s="6"/>
      <c r="O523" s="6"/>
      <c r="P523" s="6"/>
      <c r="Q523" s="6"/>
      <c r="S523" s="6"/>
    </row>
    <row r="524" spans="6:19" ht="14.25" customHeight="1" x14ac:dyDescent="0.35">
      <c r="F524" s="6"/>
      <c r="G524" s="6"/>
      <c r="H524" s="6"/>
      <c r="I524" s="6"/>
      <c r="J524" s="6"/>
      <c r="K524" s="6"/>
      <c r="L524" s="6"/>
      <c r="M524" s="6"/>
      <c r="N524" s="6"/>
      <c r="O524" s="6"/>
      <c r="P524" s="6"/>
      <c r="Q524" s="6"/>
      <c r="S524" s="6"/>
    </row>
    <row r="525" spans="6:19" ht="14.25" customHeight="1" x14ac:dyDescent="0.35">
      <c r="F525" s="6"/>
      <c r="G525" s="6"/>
      <c r="H525" s="6"/>
      <c r="I525" s="6"/>
      <c r="J525" s="6"/>
      <c r="K525" s="6"/>
      <c r="L525" s="6"/>
      <c r="M525" s="6"/>
      <c r="N525" s="6"/>
      <c r="O525" s="6"/>
      <c r="P525" s="6"/>
      <c r="Q525" s="6"/>
      <c r="S525" s="6"/>
    </row>
    <row r="526" spans="6:19" ht="14.25" customHeight="1" x14ac:dyDescent="0.35">
      <c r="F526" s="6"/>
      <c r="G526" s="6"/>
      <c r="H526" s="6"/>
      <c r="I526" s="6"/>
      <c r="J526" s="6"/>
      <c r="K526" s="6"/>
      <c r="L526" s="6"/>
      <c r="M526" s="6"/>
      <c r="N526" s="6"/>
      <c r="O526" s="6"/>
      <c r="P526" s="6"/>
      <c r="Q526" s="6"/>
      <c r="S526" s="6"/>
    </row>
    <row r="527" spans="6:19" ht="14.25" customHeight="1" x14ac:dyDescent="0.35">
      <c r="F527" s="6"/>
      <c r="G527" s="6"/>
      <c r="H527" s="6"/>
      <c r="I527" s="6"/>
      <c r="J527" s="6"/>
      <c r="K527" s="6"/>
      <c r="L527" s="6"/>
      <c r="M527" s="6"/>
      <c r="N527" s="6"/>
      <c r="O527" s="6"/>
      <c r="P527" s="6"/>
      <c r="Q527" s="6"/>
      <c r="S527" s="6"/>
    </row>
    <row r="528" spans="6:19" ht="14.25" customHeight="1" x14ac:dyDescent="0.35">
      <c r="F528" s="6"/>
      <c r="G528" s="6"/>
      <c r="H528" s="6"/>
      <c r="I528" s="6"/>
      <c r="J528" s="6"/>
      <c r="K528" s="6"/>
      <c r="L528" s="6"/>
      <c r="M528" s="6"/>
      <c r="N528" s="6"/>
      <c r="O528" s="6"/>
      <c r="P528" s="6"/>
      <c r="Q528" s="6"/>
      <c r="S528" s="6"/>
    </row>
    <row r="529" spans="6:19" ht="14.25" customHeight="1" x14ac:dyDescent="0.35">
      <c r="F529" s="6"/>
      <c r="G529" s="6"/>
      <c r="H529" s="6"/>
      <c r="I529" s="6"/>
      <c r="J529" s="6"/>
      <c r="K529" s="6"/>
      <c r="L529" s="6"/>
      <c r="M529" s="6"/>
      <c r="N529" s="6"/>
      <c r="O529" s="6"/>
      <c r="P529" s="6"/>
      <c r="Q529" s="6"/>
      <c r="S529" s="6"/>
    </row>
    <row r="530" spans="6:19" ht="14.25" customHeight="1" x14ac:dyDescent="0.35">
      <c r="F530" s="6"/>
      <c r="G530" s="6"/>
      <c r="H530" s="6"/>
      <c r="I530" s="6"/>
      <c r="J530" s="6"/>
      <c r="K530" s="6"/>
      <c r="L530" s="6"/>
      <c r="M530" s="6"/>
      <c r="N530" s="6"/>
      <c r="O530" s="6"/>
      <c r="P530" s="6"/>
      <c r="Q530" s="6"/>
      <c r="S530" s="6"/>
    </row>
    <row r="531" spans="6:19" ht="14.25" customHeight="1" x14ac:dyDescent="0.35">
      <c r="F531" s="6"/>
      <c r="G531" s="6"/>
      <c r="H531" s="6"/>
      <c r="I531" s="6"/>
      <c r="J531" s="6"/>
      <c r="K531" s="6"/>
      <c r="L531" s="6"/>
      <c r="M531" s="6"/>
      <c r="N531" s="6"/>
      <c r="O531" s="6"/>
      <c r="P531" s="6"/>
      <c r="Q531" s="6"/>
      <c r="S531" s="6"/>
    </row>
    <row r="532" spans="6:19" ht="14.25" customHeight="1" x14ac:dyDescent="0.35">
      <c r="F532" s="6"/>
      <c r="G532" s="6"/>
      <c r="H532" s="6"/>
      <c r="I532" s="6"/>
      <c r="J532" s="6"/>
      <c r="K532" s="6"/>
      <c r="L532" s="6"/>
      <c r="M532" s="6"/>
      <c r="N532" s="6"/>
      <c r="O532" s="6"/>
      <c r="P532" s="6"/>
      <c r="Q532" s="6"/>
      <c r="S532" s="6"/>
    </row>
    <row r="533" spans="6:19" ht="14.25" customHeight="1" x14ac:dyDescent="0.35">
      <c r="F533" s="6"/>
      <c r="G533" s="6"/>
      <c r="H533" s="6"/>
      <c r="I533" s="6"/>
      <c r="J533" s="6"/>
      <c r="K533" s="6"/>
      <c r="L533" s="6"/>
      <c r="M533" s="6"/>
      <c r="N533" s="6"/>
      <c r="O533" s="6"/>
      <c r="P533" s="6"/>
      <c r="Q533" s="6"/>
      <c r="S533" s="6"/>
    </row>
    <row r="534" spans="6:19" ht="14.25" customHeight="1" x14ac:dyDescent="0.35">
      <c r="F534" s="6"/>
      <c r="G534" s="6"/>
      <c r="H534" s="6"/>
      <c r="I534" s="6"/>
      <c r="J534" s="6"/>
      <c r="K534" s="6"/>
      <c r="L534" s="6"/>
      <c r="M534" s="6"/>
      <c r="N534" s="6"/>
      <c r="O534" s="6"/>
      <c r="P534" s="6"/>
      <c r="Q534" s="6"/>
      <c r="S534" s="6"/>
    </row>
    <row r="535" spans="6:19" ht="14.25" customHeight="1" x14ac:dyDescent="0.35">
      <c r="F535" s="6"/>
      <c r="G535" s="6"/>
      <c r="H535" s="6"/>
      <c r="I535" s="6"/>
      <c r="J535" s="6"/>
      <c r="K535" s="6"/>
      <c r="L535" s="6"/>
      <c r="M535" s="6"/>
      <c r="N535" s="6"/>
      <c r="O535" s="6"/>
      <c r="P535" s="6"/>
      <c r="Q535" s="6"/>
      <c r="S535" s="6"/>
    </row>
    <row r="536" spans="6:19" ht="14.25" customHeight="1" x14ac:dyDescent="0.35">
      <c r="F536" s="6"/>
      <c r="G536" s="6"/>
      <c r="H536" s="6"/>
      <c r="I536" s="6"/>
      <c r="J536" s="6"/>
      <c r="K536" s="6"/>
      <c r="L536" s="6"/>
      <c r="M536" s="6"/>
      <c r="N536" s="6"/>
      <c r="O536" s="6"/>
      <c r="P536" s="6"/>
      <c r="Q536" s="6"/>
      <c r="S536" s="6"/>
    </row>
    <row r="537" spans="6:19" ht="14.25" customHeight="1" x14ac:dyDescent="0.35">
      <c r="F537" s="6"/>
      <c r="G537" s="6"/>
      <c r="H537" s="6"/>
      <c r="I537" s="6"/>
      <c r="J537" s="6"/>
      <c r="K537" s="6"/>
      <c r="L537" s="6"/>
      <c r="M537" s="6"/>
      <c r="N537" s="6"/>
      <c r="O537" s="6"/>
      <c r="P537" s="6"/>
      <c r="Q537" s="6"/>
      <c r="S537" s="6"/>
    </row>
    <row r="538" spans="6:19" ht="14.25" customHeight="1" x14ac:dyDescent="0.35">
      <c r="F538" s="6"/>
      <c r="G538" s="6"/>
      <c r="H538" s="6"/>
      <c r="I538" s="6"/>
      <c r="J538" s="6"/>
      <c r="K538" s="6"/>
      <c r="L538" s="6"/>
      <c r="M538" s="6"/>
      <c r="N538" s="6"/>
      <c r="O538" s="6"/>
      <c r="P538" s="6"/>
      <c r="Q538" s="6"/>
      <c r="S538" s="6"/>
    </row>
    <row r="539" spans="6:19" ht="14.25" customHeight="1" x14ac:dyDescent="0.35">
      <c r="F539" s="6"/>
      <c r="G539" s="6"/>
      <c r="H539" s="6"/>
      <c r="I539" s="6"/>
      <c r="J539" s="6"/>
      <c r="K539" s="6"/>
      <c r="L539" s="6"/>
      <c r="M539" s="6"/>
      <c r="N539" s="6"/>
      <c r="O539" s="6"/>
      <c r="P539" s="6"/>
      <c r="Q539" s="6"/>
      <c r="S539" s="6"/>
    </row>
    <row r="540" spans="6:19" ht="14.25" customHeight="1" x14ac:dyDescent="0.35">
      <c r="F540" s="6"/>
      <c r="G540" s="6"/>
      <c r="H540" s="6"/>
      <c r="I540" s="6"/>
      <c r="J540" s="6"/>
      <c r="K540" s="6"/>
      <c r="L540" s="6"/>
      <c r="M540" s="6"/>
      <c r="N540" s="6"/>
      <c r="O540" s="6"/>
      <c r="P540" s="6"/>
      <c r="Q540" s="6"/>
      <c r="S540" s="6"/>
    </row>
    <row r="541" spans="6:19" ht="14.25" customHeight="1" x14ac:dyDescent="0.35">
      <c r="F541" s="6"/>
      <c r="G541" s="6"/>
      <c r="H541" s="6"/>
      <c r="I541" s="6"/>
      <c r="J541" s="6"/>
      <c r="K541" s="6"/>
      <c r="L541" s="6"/>
      <c r="M541" s="6"/>
      <c r="N541" s="6"/>
      <c r="O541" s="6"/>
      <c r="P541" s="6"/>
      <c r="Q541" s="6"/>
      <c r="S541" s="6"/>
    </row>
    <row r="542" spans="6:19" ht="14.25" customHeight="1" x14ac:dyDescent="0.35">
      <c r="F542" s="6"/>
      <c r="G542" s="6"/>
      <c r="H542" s="6"/>
      <c r="I542" s="6"/>
      <c r="J542" s="6"/>
      <c r="K542" s="6"/>
      <c r="L542" s="6"/>
      <c r="M542" s="6"/>
      <c r="N542" s="6"/>
      <c r="O542" s="6"/>
      <c r="P542" s="6"/>
      <c r="Q542" s="6"/>
      <c r="S542" s="6"/>
    </row>
    <row r="543" spans="6:19" ht="14.25" customHeight="1" x14ac:dyDescent="0.35">
      <c r="F543" s="6"/>
      <c r="G543" s="6"/>
      <c r="H543" s="6"/>
      <c r="I543" s="6"/>
      <c r="J543" s="6"/>
      <c r="K543" s="6"/>
      <c r="L543" s="6"/>
      <c r="M543" s="6"/>
      <c r="N543" s="6"/>
      <c r="O543" s="6"/>
      <c r="P543" s="6"/>
      <c r="Q543" s="6"/>
      <c r="S543" s="6"/>
    </row>
    <row r="544" spans="6:19" ht="14.25" customHeight="1" x14ac:dyDescent="0.35">
      <c r="F544" s="6"/>
      <c r="G544" s="6"/>
      <c r="H544" s="6"/>
      <c r="I544" s="6"/>
      <c r="J544" s="6"/>
      <c r="K544" s="6"/>
      <c r="L544" s="6"/>
      <c r="M544" s="6"/>
      <c r="N544" s="6"/>
      <c r="O544" s="6"/>
      <c r="P544" s="6"/>
      <c r="Q544" s="6"/>
      <c r="S544" s="6"/>
    </row>
    <row r="545" spans="6:19" ht="14.25" customHeight="1" x14ac:dyDescent="0.35">
      <c r="F545" s="6"/>
      <c r="G545" s="6"/>
      <c r="H545" s="6"/>
      <c r="I545" s="6"/>
      <c r="J545" s="6"/>
      <c r="K545" s="6"/>
      <c r="L545" s="6"/>
      <c r="M545" s="6"/>
      <c r="N545" s="6"/>
      <c r="O545" s="6"/>
      <c r="P545" s="6"/>
      <c r="Q545" s="6"/>
      <c r="S545" s="6"/>
    </row>
    <row r="546" spans="6:19" ht="14.25" customHeight="1" x14ac:dyDescent="0.35">
      <c r="F546" s="6"/>
      <c r="G546" s="6"/>
      <c r="H546" s="6"/>
      <c r="I546" s="6"/>
      <c r="J546" s="6"/>
      <c r="K546" s="6"/>
      <c r="L546" s="6"/>
      <c r="M546" s="6"/>
      <c r="N546" s="6"/>
      <c r="O546" s="6"/>
      <c r="P546" s="6"/>
      <c r="Q546" s="6"/>
      <c r="S546" s="6"/>
    </row>
    <row r="547" spans="6:19" ht="14.25" customHeight="1" x14ac:dyDescent="0.35">
      <c r="F547" s="6"/>
      <c r="G547" s="6"/>
      <c r="H547" s="6"/>
      <c r="I547" s="6"/>
      <c r="J547" s="6"/>
      <c r="K547" s="6"/>
      <c r="L547" s="6"/>
      <c r="M547" s="6"/>
      <c r="N547" s="6"/>
      <c r="O547" s="6"/>
      <c r="P547" s="6"/>
      <c r="Q547" s="6"/>
      <c r="S547" s="6"/>
    </row>
    <row r="548" spans="6:19" ht="14.25" customHeight="1" x14ac:dyDescent="0.35">
      <c r="F548" s="6"/>
      <c r="G548" s="6"/>
      <c r="H548" s="6"/>
      <c r="I548" s="6"/>
      <c r="J548" s="6"/>
      <c r="K548" s="6"/>
      <c r="L548" s="6"/>
      <c r="M548" s="6"/>
      <c r="N548" s="6"/>
      <c r="O548" s="6"/>
      <c r="P548" s="6"/>
      <c r="Q548" s="6"/>
      <c r="S548" s="6"/>
    </row>
    <row r="549" spans="6:19" ht="14.25" customHeight="1" x14ac:dyDescent="0.35">
      <c r="F549" s="6"/>
      <c r="G549" s="6"/>
      <c r="H549" s="6"/>
      <c r="I549" s="6"/>
      <c r="J549" s="6"/>
      <c r="K549" s="6"/>
      <c r="L549" s="6"/>
      <c r="M549" s="6"/>
      <c r="N549" s="6"/>
      <c r="O549" s="6"/>
      <c r="P549" s="6"/>
      <c r="Q549" s="6"/>
      <c r="S549" s="6"/>
    </row>
    <row r="550" spans="6:19" ht="14.25" customHeight="1" x14ac:dyDescent="0.35">
      <c r="F550" s="6"/>
      <c r="G550" s="6"/>
      <c r="H550" s="6"/>
      <c r="I550" s="6"/>
      <c r="J550" s="6"/>
      <c r="K550" s="6"/>
      <c r="L550" s="6"/>
      <c r="M550" s="6"/>
      <c r="N550" s="6"/>
      <c r="O550" s="6"/>
      <c r="P550" s="6"/>
      <c r="Q550" s="6"/>
      <c r="S550" s="6"/>
    </row>
    <row r="551" spans="6:19" ht="14.25" customHeight="1" x14ac:dyDescent="0.35">
      <c r="F551" s="6"/>
      <c r="G551" s="6"/>
      <c r="H551" s="6"/>
      <c r="I551" s="6"/>
      <c r="J551" s="6"/>
      <c r="K551" s="6"/>
      <c r="L551" s="6"/>
      <c r="M551" s="6"/>
      <c r="N551" s="6"/>
      <c r="O551" s="6"/>
      <c r="P551" s="6"/>
      <c r="Q551" s="6"/>
      <c r="S551" s="6"/>
    </row>
    <row r="552" spans="6:19" ht="14.25" customHeight="1" x14ac:dyDescent="0.35">
      <c r="F552" s="6"/>
      <c r="G552" s="6"/>
      <c r="H552" s="6"/>
      <c r="I552" s="6"/>
      <c r="J552" s="6"/>
      <c r="K552" s="6"/>
      <c r="L552" s="6"/>
      <c r="M552" s="6"/>
      <c r="N552" s="6"/>
      <c r="O552" s="6"/>
      <c r="P552" s="6"/>
      <c r="Q552" s="6"/>
      <c r="S552" s="6"/>
    </row>
    <row r="553" spans="6:19" ht="14.25" customHeight="1" x14ac:dyDescent="0.35">
      <c r="F553" s="6"/>
      <c r="G553" s="6"/>
      <c r="H553" s="6"/>
      <c r="I553" s="6"/>
      <c r="J553" s="6"/>
      <c r="K553" s="6"/>
      <c r="L553" s="6"/>
      <c r="M553" s="6"/>
      <c r="N553" s="6"/>
      <c r="O553" s="6"/>
      <c r="P553" s="6"/>
      <c r="Q553" s="6"/>
      <c r="S553" s="6"/>
    </row>
    <row r="554" spans="6:19" ht="14.25" customHeight="1" x14ac:dyDescent="0.35">
      <c r="F554" s="6"/>
      <c r="G554" s="6"/>
      <c r="H554" s="6"/>
      <c r="I554" s="6"/>
      <c r="J554" s="6"/>
      <c r="K554" s="6"/>
      <c r="L554" s="6"/>
      <c r="M554" s="6"/>
      <c r="N554" s="6"/>
      <c r="O554" s="6"/>
      <c r="P554" s="6"/>
      <c r="Q554" s="6"/>
      <c r="S554" s="6"/>
    </row>
    <row r="555" spans="6:19" ht="14.25" customHeight="1" x14ac:dyDescent="0.35">
      <c r="F555" s="6"/>
      <c r="G555" s="6"/>
      <c r="H555" s="6"/>
      <c r="I555" s="6"/>
      <c r="J555" s="6"/>
      <c r="K555" s="6"/>
      <c r="L555" s="6"/>
      <c r="M555" s="6"/>
      <c r="N555" s="6"/>
      <c r="O555" s="6"/>
      <c r="P555" s="6"/>
      <c r="Q555" s="6"/>
      <c r="S555" s="6"/>
    </row>
    <row r="556" spans="6:19" ht="14.25" customHeight="1" x14ac:dyDescent="0.35">
      <c r="F556" s="6"/>
      <c r="G556" s="6"/>
      <c r="H556" s="6"/>
      <c r="I556" s="6"/>
      <c r="J556" s="6"/>
      <c r="K556" s="6"/>
      <c r="L556" s="6"/>
      <c r="M556" s="6"/>
      <c r="N556" s="6"/>
      <c r="O556" s="6"/>
      <c r="P556" s="6"/>
      <c r="Q556" s="6"/>
      <c r="S556" s="6"/>
    </row>
    <row r="557" spans="6:19" ht="14.25" customHeight="1" x14ac:dyDescent="0.35">
      <c r="F557" s="6"/>
      <c r="G557" s="6"/>
      <c r="H557" s="6"/>
      <c r="I557" s="6"/>
      <c r="J557" s="6"/>
      <c r="K557" s="6"/>
      <c r="L557" s="6"/>
      <c r="M557" s="6"/>
      <c r="N557" s="6"/>
      <c r="O557" s="6"/>
      <c r="P557" s="6"/>
      <c r="Q557" s="6"/>
      <c r="S557" s="6"/>
    </row>
    <row r="558" spans="6:19" ht="14.25" customHeight="1" x14ac:dyDescent="0.35">
      <c r="F558" s="6"/>
      <c r="G558" s="6"/>
      <c r="H558" s="6"/>
      <c r="I558" s="6"/>
      <c r="J558" s="6"/>
      <c r="K558" s="6"/>
      <c r="L558" s="6"/>
      <c r="M558" s="6"/>
      <c r="N558" s="6"/>
      <c r="O558" s="6"/>
      <c r="P558" s="6"/>
      <c r="Q558" s="6"/>
      <c r="S558" s="6"/>
    </row>
    <row r="559" spans="6:19" ht="14.25" customHeight="1" x14ac:dyDescent="0.35">
      <c r="F559" s="6"/>
      <c r="G559" s="6"/>
      <c r="H559" s="6"/>
      <c r="I559" s="6"/>
      <c r="J559" s="6"/>
      <c r="K559" s="6"/>
      <c r="L559" s="6"/>
      <c r="M559" s="6"/>
      <c r="N559" s="6"/>
      <c r="O559" s="6"/>
      <c r="P559" s="6"/>
      <c r="Q559" s="6"/>
      <c r="S559" s="6"/>
    </row>
    <row r="560" spans="6:19" ht="14.25" customHeight="1" x14ac:dyDescent="0.35">
      <c r="F560" s="6"/>
      <c r="G560" s="6"/>
      <c r="H560" s="6"/>
      <c r="I560" s="6"/>
      <c r="J560" s="6"/>
      <c r="K560" s="6"/>
      <c r="L560" s="6"/>
      <c r="M560" s="6"/>
      <c r="N560" s="6"/>
      <c r="O560" s="6"/>
      <c r="P560" s="6"/>
      <c r="Q560" s="6"/>
      <c r="S560" s="6"/>
    </row>
    <row r="561" spans="6:19" ht="14.25" customHeight="1" x14ac:dyDescent="0.35">
      <c r="F561" s="6"/>
      <c r="G561" s="6"/>
      <c r="H561" s="6"/>
      <c r="I561" s="6"/>
      <c r="J561" s="6"/>
      <c r="K561" s="6"/>
      <c r="L561" s="6"/>
      <c r="M561" s="6"/>
      <c r="N561" s="6"/>
      <c r="O561" s="6"/>
      <c r="P561" s="6"/>
      <c r="Q561" s="6"/>
      <c r="S561" s="6"/>
    </row>
    <row r="562" spans="6:19" ht="14.25" customHeight="1" x14ac:dyDescent="0.35">
      <c r="F562" s="6"/>
      <c r="G562" s="6"/>
      <c r="H562" s="6"/>
      <c r="I562" s="6"/>
      <c r="J562" s="6"/>
      <c r="K562" s="6"/>
      <c r="L562" s="6"/>
      <c r="M562" s="6"/>
      <c r="N562" s="6"/>
      <c r="O562" s="6"/>
      <c r="P562" s="6"/>
      <c r="Q562" s="6"/>
      <c r="S562" s="6"/>
    </row>
    <row r="563" spans="6:19" ht="14.25" customHeight="1" x14ac:dyDescent="0.35">
      <c r="F563" s="6"/>
      <c r="G563" s="6"/>
      <c r="H563" s="6"/>
      <c r="I563" s="6"/>
      <c r="J563" s="6"/>
      <c r="K563" s="6"/>
      <c r="L563" s="6"/>
      <c r="M563" s="6"/>
      <c r="N563" s="6"/>
      <c r="O563" s="6"/>
      <c r="P563" s="6"/>
      <c r="Q563" s="6"/>
      <c r="S563" s="6"/>
    </row>
    <row r="564" spans="6:19" ht="14.25" customHeight="1" x14ac:dyDescent="0.35">
      <c r="F564" s="6"/>
      <c r="G564" s="6"/>
      <c r="H564" s="6"/>
      <c r="I564" s="6"/>
      <c r="J564" s="6"/>
      <c r="K564" s="6"/>
      <c r="L564" s="6"/>
      <c r="M564" s="6"/>
      <c r="N564" s="6"/>
      <c r="O564" s="6"/>
      <c r="P564" s="6"/>
      <c r="Q564" s="6"/>
      <c r="S564" s="6"/>
    </row>
    <row r="565" spans="6:19" ht="14.25" customHeight="1" x14ac:dyDescent="0.35">
      <c r="F565" s="6"/>
      <c r="G565" s="6"/>
      <c r="H565" s="6"/>
      <c r="I565" s="6"/>
      <c r="J565" s="6"/>
      <c r="K565" s="6"/>
      <c r="L565" s="6"/>
      <c r="M565" s="6"/>
      <c r="N565" s="6"/>
      <c r="O565" s="6"/>
      <c r="P565" s="6"/>
      <c r="Q565" s="6"/>
      <c r="S565" s="6"/>
    </row>
    <row r="566" spans="6:19" ht="14.25" customHeight="1" x14ac:dyDescent="0.35">
      <c r="F566" s="6"/>
      <c r="G566" s="6"/>
      <c r="H566" s="6"/>
      <c r="I566" s="6"/>
      <c r="J566" s="6"/>
      <c r="K566" s="6"/>
      <c r="L566" s="6"/>
      <c r="M566" s="6"/>
      <c r="N566" s="6"/>
      <c r="O566" s="6"/>
      <c r="P566" s="6"/>
      <c r="Q566" s="6"/>
      <c r="S566" s="6"/>
    </row>
    <row r="567" spans="6:19" ht="14.25" customHeight="1" x14ac:dyDescent="0.35">
      <c r="F567" s="6"/>
      <c r="G567" s="6"/>
      <c r="H567" s="6"/>
      <c r="I567" s="6"/>
      <c r="J567" s="6"/>
      <c r="K567" s="6"/>
      <c r="L567" s="6"/>
      <c r="M567" s="6"/>
      <c r="N567" s="6"/>
      <c r="O567" s="6"/>
      <c r="P567" s="6"/>
      <c r="Q567" s="6"/>
      <c r="S567" s="6"/>
    </row>
    <row r="568" spans="6:19" ht="14.25" customHeight="1" x14ac:dyDescent="0.35">
      <c r="F568" s="6"/>
      <c r="G568" s="6"/>
      <c r="H568" s="6"/>
      <c r="I568" s="6"/>
      <c r="J568" s="6"/>
      <c r="K568" s="6"/>
      <c r="L568" s="6"/>
      <c r="M568" s="6"/>
      <c r="N568" s="6"/>
      <c r="O568" s="6"/>
      <c r="P568" s="6"/>
      <c r="Q568" s="6"/>
      <c r="S568" s="6"/>
    </row>
    <row r="569" spans="6:19" ht="14.25" customHeight="1" x14ac:dyDescent="0.35">
      <c r="F569" s="6"/>
      <c r="G569" s="6"/>
      <c r="H569" s="6"/>
      <c r="I569" s="6"/>
      <c r="J569" s="6"/>
      <c r="K569" s="6"/>
      <c r="L569" s="6"/>
      <c r="M569" s="6"/>
      <c r="N569" s="6"/>
      <c r="O569" s="6"/>
      <c r="P569" s="6"/>
      <c r="Q569" s="6"/>
      <c r="S569" s="6"/>
    </row>
    <row r="570" spans="6:19" ht="14.25" customHeight="1" x14ac:dyDescent="0.35">
      <c r="F570" s="6"/>
      <c r="G570" s="6"/>
      <c r="H570" s="6"/>
      <c r="I570" s="6"/>
      <c r="J570" s="6"/>
      <c r="K570" s="6"/>
      <c r="L570" s="6"/>
      <c r="M570" s="6"/>
      <c r="N570" s="6"/>
      <c r="O570" s="6"/>
      <c r="P570" s="6"/>
      <c r="Q570" s="6"/>
      <c r="S570" s="6"/>
    </row>
    <row r="571" spans="6:19" ht="14.25" customHeight="1" x14ac:dyDescent="0.35">
      <c r="F571" s="6"/>
      <c r="G571" s="6"/>
      <c r="H571" s="6"/>
      <c r="I571" s="6"/>
      <c r="J571" s="6"/>
      <c r="K571" s="6"/>
      <c r="L571" s="6"/>
      <c r="M571" s="6"/>
      <c r="N571" s="6"/>
      <c r="O571" s="6"/>
      <c r="P571" s="6"/>
      <c r="Q571" s="6"/>
      <c r="S571" s="6"/>
    </row>
    <row r="572" spans="6:19" ht="14.25" customHeight="1" x14ac:dyDescent="0.35">
      <c r="F572" s="6"/>
      <c r="G572" s="6"/>
      <c r="H572" s="6"/>
      <c r="I572" s="6"/>
      <c r="J572" s="6"/>
      <c r="K572" s="6"/>
      <c r="L572" s="6"/>
      <c r="M572" s="6"/>
      <c r="N572" s="6"/>
      <c r="O572" s="6"/>
      <c r="P572" s="6"/>
      <c r="Q572" s="6"/>
      <c r="S572" s="6"/>
    </row>
    <row r="573" spans="6:19" ht="14.25" customHeight="1" x14ac:dyDescent="0.35">
      <c r="F573" s="6"/>
      <c r="G573" s="6"/>
      <c r="H573" s="6"/>
      <c r="I573" s="6"/>
      <c r="J573" s="6"/>
      <c r="K573" s="6"/>
      <c r="L573" s="6"/>
      <c r="M573" s="6"/>
      <c r="N573" s="6"/>
      <c r="O573" s="6"/>
      <c r="P573" s="6"/>
      <c r="Q573" s="6"/>
      <c r="S573" s="6"/>
    </row>
    <row r="574" spans="6:19" ht="14.25" customHeight="1" x14ac:dyDescent="0.35">
      <c r="F574" s="6"/>
      <c r="G574" s="6"/>
      <c r="H574" s="6"/>
      <c r="I574" s="6"/>
      <c r="J574" s="6"/>
      <c r="K574" s="6"/>
      <c r="L574" s="6"/>
      <c r="M574" s="6"/>
      <c r="N574" s="6"/>
      <c r="O574" s="6"/>
      <c r="P574" s="6"/>
      <c r="Q574" s="6"/>
      <c r="S574" s="6"/>
    </row>
    <row r="575" spans="6:19" ht="14.25" customHeight="1" x14ac:dyDescent="0.35">
      <c r="F575" s="6"/>
      <c r="G575" s="6"/>
      <c r="H575" s="6"/>
      <c r="I575" s="6"/>
      <c r="J575" s="6"/>
      <c r="K575" s="6"/>
      <c r="L575" s="6"/>
      <c r="M575" s="6"/>
      <c r="N575" s="6"/>
      <c r="O575" s="6"/>
      <c r="P575" s="6"/>
      <c r="Q575" s="6"/>
      <c r="S575" s="6"/>
    </row>
    <row r="576" spans="6:19" ht="14.25" customHeight="1" x14ac:dyDescent="0.35">
      <c r="F576" s="6"/>
      <c r="G576" s="6"/>
      <c r="H576" s="6"/>
      <c r="I576" s="6"/>
      <c r="J576" s="6"/>
      <c r="K576" s="6"/>
      <c r="L576" s="6"/>
      <c r="M576" s="6"/>
      <c r="N576" s="6"/>
      <c r="O576" s="6"/>
      <c r="P576" s="6"/>
      <c r="Q576" s="6"/>
      <c r="S576" s="6"/>
    </row>
    <row r="577" spans="6:19" ht="14.25" customHeight="1" x14ac:dyDescent="0.35">
      <c r="F577" s="6"/>
      <c r="G577" s="6"/>
      <c r="H577" s="6"/>
      <c r="I577" s="6"/>
      <c r="J577" s="6"/>
      <c r="K577" s="6"/>
      <c r="L577" s="6"/>
      <c r="M577" s="6"/>
      <c r="N577" s="6"/>
      <c r="O577" s="6"/>
      <c r="P577" s="6"/>
      <c r="Q577" s="6"/>
      <c r="S577" s="6"/>
    </row>
    <row r="578" spans="6:19" ht="14.25" customHeight="1" x14ac:dyDescent="0.35">
      <c r="F578" s="6"/>
      <c r="G578" s="6"/>
      <c r="H578" s="6"/>
      <c r="I578" s="6"/>
      <c r="J578" s="6"/>
      <c r="K578" s="6"/>
      <c r="L578" s="6"/>
      <c r="M578" s="6"/>
      <c r="N578" s="6"/>
      <c r="O578" s="6"/>
      <c r="P578" s="6"/>
      <c r="Q578" s="6"/>
      <c r="S578" s="6"/>
    </row>
    <row r="579" spans="6:19" ht="14.25" customHeight="1" x14ac:dyDescent="0.35">
      <c r="F579" s="6"/>
      <c r="G579" s="6"/>
      <c r="H579" s="6"/>
      <c r="I579" s="6"/>
      <c r="J579" s="6"/>
      <c r="K579" s="6"/>
      <c r="L579" s="6"/>
      <c r="M579" s="6"/>
      <c r="N579" s="6"/>
      <c r="O579" s="6"/>
      <c r="P579" s="6"/>
      <c r="Q579" s="6"/>
      <c r="S579" s="6"/>
    </row>
    <row r="580" spans="6:19" ht="14.25" customHeight="1" x14ac:dyDescent="0.35">
      <c r="F580" s="6"/>
      <c r="G580" s="6"/>
      <c r="H580" s="6"/>
      <c r="I580" s="6"/>
      <c r="J580" s="6"/>
      <c r="K580" s="6"/>
      <c r="L580" s="6"/>
      <c r="M580" s="6"/>
      <c r="N580" s="6"/>
      <c r="O580" s="6"/>
      <c r="P580" s="6"/>
      <c r="Q580" s="6"/>
      <c r="S580" s="6"/>
    </row>
    <row r="581" spans="6:19" ht="14.25" customHeight="1" x14ac:dyDescent="0.35">
      <c r="F581" s="6"/>
      <c r="G581" s="6"/>
      <c r="H581" s="6"/>
      <c r="I581" s="6"/>
      <c r="J581" s="6"/>
      <c r="K581" s="6"/>
      <c r="L581" s="6"/>
      <c r="M581" s="6"/>
      <c r="N581" s="6"/>
      <c r="O581" s="6"/>
      <c r="P581" s="6"/>
      <c r="Q581" s="6"/>
      <c r="S581" s="6"/>
    </row>
    <row r="582" spans="6:19" ht="14.25" customHeight="1" x14ac:dyDescent="0.35">
      <c r="F582" s="6"/>
      <c r="G582" s="6"/>
      <c r="H582" s="6"/>
      <c r="I582" s="6"/>
      <c r="J582" s="6"/>
      <c r="K582" s="6"/>
      <c r="L582" s="6"/>
      <c r="M582" s="6"/>
      <c r="N582" s="6"/>
      <c r="O582" s="6"/>
      <c r="P582" s="6"/>
      <c r="Q582" s="6"/>
      <c r="S582" s="6"/>
    </row>
    <row r="583" spans="6:19" ht="14.25" customHeight="1" x14ac:dyDescent="0.35">
      <c r="F583" s="6"/>
      <c r="G583" s="6"/>
      <c r="H583" s="6"/>
      <c r="I583" s="6"/>
      <c r="J583" s="6"/>
      <c r="K583" s="6"/>
      <c r="L583" s="6"/>
      <c r="M583" s="6"/>
      <c r="N583" s="6"/>
      <c r="O583" s="6"/>
      <c r="P583" s="6"/>
      <c r="Q583" s="6"/>
      <c r="S583" s="6"/>
    </row>
    <row r="584" spans="6:19" ht="14.25" customHeight="1" x14ac:dyDescent="0.35">
      <c r="F584" s="6"/>
      <c r="G584" s="6"/>
      <c r="H584" s="6"/>
      <c r="I584" s="6"/>
      <c r="J584" s="6"/>
      <c r="K584" s="6"/>
      <c r="L584" s="6"/>
      <c r="M584" s="6"/>
      <c r="N584" s="6"/>
      <c r="O584" s="6"/>
      <c r="P584" s="6"/>
      <c r="Q584" s="6"/>
      <c r="S584" s="6"/>
    </row>
    <row r="585" spans="6:19" ht="14.25" customHeight="1" x14ac:dyDescent="0.35">
      <c r="F585" s="6"/>
      <c r="G585" s="6"/>
      <c r="H585" s="6"/>
      <c r="I585" s="6"/>
      <c r="J585" s="6"/>
      <c r="K585" s="6"/>
      <c r="L585" s="6"/>
      <c r="M585" s="6"/>
      <c r="N585" s="6"/>
      <c r="O585" s="6"/>
      <c r="P585" s="6"/>
      <c r="Q585" s="6"/>
      <c r="S585" s="6"/>
    </row>
    <row r="586" spans="6:19" ht="14.25" customHeight="1" x14ac:dyDescent="0.35">
      <c r="F586" s="6"/>
      <c r="G586" s="6"/>
      <c r="H586" s="6"/>
      <c r="I586" s="6"/>
      <c r="J586" s="6"/>
      <c r="K586" s="6"/>
      <c r="L586" s="6"/>
      <c r="M586" s="6"/>
      <c r="N586" s="6"/>
      <c r="O586" s="6"/>
      <c r="P586" s="6"/>
      <c r="Q586" s="6"/>
      <c r="S586" s="6"/>
    </row>
    <row r="587" spans="6:19" ht="14.25" customHeight="1" x14ac:dyDescent="0.35">
      <c r="F587" s="6"/>
      <c r="G587" s="6"/>
      <c r="H587" s="6"/>
      <c r="I587" s="6"/>
      <c r="J587" s="6"/>
      <c r="K587" s="6"/>
      <c r="L587" s="6"/>
      <c r="M587" s="6"/>
      <c r="N587" s="6"/>
      <c r="O587" s="6"/>
      <c r="P587" s="6"/>
      <c r="Q587" s="6"/>
      <c r="S587" s="6"/>
    </row>
    <row r="588" spans="6:19" ht="14.25" customHeight="1" x14ac:dyDescent="0.35">
      <c r="F588" s="6"/>
      <c r="G588" s="6"/>
      <c r="H588" s="6"/>
      <c r="I588" s="6"/>
      <c r="J588" s="6"/>
      <c r="K588" s="6"/>
      <c r="L588" s="6"/>
      <c r="M588" s="6"/>
      <c r="N588" s="6"/>
      <c r="O588" s="6"/>
      <c r="P588" s="6"/>
      <c r="Q588" s="6"/>
      <c r="S588" s="6"/>
    </row>
    <row r="589" spans="6:19" ht="14.25" customHeight="1" x14ac:dyDescent="0.35">
      <c r="F589" s="6"/>
      <c r="G589" s="6"/>
      <c r="H589" s="6"/>
      <c r="I589" s="6"/>
      <c r="J589" s="6"/>
      <c r="K589" s="6"/>
      <c r="L589" s="6"/>
      <c r="M589" s="6"/>
      <c r="N589" s="6"/>
      <c r="O589" s="6"/>
      <c r="P589" s="6"/>
      <c r="Q589" s="6"/>
      <c r="S589" s="6"/>
    </row>
    <row r="590" spans="6:19" ht="14.25" customHeight="1" x14ac:dyDescent="0.35">
      <c r="F590" s="6"/>
      <c r="G590" s="6"/>
      <c r="H590" s="6"/>
      <c r="I590" s="6"/>
      <c r="J590" s="6"/>
      <c r="K590" s="6"/>
      <c r="L590" s="6"/>
      <c r="M590" s="6"/>
      <c r="N590" s="6"/>
      <c r="O590" s="6"/>
      <c r="P590" s="6"/>
      <c r="Q590" s="6"/>
      <c r="S590" s="6"/>
    </row>
    <row r="591" spans="6:19" ht="14.25" customHeight="1" x14ac:dyDescent="0.35">
      <c r="F591" s="6"/>
      <c r="G591" s="6"/>
      <c r="H591" s="6"/>
      <c r="I591" s="6"/>
      <c r="J591" s="6"/>
      <c r="K591" s="6"/>
      <c r="L591" s="6"/>
      <c r="M591" s="6"/>
      <c r="N591" s="6"/>
      <c r="O591" s="6"/>
      <c r="P591" s="6"/>
      <c r="Q591" s="6"/>
      <c r="S591" s="6"/>
    </row>
    <row r="592" spans="6:19" ht="14.25" customHeight="1" x14ac:dyDescent="0.35">
      <c r="F592" s="6"/>
      <c r="G592" s="6"/>
      <c r="H592" s="6"/>
      <c r="I592" s="6"/>
      <c r="J592" s="6"/>
      <c r="K592" s="6"/>
      <c r="L592" s="6"/>
      <c r="M592" s="6"/>
      <c r="N592" s="6"/>
      <c r="O592" s="6"/>
      <c r="P592" s="6"/>
      <c r="Q592" s="6"/>
      <c r="S592" s="6"/>
    </row>
    <row r="593" spans="6:19" ht="14.25" customHeight="1" x14ac:dyDescent="0.35">
      <c r="F593" s="6"/>
      <c r="G593" s="6"/>
      <c r="H593" s="6"/>
      <c r="I593" s="6"/>
      <c r="J593" s="6"/>
      <c r="K593" s="6"/>
      <c r="L593" s="6"/>
      <c r="M593" s="6"/>
      <c r="N593" s="6"/>
      <c r="O593" s="6"/>
      <c r="P593" s="6"/>
      <c r="Q593" s="6"/>
      <c r="S593" s="6"/>
    </row>
    <row r="594" spans="6:19" ht="14.25" customHeight="1" x14ac:dyDescent="0.35">
      <c r="F594" s="6"/>
      <c r="G594" s="6"/>
      <c r="H594" s="6"/>
      <c r="I594" s="6"/>
      <c r="J594" s="6"/>
      <c r="K594" s="6"/>
      <c r="L594" s="6"/>
      <c r="M594" s="6"/>
      <c r="N594" s="6"/>
      <c r="O594" s="6"/>
      <c r="P594" s="6"/>
      <c r="Q594" s="6"/>
      <c r="S594" s="6"/>
    </row>
    <row r="595" spans="6:19" ht="14.25" customHeight="1" x14ac:dyDescent="0.35">
      <c r="F595" s="6"/>
      <c r="G595" s="6"/>
      <c r="H595" s="6"/>
      <c r="I595" s="6"/>
      <c r="J595" s="6"/>
      <c r="K595" s="6"/>
      <c r="L595" s="6"/>
      <c r="M595" s="6"/>
      <c r="N595" s="6"/>
      <c r="O595" s="6"/>
      <c r="P595" s="6"/>
      <c r="Q595" s="6"/>
      <c r="S595" s="6"/>
    </row>
    <row r="596" spans="6:19" ht="14.25" customHeight="1" x14ac:dyDescent="0.35">
      <c r="F596" s="6"/>
      <c r="G596" s="6"/>
      <c r="H596" s="6"/>
      <c r="I596" s="6"/>
      <c r="J596" s="6"/>
      <c r="K596" s="6"/>
      <c r="L596" s="6"/>
      <c r="M596" s="6"/>
      <c r="N596" s="6"/>
      <c r="O596" s="6"/>
      <c r="P596" s="6"/>
      <c r="Q596" s="6"/>
      <c r="S596" s="6"/>
    </row>
    <row r="597" spans="6:19" ht="14.25" customHeight="1" x14ac:dyDescent="0.35">
      <c r="F597" s="6"/>
      <c r="G597" s="6"/>
      <c r="H597" s="6"/>
      <c r="I597" s="6"/>
      <c r="J597" s="6"/>
      <c r="K597" s="6"/>
      <c r="L597" s="6"/>
      <c r="M597" s="6"/>
      <c r="N597" s="6"/>
      <c r="O597" s="6"/>
      <c r="P597" s="6"/>
      <c r="Q597" s="6"/>
      <c r="S597" s="6"/>
    </row>
    <row r="598" spans="6:19" ht="14.25" customHeight="1" x14ac:dyDescent="0.35">
      <c r="F598" s="6"/>
      <c r="G598" s="6"/>
      <c r="H598" s="6"/>
      <c r="I598" s="6"/>
      <c r="J598" s="6"/>
      <c r="K598" s="6"/>
      <c r="L598" s="6"/>
      <c r="M598" s="6"/>
      <c r="N598" s="6"/>
      <c r="O598" s="6"/>
      <c r="P598" s="6"/>
      <c r="Q598" s="6"/>
      <c r="S598" s="6"/>
    </row>
    <row r="599" spans="6:19" ht="14.25" customHeight="1" x14ac:dyDescent="0.35">
      <c r="F599" s="6"/>
      <c r="G599" s="6"/>
      <c r="H599" s="6"/>
      <c r="I599" s="6"/>
      <c r="J599" s="6"/>
      <c r="K599" s="6"/>
      <c r="L599" s="6"/>
      <c r="M599" s="6"/>
      <c r="N599" s="6"/>
      <c r="O599" s="6"/>
      <c r="P599" s="6"/>
      <c r="Q599" s="6"/>
      <c r="S599" s="6"/>
    </row>
    <row r="600" spans="6:19" ht="14.25" customHeight="1" x14ac:dyDescent="0.35">
      <c r="F600" s="6"/>
      <c r="G600" s="6"/>
      <c r="H600" s="6"/>
      <c r="I600" s="6"/>
      <c r="J600" s="6"/>
      <c r="K600" s="6"/>
      <c r="L600" s="6"/>
      <c r="M600" s="6"/>
      <c r="N600" s="6"/>
      <c r="O600" s="6"/>
      <c r="P600" s="6"/>
      <c r="Q600" s="6"/>
      <c r="S600" s="6"/>
    </row>
    <row r="601" spans="6:19" ht="14.25" customHeight="1" x14ac:dyDescent="0.35">
      <c r="F601" s="6"/>
      <c r="G601" s="6"/>
      <c r="H601" s="6"/>
      <c r="I601" s="6"/>
      <c r="J601" s="6"/>
      <c r="K601" s="6"/>
      <c r="L601" s="6"/>
      <c r="M601" s="6"/>
      <c r="N601" s="6"/>
      <c r="O601" s="6"/>
      <c r="P601" s="6"/>
      <c r="Q601" s="6"/>
      <c r="S601" s="6"/>
    </row>
    <row r="602" spans="6:19" ht="14.25" customHeight="1" x14ac:dyDescent="0.35">
      <c r="F602" s="6"/>
      <c r="G602" s="6"/>
      <c r="H602" s="6"/>
      <c r="I602" s="6"/>
      <c r="J602" s="6"/>
      <c r="K602" s="6"/>
      <c r="L602" s="6"/>
      <c r="M602" s="6"/>
      <c r="N602" s="6"/>
      <c r="O602" s="6"/>
      <c r="P602" s="6"/>
      <c r="Q602" s="6"/>
      <c r="S602" s="6"/>
    </row>
    <row r="603" spans="6:19" ht="14.25" customHeight="1" x14ac:dyDescent="0.35">
      <c r="F603" s="6"/>
      <c r="G603" s="6"/>
      <c r="H603" s="6"/>
      <c r="I603" s="6"/>
      <c r="J603" s="6"/>
      <c r="K603" s="6"/>
      <c r="L603" s="6"/>
      <c r="M603" s="6"/>
      <c r="N603" s="6"/>
      <c r="O603" s="6"/>
      <c r="P603" s="6"/>
      <c r="Q603" s="6"/>
      <c r="S603" s="6"/>
    </row>
    <row r="604" spans="6:19" ht="14.25" customHeight="1" x14ac:dyDescent="0.35">
      <c r="F604" s="6"/>
      <c r="G604" s="6"/>
      <c r="H604" s="6"/>
      <c r="I604" s="6"/>
      <c r="J604" s="6"/>
      <c r="K604" s="6"/>
      <c r="L604" s="6"/>
      <c r="M604" s="6"/>
      <c r="N604" s="6"/>
      <c r="O604" s="6"/>
      <c r="P604" s="6"/>
      <c r="Q604" s="6"/>
      <c r="S604" s="6"/>
    </row>
    <row r="605" spans="6:19" ht="14.25" customHeight="1" x14ac:dyDescent="0.35">
      <c r="F605" s="6"/>
      <c r="G605" s="6"/>
      <c r="H605" s="6"/>
      <c r="I605" s="6"/>
      <c r="J605" s="6"/>
      <c r="K605" s="6"/>
      <c r="L605" s="6"/>
      <c r="M605" s="6"/>
      <c r="N605" s="6"/>
      <c r="O605" s="6"/>
      <c r="P605" s="6"/>
      <c r="Q605" s="6"/>
      <c r="S605" s="6"/>
    </row>
    <row r="606" spans="6:19" ht="14.25" customHeight="1" x14ac:dyDescent="0.35">
      <c r="F606" s="6"/>
      <c r="G606" s="6"/>
      <c r="H606" s="6"/>
      <c r="I606" s="6"/>
      <c r="J606" s="6"/>
      <c r="K606" s="6"/>
      <c r="L606" s="6"/>
      <c r="M606" s="6"/>
      <c r="N606" s="6"/>
      <c r="O606" s="6"/>
      <c r="P606" s="6"/>
      <c r="Q606" s="6"/>
      <c r="S606" s="6"/>
    </row>
    <row r="607" spans="6:19" ht="14.25" customHeight="1" x14ac:dyDescent="0.35">
      <c r="F607" s="6"/>
      <c r="G607" s="6"/>
      <c r="H607" s="6"/>
      <c r="I607" s="6"/>
      <c r="J607" s="6"/>
      <c r="K607" s="6"/>
      <c r="L607" s="6"/>
      <c r="M607" s="6"/>
      <c r="N607" s="6"/>
      <c r="O607" s="6"/>
      <c r="P607" s="6"/>
      <c r="Q607" s="6"/>
      <c r="S607" s="6"/>
    </row>
    <row r="608" spans="6:19" ht="14.25" customHeight="1" x14ac:dyDescent="0.35">
      <c r="F608" s="6"/>
      <c r="G608" s="6"/>
      <c r="H608" s="6"/>
      <c r="I608" s="6"/>
      <c r="J608" s="6"/>
      <c r="K608" s="6"/>
      <c r="L608" s="6"/>
      <c r="M608" s="6"/>
      <c r="N608" s="6"/>
      <c r="O608" s="6"/>
      <c r="P608" s="6"/>
      <c r="Q608" s="6"/>
      <c r="S608" s="6"/>
    </row>
    <row r="609" spans="6:19" ht="14.25" customHeight="1" x14ac:dyDescent="0.35">
      <c r="F609" s="6"/>
      <c r="G609" s="6"/>
      <c r="H609" s="6"/>
      <c r="I609" s="6"/>
      <c r="J609" s="6"/>
      <c r="K609" s="6"/>
      <c r="L609" s="6"/>
      <c r="M609" s="6"/>
      <c r="N609" s="6"/>
      <c r="O609" s="6"/>
      <c r="P609" s="6"/>
      <c r="Q609" s="6"/>
      <c r="S609" s="6"/>
    </row>
    <row r="610" spans="6:19" ht="14.25" customHeight="1" x14ac:dyDescent="0.35">
      <c r="F610" s="6"/>
      <c r="G610" s="6"/>
      <c r="H610" s="6"/>
      <c r="I610" s="6"/>
      <c r="J610" s="6"/>
      <c r="K610" s="6"/>
      <c r="L610" s="6"/>
      <c r="M610" s="6"/>
      <c r="N610" s="6"/>
      <c r="O610" s="6"/>
      <c r="P610" s="6"/>
      <c r="Q610" s="6"/>
      <c r="S610" s="6"/>
    </row>
    <row r="611" spans="6:19" ht="14.25" customHeight="1" x14ac:dyDescent="0.35">
      <c r="F611" s="6"/>
      <c r="G611" s="6"/>
      <c r="H611" s="6"/>
      <c r="I611" s="6"/>
      <c r="J611" s="6"/>
      <c r="K611" s="6"/>
      <c r="L611" s="6"/>
      <c r="M611" s="6"/>
      <c r="N611" s="6"/>
      <c r="O611" s="6"/>
      <c r="P611" s="6"/>
      <c r="Q611" s="6"/>
      <c r="S611" s="6"/>
    </row>
    <row r="612" spans="6:19" ht="14.25" customHeight="1" x14ac:dyDescent="0.35">
      <c r="F612" s="6"/>
      <c r="G612" s="6"/>
      <c r="H612" s="6"/>
      <c r="I612" s="6"/>
      <c r="J612" s="6"/>
      <c r="K612" s="6"/>
      <c r="L612" s="6"/>
      <c r="M612" s="6"/>
      <c r="N612" s="6"/>
      <c r="O612" s="6"/>
      <c r="P612" s="6"/>
      <c r="Q612" s="6"/>
      <c r="S612" s="6"/>
    </row>
    <row r="613" spans="6:19" ht="14.25" customHeight="1" x14ac:dyDescent="0.35">
      <c r="F613" s="6"/>
      <c r="G613" s="6"/>
      <c r="H613" s="6"/>
      <c r="I613" s="6"/>
      <c r="J613" s="6"/>
      <c r="K613" s="6"/>
      <c r="L613" s="6"/>
      <c r="M613" s="6"/>
      <c r="N613" s="6"/>
      <c r="O613" s="6"/>
      <c r="P613" s="6"/>
      <c r="Q613" s="6"/>
      <c r="S613" s="6"/>
    </row>
    <row r="614" spans="6:19" ht="14.25" customHeight="1" x14ac:dyDescent="0.35">
      <c r="F614" s="6"/>
      <c r="G614" s="6"/>
      <c r="H614" s="6"/>
      <c r="I614" s="6"/>
      <c r="J614" s="6"/>
      <c r="K614" s="6"/>
      <c r="L614" s="6"/>
      <c r="M614" s="6"/>
      <c r="N614" s="6"/>
      <c r="O614" s="6"/>
      <c r="P614" s="6"/>
      <c r="Q614" s="6"/>
      <c r="S614" s="6"/>
    </row>
    <row r="615" spans="6:19" ht="14.25" customHeight="1" x14ac:dyDescent="0.35">
      <c r="F615" s="6"/>
      <c r="G615" s="6"/>
      <c r="H615" s="6"/>
      <c r="I615" s="6"/>
      <c r="J615" s="6"/>
      <c r="K615" s="6"/>
      <c r="L615" s="6"/>
      <c r="M615" s="6"/>
      <c r="N615" s="6"/>
      <c r="O615" s="6"/>
      <c r="P615" s="6"/>
      <c r="Q615" s="6"/>
      <c r="S615" s="6"/>
    </row>
    <row r="616" spans="6:19" ht="14.25" customHeight="1" x14ac:dyDescent="0.35">
      <c r="F616" s="6"/>
      <c r="G616" s="6"/>
      <c r="H616" s="6"/>
      <c r="I616" s="6"/>
      <c r="J616" s="6"/>
      <c r="K616" s="6"/>
      <c r="L616" s="6"/>
      <c r="M616" s="6"/>
      <c r="N616" s="6"/>
      <c r="O616" s="6"/>
      <c r="P616" s="6"/>
      <c r="Q616" s="6"/>
      <c r="S616" s="6"/>
    </row>
    <row r="617" spans="6:19" ht="14.25" customHeight="1" x14ac:dyDescent="0.35">
      <c r="F617" s="6"/>
      <c r="G617" s="6"/>
      <c r="H617" s="6"/>
      <c r="I617" s="6"/>
      <c r="J617" s="6"/>
      <c r="K617" s="6"/>
      <c r="L617" s="6"/>
      <c r="M617" s="6"/>
      <c r="N617" s="6"/>
      <c r="O617" s="6"/>
      <c r="P617" s="6"/>
      <c r="Q617" s="6"/>
      <c r="S617" s="6"/>
    </row>
    <row r="618" spans="6:19" ht="14.25" customHeight="1" x14ac:dyDescent="0.35">
      <c r="F618" s="6"/>
      <c r="G618" s="6"/>
      <c r="H618" s="6"/>
      <c r="I618" s="6"/>
      <c r="J618" s="6"/>
      <c r="K618" s="6"/>
      <c r="L618" s="6"/>
      <c r="M618" s="6"/>
      <c r="N618" s="6"/>
      <c r="O618" s="6"/>
      <c r="P618" s="6"/>
      <c r="Q618" s="6"/>
      <c r="S618" s="6"/>
    </row>
    <row r="619" spans="6:19" ht="14.25" customHeight="1" x14ac:dyDescent="0.35">
      <c r="F619" s="6"/>
      <c r="G619" s="6"/>
      <c r="H619" s="6"/>
      <c r="I619" s="6"/>
      <c r="J619" s="6"/>
      <c r="K619" s="6"/>
      <c r="L619" s="6"/>
      <c r="M619" s="6"/>
      <c r="N619" s="6"/>
      <c r="O619" s="6"/>
      <c r="P619" s="6"/>
      <c r="Q619" s="6"/>
      <c r="S619" s="6"/>
    </row>
    <row r="620" spans="6:19" ht="14.25" customHeight="1" x14ac:dyDescent="0.35">
      <c r="F620" s="6"/>
      <c r="G620" s="6"/>
      <c r="H620" s="6"/>
      <c r="I620" s="6"/>
      <c r="J620" s="6"/>
      <c r="K620" s="6"/>
      <c r="L620" s="6"/>
      <c r="M620" s="6"/>
      <c r="N620" s="6"/>
      <c r="O620" s="6"/>
      <c r="P620" s="6"/>
      <c r="Q620" s="6"/>
      <c r="S620" s="6"/>
    </row>
    <row r="621" spans="6:19" ht="14.25" customHeight="1" x14ac:dyDescent="0.35">
      <c r="F621" s="6"/>
      <c r="G621" s="6"/>
      <c r="H621" s="6"/>
      <c r="I621" s="6"/>
      <c r="J621" s="6"/>
      <c r="K621" s="6"/>
      <c r="L621" s="6"/>
      <c r="M621" s="6"/>
      <c r="N621" s="6"/>
      <c r="O621" s="6"/>
      <c r="P621" s="6"/>
      <c r="Q621" s="6"/>
      <c r="S621" s="6"/>
    </row>
    <row r="622" spans="6:19" ht="14.25" customHeight="1" x14ac:dyDescent="0.35">
      <c r="F622" s="6"/>
      <c r="G622" s="6"/>
      <c r="H622" s="6"/>
      <c r="I622" s="6"/>
      <c r="J622" s="6"/>
      <c r="K622" s="6"/>
      <c r="L622" s="6"/>
      <c r="M622" s="6"/>
      <c r="N622" s="6"/>
      <c r="O622" s="6"/>
      <c r="P622" s="6"/>
      <c r="Q622" s="6"/>
      <c r="S622" s="6"/>
    </row>
    <row r="623" spans="6:19" ht="14.25" customHeight="1" x14ac:dyDescent="0.35">
      <c r="F623" s="6"/>
      <c r="G623" s="6"/>
      <c r="H623" s="6"/>
      <c r="I623" s="6"/>
      <c r="J623" s="6"/>
      <c r="K623" s="6"/>
      <c r="L623" s="6"/>
      <c r="M623" s="6"/>
      <c r="N623" s="6"/>
      <c r="O623" s="6"/>
      <c r="P623" s="6"/>
      <c r="Q623" s="6"/>
      <c r="S623" s="6"/>
    </row>
    <row r="624" spans="6:19" ht="14.25" customHeight="1" x14ac:dyDescent="0.35">
      <c r="F624" s="6"/>
      <c r="G624" s="6"/>
      <c r="H624" s="6"/>
      <c r="I624" s="6"/>
      <c r="J624" s="6"/>
      <c r="K624" s="6"/>
      <c r="L624" s="6"/>
      <c r="M624" s="6"/>
      <c r="N624" s="6"/>
      <c r="O624" s="6"/>
      <c r="P624" s="6"/>
      <c r="Q624" s="6"/>
      <c r="S624" s="6"/>
    </row>
    <row r="625" spans="6:19" ht="14.25" customHeight="1" x14ac:dyDescent="0.35">
      <c r="F625" s="6"/>
      <c r="G625" s="6"/>
      <c r="H625" s="6"/>
      <c r="I625" s="6"/>
      <c r="J625" s="6"/>
      <c r="K625" s="6"/>
      <c r="L625" s="6"/>
      <c r="M625" s="6"/>
      <c r="N625" s="6"/>
      <c r="O625" s="6"/>
      <c r="P625" s="6"/>
      <c r="Q625" s="6"/>
      <c r="S625" s="6"/>
    </row>
    <row r="626" spans="6:19" ht="14.25" customHeight="1" x14ac:dyDescent="0.35">
      <c r="F626" s="6"/>
      <c r="G626" s="6"/>
      <c r="H626" s="6"/>
      <c r="I626" s="6"/>
      <c r="J626" s="6"/>
      <c r="K626" s="6"/>
      <c r="L626" s="6"/>
      <c r="M626" s="6"/>
      <c r="N626" s="6"/>
      <c r="O626" s="6"/>
      <c r="P626" s="6"/>
      <c r="Q626" s="6"/>
      <c r="S626" s="6"/>
    </row>
    <row r="627" spans="6:19" ht="14.25" customHeight="1" x14ac:dyDescent="0.35">
      <c r="F627" s="6"/>
      <c r="G627" s="6"/>
      <c r="H627" s="6"/>
      <c r="I627" s="6"/>
      <c r="J627" s="6"/>
      <c r="K627" s="6"/>
      <c r="L627" s="6"/>
      <c r="M627" s="6"/>
      <c r="N627" s="6"/>
      <c r="O627" s="6"/>
      <c r="P627" s="6"/>
      <c r="Q627" s="6"/>
      <c r="S627" s="6"/>
    </row>
    <row r="628" spans="6:19" ht="14.25" customHeight="1" x14ac:dyDescent="0.35">
      <c r="F628" s="6"/>
      <c r="G628" s="6"/>
      <c r="H628" s="6"/>
      <c r="I628" s="6"/>
      <c r="J628" s="6"/>
      <c r="K628" s="6"/>
      <c r="L628" s="6"/>
      <c r="M628" s="6"/>
      <c r="N628" s="6"/>
      <c r="O628" s="6"/>
      <c r="P628" s="6"/>
      <c r="Q628" s="6"/>
      <c r="S628" s="6"/>
    </row>
    <row r="629" spans="6:19" ht="14.25" customHeight="1" x14ac:dyDescent="0.35">
      <c r="F629" s="6"/>
      <c r="G629" s="6"/>
      <c r="H629" s="6"/>
      <c r="I629" s="6"/>
      <c r="J629" s="6"/>
      <c r="K629" s="6"/>
      <c r="L629" s="6"/>
      <c r="M629" s="6"/>
      <c r="N629" s="6"/>
      <c r="O629" s="6"/>
      <c r="P629" s="6"/>
      <c r="Q629" s="6"/>
      <c r="S629" s="6"/>
    </row>
    <row r="630" spans="6:19" ht="14.25" customHeight="1" x14ac:dyDescent="0.35">
      <c r="F630" s="6"/>
      <c r="G630" s="6"/>
      <c r="H630" s="6"/>
      <c r="I630" s="6"/>
      <c r="J630" s="6"/>
      <c r="K630" s="6"/>
      <c r="L630" s="6"/>
      <c r="M630" s="6"/>
      <c r="N630" s="6"/>
      <c r="O630" s="6"/>
      <c r="P630" s="6"/>
      <c r="Q630" s="6"/>
      <c r="S630" s="6"/>
    </row>
    <row r="631" spans="6:19" ht="14.25" customHeight="1" x14ac:dyDescent="0.35">
      <c r="F631" s="6"/>
      <c r="G631" s="6"/>
      <c r="H631" s="6"/>
      <c r="I631" s="6"/>
      <c r="J631" s="6"/>
      <c r="K631" s="6"/>
      <c r="L631" s="6"/>
      <c r="M631" s="6"/>
      <c r="N631" s="6"/>
      <c r="O631" s="6"/>
      <c r="P631" s="6"/>
      <c r="Q631" s="6"/>
      <c r="S631" s="6"/>
    </row>
    <row r="632" spans="6:19" ht="14.25" customHeight="1" x14ac:dyDescent="0.35">
      <c r="F632" s="6"/>
      <c r="G632" s="6"/>
      <c r="H632" s="6"/>
      <c r="I632" s="6"/>
      <c r="J632" s="6"/>
      <c r="K632" s="6"/>
      <c r="L632" s="6"/>
      <c r="M632" s="6"/>
      <c r="N632" s="6"/>
      <c r="O632" s="6"/>
      <c r="P632" s="6"/>
      <c r="Q632" s="6"/>
      <c r="S632" s="6"/>
    </row>
    <row r="633" spans="6:19" ht="14.25" customHeight="1" x14ac:dyDescent="0.35">
      <c r="F633" s="6"/>
      <c r="G633" s="6"/>
      <c r="H633" s="6"/>
      <c r="I633" s="6"/>
      <c r="J633" s="6"/>
      <c r="K633" s="6"/>
      <c r="L633" s="6"/>
      <c r="M633" s="6"/>
      <c r="N633" s="6"/>
      <c r="O633" s="6"/>
      <c r="P633" s="6"/>
      <c r="Q633" s="6"/>
      <c r="S633" s="6"/>
    </row>
    <row r="634" spans="6:19" ht="14.25" customHeight="1" x14ac:dyDescent="0.35">
      <c r="F634" s="6"/>
      <c r="G634" s="6"/>
      <c r="H634" s="6"/>
      <c r="I634" s="6"/>
      <c r="J634" s="6"/>
      <c r="K634" s="6"/>
      <c r="L634" s="6"/>
      <c r="M634" s="6"/>
      <c r="N634" s="6"/>
      <c r="O634" s="6"/>
      <c r="P634" s="6"/>
      <c r="Q634" s="6"/>
      <c r="S634" s="6"/>
    </row>
    <row r="635" spans="6:19" ht="14.25" customHeight="1" x14ac:dyDescent="0.35">
      <c r="F635" s="6"/>
      <c r="G635" s="6"/>
      <c r="H635" s="6"/>
      <c r="I635" s="6"/>
      <c r="J635" s="6"/>
      <c r="K635" s="6"/>
      <c r="L635" s="6"/>
      <c r="M635" s="6"/>
      <c r="N635" s="6"/>
      <c r="O635" s="6"/>
      <c r="P635" s="6"/>
      <c r="Q635" s="6"/>
      <c r="S635" s="6"/>
    </row>
    <row r="636" spans="6:19" ht="14.25" customHeight="1" x14ac:dyDescent="0.35">
      <c r="F636" s="6"/>
      <c r="G636" s="6"/>
      <c r="H636" s="6"/>
      <c r="I636" s="6"/>
      <c r="J636" s="6"/>
      <c r="K636" s="6"/>
      <c r="L636" s="6"/>
      <c r="M636" s="6"/>
      <c r="N636" s="6"/>
      <c r="O636" s="6"/>
      <c r="P636" s="6"/>
      <c r="Q636" s="6"/>
      <c r="S636" s="6"/>
    </row>
    <row r="637" spans="6:19" ht="14.25" customHeight="1" x14ac:dyDescent="0.35">
      <c r="F637" s="6"/>
      <c r="G637" s="6"/>
      <c r="H637" s="6"/>
      <c r="I637" s="6"/>
      <c r="J637" s="6"/>
      <c r="K637" s="6"/>
      <c r="L637" s="6"/>
      <c r="M637" s="6"/>
      <c r="N637" s="6"/>
      <c r="O637" s="6"/>
      <c r="P637" s="6"/>
      <c r="Q637" s="6"/>
      <c r="S637" s="6"/>
    </row>
    <row r="638" spans="6:19" ht="14.25" customHeight="1" x14ac:dyDescent="0.35">
      <c r="F638" s="6"/>
      <c r="G638" s="6"/>
      <c r="H638" s="6"/>
      <c r="I638" s="6"/>
      <c r="J638" s="6"/>
      <c r="K638" s="6"/>
      <c r="L638" s="6"/>
      <c r="M638" s="6"/>
      <c r="N638" s="6"/>
      <c r="O638" s="6"/>
      <c r="P638" s="6"/>
      <c r="Q638" s="6"/>
      <c r="S638" s="6"/>
    </row>
    <row r="639" spans="6:19" ht="14.25" customHeight="1" x14ac:dyDescent="0.35">
      <c r="F639" s="6"/>
      <c r="G639" s="6"/>
      <c r="H639" s="6"/>
      <c r="I639" s="6"/>
      <c r="J639" s="6"/>
      <c r="K639" s="6"/>
      <c r="L639" s="6"/>
      <c r="M639" s="6"/>
      <c r="N639" s="6"/>
      <c r="O639" s="6"/>
      <c r="P639" s="6"/>
      <c r="Q639" s="6"/>
      <c r="S639" s="6"/>
    </row>
    <row r="640" spans="6:19" ht="14.25" customHeight="1" x14ac:dyDescent="0.35">
      <c r="F640" s="6"/>
      <c r="G640" s="6"/>
      <c r="H640" s="6"/>
      <c r="I640" s="6"/>
      <c r="J640" s="6"/>
      <c r="K640" s="6"/>
      <c r="L640" s="6"/>
      <c r="M640" s="6"/>
      <c r="N640" s="6"/>
      <c r="O640" s="6"/>
      <c r="P640" s="6"/>
      <c r="Q640" s="6"/>
      <c r="S640" s="6"/>
    </row>
    <row r="641" spans="6:19" ht="14.25" customHeight="1" x14ac:dyDescent="0.35">
      <c r="F641" s="6"/>
      <c r="G641" s="6"/>
      <c r="H641" s="6"/>
      <c r="I641" s="6"/>
      <c r="J641" s="6"/>
      <c r="K641" s="6"/>
      <c r="L641" s="6"/>
      <c r="M641" s="6"/>
      <c r="N641" s="6"/>
      <c r="O641" s="6"/>
      <c r="P641" s="6"/>
      <c r="Q641" s="6"/>
      <c r="S641" s="6"/>
    </row>
    <row r="642" spans="6:19" ht="14.25" customHeight="1" x14ac:dyDescent="0.35">
      <c r="F642" s="6"/>
      <c r="G642" s="6"/>
      <c r="H642" s="6"/>
      <c r="I642" s="6"/>
      <c r="J642" s="6"/>
      <c r="K642" s="6"/>
      <c r="L642" s="6"/>
      <c r="M642" s="6"/>
      <c r="N642" s="6"/>
      <c r="O642" s="6"/>
      <c r="P642" s="6"/>
      <c r="Q642" s="6"/>
      <c r="S642" s="6"/>
    </row>
    <row r="643" spans="6:19" ht="14.25" customHeight="1" x14ac:dyDescent="0.35">
      <c r="F643" s="6"/>
      <c r="G643" s="6"/>
      <c r="H643" s="6"/>
      <c r="I643" s="6"/>
      <c r="J643" s="6"/>
      <c r="K643" s="6"/>
      <c r="L643" s="6"/>
      <c r="M643" s="6"/>
      <c r="N643" s="6"/>
      <c r="O643" s="6"/>
      <c r="P643" s="6"/>
      <c r="Q643" s="6"/>
      <c r="S643" s="6"/>
    </row>
    <row r="644" spans="6:19" ht="14.25" customHeight="1" x14ac:dyDescent="0.35">
      <c r="F644" s="6"/>
      <c r="G644" s="6"/>
      <c r="H644" s="6"/>
      <c r="I644" s="6"/>
      <c r="J644" s="6"/>
      <c r="K644" s="6"/>
      <c r="L644" s="6"/>
      <c r="M644" s="6"/>
      <c r="N644" s="6"/>
      <c r="O644" s="6"/>
      <c r="P644" s="6"/>
      <c r="Q644" s="6"/>
      <c r="S644" s="6"/>
    </row>
    <row r="645" spans="6:19" ht="14.25" customHeight="1" x14ac:dyDescent="0.35">
      <c r="F645" s="6"/>
      <c r="G645" s="6"/>
      <c r="H645" s="6"/>
      <c r="I645" s="6"/>
      <c r="J645" s="6"/>
      <c r="K645" s="6"/>
      <c r="L645" s="6"/>
      <c r="M645" s="6"/>
      <c r="N645" s="6"/>
      <c r="O645" s="6"/>
      <c r="P645" s="6"/>
      <c r="Q645" s="6"/>
      <c r="S645" s="6"/>
    </row>
    <row r="646" spans="6:19" ht="14.25" customHeight="1" x14ac:dyDescent="0.35">
      <c r="F646" s="6"/>
      <c r="G646" s="6"/>
      <c r="H646" s="6"/>
      <c r="I646" s="6"/>
      <c r="J646" s="6"/>
      <c r="K646" s="6"/>
      <c r="L646" s="6"/>
      <c r="M646" s="6"/>
      <c r="N646" s="6"/>
      <c r="O646" s="6"/>
      <c r="P646" s="6"/>
      <c r="Q646" s="6"/>
      <c r="S646" s="6"/>
    </row>
    <row r="647" spans="6:19" ht="14.25" customHeight="1" x14ac:dyDescent="0.35">
      <c r="F647" s="6"/>
      <c r="G647" s="6"/>
      <c r="H647" s="6"/>
      <c r="I647" s="6"/>
      <c r="J647" s="6"/>
      <c r="K647" s="6"/>
      <c r="L647" s="6"/>
      <c r="M647" s="6"/>
      <c r="N647" s="6"/>
      <c r="O647" s="6"/>
      <c r="P647" s="6"/>
      <c r="Q647" s="6"/>
      <c r="S647" s="6"/>
    </row>
    <row r="648" spans="6:19" ht="14.25" customHeight="1" x14ac:dyDescent="0.35">
      <c r="F648" s="6"/>
      <c r="G648" s="6"/>
      <c r="H648" s="6"/>
      <c r="I648" s="6"/>
      <c r="J648" s="6"/>
      <c r="K648" s="6"/>
      <c r="L648" s="6"/>
      <c r="M648" s="6"/>
      <c r="N648" s="6"/>
      <c r="O648" s="6"/>
      <c r="P648" s="6"/>
      <c r="Q648" s="6"/>
      <c r="S648" s="6"/>
    </row>
    <row r="649" spans="6:19" ht="14.25" customHeight="1" x14ac:dyDescent="0.35">
      <c r="F649" s="6"/>
      <c r="G649" s="6"/>
      <c r="H649" s="6"/>
      <c r="I649" s="6"/>
      <c r="J649" s="6"/>
      <c r="K649" s="6"/>
      <c r="L649" s="6"/>
      <c r="M649" s="6"/>
      <c r="N649" s="6"/>
      <c r="O649" s="6"/>
      <c r="P649" s="6"/>
      <c r="Q649" s="6"/>
      <c r="S649" s="6"/>
    </row>
    <row r="650" spans="6:19" ht="14.25" customHeight="1" x14ac:dyDescent="0.35">
      <c r="F650" s="6"/>
      <c r="G650" s="6"/>
      <c r="H650" s="6"/>
      <c r="I650" s="6"/>
      <c r="J650" s="6"/>
      <c r="K650" s="6"/>
      <c r="L650" s="6"/>
      <c r="M650" s="6"/>
      <c r="N650" s="6"/>
      <c r="O650" s="6"/>
      <c r="P650" s="6"/>
      <c r="Q650" s="6"/>
      <c r="S650" s="6"/>
    </row>
    <row r="651" spans="6:19" ht="14.25" customHeight="1" x14ac:dyDescent="0.35">
      <c r="F651" s="6"/>
      <c r="G651" s="6"/>
      <c r="H651" s="6"/>
      <c r="I651" s="6"/>
      <c r="J651" s="6"/>
      <c r="K651" s="6"/>
      <c r="L651" s="6"/>
      <c r="M651" s="6"/>
      <c r="N651" s="6"/>
      <c r="O651" s="6"/>
      <c r="P651" s="6"/>
      <c r="Q651" s="6"/>
      <c r="S651" s="6"/>
    </row>
    <row r="652" spans="6:19" ht="14.25" customHeight="1" x14ac:dyDescent="0.35">
      <c r="F652" s="6"/>
      <c r="G652" s="6"/>
      <c r="H652" s="6"/>
      <c r="I652" s="6"/>
      <c r="J652" s="6"/>
      <c r="K652" s="6"/>
      <c r="L652" s="6"/>
      <c r="M652" s="6"/>
      <c r="N652" s="6"/>
      <c r="O652" s="6"/>
      <c r="P652" s="6"/>
      <c r="Q652" s="6"/>
      <c r="S652" s="6"/>
    </row>
    <row r="653" spans="6:19" ht="14.25" customHeight="1" x14ac:dyDescent="0.35">
      <c r="F653" s="6"/>
      <c r="G653" s="6"/>
      <c r="H653" s="6"/>
      <c r="I653" s="6"/>
      <c r="J653" s="6"/>
      <c r="K653" s="6"/>
      <c r="L653" s="6"/>
      <c r="M653" s="6"/>
      <c r="N653" s="6"/>
      <c r="O653" s="6"/>
      <c r="P653" s="6"/>
      <c r="Q653" s="6"/>
      <c r="S653" s="6"/>
    </row>
    <row r="654" spans="6:19" ht="14.25" customHeight="1" x14ac:dyDescent="0.35">
      <c r="F654" s="6"/>
      <c r="G654" s="6"/>
      <c r="H654" s="6"/>
      <c r="I654" s="6"/>
      <c r="J654" s="6"/>
      <c r="K654" s="6"/>
      <c r="L654" s="6"/>
      <c r="M654" s="6"/>
      <c r="N654" s="6"/>
      <c r="O654" s="6"/>
      <c r="P654" s="6"/>
      <c r="Q654" s="6"/>
      <c r="S654" s="6"/>
    </row>
    <row r="655" spans="6:19" ht="14.25" customHeight="1" x14ac:dyDescent="0.35">
      <c r="F655" s="6"/>
      <c r="G655" s="6"/>
      <c r="H655" s="6"/>
      <c r="I655" s="6"/>
      <c r="J655" s="6"/>
      <c r="K655" s="6"/>
      <c r="L655" s="6"/>
      <c r="M655" s="6"/>
      <c r="N655" s="6"/>
      <c r="O655" s="6"/>
      <c r="P655" s="6"/>
      <c r="Q655" s="6"/>
      <c r="S655" s="6"/>
    </row>
    <row r="656" spans="6:19" ht="14.25" customHeight="1" x14ac:dyDescent="0.35">
      <c r="F656" s="6"/>
      <c r="G656" s="6"/>
      <c r="H656" s="6"/>
      <c r="I656" s="6"/>
      <c r="J656" s="6"/>
      <c r="K656" s="6"/>
      <c r="L656" s="6"/>
      <c r="M656" s="6"/>
      <c r="N656" s="6"/>
      <c r="O656" s="6"/>
      <c r="P656" s="6"/>
      <c r="Q656" s="6"/>
      <c r="S656" s="6"/>
    </row>
    <row r="657" spans="6:19" ht="14.25" customHeight="1" x14ac:dyDescent="0.35">
      <c r="F657" s="6"/>
      <c r="G657" s="6"/>
      <c r="H657" s="6"/>
      <c r="I657" s="6"/>
      <c r="J657" s="6"/>
      <c r="K657" s="6"/>
      <c r="L657" s="6"/>
      <c r="M657" s="6"/>
      <c r="N657" s="6"/>
      <c r="O657" s="6"/>
      <c r="P657" s="6"/>
      <c r="Q657" s="6"/>
      <c r="S657" s="6"/>
    </row>
    <row r="658" spans="6:19" ht="14.25" customHeight="1" x14ac:dyDescent="0.35">
      <c r="F658" s="6"/>
      <c r="G658" s="6"/>
      <c r="H658" s="6"/>
      <c r="I658" s="6"/>
      <c r="J658" s="6"/>
      <c r="K658" s="6"/>
      <c r="L658" s="6"/>
      <c r="M658" s="6"/>
      <c r="N658" s="6"/>
      <c r="O658" s="6"/>
      <c r="P658" s="6"/>
      <c r="Q658" s="6"/>
      <c r="S658" s="6"/>
    </row>
    <row r="659" spans="6:19" ht="14.25" customHeight="1" x14ac:dyDescent="0.35">
      <c r="F659" s="6"/>
      <c r="G659" s="6"/>
      <c r="H659" s="6"/>
      <c r="I659" s="6"/>
      <c r="J659" s="6"/>
      <c r="K659" s="6"/>
      <c r="L659" s="6"/>
      <c r="M659" s="6"/>
      <c r="N659" s="6"/>
      <c r="O659" s="6"/>
      <c r="P659" s="6"/>
      <c r="Q659" s="6"/>
      <c r="S659" s="6"/>
    </row>
    <row r="660" spans="6:19" ht="14.25" customHeight="1" x14ac:dyDescent="0.35">
      <c r="F660" s="6"/>
      <c r="G660" s="6"/>
      <c r="H660" s="6"/>
      <c r="I660" s="6"/>
      <c r="J660" s="6"/>
      <c r="K660" s="6"/>
      <c r="L660" s="6"/>
      <c r="M660" s="6"/>
      <c r="N660" s="6"/>
      <c r="O660" s="6"/>
      <c r="P660" s="6"/>
      <c r="Q660" s="6"/>
      <c r="S660" s="6"/>
    </row>
    <row r="661" spans="6:19" ht="14.25" customHeight="1" x14ac:dyDescent="0.35">
      <c r="F661" s="6"/>
      <c r="G661" s="6"/>
      <c r="H661" s="6"/>
      <c r="I661" s="6"/>
      <c r="J661" s="6"/>
      <c r="K661" s="6"/>
      <c r="L661" s="6"/>
      <c r="M661" s="6"/>
      <c r="N661" s="6"/>
      <c r="O661" s="6"/>
      <c r="P661" s="6"/>
      <c r="Q661" s="6"/>
      <c r="S661" s="6"/>
    </row>
    <row r="662" spans="6:19" ht="14.25" customHeight="1" x14ac:dyDescent="0.35">
      <c r="F662" s="6"/>
      <c r="G662" s="6"/>
      <c r="H662" s="6"/>
      <c r="I662" s="6"/>
      <c r="J662" s="6"/>
      <c r="K662" s="6"/>
      <c r="L662" s="6"/>
      <c r="M662" s="6"/>
      <c r="N662" s="6"/>
      <c r="O662" s="6"/>
      <c r="P662" s="6"/>
      <c r="Q662" s="6"/>
      <c r="S662" s="6"/>
    </row>
    <row r="663" spans="6:19" ht="14.25" customHeight="1" x14ac:dyDescent="0.35">
      <c r="F663" s="6"/>
      <c r="G663" s="6"/>
      <c r="H663" s="6"/>
      <c r="I663" s="6"/>
      <c r="J663" s="6"/>
      <c r="K663" s="6"/>
      <c r="L663" s="6"/>
      <c r="M663" s="6"/>
      <c r="N663" s="6"/>
      <c r="O663" s="6"/>
      <c r="P663" s="6"/>
      <c r="Q663" s="6"/>
      <c r="S663" s="6"/>
    </row>
    <row r="664" spans="6:19" ht="14.25" customHeight="1" x14ac:dyDescent="0.35">
      <c r="F664" s="6"/>
      <c r="G664" s="6"/>
      <c r="H664" s="6"/>
      <c r="I664" s="6"/>
      <c r="J664" s="6"/>
      <c r="K664" s="6"/>
      <c r="L664" s="6"/>
      <c r="M664" s="6"/>
      <c r="N664" s="6"/>
      <c r="O664" s="6"/>
      <c r="P664" s="6"/>
      <c r="Q664" s="6"/>
      <c r="S664" s="6"/>
    </row>
    <row r="665" spans="6:19" ht="14.25" customHeight="1" x14ac:dyDescent="0.35">
      <c r="F665" s="6"/>
      <c r="G665" s="6"/>
      <c r="H665" s="6"/>
      <c r="I665" s="6"/>
      <c r="J665" s="6"/>
      <c r="K665" s="6"/>
      <c r="L665" s="6"/>
      <c r="M665" s="6"/>
      <c r="N665" s="6"/>
      <c r="O665" s="6"/>
      <c r="P665" s="6"/>
      <c r="Q665" s="6"/>
      <c r="S665" s="6"/>
    </row>
    <row r="666" spans="6:19" ht="14.25" customHeight="1" x14ac:dyDescent="0.35">
      <c r="F666" s="6"/>
      <c r="G666" s="6"/>
      <c r="H666" s="6"/>
      <c r="I666" s="6"/>
      <c r="J666" s="6"/>
      <c r="K666" s="6"/>
      <c r="L666" s="6"/>
      <c r="M666" s="6"/>
      <c r="N666" s="6"/>
      <c r="O666" s="6"/>
      <c r="P666" s="6"/>
      <c r="Q666" s="6"/>
      <c r="S666" s="6"/>
    </row>
    <row r="667" spans="6:19" ht="14.25" customHeight="1" x14ac:dyDescent="0.35">
      <c r="F667" s="6"/>
      <c r="G667" s="6"/>
      <c r="H667" s="6"/>
      <c r="I667" s="6"/>
      <c r="J667" s="6"/>
      <c r="K667" s="6"/>
      <c r="L667" s="6"/>
      <c r="M667" s="6"/>
      <c r="N667" s="6"/>
      <c r="O667" s="6"/>
      <c r="P667" s="6"/>
      <c r="Q667" s="6"/>
      <c r="S667" s="6"/>
    </row>
    <row r="668" spans="6:19" ht="14.25" customHeight="1" x14ac:dyDescent="0.35">
      <c r="F668" s="6"/>
      <c r="G668" s="6"/>
      <c r="H668" s="6"/>
      <c r="I668" s="6"/>
      <c r="J668" s="6"/>
      <c r="K668" s="6"/>
      <c r="L668" s="6"/>
      <c r="M668" s="6"/>
      <c r="N668" s="6"/>
      <c r="O668" s="6"/>
      <c r="P668" s="6"/>
      <c r="Q668" s="6"/>
      <c r="S668" s="6"/>
    </row>
    <row r="669" spans="6:19" ht="14.25" customHeight="1" x14ac:dyDescent="0.35">
      <c r="F669" s="6"/>
      <c r="G669" s="6"/>
      <c r="H669" s="6"/>
      <c r="I669" s="6"/>
      <c r="J669" s="6"/>
      <c r="K669" s="6"/>
      <c r="L669" s="6"/>
      <c r="M669" s="6"/>
      <c r="N669" s="6"/>
      <c r="O669" s="6"/>
      <c r="P669" s="6"/>
      <c r="Q669" s="6"/>
      <c r="S669" s="6"/>
    </row>
    <row r="670" spans="6:19" ht="14.25" customHeight="1" x14ac:dyDescent="0.35">
      <c r="F670" s="6"/>
      <c r="G670" s="6"/>
      <c r="H670" s="6"/>
      <c r="I670" s="6"/>
      <c r="J670" s="6"/>
      <c r="K670" s="6"/>
      <c r="L670" s="6"/>
      <c r="M670" s="6"/>
      <c r="N670" s="6"/>
      <c r="O670" s="6"/>
      <c r="P670" s="6"/>
      <c r="Q670" s="6"/>
      <c r="S670" s="6"/>
    </row>
    <row r="671" spans="6:19" ht="14.25" customHeight="1" x14ac:dyDescent="0.35">
      <c r="F671" s="6"/>
      <c r="G671" s="6"/>
      <c r="H671" s="6"/>
      <c r="I671" s="6"/>
      <c r="J671" s="6"/>
      <c r="K671" s="6"/>
      <c r="L671" s="6"/>
      <c r="M671" s="6"/>
      <c r="N671" s="6"/>
      <c r="O671" s="6"/>
      <c r="P671" s="6"/>
      <c r="Q671" s="6"/>
      <c r="S671" s="6"/>
    </row>
    <row r="672" spans="6:19" ht="14.25" customHeight="1" x14ac:dyDescent="0.35">
      <c r="F672" s="6"/>
      <c r="G672" s="6"/>
      <c r="H672" s="6"/>
      <c r="I672" s="6"/>
      <c r="J672" s="6"/>
      <c r="K672" s="6"/>
      <c r="L672" s="6"/>
      <c r="M672" s="6"/>
      <c r="N672" s="6"/>
      <c r="O672" s="6"/>
      <c r="P672" s="6"/>
      <c r="Q672" s="6"/>
      <c r="S672" s="6"/>
    </row>
    <row r="673" spans="6:19" ht="14.25" customHeight="1" x14ac:dyDescent="0.35">
      <c r="F673" s="6"/>
      <c r="G673" s="6"/>
      <c r="H673" s="6"/>
      <c r="I673" s="6"/>
      <c r="J673" s="6"/>
      <c r="K673" s="6"/>
      <c r="L673" s="6"/>
      <c r="M673" s="6"/>
      <c r="N673" s="6"/>
      <c r="O673" s="6"/>
      <c r="P673" s="6"/>
      <c r="Q673" s="6"/>
      <c r="S673" s="6"/>
    </row>
    <row r="674" spans="6:19" ht="14.25" customHeight="1" x14ac:dyDescent="0.35">
      <c r="F674" s="6"/>
      <c r="G674" s="6"/>
      <c r="H674" s="6"/>
      <c r="I674" s="6"/>
      <c r="J674" s="6"/>
      <c r="K674" s="6"/>
      <c r="L674" s="6"/>
      <c r="M674" s="6"/>
      <c r="N674" s="6"/>
      <c r="O674" s="6"/>
      <c r="P674" s="6"/>
      <c r="Q674" s="6"/>
      <c r="S674" s="6"/>
    </row>
    <row r="675" spans="6:19" ht="14.25" customHeight="1" x14ac:dyDescent="0.35">
      <c r="F675" s="6"/>
      <c r="G675" s="6"/>
      <c r="H675" s="6"/>
      <c r="I675" s="6"/>
      <c r="J675" s="6"/>
      <c r="K675" s="6"/>
      <c r="L675" s="6"/>
      <c r="M675" s="6"/>
      <c r="N675" s="6"/>
      <c r="O675" s="6"/>
      <c r="P675" s="6"/>
      <c r="Q675" s="6"/>
      <c r="S675" s="6"/>
    </row>
    <row r="676" spans="6:19" ht="14.25" customHeight="1" x14ac:dyDescent="0.35">
      <c r="F676" s="6"/>
      <c r="G676" s="6"/>
      <c r="H676" s="6"/>
      <c r="I676" s="6"/>
      <c r="J676" s="6"/>
      <c r="K676" s="6"/>
      <c r="L676" s="6"/>
      <c r="M676" s="6"/>
      <c r="N676" s="6"/>
      <c r="O676" s="6"/>
      <c r="P676" s="6"/>
      <c r="Q676" s="6"/>
      <c r="S676" s="6"/>
    </row>
    <row r="677" spans="6:19" ht="14.25" customHeight="1" x14ac:dyDescent="0.35">
      <c r="F677" s="6"/>
      <c r="G677" s="6"/>
      <c r="H677" s="6"/>
      <c r="I677" s="6"/>
      <c r="J677" s="6"/>
      <c r="K677" s="6"/>
      <c r="L677" s="6"/>
      <c r="M677" s="6"/>
      <c r="N677" s="6"/>
      <c r="O677" s="6"/>
      <c r="P677" s="6"/>
      <c r="Q677" s="6"/>
      <c r="S677" s="6"/>
    </row>
    <row r="678" spans="6:19" ht="14.25" customHeight="1" x14ac:dyDescent="0.35">
      <c r="F678" s="6"/>
      <c r="G678" s="6"/>
      <c r="H678" s="6"/>
      <c r="I678" s="6"/>
      <c r="J678" s="6"/>
      <c r="K678" s="6"/>
      <c r="L678" s="6"/>
      <c r="M678" s="6"/>
      <c r="N678" s="6"/>
      <c r="O678" s="6"/>
      <c r="P678" s="6"/>
      <c r="Q678" s="6"/>
      <c r="S678" s="6"/>
    </row>
    <row r="679" spans="6:19" ht="14.25" customHeight="1" x14ac:dyDescent="0.35">
      <c r="F679" s="6"/>
      <c r="G679" s="6"/>
      <c r="H679" s="6"/>
      <c r="I679" s="6"/>
      <c r="J679" s="6"/>
      <c r="K679" s="6"/>
      <c r="L679" s="6"/>
      <c r="M679" s="6"/>
      <c r="N679" s="6"/>
      <c r="O679" s="6"/>
      <c r="P679" s="6"/>
      <c r="Q679" s="6"/>
      <c r="S679" s="6"/>
    </row>
    <row r="680" spans="6:19" ht="14.25" customHeight="1" x14ac:dyDescent="0.35">
      <c r="F680" s="6"/>
      <c r="G680" s="6"/>
      <c r="H680" s="6"/>
      <c r="I680" s="6"/>
      <c r="J680" s="6"/>
      <c r="K680" s="6"/>
      <c r="L680" s="6"/>
      <c r="M680" s="6"/>
      <c r="N680" s="6"/>
      <c r="O680" s="6"/>
      <c r="P680" s="6"/>
      <c r="Q680" s="6"/>
      <c r="S680" s="6"/>
    </row>
    <row r="681" spans="6:19" ht="14.25" customHeight="1" x14ac:dyDescent="0.35">
      <c r="F681" s="6"/>
      <c r="G681" s="6"/>
      <c r="H681" s="6"/>
      <c r="I681" s="6"/>
      <c r="J681" s="6"/>
      <c r="K681" s="6"/>
      <c r="L681" s="6"/>
      <c r="M681" s="6"/>
      <c r="N681" s="6"/>
      <c r="O681" s="6"/>
      <c r="P681" s="6"/>
      <c r="Q681" s="6"/>
      <c r="S681" s="6"/>
    </row>
    <row r="682" spans="6:19" ht="14.25" customHeight="1" x14ac:dyDescent="0.35">
      <c r="F682" s="6"/>
      <c r="G682" s="6"/>
      <c r="H682" s="6"/>
      <c r="I682" s="6"/>
      <c r="J682" s="6"/>
      <c r="K682" s="6"/>
      <c r="L682" s="6"/>
      <c r="M682" s="6"/>
      <c r="N682" s="6"/>
      <c r="O682" s="6"/>
      <c r="P682" s="6"/>
      <c r="Q682" s="6"/>
      <c r="S682" s="6"/>
    </row>
    <row r="683" spans="6:19" ht="14.25" customHeight="1" x14ac:dyDescent="0.35">
      <c r="F683" s="6"/>
      <c r="G683" s="6"/>
      <c r="H683" s="6"/>
      <c r="I683" s="6"/>
      <c r="J683" s="6"/>
      <c r="K683" s="6"/>
      <c r="L683" s="6"/>
      <c r="M683" s="6"/>
      <c r="N683" s="6"/>
      <c r="O683" s="6"/>
      <c r="P683" s="6"/>
      <c r="Q683" s="6"/>
      <c r="S683" s="6"/>
    </row>
    <row r="684" spans="6:19" ht="14.25" customHeight="1" x14ac:dyDescent="0.35">
      <c r="F684" s="6"/>
      <c r="G684" s="6"/>
      <c r="H684" s="6"/>
      <c r="I684" s="6"/>
      <c r="J684" s="6"/>
      <c r="K684" s="6"/>
      <c r="L684" s="6"/>
      <c r="M684" s="6"/>
      <c r="N684" s="6"/>
      <c r="O684" s="6"/>
      <c r="P684" s="6"/>
      <c r="Q684" s="6"/>
      <c r="S684" s="6"/>
    </row>
    <row r="685" spans="6:19" ht="14.25" customHeight="1" x14ac:dyDescent="0.35">
      <c r="F685" s="6"/>
      <c r="G685" s="6"/>
      <c r="H685" s="6"/>
      <c r="I685" s="6"/>
      <c r="J685" s="6"/>
      <c r="K685" s="6"/>
      <c r="L685" s="6"/>
      <c r="M685" s="6"/>
      <c r="N685" s="6"/>
      <c r="O685" s="6"/>
      <c r="P685" s="6"/>
      <c r="Q685" s="6"/>
      <c r="S685" s="6"/>
    </row>
    <row r="686" spans="6:19" ht="14.25" customHeight="1" x14ac:dyDescent="0.35">
      <c r="F686" s="6"/>
      <c r="G686" s="6"/>
      <c r="H686" s="6"/>
      <c r="I686" s="6"/>
      <c r="J686" s="6"/>
      <c r="K686" s="6"/>
      <c r="L686" s="6"/>
      <c r="M686" s="6"/>
      <c r="N686" s="6"/>
      <c r="O686" s="6"/>
      <c r="P686" s="6"/>
      <c r="Q686" s="6"/>
      <c r="S686" s="6"/>
    </row>
    <row r="687" spans="6:19" ht="14.25" customHeight="1" x14ac:dyDescent="0.35">
      <c r="F687" s="6"/>
      <c r="G687" s="6"/>
      <c r="H687" s="6"/>
      <c r="I687" s="6"/>
      <c r="J687" s="6"/>
      <c r="K687" s="6"/>
      <c r="L687" s="6"/>
      <c r="M687" s="6"/>
      <c r="N687" s="6"/>
      <c r="O687" s="6"/>
      <c r="P687" s="6"/>
      <c r="Q687" s="6"/>
      <c r="S687" s="6"/>
    </row>
    <row r="688" spans="6:19" ht="14.25" customHeight="1" x14ac:dyDescent="0.35">
      <c r="F688" s="6"/>
      <c r="G688" s="6"/>
      <c r="H688" s="6"/>
      <c r="I688" s="6"/>
      <c r="J688" s="6"/>
      <c r="K688" s="6"/>
      <c r="L688" s="6"/>
      <c r="M688" s="6"/>
      <c r="N688" s="6"/>
      <c r="O688" s="6"/>
      <c r="P688" s="6"/>
      <c r="Q688" s="6"/>
      <c r="S688" s="6"/>
    </row>
    <row r="689" spans="6:19" ht="14.25" customHeight="1" x14ac:dyDescent="0.35">
      <c r="F689" s="6"/>
      <c r="G689" s="6"/>
      <c r="H689" s="6"/>
      <c r="I689" s="6"/>
      <c r="J689" s="6"/>
      <c r="K689" s="6"/>
      <c r="L689" s="6"/>
      <c r="M689" s="6"/>
      <c r="N689" s="6"/>
      <c r="O689" s="6"/>
      <c r="P689" s="6"/>
      <c r="Q689" s="6"/>
      <c r="S689" s="6"/>
    </row>
    <row r="690" spans="6:19" ht="14.25" customHeight="1" x14ac:dyDescent="0.35">
      <c r="F690" s="6"/>
      <c r="G690" s="6"/>
      <c r="H690" s="6"/>
      <c r="I690" s="6"/>
      <c r="J690" s="6"/>
      <c r="K690" s="6"/>
      <c r="L690" s="6"/>
      <c r="M690" s="6"/>
      <c r="N690" s="6"/>
      <c r="O690" s="6"/>
      <c r="P690" s="6"/>
      <c r="Q690" s="6"/>
      <c r="S690" s="6"/>
    </row>
    <row r="691" spans="6:19" ht="14.25" customHeight="1" x14ac:dyDescent="0.35">
      <c r="F691" s="6"/>
      <c r="G691" s="6"/>
      <c r="H691" s="6"/>
      <c r="I691" s="6"/>
      <c r="J691" s="6"/>
      <c r="K691" s="6"/>
      <c r="L691" s="6"/>
      <c r="M691" s="6"/>
      <c r="N691" s="6"/>
      <c r="O691" s="6"/>
      <c r="P691" s="6"/>
      <c r="Q691" s="6"/>
      <c r="S691" s="6"/>
    </row>
    <row r="692" spans="6:19" ht="14.25" customHeight="1" x14ac:dyDescent="0.35">
      <c r="F692" s="6"/>
      <c r="G692" s="6"/>
      <c r="H692" s="6"/>
      <c r="I692" s="6"/>
      <c r="J692" s="6"/>
      <c r="K692" s="6"/>
      <c r="L692" s="6"/>
      <c r="M692" s="6"/>
      <c r="N692" s="6"/>
      <c r="O692" s="6"/>
      <c r="P692" s="6"/>
      <c r="Q692" s="6"/>
      <c r="S692" s="6"/>
    </row>
    <row r="693" spans="6:19" ht="14.25" customHeight="1" x14ac:dyDescent="0.35">
      <c r="F693" s="6"/>
      <c r="G693" s="6"/>
      <c r="H693" s="6"/>
      <c r="I693" s="6"/>
      <c r="J693" s="6"/>
      <c r="K693" s="6"/>
      <c r="L693" s="6"/>
      <c r="M693" s="6"/>
      <c r="N693" s="6"/>
      <c r="O693" s="6"/>
      <c r="P693" s="6"/>
      <c r="Q693" s="6"/>
      <c r="S693" s="6"/>
    </row>
    <row r="694" spans="6:19" ht="14.25" customHeight="1" x14ac:dyDescent="0.35">
      <c r="F694" s="6"/>
      <c r="G694" s="6"/>
      <c r="H694" s="6"/>
      <c r="I694" s="6"/>
      <c r="J694" s="6"/>
      <c r="K694" s="6"/>
      <c r="L694" s="6"/>
      <c r="M694" s="6"/>
      <c r="N694" s="6"/>
      <c r="O694" s="6"/>
      <c r="P694" s="6"/>
      <c r="Q694" s="6"/>
      <c r="S694" s="6"/>
    </row>
    <row r="695" spans="6:19" ht="14.25" customHeight="1" x14ac:dyDescent="0.35">
      <c r="F695" s="6"/>
      <c r="G695" s="6"/>
      <c r="H695" s="6"/>
      <c r="I695" s="6"/>
      <c r="J695" s="6"/>
      <c r="K695" s="6"/>
      <c r="L695" s="6"/>
      <c r="M695" s="6"/>
      <c r="N695" s="6"/>
      <c r="O695" s="6"/>
      <c r="P695" s="6"/>
      <c r="Q695" s="6"/>
      <c r="S695" s="6"/>
    </row>
    <row r="696" spans="6:19" ht="14.25" customHeight="1" x14ac:dyDescent="0.35">
      <c r="F696" s="6"/>
      <c r="G696" s="6"/>
      <c r="H696" s="6"/>
      <c r="I696" s="6"/>
      <c r="J696" s="6"/>
      <c r="K696" s="6"/>
      <c r="L696" s="6"/>
      <c r="M696" s="6"/>
      <c r="N696" s="6"/>
      <c r="O696" s="6"/>
      <c r="P696" s="6"/>
      <c r="Q696" s="6"/>
      <c r="S696" s="6"/>
    </row>
    <row r="697" spans="6:19" ht="14.25" customHeight="1" x14ac:dyDescent="0.35">
      <c r="F697" s="6"/>
      <c r="G697" s="6"/>
      <c r="H697" s="6"/>
      <c r="I697" s="6"/>
      <c r="J697" s="6"/>
      <c r="K697" s="6"/>
      <c r="L697" s="6"/>
      <c r="M697" s="6"/>
      <c r="N697" s="6"/>
      <c r="O697" s="6"/>
      <c r="P697" s="6"/>
      <c r="Q697" s="6"/>
      <c r="S697" s="6"/>
    </row>
    <row r="698" spans="6:19" ht="14.25" customHeight="1" x14ac:dyDescent="0.35">
      <c r="F698" s="6"/>
      <c r="G698" s="6"/>
      <c r="H698" s="6"/>
      <c r="I698" s="6"/>
      <c r="J698" s="6"/>
      <c r="K698" s="6"/>
      <c r="L698" s="6"/>
      <c r="M698" s="6"/>
      <c r="N698" s="6"/>
      <c r="O698" s="6"/>
      <c r="P698" s="6"/>
      <c r="Q698" s="6"/>
      <c r="S698" s="6"/>
    </row>
    <row r="699" spans="6:19" ht="14.25" customHeight="1" x14ac:dyDescent="0.35">
      <c r="F699" s="6"/>
      <c r="G699" s="6"/>
      <c r="H699" s="6"/>
      <c r="I699" s="6"/>
      <c r="J699" s="6"/>
      <c r="K699" s="6"/>
      <c r="L699" s="6"/>
      <c r="M699" s="6"/>
      <c r="N699" s="6"/>
      <c r="O699" s="6"/>
      <c r="P699" s="6"/>
      <c r="Q699" s="6"/>
      <c r="S699" s="6"/>
    </row>
    <row r="700" spans="6:19" ht="14.25" customHeight="1" x14ac:dyDescent="0.35">
      <c r="F700" s="6"/>
      <c r="G700" s="6"/>
      <c r="H700" s="6"/>
      <c r="I700" s="6"/>
      <c r="J700" s="6"/>
      <c r="K700" s="6"/>
      <c r="L700" s="6"/>
      <c r="M700" s="6"/>
      <c r="N700" s="6"/>
      <c r="O700" s="6"/>
      <c r="P700" s="6"/>
      <c r="Q700" s="6"/>
      <c r="S700" s="6"/>
    </row>
    <row r="701" spans="6:19" ht="14.25" customHeight="1" x14ac:dyDescent="0.35">
      <c r="F701" s="6"/>
      <c r="G701" s="6"/>
      <c r="H701" s="6"/>
      <c r="I701" s="6"/>
      <c r="J701" s="6"/>
      <c r="K701" s="6"/>
      <c r="L701" s="6"/>
      <c r="M701" s="6"/>
      <c r="N701" s="6"/>
      <c r="O701" s="6"/>
      <c r="P701" s="6"/>
      <c r="Q701" s="6"/>
      <c r="S701" s="6"/>
    </row>
    <row r="702" spans="6:19" ht="14.25" customHeight="1" x14ac:dyDescent="0.35">
      <c r="F702" s="6"/>
      <c r="G702" s="6"/>
      <c r="H702" s="6"/>
      <c r="I702" s="6"/>
      <c r="J702" s="6"/>
      <c r="K702" s="6"/>
      <c r="L702" s="6"/>
      <c r="M702" s="6"/>
      <c r="N702" s="6"/>
      <c r="O702" s="6"/>
      <c r="P702" s="6"/>
      <c r="Q702" s="6"/>
      <c r="S702" s="6"/>
    </row>
    <row r="703" spans="6:19" ht="14.25" customHeight="1" x14ac:dyDescent="0.35">
      <c r="F703" s="6"/>
      <c r="G703" s="6"/>
      <c r="H703" s="6"/>
      <c r="I703" s="6"/>
      <c r="J703" s="6"/>
      <c r="K703" s="6"/>
      <c r="L703" s="6"/>
      <c r="M703" s="6"/>
      <c r="N703" s="6"/>
      <c r="O703" s="6"/>
      <c r="P703" s="6"/>
      <c r="Q703" s="6"/>
      <c r="S703" s="6"/>
    </row>
    <row r="704" spans="6:19" ht="14.25" customHeight="1" x14ac:dyDescent="0.35">
      <c r="F704" s="6"/>
      <c r="G704" s="6"/>
      <c r="H704" s="6"/>
      <c r="I704" s="6"/>
      <c r="J704" s="6"/>
      <c r="K704" s="6"/>
      <c r="L704" s="6"/>
      <c r="M704" s="6"/>
      <c r="N704" s="6"/>
      <c r="O704" s="6"/>
      <c r="P704" s="6"/>
      <c r="Q704" s="6"/>
      <c r="S704" s="6"/>
    </row>
    <row r="705" spans="6:19" ht="14.25" customHeight="1" x14ac:dyDescent="0.35">
      <c r="F705" s="6"/>
      <c r="G705" s="6"/>
      <c r="H705" s="6"/>
      <c r="I705" s="6"/>
      <c r="J705" s="6"/>
      <c r="K705" s="6"/>
      <c r="L705" s="6"/>
      <c r="M705" s="6"/>
      <c r="N705" s="6"/>
      <c r="O705" s="6"/>
      <c r="P705" s="6"/>
      <c r="Q705" s="6"/>
      <c r="S705" s="6"/>
    </row>
    <row r="706" spans="6:19" ht="14.25" customHeight="1" x14ac:dyDescent="0.35">
      <c r="F706" s="6"/>
      <c r="G706" s="6"/>
      <c r="H706" s="6"/>
      <c r="I706" s="6"/>
      <c r="J706" s="6"/>
      <c r="K706" s="6"/>
      <c r="L706" s="6"/>
      <c r="M706" s="6"/>
      <c r="N706" s="6"/>
      <c r="O706" s="6"/>
      <c r="P706" s="6"/>
      <c r="Q706" s="6"/>
      <c r="S706" s="6"/>
    </row>
    <row r="707" spans="6:19" ht="14.25" customHeight="1" x14ac:dyDescent="0.35">
      <c r="F707" s="6"/>
      <c r="G707" s="6"/>
      <c r="H707" s="6"/>
      <c r="I707" s="6"/>
      <c r="J707" s="6"/>
      <c r="K707" s="6"/>
      <c r="L707" s="6"/>
      <c r="M707" s="6"/>
      <c r="N707" s="6"/>
      <c r="O707" s="6"/>
      <c r="P707" s="6"/>
      <c r="Q707" s="6"/>
      <c r="S707" s="6"/>
    </row>
    <row r="708" spans="6:19" ht="14.25" customHeight="1" x14ac:dyDescent="0.35">
      <c r="F708" s="6"/>
      <c r="G708" s="6"/>
      <c r="H708" s="6"/>
      <c r="I708" s="6"/>
      <c r="J708" s="6"/>
      <c r="K708" s="6"/>
      <c r="L708" s="6"/>
      <c r="M708" s="6"/>
      <c r="N708" s="6"/>
      <c r="O708" s="6"/>
      <c r="P708" s="6"/>
      <c r="Q708" s="6"/>
      <c r="S708" s="6"/>
    </row>
    <row r="709" spans="6:19" ht="14.25" customHeight="1" x14ac:dyDescent="0.35">
      <c r="F709" s="6"/>
      <c r="G709" s="6"/>
      <c r="H709" s="6"/>
      <c r="I709" s="6"/>
      <c r="J709" s="6"/>
      <c r="K709" s="6"/>
      <c r="L709" s="6"/>
      <c r="M709" s="6"/>
      <c r="N709" s="6"/>
      <c r="O709" s="6"/>
      <c r="P709" s="6"/>
      <c r="Q709" s="6"/>
      <c r="S709" s="6"/>
    </row>
    <row r="710" spans="6:19" ht="14.25" customHeight="1" x14ac:dyDescent="0.35">
      <c r="F710" s="6"/>
      <c r="G710" s="6"/>
      <c r="H710" s="6"/>
      <c r="I710" s="6"/>
      <c r="J710" s="6"/>
      <c r="K710" s="6"/>
      <c r="L710" s="6"/>
      <c r="M710" s="6"/>
      <c r="N710" s="6"/>
      <c r="O710" s="6"/>
      <c r="P710" s="6"/>
      <c r="Q710" s="6"/>
      <c r="S710" s="6"/>
    </row>
    <row r="711" spans="6:19" ht="14.25" customHeight="1" x14ac:dyDescent="0.35">
      <c r="F711" s="6"/>
      <c r="G711" s="6"/>
      <c r="H711" s="6"/>
      <c r="I711" s="6"/>
      <c r="J711" s="6"/>
      <c r="K711" s="6"/>
      <c r="L711" s="6"/>
      <c r="M711" s="6"/>
      <c r="N711" s="6"/>
      <c r="O711" s="6"/>
      <c r="P711" s="6"/>
      <c r="Q711" s="6"/>
      <c r="S711" s="6"/>
    </row>
    <row r="712" spans="6:19" ht="14.25" customHeight="1" x14ac:dyDescent="0.35">
      <c r="F712" s="6"/>
      <c r="G712" s="6"/>
      <c r="H712" s="6"/>
      <c r="I712" s="6"/>
      <c r="J712" s="6"/>
      <c r="K712" s="6"/>
      <c r="L712" s="6"/>
      <c r="M712" s="6"/>
      <c r="N712" s="6"/>
      <c r="O712" s="6"/>
      <c r="P712" s="6"/>
      <c r="Q712" s="6"/>
      <c r="S712" s="6"/>
    </row>
    <row r="713" spans="6:19" ht="14.25" customHeight="1" x14ac:dyDescent="0.35">
      <c r="F713" s="6"/>
      <c r="G713" s="6"/>
      <c r="H713" s="6"/>
      <c r="I713" s="6"/>
      <c r="J713" s="6"/>
      <c r="K713" s="6"/>
      <c r="L713" s="6"/>
      <c r="M713" s="6"/>
      <c r="N713" s="6"/>
      <c r="O713" s="6"/>
      <c r="P713" s="6"/>
      <c r="Q713" s="6"/>
      <c r="S713" s="6"/>
    </row>
    <row r="714" spans="6:19" ht="14.25" customHeight="1" x14ac:dyDescent="0.35">
      <c r="F714" s="6"/>
      <c r="G714" s="6"/>
      <c r="H714" s="6"/>
      <c r="I714" s="6"/>
      <c r="J714" s="6"/>
      <c r="K714" s="6"/>
      <c r="L714" s="6"/>
      <c r="M714" s="6"/>
      <c r="N714" s="6"/>
      <c r="O714" s="6"/>
      <c r="P714" s="6"/>
      <c r="Q714" s="6"/>
      <c r="S714" s="6"/>
    </row>
    <row r="715" spans="6:19" ht="14.25" customHeight="1" x14ac:dyDescent="0.35">
      <c r="F715" s="6"/>
      <c r="G715" s="6"/>
      <c r="H715" s="6"/>
      <c r="I715" s="6"/>
      <c r="J715" s="6"/>
      <c r="K715" s="6"/>
      <c r="L715" s="6"/>
      <c r="M715" s="6"/>
      <c r="N715" s="6"/>
      <c r="O715" s="6"/>
      <c r="P715" s="6"/>
      <c r="Q715" s="6"/>
      <c r="S715" s="6"/>
    </row>
    <row r="716" spans="6:19" ht="14.25" customHeight="1" x14ac:dyDescent="0.35">
      <c r="F716" s="6"/>
      <c r="G716" s="6"/>
      <c r="H716" s="6"/>
      <c r="I716" s="6"/>
      <c r="J716" s="6"/>
      <c r="K716" s="6"/>
      <c r="L716" s="6"/>
      <c r="M716" s="6"/>
      <c r="N716" s="6"/>
      <c r="O716" s="6"/>
      <c r="P716" s="6"/>
      <c r="Q716" s="6"/>
      <c r="S716" s="6"/>
    </row>
    <row r="717" spans="6:19" ht="14.25" customHeight="1" x14ac:dyDescent="0.35">
      <c r="F717" s="6"/>
      <c r="G717" s="6"/>
      <c r="H717" s="6"/>
      <c r="I717" s="6"/>
      <c r="J717" s="6"/>
      <c r="K717" s="6"/>
      <c r="L717" s="6"/>
      <c r="M717" s="6"/>
      <c r="N717" s="6"/>
      <c r="O717" s="6"/>
      <c r="P717" s="6"/>
      <c r="Q717" s="6"/>
      <c r="S717" s="6"/>
    </row>
    <row r="718" spans="6:19" ht="14.25" customHeight="1" x14ac:dyDescent="0.35">
      <c r="F718" s="6"/>
      <c r="G718" s="6"/>
      <c r="H718" s="6"/>
      <c r="I718" s="6"/>
      <c r="J718" s="6"/>
      <c r="K718" s="6"/>
      <c r="L718" s="6"/>
      <c r="M718" s="6"/>
      <c r="N718" s="6"/>
      <c r="O718" s="6"/>
      <c r="P718" s="6"/>
      <c r="Q718" s="6"/>
      <c r="S718" s="6"/>
    </row>
    <row r="719" spans="6:19" ht="14.25" customHeight="1" x14ac:dyDescent="0.35">
      <c r="F719" s="6"/>
      <c r="G719" s="6"/>
      <c r="H719" s="6"/>
      <c r="I719" s="6"/>
      <c r="J719" s="6"/>
      <c r="K719" s="6"/>
      <c r="L719" s="6"/>
      <c r="M719" s="6"/>
      <c r="N719" s="6"/>
      <c r="O719" s="6"/>
      <c r="P719" s="6"/>
      <c r="Q719" s="6"/>
      <c r="S719" s="6"/>
    </row>
    <row r="720" spans="6:19" ht="14.25" customHeight="1" x14ac:dyDescent="0.35">
      <c r="F720" s="6"/>
      <c r="G720" s="6"/>
      <c r="H720" s="6"/>
      <c r="I720" s="6"/>
      <c r="J720" s="6"/>
      <c r="K720" s="6"/>
      <c r="L720" s="6"/>
      <c r="M720" s="6"/>
      <c r="N720" s="6"/>
      <c r="O720" s="6"/>
      <c r="P720" s="6"/>
      <c r="Q720" s="6"/>
      <c r="S720" s="6"/>
    </row>
    <row r="721" spans="6:19" ht="14.25" customHeight="1" x14ac:dyDescent="0.35">
      <c r="F721" s="6"/>
      <c r="G721" s="6"/>
      <c r="H721" s="6"/>
      <c r="I721" s="6"/>
      <c r="J721" s="6"/>
      <c r="K721" s="6"/>
      <c r="L721" s="6"/>
      <c r="M721" s="6"/>
      <c r="N721" s="6"/>
      <c r="O721" s="6"/>
      <c r="P721" s="6"/>
      <c r="Q721" s="6"/>
      <c r="S721" s="6"/>
    </row>
    <row r="722" spans="6:19" ht="14.25" customHeight="1" x14ac:dyDescent="0.35">
      <c r="F722" s="6"/>
      <c r="G722" s="6"/>
      <c r="H722" s="6"/>
      <c r="I722" s="6"/>
      <c r="J722" s="6"/>
      <c r="K722" s="6"/>
      <c r="L722" s="6"/>
      <c r="M722" s="6"/>
      <c r="N722" s="6"/>
      <c r="O722" s="6"/>
      <c r="P722" s="6"/>
      <c r="Q722" s="6"/>
      <c r="S722" s="6"/>
    </row>
    <row r="723" spans="6:19" ht="14.25" customHeight="1" x14ac:dyDescent="0.35">
      <c r="F723" s="6"/>
      <c r="G723" s="6"/>
      <c r="H723" s="6"/>
      <c r="I723" s="6"/>
      <c r="J723" s="6"/>
      <c r="K723" s="6"/>
      <c r="L723" s="6"/>
      <c r="M723" s="6"/>
      <c r="N723" s="6"/>
      <c r="O723" s="6"/>
      <c r="P723" s="6"/>
      <c r="Q723" s="6"/>
      <c r="S723" s="6"/>
    </row>
    <row r="724" spans="6:19" ht="14.25" customHeight="1" x14ac:dyDescent="0.35">
      <c r="F724" s="6"/>
      <c r="G724" s="6"/>
      <c r="H724" s="6"/>
      <c r="I724" s="6"/>
      <c r="J724" s="6"/>
      <c r="K724" s="6"/>
      <c r="L724" s="6"/>
      <c r="M724" s="6"/>
      <c r="N724" s="6"/>
      <c r="O724" s="6"/>
      <c r="P724" s="6"/>
      <c r="Q724" s="6"/>
      <c r="S724" s="6"/>
    </row>
    <row r="725" spans="6:19" ht="14.25" customHeight="1" x14ac:dyDescent="0.35">
      <c r="F725" s="6"/>
      <c r="G725" s="6"/>
      <c r="H725" s="6"/>
      <c r="I725" s="6"/>
      <c r="J725" s="6"/>
      <c r="K725" s="6"/>
      <c r="L725" s="6"/>
      <c r="M725" s="6"/>
      <c r="N725" s="6"/>
      <c r="O725" s="6"/>
      <c r="P725" s="6"/>
      <c r="Q725" s="6"/>
      <c r="S725" s="6"/>
    </row>
    <row r="726" spans="6:19" ht="14.25" customHeight="1" x14ac:dyDescent="0.35">
      <c r="F726" s="6"/>
      <c r="G726" s="6"/>
      <c r="H726" s="6"/>
      <c r="I726" s="6"/>
      <c r="J726" s="6"/>
      <c r="K726" s="6"/>
      <c r="L726" s="6"/>
      <c r="M726" s="6"/>
      <c r="N726" s="6"/>
      <c r="O726" s="6"/>
      <c r="P726" s="6"/>
      <c r="Q726" s="6"/>
      <c r="S726" s="6"/>
    </row>
    <row r="727" spans="6:19" ht="14.25" customHeight="1" x14ac:dyDescent="0.35">
      <c r="F727" s="6"/>
      <c r="G727" s="6"/>
      <c r="H727" s="6"/>
      <c r="I727" s="6"/>
      <c r="J727" s="6"/>
      <c r="K727" s="6"/>
      <c r="L727" s="6"/>
      <c r="M727" s="6"/>
      <c r="N727" s="6"/>
      <c r="O727" s="6"/>
      <c r="P727" s="6"/>
      <c r="Q727" s="6"/>
      <c r="S727" s="6"/>
    </row>
    <row r="728" spans="6:19" ht="14.25" customHeight="1" x14ac:dyDescent="0.35">
      <c r="F728" s="6"/>
      <c r="G728" s="6"/>
      <c r="H728" s="6"/>
      <c r="I728" s="6"/>
      <c r="J728" s="6"/>
      <c r="K728" s="6"/>
      <c r="L728" s="6"/>
      <c r="M728" s="6"/>
      <c r="N728" s="6"/>
      <c r="O728" s="6"/>
      <c r="P728" s="6"/>
      <c r="Q728" s="6"/>
      <c r="S728" s="6"/>
    </row>
    <row r="729" spans="6:19" ht="14.25" customHeight="1" x14ac:dyDescent="0.35">
      <c r="F729" s="6"/>
      <c r="G729" s="6"/>
      <c r="H729" s="6"/>
      <c r="I729" s="6"/>
      <c r="J729" s="6"/>
      <c r="K729" s="6"/>
      <c r="L729" s="6"/>
      <c r="M729" s="6"/>
      <c r="N729" s="6"/>
      <c r="O729" s="6"/>
      <c r="P729" s="6"/>
      <c r="Q729" s="6"/>
      <c r="S729" s="6"/>
    </row>
    <row r="730" spans="6:19" ht="14.25" customHeight="1" x14ac:dyDescent="0.35">
      <c r="F730" s="6"/>
      <c r="G730" s="6"/>
      <c r="H730" s="6"/>
      <c r="I730" s="6"/>
      <c r="J730" s="6"/>
      <c r="K730" s="6"/>
      <c r="L730" s="6"/>
      <c r="M730" s="6"/>
      <c r="N730" s="6"/>
      <c r="O730" s="6"/>
      <c r="P730" s="6"/>
      <c r="Q730" s="6"/>
      <c r="S730" s="6"/>
    </row>
    <row r="731" spans="6:19" ht="14.25" customHeight="1" x14ac:dyDescent="0.35">
      <c r="F731" s="6"/>
      <c r="G731" s="6"/>
      <c r="H731" s="6"/>
      <c r="I731" s="6"/>
      <c r="J731" s="6"/>
      <c r="K731" s="6"/>
      <c r="L731" s="6"/>
      <c r="M731" s="6"/>
      <c r="N731" s="6"/>
      <c r="O731" s="6"/>
      <c r="P731" s="6"/>
      <c r="Q731" s="6"/>
      <c r="S731" s="6"/>
    </row>
    <row r="732" spans="6:19" ht="14.25" customHeight="1" x14ac:dyDescent="0.35">
      <c r="F732" s="6"/>
      <c r="G732" s="6"/>
      <c r="H732" s="6"/>
      <c r="I732" s="6"/>
      <c r="J732" s="6"/>
      <c r="K732" s="6"/>
      <c r="L732" s="6"/>
      <c r="M732" s="6"/>
      <c r="N732" s="6"/>
      <c r="O732" s="6"/>
      <c r="P732" s="6"/>
      <c r="Q732" s="6"/>
      <c r="S732" s="6"/>
    </row>
    <row r="733" spans="6:19" ht="14.25" customHeight="1" x14ac:dyDescent="0.35">
      <c r="F733" s="6"/>
      <c r="G733" s="6"/>
      <c r="H733" s="6"/>
      <c r="I733" s="6"/>
      <c r="J733" s="6"/>
      <c r="K733" s="6"/>
      <c r="L733" s="6"/>
      <c r="M733" s="6"/>
      <c r="N733" s="6"/>
      <c r="O733" s="6"/>
      <c r="P733" s="6"/>
      <c r="Q733" s="6"/>
      <c r="S733" s="6"/>
    </row>
    <row r="734" spans="6:19" ht="14.25" customHeight="1" x14ac:dyDescent="0.35">
      <c r="F734" s="6"/>
      <c r="G734" s="6"/>
      <c r="H734" s="6"/>
      <c r="I734" s="6"/>
      <c r="J734" s="6"/>
      <c r="K734" s="6"/>
      <c r="L734" s="6"/>
      <c r="M734" s="6"/>
      <c r="N734" s="6"/>
      <c r="O734" s="6"/>
      <c r="P734" s="6"/>
      <c r="Q734" s="6"/>
      <c r="S734" s="6"/>
    </row>
    <row r="735" spans="6:19" ht="14.25" customHeight="1" x14ac:dyDescent="0.35">
      <c r="F735" s="6"/>
      <c r="G735" s="6"/>
      <c r="H735" s="6"/>
      <c r="I735" s="6"/>
      <c r="J735" s="6"/>
      <c r="K735" s="6"/>
      <c r="L735" s="6"/>
      <c r="M735" s="6"/>
      <c r="N735" s="6"/>
      <c r="O735" s="6"/>
      <c r="P735" s="6"/>
      <c r="Q735" s="6"/>
      <c r="S735" s="6"/>
    </row>
    <row r="736" spans="6:19" ht="14.25" customHeight="1" x14ac:dyDescent="0.35">
      <c r="F736" s="6"/>
      <c r="G736" s="6"/>
      <c r="H736" s="6"/>
      <c r="I736" s="6"/>
      <c r="J736" s="6"/>
      <c r="K736" s="6"/>
      <c r="L736" s="6"/>
      <c r="M736" s="6"/>
      <c r="N736" s="6"/>
      <c r="O736" s="6"/>
      <c r="P736" s="6"/>
      <c r="Q736" s="6"/>
      <c r="S736" s="6"/>
    </row>
    <row r="737" spans="6:19" ht="14.25" customHeight="1" x14ac:dyDescent="0.35">
      <c r="F737" s="6"/>
      <c r="G737" s="6"/>
      <c r="H737" s="6"/>
      <c r="I737" s="6"/>
      <c r="J737" s="6"/>
      <c r="K737" s="6"/>
      <c r="L737" s="6"/>
      <c r="M737" s="6"/>
      <c r="N737" s="6"/>
      <c r="O737" s="6"/>
      <c r="P737" s="6"/>
      <c r="Q737" s="6"/>
      <c r="S737" s="6"/>
    </row>
    <row r="738" spans="6:19" ht="14.25" customHeight="1" x14ac:dyDescent="0.35">
      <c r="F738" s="6"/>
      <c r="G738" s="6"/>
      <c r="H738" s="6"/>
      <c r="I738" s="6"/>
      <c r="J738" s="6"/>
      <c r="K738" s="6"/>
      <c r="L738" s="6"/>
      <c r="M738" s="6"/>
      <c r="N738" s="6"/>
      <c r="O738" s="6"/>
      <c r="P738" s="6"/>
      <c r="Q738" s="6"/>
      <c r="S738" s="6"/>
    </row>
    <row r="739" spans="6:19" ht="14.25" customHeight="1" x14ac:dyDescent="0.35">
      <c r="F739" s="6"/>
      <c r="G739" s="6"/>
      <c r="H739" s="6"/>
      <c r="I739" s="6"/>
      <c r="J739" s="6"/>
      <c r="K739" s="6"/>
      <c r="L739" s="6"/>
      <c r="M739" s="6"/>
      <c r="N739" s="6"/>
      <c r="O739" s="6"/>
      <c r="P739" s="6"/>
      <c r="Q739" s="6"/>
      <c r="S739" s="6"/>
    </row>
    <row r="740" spans="6:19" ht="14.25" customHeight="1" x14ac:dyDescent="0.35">
      <c r="F740" s="6"/>
      <c r="G740" s="6"/>
      <c r="H740" s="6"/>
      <c r="I740" s="6"/>
      <c r="J740" s="6"/>
      <c r="K740" s="6"/>
      <c r="L740" s="6"/>
      <c r="M740" s="6"/>
      <c r="N740" s="6"/>
      <c r="O740" s="6"/>
      <c r="P740" s="6"/>
      <c r="Q740" s="6"/>
      <c r="S740" s="6"/>
    </row>
    <row r="741" spans="6:19" ht="14.25" customHeight="1" x14ac:dyDescent="0.35">
      <c r="F741" s="6"/>
      <c r="G741" s="6"/>
      <c r="H741" s="6"/>
      <c r="I741" s="6"/>
      <c r="J741" s="6"/>
      <c r="K741" s="6"/>
      <c r="L741" s="6"/>
      <c r="M741" s="6"/>
      <c r="N741" s="6"/>
      <c r="O741" s="6"/>
      <c r="P741" s="6"/>
      <c r="Q741" s="6"/>
      <c r="S741" s="6"/>
    </row>
    <row r="742" spans="6:19" ht="14.25" customHeight="1" x14ac:dyDescent="0.35">
      <c r="F742" s="6"/>
      <c r="G742" s="6"/>
      <c r="H742" s="6"/>
      <c r="I742" s="6"/>
      <c r="J742" s="6"/>
      <c r="K742" s="6"/>
      <c r="L742" s="6"/>
      <c r="M742" s="6"/>
      <c r="N742" s="6"/>
      <c r="O742" s="6"/>
      <c r="P742" s="6"/>
      <c r="Q742" s="6"/>
      <c r="S742" s="6"/>
    </row>
    <row r="743" spans="6:19" ht="14.25" customHeight="1" x14ac:dyDescent="0.35">
      <c r="F743" s="6"/>
      <c r="G743" s="6"/>
      <c r="H743" s="6"/>
      <c r="I743" s="6"/>
      <c r="J743" s="6"/>
      <c r="K743" s="6"/>
      <c r="L743" s="6"/>
      <c r="M743" s="6"/>
      <c r="N743" s="6"/>
      <c r="O743" s="6"/>
      <c r="P743" s="6"/>
      <c r="Q743" s="6"/>
      <c r="S743" s="6"/>
    </row>
    <row r="744" spans="6:19" ht="14.25" customHeight="1" x14ac:dyDescent="0.35">
      <c r="F744" s="6"/>
      <c r="G744" s="6"/>
      <c r="H744" s="6"/>
      <c r="I744" s="6"/>
      <c r="J744" s="6"/>
      <c r="K744" s="6"/>
      <c r="L744" s="6"/>
      <c r="M744" s="6"/>
      <c r="N744" s="6"/>
      <c r="O744" s="6"/>
      <c r="P744" s="6"/>
      <c r="Q744" s="6"/>
      <c r="S744" s="6"/>
    </row>
    <row r="745" spans="6:19" ht="14.25" customHeight="1" x14ac:dyDescent="0.35">
      <c r="F745" s="6"/>
      <c r="G745" s="6"/>
      <c r="H745" s="6"/>
      <c r="I745" s="6"/>
      <c r="J745" s="6"/>
      <c r="K745" s="6"/>
      <c r="L745" s="6"/>
      <c r="M745" s="6"/>
      <c r="N745" s="6"/>
      <c r="O745" s="6"/>
      <c r="P745" s="6"/>
      <c r="Q745" s="6"/>
      <c r="S745" s="6"/>
    </row>
    <row r="746" spans="6:19" ht="14.25" customHeight="1" x14ac:dyDescent="0.35">
      <c r="F746" s="6"/>
      <c r="G746" s="6"/>
      <c r="H746" s="6"/>
      <c r="I746" s="6"/>
      <c r="J746" s="6"/>
      <c r="K746" s="6"/>
      <c r="L746" s="6"/>
      <c r="M746" s="6"/>
      <c r="N746" s="6"/>
      <c r="O746" s="6"/>
      <c r="P746" s="6"/>
      <c r="Q746" s="6"/>
      <c r="S746" s="6"/>
    </row>
    <row r="747" spans="6:19" ht="14.25" customHeight="1" x14ac:dyDescent="0.35">
      <c r="F747" s="6"/>
      <c r="G747" s="6"/>
      <c r="H747" s="6"/>
      <c r="I747" s="6"/>
      <c r="J747" s="6"/>
      <c r="K747" s="6"/>
      <c r="L747" s="6"/>
      <c r="M747" s="6"/>
      <c r="N747" s="6"/>
      <c r="O747" s="6"/>
      <c r="P747" s="6"/>
      <c r="Q747" s="6"/>
      <c r="S747" s="6"/>
    </row>
    <row r="748" spans="6:19" ht="14.25" customHeight="1" x14ac:dyDescent="0.35">
      <c r="F748" s="6"/>
      <c r="G748" s="6"/>
      <c r="H748" s="6"/>
      <c r="I748" s="6"/>
      <c r="J748" s="6"/>
      <c r="K748" s="6"/>
      <c r="L748" s="6"/>
      <c r="M748" s="6"/>
      <c r="N748" s="6"/>
      <c r="O748" s="6"/>
      <c r="P748" s="6"/>
      <c r="Q748" s="6"/>
      <c r="S748" s="6"/>
    </row>
    <row r="749" spans="6:19" ht="14.25" customHeight="1" x14ac:dyDescent="0.35">
      <c r="F749" s="6"/>
      <c r="G749" s="6"/>
      <c r="H749" s="6"/>
      <c r="I749" s="6"/>
      <c r="J749" s="6"/>
      <c r="K749" s="6"/>
      <c r="L749" s="6"/>
      <c r="M749" s="6"/>
      <c r="N749" s="6"/>
      <c r="O749" s="6"/>
      <c r="P749" s="6"/>
      <c r="Q749" s="6"/>
      <c r="S749" s="6"/>
    </row>
    <row r="750" spans="6:19" ht="14.25" customHeight="1" x14ac:dyDescent="0.35">
      <c r="F750" s="6"/>
      <c r="G750" s="6"/>
      <c r="H750" s="6"/>
      <c r="I750" s="6"/>
      <c r="J750" s="6"/>
      <c r="K750" s="6"/>
      <c r="L750" s="6"/>
      <c r="M750" s="6"/>
      <c r="N750" s="6"/>
      <c r="O750" s="6"/>
      <c r="P750" s="6"/>
      <c r="Q750" s="6"/>
      <c r="S750" s="6"/>
    </row>
    <row r="751" spans="6:19" ht="14.25" customHeight="1" x14ac:dyDescent="0.35">
      <c r="F751" s="6"/>
      <c r="G751" s="6"/>
      <c r="H751" s="6"/>
      <c r="I751" s="6"/>
      <c r="J751" s="6"/>
      <c r="K751" s="6"/>
      <c r="L751" s="6"/>
      <c r="M751" s="6"/>
      <c r="N751" s="6"/>
      <c r="O751" s="6"/>
      <c r="P751" s="6"/>
      <c r="Q751" s="6"/>
      <c r="S751" s="6"/>
    </row>
    <row r="752" spans="6:19" ht="14.25" customHeight="1" x14ac:dyDescent="0.35">
      <c r="F752" s="6"/>
      <c r="G752" s="6"/>
      <c r="H752" s="6"/>
      <c r="I752" s="6"/>
      <c r="J752" s="6"/>
      <c r="K752" s="6"/>
      <c r="L752" s="6"/>
      <c r="M752" s="6"/>
      <c r="N752" s="6"/>
      <c r="O752" s="6"/>
      <c r="P752" s="6"/>
      <c r="Q752" s="6"/>
      <c r="S752" s="6"/>
    </row>
    <row r="753" spans="6:19" ht="14.25" customHeight="1" x14ac:dyDescent="0.35">
      <c r="F753" s="6"/>
      <c r="G753" s="6"/>
      <c r="H753" s="6"/>
      <c r="I753" s="6"/>
      <c r="J753" s="6"/>
      <c r="K753" s="6"/>
      <c r="L753" s="6"/>
      <c r="M753" s="6"/>
      <c r="N753" s="6"/>
      <c r="O753" s="6"/>
      <c r="P753" s="6"/>
      <c r="Q753" s="6"/>
      <c r="S753" s="6"/>
    </row>
    <row r="754" spans="6:19" ht="14.25" customHeight="1" x14ac:dyDescent="0.35">
      <c r="F754" s="6"/>
      <c r="G754" s="6"/>
      <c r="H754" s="6"/>
      <c r="I754" s="6"/>
      <c r="J754" s="6"/>
      <c r="K754" s="6"/>
      <c r="L754" s="6"/>
      <c r="M754" s="6"/>
      <c r="N754" s="6"/>
      <c r="O754" s="6"/>
      <c r="P754" s="6"/>
      <c r="Q754" s="6"/>
      <c r="S754" s="6"/>
    </row>
    <row r="755" spans="6:19" ht="14.25" customHeight="1" x14ac:dyDescent="0.35">
      <c r="F755" s="6"/>
      <c r="G755" s="6"/>
      <c r="H755" s="6"/>
      <c r="I755" s="6"/>
      <c r="J755" s="6"/>
      <c r="K755" s="6"/>
      <c r="L755" s="6"/>
      <c r="M755" s="6"/>
      <c r="N755" s="6"/>
      <c r="O755" s="6"/>
      <c r="P755" s="6"/>
      <c r="Q755" s="6"/>
      <c r="S755" s="6"/>
    </row>
    <row r="756" spans="6:19" ht="14.25" customHeight="1" x14ac:dyDescent="0.35">
      <c r="F756" s="6"/>
      <c r="G756" s="6"/>
      <c r="H756" s="6"/>
      <c r="I756" s="6"/>
      <c r="J756" s="6"/>
      <c r="K756" s="6"/>
      <c r="L756" s="6"/>
      <c r="M756" s="6"/>
      <c r="N756" s="6"/>
      <c r="O756" s="6"/>
      <c r="P756" s="6"/>
      <c r="Q756" s="6"/>
      <c r="S756" s="6"/>
    </row>
    <row r="757" spans="6:19" ht="14.25" customHeight="1" x14ac:dyDescent="0.35">
      <c r="F757" s="6"/>
      <c r="G757" s="6"/>
      <c r="H757" s="6"/>
      <c r="I757" s="6"/>
      <c r="J757" s="6"/>
      <c r="K757" s="6"/>
      <c r="L757" s="6"/>
      <c r="M757" s="6"/>
      <c r="N757" s="6"/>
      <c r="O757" s="6"/>
      <c r="P757" s="6"/>
      <c r="Q757" s="6"/>
      <c r="S757" s="6"/>
    </row>
    <row r="758" spans="6:19" ht="14.25" customHeight="1" x14ac:dyDescent="0.35">
      <c r="F758" s="6"/>
      <c r="G758" s="6"/>
      <c r="H758" s="6"/>
      <c r="I758" s="6"/>
      <c r="J758" s="6"/>
      <c r="K758" s="6"/>
      <c r="L758" s="6"/>
      <c r="M758" s="6"/>
      <c r="N758" s="6"/>
      <c r="O758" s="6"/>
      <c r="P758" s="6"/>
      <c r="Q758" s="6"/>
      <c r="S758" s="6"/>
    </row>
    <row r="759" spans="6:19" ht="14.25" customHeight="1" x14ac:dyDescent="0.35">
      <c r="F759" s="6"/>
      <c r="G759" s="6"/>
      <c r="H759" s="6"/>
      <c r="I759" s="6"/>
      <c r="J759" s="6"/>
      <c r="K759" s="6"/>
      <c r="L759" s="6"/>
      <c r="M759" s="6"/>
      <c r="N759" s="6"/>
      <c r="O759" s="6"/>
      <c r="P759" s="6"/>
      <c r="Q759" s="6"/>
      <c r="S759" s="6"/>
    </row>
    <row r="760" spans="6:19" ht="14.25" customHeight="1" x14ac:dyDescent="0.35">
      <c r="F760" s="6"/>
      <c r="G760" s="6"/>
      <c r="H760" s="6"/>
      <c r="I760" s="6"/>
      <c r="J760" s="6"/>
      <c r="K760" s="6"/>
      <c r="L760" s="6"/>
      <c r="M760" s="6"/>
      <c r="N760" s="6"/>
      <c r="O760" s="6"/>
      <c r="P760" s="6"/>
      <c r="Q760" s="6"/>
      <c r="S760" s="6"/>
    </row>
    <row r="761" spans="6:19" ht="14.25" customHeight="1" x14ac:dyDescent="0.35">
      <c r="F761" s="6"/>
      <c r="G761" s="6"/>
      <c r="H761" s="6"/>
      <c r="I761" s="6"/>
      <c r="J761" s="6"/>
      <c r="K761" s="6"/>
      <c r="L761" s="6"/>
      <c r="M761" s="6"/>
      <c r="N761" s="6"/>
      <c r="O761" s="6"/>
      <c r="P761" s="6"/>
      <c r="Q761" s="6"/>
      <c r="S761" s="6"/>
    </row>
    <row r="762" spans="6:19" ht="14.25" customHeight="1" x14ac:dyDescent="0.35">
      <c r="F762" s="6"/>
      <c r="G762" s="6"/>
      <c r="H762" s="6"/>
      <c r="I762" s="6"/>
      <c r="J762" s="6"/>
      <c r="K762" s="6"/>
      <c r="L762" s="6"/>
      <c r="M762" s="6"/>
      <c r="N762" s="6"/>
      <c r="O762" s="6"/>
      <c r="P762" s="6"/>
      <c r="Q762" s="6"/>
      <c r="S762" s="6"/>
    </row>
    <row r="763" spans="6:19" ht="14.25" customHeight="1" x14ac:dyDescent="0.35">
      <c r="F763" s="6"/>
      <c r="G763" s="6"/>
      <c r="H763" s="6"/>
      <c r="I763" s="6"/>
      <c r="J763" s="6"/>
      <c r="K763" s="6"/>
      <c r="L763" s="6"/>
      <c r="M763" s="6"/>
      <c r="N763" s="6"/>
      <c r="O763" s="6"/>
      <c r="P763" s="6"/>
      <c r="Q763" s="6"/>
      <c r="S763" s="6"/>
    </row>
    <row r="764" spans="6:19" ht="14.25" customHeight="1" x14ac:dyDescent="0.35">
      <c r="F764" s="6"/>
      <c r="G764" s="6"/>
      <c r="H764" s="6"/>
      <c r="I764" s="6"/>
      <c r="J764" s="6"/>
      <c r="K764" s="6"/>
      <c r="L764" s="6"/>
      <c r="M764" s="6"/>
      <c r="N764" s="6"/>
      <c r="O764" s="6"/>
      <c r="P764" s="6"/>
      <c r="Q764" s="6"/>
      <c r="S764" s="6"/>
    </row>
    <row r="765" spans="6:19" ht="14.25" customHeight="1" x14ac:dyDescent="0.35">
      <c r="F765" s="6"/>
      <c r="G765" s="6"/>
      <c r="H765" s="6"/>
      <c r="I765" s="6"/>
      <c r="J765" s="6"/>
      <c r="K765" s="6"/>
      <c r="L765" s="6"/>
      <c r="M765" s="6"/>
      <c r="N765" s="6"/>
      <c r="O765" s="6"/>
      <c r="P765" s="6"/>
      <c r="Q765" s="6"/>
      <c r="S765" s="6"/>
    </row>
    <row r="766" spans="6:19" ht="14.25" customHeight="1" x14ac:dyDescent="0.35">
      <c r="F766" s="6"/>
      <c r="G766" s="6"/>
      <c r="H766" s="6"/>
      <c r="I766" s="6"/>
      <c r="J766" s="6"/>
      <c r="K766" s="6"/>
      <c r="L766" s="6"/>
      <c r="M766" s="6"/>
      <c r="N766" s="6"/>
      <c r="O766" s="6"/>
      <c r="P766" s="6"/>
      <c r="Q766" s="6"/>
      <c r="S766" s="6"/>
    </row>
    <row r="767" spans="6:19" ht="14.25" customHeight="1" x14ac:dyDescent="0.35">
      <c r="F767" s="6"/>
      <c r="G767" s="6"/>
      <c r="H767" s="6"/>
      <c r="I767" s="6"/>
      <c r="J767" s="6"/>
      <c r="K767" s="6"/>
      <c r="L767" s="6"/>
      <c r="M767" s="6"/>
      <c r="N767" s="6"/>
      <c r="O767" s="6"/>
      <c r="P767" s="6"/>
      <c r="Q767" s="6"/>
      <c r="S767" s="6"/>
    </row>
    <row r="768" spans="6:19" ht="14.25" customHeight="1" x14ac:dyDescent="0.35">
      <c r="F768" s="6"/>
      <c r="G768" s="6"/>
      <c r="H768" s="6"/>
      <c r="I768" s="6"/>
      <c r="J768" s="6"/>
      <c r="K768" s="6"/>
      <c r="L768" s="6"/>
      <c r="M768" s="6"/>
      <c r="N768" s="6"/>
      <c r="O768" s="6"/>
      <c r="P768" s="6"/>
      <c r="Q768" s="6"/>
      <c r="S768" s="6"/>
    </row>
    <row r="769" spans="6:19" ht="14.25" customHeight="1" x14ac:dyDescent="0.35">
      <c r="F769" s="6"/>
      <c r="G769" s="6"/>
      <c r="H769" s="6"/>
      <c r="I769" s="6"/>
      <c r="J769" s="6"/>
      <c r="K769" s="6"/>
      <c r="L769" s="6"/>
      <c r="M769" s="6"/>
      <c r="N769" s="6"/>
      <c r="O769" s="6"/>
      <c r="P769" s="6"/>
      <c r="Q769" s="6"/>
      <c r="S769" s="6"/>
    </row>
    <row r="770" spans="6:19" ht="14.25" customHeight="1" x14ac:dyDescent="0.35">
      <c r="F770" s="6"/>
      <c r="G770" s="6"/>
      <c r="H770" s="6"/>
      <c r="I770" s="6"/>
      <c r="J770" s="6"/>
      <c r="K770" s="6"/>
      <c r="L770" s="6"/>
      <c r="M770" s="6"/>
      <c r="N770" s="6"/>
      <c r="O770" s="6"/>
      <c r="P770" s="6"/>
      <c r="Q770" s="6"/>
      <c r="S770" s="6"/>
    </row>
    <row r="771" spans="6:19" ht="14.25" customHeight="1" x14ac:dyDescent="0.35">
      <c r="F771" s="6"/>
      <c r="G771" s="6"/>
      <c r="H771" s="6"/>
      <c r="I771" s="6"/>
      <c r="J771" s="6"/>
      <c r="K771" s="6"/>
      <c r="L771" s="6"/>
      <c r="M771" s="6"/>
      <c r="N771" s="6"/>
      <c r="O771" s="6"/>
      <c r="P771" s="6"/>
      <c r="Q771" s="6"/>
      <c r="S771" s="6"/>
    </row>
    <row r="772" spans="6:19" ht="14.25" customHeight="1" x14ac:dyDescent="0.35">
      <c r="F772" s="6"/>
      <c r="G772" s="6"/>
      <c r="H772" s="6"/>
      <c r="I772" s="6"/>
      <c r="J772" s="6"/>
      <c r="K772" s="6"/>
      <c r="L772" s="6"/>
      <c r="M772" s="6"/>
      <c r="N772" s="6"/>
      <c r="O772" s="6"/>
      <c r="P772" s="6"/>
      <c r="Q772" s="6"/>
      <c r="S772" s="6"/>
    </row>
    <row r="773" spans="6:19" ht="14.25" customHeight="1" x14ac:dyDescent="0.35">
      <c r="F773" s="6"/>
      <c r="G773" s="6"/>
      <c r="H773" s="6"/>
      <c r="I773" s="6"/>
      <c r="J773" s="6"/>
      <c r="K773" s="6"/>
      <c r="L773" s="6"/>
      <c r="M773" s="6"/>
      <c r="N773" s="6"/>
      <c r="O773" s="6"/>
      <c r="P773" s="6"/>
      <c r="Q773" s="6"/>
      <c r="S773" s="6"/>
    </row>
    <row r="774" spans="6:19" ht="14.25" customHeight="1" x14ac:dyDescent="0.35">
      <c r="F774" s="6"/>
      <c r="G774" s="6"/>
      <c r="H774" s="6"/>
      <c r="I774" s="6"/>
      <c r="J774" s="6"/>
      <c r="K774" s="6"/>
      <c r="L774" s="6"/>
      <c r="M774" s="6"/>
      <c r="N774" s="6"/>
      <c r="O774" s="6"/>
      <c r="P774" s="6"/>
      <c r="Q774" s="6"/>
      <c r="S774" s="6"/>
    </row>
    <row r="775" spans="6:19" ht="14.25" customHeight="1" x14ac:dyDescent="0.35">
      <c r="F775" s="6"/>
      <c r="G775" s="6"/>
      <c r="H775" s="6"/>
      <c r="I775" s="6"/>
      <c r="J775" s="6"/>
      <c r="K775" s="6"/>
      <c r="L775" s="6"/>
      <c r="M775" s="6"/>
      <c r="N775" s="6"/>
      <c r="O775" s="6"/>
      <c r="P775" s="6"/>
      <c r="Q775" s="6"/>
      <c r="S775" s="6"/>
    </row>
    <row r="776" spans="6:19" ht="14.25" customHeight="1" x14ac:dyDescent="0.35">
      <c r="F776" s="6"/>
      <c r="G776" s="6"/>
      <c r="H776" s="6"/>
      <c r="I776" s="6"/>
      <c r="J776" s="6"/>
      <c r="K776" s="6"/>
      <c r="L776" s="6"/>
      <c r="M776" s="6"/>
      <c r="N776" s="6"/>
      <c r="O776" s="6"/>
      <c r="P776" s="6"/>
      <c r="Q776" s="6"/>
      <c r="S776" s="6"/>
    </row>
    <row r="777" spans="6:19" ht="14.25" customHeight="1" x14ac:dyDescent="0.35">
      <c r="F777" s="6"/>
      <c r="G777" s="6"/>
      <c r="H777" s="6"/>
      <c r="I777" s="6"/>
      <c r="J777" s="6"/>
      <c r="K777" s="6"/>
      <c r="L777" s="6"/>
      <c r="M777" s="6"/>
      <c r="N777" s="6"/>
      <c r="O777" s="6"/>
      <c r="P777" s="6"/>
      <c r="Q777" s="6"/>
      <c r="S777" s="6"/>
    </row>
    <row r="778" spans="6:19" ht="14.25" customHeight="1" x14ac:dyDescent="0.35">
      <c r="F778" s="6"/>
      <c r="G778" s="6"/>
      <c r="H778" s="6"/>
      <c r="I778" s="6"/>
      <c r="J778" s="6"/>
      <c r="K778" s="6"/>
      <c r="L778" s="6"/>
      <c r="M778" s="6"/>
      <c r="N778" s="6"/>
      <c r="O778" s="6"/>
      <c r="P778" s="6"/>
      <c r="Q778" s="6"/>
      <c r="S778" s="6"/>
    </row>
    <row r="779" spans="6:19" ht="14.25" customHeight="1" x14ac:dyDescent="0.35">
      <c r="F779" s="6"/>
      <c r="G779" s="6"/>
      <c r="H779" s="6"/>
      <c r="I779" s="6"/>
      <c r="J779" s="6"/>
      <c r="K779" s="6"/>
      <c r="L779" s="6"/>
      <c r="M779" s="6"/>
      <c r="N779" s="6"/>
      <c r="O779" s="6"/>
      <c r="P779" s="6"/>
      <c r="Q779" s="6"/>
      <c r="S779" s="6"/>
    </row>
    <row r="780" spans="6:19" ht="14.25" customHeight="1" x14ac:dyDescent="0.35">
      <c r="F780" s="6"/>
      <c r="G780" s="6"/>
      <c r="H780" s="6"/>
      <c r="I780" s="6"/>
      <c r="J780" s="6"/>
      <c r="K780" s="6"/>
      <c r="L780" s="6"/>
      <c r="M780" s="6"/>
      <c r="N780" s="6"/>
      <c r="O780" s="6"/>
      <c r="P780" s="6"/>
      <c r="Q780" s="6"/>
      <c r="S780" s="6"/>
    </row>
    <row r="781" spans="6:19" ht="14.25" customHeight="1" x14ac:dyDescent="0.35">
      <c r="F781" s="6"/>
      <c r="G781" s="6"/>
      <c r="H781" s="6"/>
      <c r="I781" s="6"/>
      <c r="J781" s="6"/>
      <c r="K781" s="6"/>
      <c r="L781" s="6"/>
      <c r="M781" s="6"/>
      <c r="N781" s="6"/>
      <c r="O781" s="6"/>
      <c r="P781" s="6"/>
      <c r="Q781" s="6"/>
      <c r="S781" s="6"/>
    </row>
    <row r="782" spans="6:19" ht="14.25" customHeight="1" x14ac:dyDescent="0.35">
      <c r="F782" s="6"/>
      <c r="G782" s="6"/>
      <c r="H782" s="6"/>
      <c r="I782" s="6"/>
      <c r="J782" s="6"/>
      <c r="K782" s="6"/>
      <c r="L782" s="6"/>
      <c r="M782" s="6"/>
      <c r="N782" s="6"/>
      <c r="O782" s="6"/>
      <c r="P782" s="6"/>
      <c r="Q782" s="6"/>
      <c r="S782" s="6"/>
    </row>
    <row r="783" spans="6:19" ht="14.25" customHeight="1" x14ac:dyDescent="0.35">
      <c r="F783" s="6"/>
      <c r="G783" s="6"/>
      <c r="H783" s="6"/>
      <c r="I783" s="6"/>
      <c r="J783" s="6"/>
      <c r="K783" s="6"/>
      <c r="L783" s="6"/>
      <c r="M783" s="6"/>
      <c r="N783" s="6"/>
      <c r="O783" s="6"/>
      <c r="P783" s="6"/>
      <c r="Q783" s="6"/>
      <c r="S783" s="6"/>
    </row>
    <row r="784" spans="6:19" ht="14.25" customHeight="1" x14ac:dyDescent="0.35">
      <c r="F784" s="6"/>
      <c r="G784" s="6"/>
      <c r="H784" s="6"/>
      <c r="I784" s="6"/>
      <c r="J784" s="6"/>
      <c r="K784" s="6"/>
      <c r="L784" s="6"/>
      <c r="M784" s="6"/>
      <c r="N784" s="6"/>
      <c r="O784" s="6"/>
      <c r="P784" s="6"/>
      <c r="Q784" s="6"/>
      <c r="S784" s="6"/>
    </row>
    <row r="785" spans="6:19" ht="14.25" customHeight="1" x14ac:dyDescent="0.35">
      <c r="F785" s="6"/>
      <c r="G785" s="6"/>
      <c r="H785" s="6"/>
      <c r="I785" s="6"/>
      <c r="J785" s="6"/>
      <c r="K785" s="6"/>
      <c r="L785" s="6"/>
      <c r="M785" s="6"/>
      <c r="N785" s="6"/>
      <c r="O785" s="6"/>
      <c r="P785" s="6"/>
      <c r="Q785" s="6"/>
      <c r="S785" s="6"/>
    </row>
    <row r="786" spans="6:19" ht="14.25" customHeight="1" x14ac:dyDescent="0.35">
      <c r="F786" s="6"/>
      <c r="G786" s="6"/>
      <c r="H786" s="6"/>
      <c r="I786" s="6"/>
      <c r="J786" s="6"/>
      <c r="K786" s="6"/>
      <c r="L786" s="6"/>
      <c r="M786" s="6"/>
      <c r="N786" s="6"/>
      <c r="O786" s="6"/>
      <c r="P786" s="6"/>
      <c r="Q786" s="6"/>
      <c r="S786" s="6"/>
    </row>
    <row r="787" spans="6:19" ht="14.25" customHeight="1" x14ac:dyDescent="0.35">
      <c r="F787" s="6"/>
      <c r="G787" s="6"/>
      <c r="H787" s="6"/>
      <c r="I787" s="6"/>
      <c r="J787" s="6"/>
      <c r="K787" s="6"/>
      <c r="L787" s="6"/>
      <c r="M787" s="6"/>
      <c r="N787" s="6"/>
      <c r="O787" s="6"/>
      <c r="P787" s="6"/>
      <c r="Q787" s="6"/>
      <c r="S787" s="6"/>
    </row>
    <row r="788" spans="6:19" ht="14.25" customHeight="1" x14ac:dyDescent="0.35">
      <c r="F788" s="6"/>
      <c r="G788" s="6"/>
      <c r="H788" s="6"/>
      <c r="I788" s="6"/>
      <c r="J788" s="6"/>
      <c r="K788" s="6"/>
      <c r="L788" s="6"/>
      <c r="M788" s="6"/>
      <c r="N788" s="6"/>
      <c r="O788" s="6"/>
      <c r="P788" s="6"/>
      <c r="Q788" s="6"/>
      <c r="S788" s="6"/>
    </row>
    <row r="789" spans="6:19" ht="14.25" customHeight="1" x14ac:dyDescent="0.35">
      <c r="F789" s="6"/>
      <c r="G789" s="6"/>
      <c r="H789" s="6"/>
      <c r="I789" s="6"/>
      <c r="J789" s="6"/>
      <c r="K789" s="6"/>
      <c r="L789" s="6"/>
      <c r="M789" s="6"/>
      <c r="N789" s="6"/>
      <c r="O789" s="6"/>
      <c r="P789" s="6"/>
      <c r="Q789" s="6"/>
      <c r="S789" s="6"/>
    </row>
    <row r="790" spans="6:19" ht="14.25" customHeight="1" x14ac:dyDescent="0.35">
      <c r="F790" s="6"/>
      <c r="G790" s="6"/>
      <c r="H790" s="6"/>
      <c r="I790" s="6"/>
      <c r="J790" s="6"/>
      <c r="K790" s="6"/>
      <c r="L790" s="6"/>
      <c r="M790" s="6"/>
      <c r="N790" s="6"/>
      <c r="O790" s="6"/>
      <c r="P790" s="6"/>
      <c r="Q790" s="6"/>
      <c r="S790" s="6"/>
    </row>
    <row r="791" spans="6:19" ht="14.25" customHeight="1" x14ac:dyDescent="0.35">
      <c r="F791" s="6"/>
      <c r="G791" s="6"/>
      <c r="H791" s="6"/>
      <c r="I791" s="6"/>
      <c r="J791" s="6"/>
      <c r="K791" s="6"/>
      <c r="L791" s="6"/>
      <c r="M791" s="6"/>
      <c r="N791" s="6"/>
      <c r="O791" s="6"/>
      <c r="P791" s="6"/>
      <c r="Q791" s="6"/>
      <c r="S791" s="6"/>
    </row>
    <row r="792" spans="6:19" ht="14.25" customHeight="1" x14ac:dyDescent="0.35">
      <c r="F792" s="6"/>
      <c r="G792" s="6"/>
      <c r="H792" s="6"/>
      <c r="I792" s="6"/>
      <c r="J792" s="6"/>
      <c r="K792" s="6"/>
      <c r="L792" s="6"/>
      <c r="M792" s="6"/>
      <c r="N792" s="6"/>
      <c r="O792" s="6"/>
      <c r="P792" s="6"/>
      <c r="Q792" s="6"/>
      <c r="S792" s="6"/>
    </row>
    <row r="793" spans="6:19" ht="14.25" customHeight="1" x14ac:dyDescent="0.35">
      <c r="F793" s="6"/>
      <c r="G793" s="6"/>
      <c r="H793" s="6"/>
      <c r="I793" s="6"/>
      <c r="J793" s="6"/>
      <c r="K793" s="6"/>
      <c r="L793" s="6"/>
      <c r="M793" s="6"/>
      <c r="N793" s="6"/>
      <c r="O793" s="6"/>
      <c r="P793" s="6"/>
      <c r="Q793" s="6"/>
      <c r="S793" s="6"/>
    </row>
    <row r="794" spans="6:19" ht="14.25" customHeight="1" x14ac:dyDescent="0.35">
      <c r="F794" s="6"/>
      <c r="G794" s="6"/>
      <c r="H794" s="6"/>
      <c r="I794" s="6"/>
      <c r="J794" s="6"/>
      <c r="K794" s="6"/>
      <c r="L794" s="6"/>
      <c r="M794" s="6"/>
      <c r="N794" s="6"/>
      <c r="O794" s="6"/>
      <c r="P794" s="6"/>
      <c r="Q794" s="6"/>
      <c r="S794" s="6"/>
    </row>
    <row r="795" spans="6:19" ht="14.25" customHeight="1" x14ac:dyDescent="0.35">
      <c r="F795" s="6"/>
      <c r="G795" s="6"/>
      <c r="H795" s="6"/>
      <c r="I795" s="6"/>
      <c r="J795" s="6"/>
      <c r="K795" s="6"/>
      <c r="L795" s="6"/>
      <c r="M795" s="6"/>
      <c r="N795" s="6"/>
      <c r="O795" s="6"/>
      <c r="P795" s="6"/>
      <c r="Q795" s="6"/>
      <c r="S795" s="6"/>
    </row>
    <row r="796" spans="6:19" ht="14.25" customHeight="1" x14ac:dyDescent="0.35">
      <c r="F796" s="6"/>
      <c r="G796" s="6"/>
      <c r="H796" s="6"/>
      <c r="I796" s="6"/>
      <c r="J796" s="6"/>
      <c r="K796" s="6"/>
      <c r="L796" s="6"/>
      <c r="M796" s="6"/>
      <c r="N796" s="6"/>
      <c r="O796" s="6"/>
      <c r="P796" s="6"/>
      <c r="Q796" s="6"/>
      <c r="S796" s="6"/>
    </row>
    <row r="797" spans="6:19" ht="14.25" customHeight="1" x14ac:dyDescent="0.35">
      <c r="F797" s="6"/>
      <c r="G797" s="6"/>
      <c r="H797" s="6"/>
      <c r="I797" s="6"/>
      <c r="J797" s="6"/>
      <c r="K797" s="6"/>
      <c r="L797" s="6"/>
      <c r="M797" s="6"/>
      <c r="N797" s="6"/>
      <c r="O797" s="6"/>
      <c r="P797" s="6"/>
      <c r="Q797" s="6"/>
      <c r="S797" s="6"/>
    </row>
    <row r="798" spans="6:19" ht="14.25" customHeight="1" x14ac:dyDescent="0.35">
      <c r="F798" s="6"/>
      <c r="G798" s="6"/>
      <c r="H798" s="6"/>
      <c r="I798" s="6"/>
      <c r="J798" s="6"/>
      <c r="K798" s="6"/>
      <c r="L798" s="6"/>
      <c r="M798" s="6"/>
      <c r="N798" s="6"/>
      <c r="O798" s="6"/>
      <c r="P798" s="6"/>
      <c r="Q798" s="6"/>
      <c r="S798" s="6"/>
    </row>
    <row r="799" spans="6:19" ht="14.25" customHeight="1" x14ac:dyDescent="0.35">
      <c r="F799" s="6"/>
      <c r="G799" s="6"/>
      <c r="H799" s="6"/>
      <c r="I799" s="6"/>
      <c r="J799" s="6"/>
      <c r="K799" s="6"/>
      <c r="L799" s="6"/>
      <c r="M799" s="6"/>
      <c r="N799" s="6"/>
      <c r="O799" s="6"/>
      <c r="P799" s="6"/>
      <c r="Q799" s="6"/>
      <c r="S799" s="6"/>
    </row>
    <row r="800" spans="6:19" ht="14.25" customHeight="1" x14ac:dyDescent="0.35">
      <c r="F800" s="6"/>
      <c r="G800" s="6"/>
      <c r="H800" s="6"/>
      <c r="I800" s="6"/>
      <c r="J800" s="6"/>
      <c r="K800" s="6"/>
      <c r="L800" s="6"/>
      <c r="M800" s="6"/>
      <c r="N800" s="6"/>
      <c r="O800" s="6"/>
      <c r="P800" s="6"/>
      <c r="Q800" s="6"/>
      <c r="S800" s="6"/>
    </row>
    <row r="801" spans="6:19" ht="14.25" customHeight="1" x14ac:dyDescent="0.35">
      <c r="F801" s="6"/>
      <c r="G801" s="6"/>
      <c r="H801" s="6"/>
      <c r="I801" s="6"/>
      <c r="J801" s="6"/>
      <c r="K801" s="6"/>
      <c r="L801" s="6"/>
      <c r="M801" s="6"/>
      <c r="N801" s="6"/>
      <c r="O801" s="6"/>
      <c r="P801" s="6"/>
      <c r="Q801" s="6"/>
      <c r="S801" s="6"/>
    </row>
    <row r="802" spans="6:19" ht="14.25" customHeight="1" x14ac:dyDescent="0.35">
      <c r="F802" s="6"/>
      <c r="G802" s="6"/>
      <c r="H802" s="6"/>
      <c r="I802" s="6"/>
      <c r="J802" s="6"/>
      <c r="K802" s="6"/>
      <c r="L802" s="6"/>
      <c r="M802" s="6"/>
      <c r="N802" s="6"/>
      <c r="O802" s="6"/>
      <c r="P802" s="6"/>
      <c r="Q802" s="6"/>
      <c r="S802" s="6"/>
    </row>
    <row r="803" spans="6:19" ht="14.25" customHeight="1" x14ac:dyDescent="0.35">
      <c r="F803" s="6"/>
      <c r="G803" s="6"/>
      <c r="H803" s="6"/>
      <c r="I803" s="6"/>
      <c r="J803" s="6"/>
      <c r="K803" s="6"/>
      <c r="L803" s="6"/>
      <c r="M803" s="6"/>
      <c r="N803" s="6"/>
      <c r="O803" s="6"/>
      <c r="P803" s="6"/>
      <c r="Q803" s="6"/>
      <c r="S803" s="6"/>
    </row>
    <row r="804" spans="6:19" ht="14.25" customHeight="1" x14ac:dyDescent="0.35">
      <c r="F804" s="6"/>
      <c r="G804" s="6"/>
      <c r="H804" s="6"/>
      <c r="I804" s="6"/>
      <c r="J804" s="6"/>
      <c r="K804" s="6"/>
      <c r="L804" s="6"/>
      <c r="M804" s="6"/>
      <c r="N804" s="6"/>
      <c r="O804" s="6"/>
      <c r="P804" s="6"/>
      <c r="Q804" s="6"/>
      <c r="S804" s="6"/>
    </row>
    <row r="805" spans="6:19" ht="14.25" customHeight="1" x14ac:dyDescent="0.35">
      <c r="F805" s="6"/>
      <c r="G805" s="6"/>
      <c r="H805" s="6"/>
      <c r="I805" s="6"/>
      <c r="J805" s="6"/>
      <c r="K805" s="6"/>
      <c r="L805" s="6"/>
      <c r="M805" s="6"/>
      <c r="N805" s="6"/>
      <c r="O805" s="6"/>
      <c r="P805" s="6"/>
      <c r="Q805" s="6"/>
      <c r="S805" s="6"/>
    </row>
    <row r="806" spans="6:19" ht="14.25" customHeight="1" x14ac:dyDescent="0.35">
      <c r="F806" s="6"/>
      <c r="G806" s="6"/>
      <c r="H806" s="6"/>
      <c r="I806" s="6"/>
      <c r="J806" s="6"/>
      <c r="K806" s="6"/>
      <c r="L806" s="6"/>
      <c r="M806" s="6"/>
      <c r="N806" s="6"/>
      <c r="O806" s="6"/>
      <c r="P806" s="6"/>
      <c r="Q806" s="6"/>
      <c r="S806" s="6"/>
    </row>
    <row r="807" spans="6:19" ht="14.25" customHeight="1" x14ac:dyDescent="0.35">
      <c r="F807" s="6"/>
      <c r="G807" s="6"/>
      <c r="H807" s="6"/>
      <c r="I807" s="6"/>
      <c r="J807" s="6"/>
      <c r="K807" s="6"/>
      <c r="L807" s="6"/>
      <c r="M807" s="6"/>
      <c r="N807" s="6"/>
      <c r="O807" s="6"/>
      <c r="P807" s="6"/>
      <c r="Q807" s="6"/>
      <c r="S807" s="6"/>
    </row>
    <row r="808" spans="6:19" ht="14.25" customHeight="1" x14ac:dyDescent="0.35">
      <c r="F808" s="6"/>
      <c r="G808" s="6"/>
      <c r="H808" s="6"/>
      <c r="I808" s="6"/>
      <c r="J808" s="6"/>
      <c r="K808" s="6"/>
      <c r="L808" s="6"/>
      <c r="M808" s="6"/>
      <c r="N808" s="6"/>
      <c r="O808" s="6"/>
      <c r="P808" s="6"/>
      <c r="Q808" s="6"/>
      <c r="S808" s="6"/>
    </row>
    <row r="809" spans="6:19" ht="14.25" customHeight="1" x14ac:dyDescent="0.35">
      <c r="F809" s="6"/>
      <c r="G809" s="6"/>
      <c r="H809" s="6"/>
      <c r="I809" s="6"/>
      <c r="J809" s="6"/>
      <c r="K809" s="6"/>
      <c r="L809" s="6"/>
      <c r="M809" s="6"/>
      <c r="N809" s="6"/>
      <c r="O809" s="6"/>
      <c r="P809" s="6"/>
      <c r="Q809" s="6"/>
      <c r="S809" s="6"/>
    </row>
    <row r="810" spans="6:19" ht="14.25" customHeight="1" x14ac:dyDescent="0.35">
      <c r="F810" s="6"/>
      <c r="G810" s="6"/>
      <c r="H810" s="6"/>
      <c r="I810" s="6"/>
      <c r="J810" s="6"/>
      <c r="K810" s="6"/>
      <c r="L810" s="6"/>
      <c r="M810" s="6"/>
      <c r="N810" s="6"/>
      <c r="O810" s="6"/>
      <c r="P810" s="6"/>
      <c r="Q810" s="6"/>
      <c r="S810" s="6"/>
    </row>
    <row r="811" spans="6:19" ht="14.25" customHeight="1" x14ac:dyDescent="0.35">
      <c r="F811" s="6"/>
      <c r="G811" s="6"/>
      <c r="H811" s="6"/>
      <c r="I811" s="6"/>
      <c r="J811" s="6"/>
      <c r="K811" s="6"/>
      <c r="L811" s="6"/>
      <c r="M811" s="6"/>
      <c r="N811" s="6"/>
      <c r="O811" s="6"/>
      <c r="P811" s="6"/>
      <c r="Q811" s="6"/>
      <c r="S811" s="6"/>
    </row>
    <row r="812" spans="6:19" ht="14.25" customHeight="1" x14ac:dyDescent="0.35">
      <c r="F812" s="6"/>
      <c r="G812" s="6"/>
      <c r="H812" s="6"/>
      <c r="I812" s="6"/>
      <c r="J812" s="6"/>
      <c r="K812" s="6"/>
      <c r="L812" s="6"/>
      <c r="M812" s="6"/>
      <c r="N812" s="6"/>
      <c r="O812" s="6"/>
      <c r="P812" s="6"/>
      <c r="Q812" s="6"/>
      <c r="S812" s="6"/>
    </row>
    <row r="813" spans="6:19" ht="14.25" customHeight="1" x14ac:dyDescent="0.35">
      <c r="F813" s="6"/>
      <c r="G813" s="6"/>
      <c r="H813" s="6"/>
      <c r="I813" s="6"/>
      <c r="J813" s="6"/>
      <c r="K813" s="6"/>
      <c r="L813" s="6"/>
      <c r="M813" s="6"/>
      <c r="N813" s="6"/>
      <c r="O813" s="6"/>
      <c r="P813" s="6"/>
      <c r="Q813" s="6"/>
      <c r="S813" s="6"/>
    </row>
    <row r="814" spans="6:19" ht="14.25" customHeight="1" x14ac:dyDescent="0.35">
      <c r="F814" s="6"/>
      <c r="G814" s="6"/>
      <c r="H814" s="6"/>
      <c r="I814" s="6"/>
      <c r="J814" s="6"/>
      <c r="K814" s="6"/>
      <c r="L814" s="6"/>
      <c r="M814" s="6"/>
      <c r="N814" s="6"/>
      <c r="O814" s="6"/>
      <c r="P814" s="6"/>
      <c r="Q814" s="6"/>
      <c r="S814" s="6"/>
    </row>
    <row r="815" spans="6:19" ht="14.25" customHeight="1" x14ac:dyDescent="0.35">
      <c r="F815" s="6"/>
      <c r="G815" s="6"/>
      <c r="H815" s="6"/>
      <c r="I815" s="6"/>
      <c r="J815" s="6"/>
      <c r="K815" s="6"/>
      <c r="L815" s="6"/>
      <c r="M815" s="6"/>
      <c r="N815" s="6"/>
      <c r="O815" s="6"/>
      <c r="P815" s="6"/>
      <c r="Q815" s="6"/>
      <c r="S815" s="6"/>
    </row>
    <row r="816" spans="6:19" ht="14.25" customHeight="1" x14ac:dyDescent="0.35">
      <c r="F816" s="6"/>
      <c r="G816" s="6"/>
      <c r="H816" s="6"/>
      <c r="I816" s="6"/>
      <c r="J816" s="6"/>
      <c r="K816" s="6"/>
      <c r="L816" s="6"/>
      <c r="M816" s="6"/>
      <c r="N816" s="6"/>
      <c r="O816" s="6"/>
      <c r="P816" s="6"/>
      <c r="Q816" s="6"/>
      <c r="S816" s="6"/>
    </row>
    <row r="817" spans="6:19" ht="14.25" customHeight="1" x14ac:dyDescent="0.35">
      <c r="F817" s="6"/>
      <c r="G817" s="6"/>
      <c r="H817" s="6"/>
      <c r="I817" s="6"/>
      <c r="J817" s="6"/>
      <c r="K817" s="6"/>
      <c r="L817" s="6"/>
      <c r="M817" s="6"/>
      <c r="N817" s="6"/>
      <c r="O817" s="6"/>
      <c r="P817" s="6"/>
      <c r="Q817" s="6"/>
      <c r="S817" s="6"/>
    </row>
    <row r="818" spans="6:19" ht="14.25" customHeight="1" x14ac:dyDescent="0.35">
      <c r="F818" s="6"/>
      <c r="G818" s="6"/>
      <c r="H818" s="6"/>
      <c r="I818" s="6"/>
      <c r="J818" s="6"/>
      <c r="K818" s="6"/>
      <c r="L818" s="6"/>
      <c r="M818" s="6"/>
      <c r="N818" s="6"/>
      <c r="O818" s="6"/>
      <c r="P818" s="6"/>
      <c r="Q818" s="6"/>
      <c r="S818" s="6"/>
    </row>
    <row r="819" spans="6:19" ht="14.25" customHeight="1" x14ac:dyDescent="0.35">
      <c r="F819" s="6"/>
      <c r="G819" s="6"/>
      <c r="H819" s="6"/>
      <c r="I819" s="6"/>
      <c r="J819" s="6"/>
      <c r="K819" s="6"/>
      <c r="L819" s="6"/>
      <c r="M819" s="6"/>
      <c r="N819" s="6"/>
      <c r="O819" s="6"/>
      <c r="P819" s="6"/>
      <c r="Q819" s="6"/>
      <c r="S819" s="6"/>
    </row>
    <row r="820" spans="6:19" ht="14.25" customHeight="1" x14ac:dyDescent="0.35">
      <c r="F820" s="6"/>
      <c r="G820" s="6"/>
      <c r="H820" s="6"/>
      <c r="I820" s="6"/>
      <c r="J820" s="6"/>
      <c r="K820" s="6"/>
      <c r="L820" s="6"/>
      <c r="M820" s="6"/>
      <c r="N820" s="6"/>
      <c r="O820" s="6"/>
      <c r="P820" s="6"/>
      <c r="Q820" s="6"/>
      <c r="S820" s="6"/>
    </row>
    <row r="821" spans="6:19" ht="14.25" customHeight="1" x14ac:dyDescent="0.35">
      <c r="F821" s="6"/>
      <c r="G821" s="6"/>
      <c r="H821" s="6"/>
      <c r="I821" s="6"/>
      <c r="J821" s="6"/>
      <c r="K821" s="6"/>
      <c r="L821" s="6"/>
      <c r="M821" s="6"/>
      <c r="N821" s="6"/>
      <c r="O821" s="6"/>
      <c r="P821" s="6"/>
      <c r="Q821" s="6"/>
      <c r="S821" s="6"/>
    </row>
    <row r="822" spans="6:19" ht="14.25" customHeight="1" x14ac:dyDescent="0.35">
      <c r="F822" s="6"/>
      <c r="G822" s="6"/>
      <c r="H822" s="6"/>
      <c r="I822" s="6"/>
      <c r="J822" s="6"/>
      <c r="K822" s="6"/>
      <c r="L822" s="6"/>
      <c r="M822" s="6"/>
      <c r="N822" s="6"/>
      <c r="O822" s="6"/>
      <c r="P822" s="6"/>
      <c r="Q822" s="6"/>
      <c r="S822" s="6"/>
    </row>
    <row r="823" spans="6:19" ht="14.25" customHeight="1" x14ac:dyDescent="0.35">
      <c r="F823" s="6"/>
      <c r="G823" s="6"/>
      <c r="H823" s="6"/>
      <c r="I823" s="6"/>
      <c r="J823" s="6"/>
      <c r="K823" s="6"/>
      <c r="L823" s="6"/>
      <c r="M823" s="6"/>
      <c r="N823" s="6"/>
      <c r="O823" s="6"/>
      <c r="P823" s="6"/>
      <c r="Q823" s="6"/>
      <c r="S823" s="6"/>
    </row>
    <row r="824" spans="6:19" ht="14.25" customHeight="1" x14ac:dyDescent="0.35">
      <c r="F824" s="6"/>
      <c r="G824" s="6"/>
      <c r="H824" s="6"/>
      <c r="I824" s="6"/>
      <c r="J824" s="6"/>
      <c r="K824" s="6"/>
      <c r="L824" s="6"/>
      <c r="M824" s="6"/>
      <c r="N824" s="6"/>
      <c r="O824" s="6"/>
      <c r="P824" s="6"/>
      <c r="Q824" s="6"/>
      <c r="S824" s="6"/>
    </row>
    <row r="825" spans="6:19" ht="14.25" customHeight="1" x14ac:dyDescent="0.35">
      <c r="F825" s="6"/>
      <c r="G825" s="6"/>
      <c r="H825" s="6"/>
      <c r="I825" s="6"/>
      <c r="J825" s="6"/>
      <c r="K825" s="6"/>
      <c r="L825" s="6"/>
      <c r="M825" s="6"/>
      <c r="N825" s="6"/>
      <c r="O825" s="6"/>
      <c r="P825" s="6"/>
      <c r="Q825" s="6"/>
      <c r="S825" s="6"/>
    </row>
    <row r="826" spans="6:19" ht="14.25" customHeight="1" x14ac:dyDescent="0.35">
      <c r="F826" s="6"/>
      <c r="G826" s="6"/>
      <c r="H826" s="6"/>
      <c r="I826" s="6"/>
      <c r="J826" s="6"/>
      <c r="K826" s="6"/>
      <c r="L826" s="6"/>
      <c r="M826" s="6"/>
      <c r="N826" s="6"/>
      <c r="O826" s="6"/>
      <c r="P826" s="6"/>
      <c r="Q826" s="6"/>
      <c r="S826" s="6"/>
    </row>
    <row r="827" spans="6:19" ht="14.25" customHeight="1" x14ac:dyDescent="0.35">
      <c r="F827" s="6"/>
      <c r="G827" s="6"/>
      <c r="H827" s="6"/>
      <c r="I827" s="6"/>
      <c r="J827" s="6"/>
      <c r="K827" s="6"/>
      <c r="L827" s="6"/>
      <c r="M827" s="6"/>
      <c r="N827" s="6"/>
      <c r="O827" s="6"/>
      <c r="P827" s="6"/>
      <c r="Q827" s="6"/>
      <c r="S827" s="6"/>
    </row>
    <row r="828" spans="6:19" ht="14.25" customHeight="1" x14ac:dyDescent="0.35">
      <c r="F828" s="6"/>
      <c r="G828" s="6"/>
      <c r="H828" s="6"/>
      <c r="I828" s="6"/>
      <c r="J828" s="6"/>
      <c r="K828" s="6"/>
      <c r="L828" s="6"/>
      <c r="M828" s="6"/>
      <c r="N828" s="6"/>
      <c r="O828" s="6"/>
      <c r="P828" s="6"/>
      <c r="Q828" s="6"/>
      <c r="S828" s="6"/>
    </row>
    <row r="829" spans="6:19" ht="14.25" customHeight="1" x14ac:dyDescent="0.35">
      <c r="F829" s="6"/>
      <c r="G829" s="6"/>
      <c r="H829" s="6"/>
      <c r="I829" s="6"/>
      <c r="J829" s="6"/>
      <c r="K829" s="6"/>
      <c r="L829" s="6"/>
      <c r="M829" s="6"/>
      <c r="N829" s="6"/>
      <c r="O829" s="6"/>
      <c r="P829" s="6"/>
      <c r="Q829" s="6"/>
      <c r="S829" s="6"/>
    </row>
    <row r="830" spans="6:19" ht="14.25" customHeight="1" x14ac:dyDescent="0.35">
      <c r="F830" s="6"/>
      <c r="G830" s="6"/>
      <c r="H830" s="6"/>
      <c r="I830" s="6"/>
      <c r="J830" s="6"/>
      <c r="K830" s="6"/>
      <c r="L830" s="6"/>
      <c r="M830" s="6"/>
      <c r="N830" s="6"/>
      <c r="O830" s="6"/>
      <c r="P830" s="6"/>
      <c r="Q830" s="6"/>
      <c r="S830" s="6"/>
    </row>
    <row r="831" spans="6:19" ht="14.25" customHeight="1" x14ac:dyDescent="0.35">
      <c r="F831" s="6"/>
      <c r="G831" s="6"/>
      <c r="H831" s="6"/>
      <c r="I831" s="6"/>
      <c r="J831" s="6"/>
      <c r="K831" s="6"/>
      <c r="L831" s="6"/>
      <c r="M831" s="6"/>
      <c r="N831" s="6"/>
      <c r="O831" s="6"/>
      <c r="P831" s="6"/>
      <c r="Q831" s="6"/>
      <c r="S831" s="6"/>
    </row>
    <row r="832" spans="6:19" ht="14.25" customHeight="1" x14ac:dyDescent="0.35">
      <c r="F832" s="6"/>
      <c r="G832" s="6"/>
      <c r="H832" s="6"/>
      <c r="I832" s="6"/>
      <c r="J832" s="6"/>
      <c r="K832" s="6"/>
      <c r="L832" s="6"/>
      <c r="M832" s="6"/>
      <c r="N832" s="6"/>
      <c r="O832" s="6"/>
      <c r="P832" s="6"/>
      <c r="Q832" s="6"/>
      <c r="S832" s="6"/>
    </row>
    <row r="833" spans="6:19" ht="14.25" customHeight="1" x14ac:dyDescent="0.35">
      <c r="F833" s="6"/>
      <c r="G833" s="6"/>
      <c r="H833" s="6"/>
      <c r="I833" s="6"/>
      <c r="J833" s="6"/>
      <c r="K833" s="6"/>
      <c r="L833" s="6"/>
      <c r="M833" s="6"/>
      <c r="N833" s="6"/>
      <c r="O833" s="6"/>
      <c r="P833" s="6"/>
      <c r="Q833" s="6"/>
      <c r="S833" s="6"/>
    </row>
    <row r="834" spans="6:19" ht="14.25" customHeight="1" x14ac:dyDescent="0.35">
      <c r="F834" s="6"/>
      <c r="G834" s="6"/>
      <c r="H834" s="6"/>
      <c r="I834" s="6"/>
      <c r="J834" s="6"/>
      <c r="K834" s="6"/>
      <c r="L834" s="6"/>
      <c r="M834" s="6"/>
      <c r="N834" s="6"/>
      <c r="O834" s="6"/>
      <c r="P834" s="6"/>
      <c r="Q834" s="6"/>
      <c r="S834" s="6"/>
    </row>
    <row r="835" spans="6:19" ht="14.25" customHeight="1" x14ac:dyDescent="0.35">
      <c r="F835" s="6"/>
      <c r="G835" s="6"/>
      <c r="H835" s="6"/>
      <c r="I835" s="6"/>
      <c r="J835" s="6"/>
      <c r="K835" s="6"/>
      <c r="L835" s="6"/>
      <c r="M835" s="6"/>
      <c r="N835" s="6"/>
      <c r="O835" s="6"/>
      <c r="P835" s="6"/>
      <c r="Q835" s="6"/>
      <c r="S835" s="6"/>
    </row>
    <row r="836" spans="6:19" ht="14.25" customHeight="1" x14ac:dyDescent="0.35">
      <c r="F836" s="6"/>
      <c r="G836" s="6"/>
      <c r="H836" s="6"/>
      <c r="I836" s="6"/>
      <c r="J836" s="6"/>
      <c r="K836" s="6"/>
      <c r="L836" s="6"/>
      <c r="M836" s="6"/>
      <c r="N836" s="6"/>
      <c r="O836" s="6"/>
      <c r="P836" s="6"/>
      <c r="Q836" s="6"/>
      <c r="S836" s="6"/>
    </row>
    <row r="837" spans="6:19" ht="14.25" customHeight="1" x14ac:dyDescent="0.35">
      <c r="F837" s="6"/>
      <c r="G837" s="6"/>
      <c r="H837" s="6"/>
      <c r="I837" s="6"/>
      <c r="J837" s="6"/>
      <c r="K837" s="6"/>
      <c r="L837" s="6"/>
      <c r="M837" s="6"/>
      <c r="N837" s="6"/>
      <c r="O837" s="6"/>
      <c r="P837" s="6"/>
      <c r="Q837" s="6"/>
      <c r="S837" s="6"/>
    </row>
    <row r="838" spans="6:19" ht="14.25" customHeight="1" x14ac:dyDescent="0.35">
      <c r="F838" s="6"/>
      <c r="G838" s="6"/>
      <c r="H838" s="6"/>
      <c r="I838" s="6"/>
      <c r="J838" s="6"/>
      <c r="K838" s="6"/>
      <c r="L838" s="6"/>
      <c r="M838" s="6"/>
      <c r="N838" s="6"/>
      <c r="O838" s="6"/>
      <c r="P838" s="6"/>
      <c r="Q838" s="6"/>
      <c r="S838" s="6"/>
    </row>
    <row r="839" spans="6:19" ht="14.25" customHeight="1" x14ac:dyDescent="0.35">
      <c r="F839" s="6"/>
      <c r="G839" s="6"/>
      <c r="H839" s="6"/>
      <c r="I839" s="6"/>
      <c r="J839" s="6"/>
      <c r="K839" s="6"/>
      <c r="L839" s="6"/>
      <c r="M839" s="6"/>
      <c r="N839" s="6"/>
      <c r="O839" s="6"/>
      <c r="P839" s="6"/>
      <c r="Q839" s="6"/>
      <c r="S839" s="6"/>
    </row>
    <row r="840" spans="6:19" ht="14.25" customHeight="1" x14ac:dyDescent="0.35">
      <c r="F840" s="6"/>
      <c r="G840" s="6"/>
      <c r="H840" s="6"/>
      <c r="I840" s="6"/>
      <c r="J840" s="6"/>
      <c r="K840" s="6"/>
      <c r="L840" s="6"/>
      <c r="M840" s="6"/>
      <c r="N840" s="6"/>
      <c r="O840" s="6"/>
      <c r="P840" s="6"/>
      <c r="Q840" s="6"/>
      <c r="S840" s="6"/>
    </row>
    <row r="841" spans="6:19" ht="14.25" customHeight="1" x14ac:dyDescent="0.35">
      <c r="F841" s="6"/>
      <c r="G841" s="6"/>
      <c r="H841" s="6"/>
      <c r="I841" s="6"/>
      <c r="J841" s="6"/>
      <c r="K841" s="6"/>
      <c r="L841" s="6"/>
      <c r="M841" s="6"/>
      <c r="N841" s="6"/>
      <c r="O841" s="6"/>
      <c r="P841" s="6"/>
      <c r="Q841" s="6"/>
      <c r="S841" s="6"/>
    </row>
    <row r="842" spans="6:19" ht="14.25" customHeight="1" x14ac:dyDescent="0.35">
      <c r="F842" s="6"/>
      <c r="G842" s="6"/>
      <c r="H842" s="6"/>
      <c r="I842" s="6"/>
      <c r="J842" s="6"/>
      <c r="K842" s="6"/>
      <c r="L842" s="6"/>
      <c r="M842" s="6"/>
      <c r="N842" s="6"/>
      <c r="O842" s="6"/>
      <c r="P842" s="6"/>
      <c r="Q842" s="6"/>
      <c r="S842" s="6"/>
    </row>
    <row r="843" spans="6:19" ht="14.25" customHeight="1" x14ac:dyDescent="0.35">
      <c r="F843" s="6"/>
      <c r="G843" s="6"/>
      <c r="H843" s="6"/>
      <c r="I843" s="6"/>
      <c r="J843" s="6"/>
      <c r="K843" s="6"/>
      <c r="L843" s="6"/>
      <c r="M843" s="6"/>
      <c r="N843" s="6"/>
      <c r="O843" s="6"/>
      <c r="P843" s="6"/>
      <c r="Q843" s="6"/>
      <c r="S843" s="6"/>
    </row>
    <row r="844" spans="6:19" ht="14.25" customHeight="1" x14ac:dyDescent="0.35">
      <c r="F844" s="6"/>
      <c r="G844" s="6"/>
      <c r="H844" s="6"/>
      <c r="I844" s="6"/>
      <c r="J844" s="6"/>
      <c r="K844" s="6"/>
      <c r="L844" s="6"/>
      <c r="M844" s="6"/>
      <c r="N844" s="6"/>
      <c r="O844" s="6"/>
      <c r="P844" s="6"/>
      <c r="Q844" s="6"/>
      <c r="S844" s="6"/>
    </row>
    <row r="845" spans="6:19" ht="14.25" customHeight="1" x14ac:dyDescent="0.35">
      <c r="F845" s="6"/>
      <c r="G845" s="6"/>
      <c r="H845" s="6"/>
      <c r="I845" s="6"/>
      <c r="J845" s="6"/>
      <c r="K845" s="6"/>
      <c r="L845" s="6"/>
      <c r="M845" s="6"/>
      <c r="N845" s="6"/>
      <c r="O845" s="6"/>
      <c r="P845" s="6"/>
      <c r="Q845" s="6"/>
      <c r="S845" s="6"/>
    </row>
    <row r="846" spans="6:19" ht="14.25" customHeight="1" x14ac:dyDescent="0.35">
      <c r="F846" s="6"/>
      <c r="G846" s="6"/>
      <c r="H846" s="6"/>
      <c r="I846" s="6"/>
      <c r="J846" s="6"/>
      <c r="K846" s="6"/>
      <c r="L846" s="6"/>
      <c r="M846" s="6"/>
      <c r="N846" s="6"/>
      <c r="O846" s="6"/>
      <c r="P846" s="6"/>
      <c r="Q846" s="6"/>
      <c r="S846" s="6"/>
    </row>
    <row r="847" spans="6:19" ht="14.25" customHeight="1" x14ac:dyDescent="0.35">
      <c r="F847" s="6"/>
      <c r="G847" s="6"/>
      <c r="H847" s="6"/>
      <c r="I847" s="6"/>
      <c r="J847" s="6"/>
      <c r="K847" s="6"/>
      <c r="L847" s="6"/>
      <c r="M847" s="6"/>
      <c r="N847" s="6"/>
      <c r="O847" s="6"/>
      <c r="P847" s="6"/>
      <c r="Q847" s="6"/>
      <c r="S847" s="6"/>
    </row>
    <row r="848" spans="6:19" ht="14.25" customHeight="1" x14ac:dyDescent="0.35">
      <c r="F848" s="6"/>
      <c r="G848" s="6"/>
      <c r="H848" s="6"/>
      <c r="I848" s="6"/>
      <c r="J848" s="6"/>
      <c r="K848" s="6"/>
      <c r="L848" s="6"/>
      <c r="M848" s="6"/>
      <c r="N848" s="6"/>
      <c r="O848" s="6"/>
      <c r="P848" s="6"/>
      <c r="Q848" s="6"/>
      <c r="S848" s="6"/>
    </row>
    <row r="849" spans="6:19" ht="14.25" customHeight="1" x14ac:dyDescent="0.35">
      <c r="F849" s="6"/>
      <c r="G849" s="6"/>
      <c r="H849" s="6"/>
      <c r="I849" s="6"/>
      <c r="J849" s="6"/>
      <c r="K849" s="6"/>
      <c r="L849" s="6"/>
      <c r="M849" s="6"/>
      <c r="N849" s="6"/>
      <c r="O849" s="6"/>
      <c r="P849" s="6"/>
      <c r="Q849" s="6"/>
      <c r="S849" s="6"/>
    </row>
    <row r="850" spans="6:19" ht="14.25" customHeight="1" x14ac:dyDescent="0.35">
      <c r="F850" s="6"/>
      <c r="G850" s="6"/>
      <c r="H850" s="6"/>
      <c r="I850" s="6"/>
      <c r="J850" s="6"/>
      <c r="K850" s="6"/>
      <c r="L850" s="6"/>
      <c r="M850" s="6"/>
      <c r="N850" s="6"/>
      <c r="O850" s="6"/>
      <c r="P850" s="6"/>
      <c r="Q850" s="6"/>
      <c r="S850" s="6"/>
    </row>
    <row r="851" spans="6:19" ht="14.25" customHeight="1" x14ac:dyDescent="0.35">
      <c r="F851" s="6"/>
      <c r="G851" s="6"/>
      <c r="H851" s="6"/>
      <c r="I851" s="6"/>
      <c r="J851" s="6"/>
      <c r="K851" s="6"/>
      <c r="L851" s="6"/>
      <c r="M851" s="6"/>
      <c r="N851" s="6"/>
      <c r="O851" s="6"/>
      <c r="P851" s="6"/>
      <c r="Q851" s="6"/>
      <c r="S851" s="6"/>
    </row>
    <row r="852" spans="6:19" ht="14.25" customHeight="1" x14ac:dyDescent="0.35">
      <c r="F852" s="6"/>
      <c r="G852" s="6"/>
      <c r="H852" s="6"/>
      <c r="I852" s="6"/>
      <c r="J852" s="6"/>
      <c r="K852" s="6"/>
      <c r="L852" s="6"/>
      <c r="M852" s="6"/>
      <c r="N852" s="6"/>
      <c r="O852" s="6"/>
      <c r="P852" s="6"/>
      <c r="Q852" s="6"/>
      <c r="S852" s="6"/>
    </row>
    <row r="853" spans="6:19" ht="14.25" customHeight="1" x14ac:dyDescent="0.35">
      <c r="F853" s="6"/>
      <c r="G853" s="6"/>
      <c r="H853" s="6"/>
      <c r="I853" s="6"/>
      <c r="J853" s="6"/>
      <c r="K853" s="6"/>
      <c r="L853" s="6"/>
      <c r="M853" s="6"/>
      <c r="N853" s="6"/>
      <c r="O853" s="6"/>
      <c r="P853" s="6"/>
      <c r="Q853" s="6"/>
      <c r="S853" s="6"/>
    </row>
    <row r="854" spans="6:19" ht="14.25" customHeight="1" x14ac:dyDescent="0.35">
      <c r="F854" s="6"/>
      <c r="G854" s="6"/>
      <c r="H854" s="6"/>
      <c r="I854" s="6"/>
      <c r="J854" s="6"/>
      <c r="K854" s="6"/>
      <c r="L854" s="6"/>
      <c r="M854" s="6"/>
      <c r="N854" s="6"/>
      <c r="O854" s="6"/>
      <c r="P854" s="6"/>
      <c r="Q854" s="6"/>
      <c r="S854" s="6"/>
    </row>
    <row r="855" spans="6:19" ht="14.25" customHeight="1" x14ac:dyDescent="0.35">
      <c r="F855" s="6"/>
      <c r="G855" s="6"/>
      <c r="H855" s="6"/>
      <c r="I855" s="6"/>
      <c r="J855" s="6"/>
      <c r="K855" s="6"/>
      <c r="L855" s="6"/>
      <c r="M855" s="6"/>
      <c r="N855" s="6"/>
      <c r="O855" s="6"/>
      <c r="P855" s="6"/>
      <c r="Q855" s="6"/>
      <c r="S855" s="6"/>
    </row>
    <row r="856" spans="6:19" ht="14.25" customHeight="1" x14ac:dyDescent="0.35">
      <c r="F856" s="6"/>
      <c r="G856" s="6"/>
      <c r="H856" s="6"/>
      <c r="I856" s="6"/>
      <c r="J856" s="6"/>
      <c r="K856" s="6"/>
      <c r="L856" s="6"/>
      <c r="M856" s="6"/>
      <c r="N856" s="6"/>
      <c r="O856" s="6"/>
      <c r="P856" s="6"/>
      <c r="Q856" s="6"/>
      <c r="S856" s="6"/>
    </row>
    <row r="857" spans="6:19" ht="14.25" customHeight="1" x14ac:dyDescent="0.35">
      <c r="F857" s="6"/>
      <c r="G857" s="6"/>
      <c r="H857" s="6"/>
      <c r="I857" s="6"/>
      <c r="J857" s="6"/>
      <c r="K857" s="6"/>
      <c r="L857" s="6"/>
      <c r="M857" s="6"/>
      <c r="N857" s="6"/>
      <c r="O857" s="6"/>
      <c r="P857" s="6"/>
      <c r="Q857" s="6"/>
      <c r="S857" s="6"/>
    </row>
    <row r="858" spans="6:19" ht="14.25" customHeight="1" x14ac:dyDescent="0.35">
      <c r="F858" s="6"/>
      <c r="G858" s="6"/>
      <c r="H858" s="6"/>
      <c r="I858" s="6"/>
      <c r="J858" s="6"/>
      <c r="K858" s="6"/>
      <c r="L858" s="6"/>
      <c r="M858" s="6"/>
      <c r="N858" s="6"/>
      <c r="O858" s="6"/>
      <c r="P858" s="6"/>
      <c r="Q858" s="6"/>
      <c r="S858" s="6"/>
    </row>
    <row r="859" spans="6:19" ht="14.25" customHeight="1" x14ac:dyDescent="0.35">
      <c r="F859" s="6"/>
      <c r="G859" s="6"/>
      <c r="H859" s="6"/>
      <c r="I859" s="6"/>
      <c r="J859" s="6"/>
      <c r="K859" s="6"/>
      <c r="L859" s="6"/>
      <c r="M859" s="6"/>
      <c r="N859" s="6"/>
      <c r="O859" s="6"/>
      <c r="P859" s="6"/>
      <c r="Q859" s="6"/>
      <c r="S859" s="6"/>
    </row>
    <row r="860" spans="6:19" ht="14.25" customHeight="1" x14ac:dyDescent="0.35">
      <c r="F860" s="6"/>
      <c r="G860" s="6"/>
      <c r="H860" s="6"/>
      <c r="I860" s="6"/>
      <c r="J860" s="6"/>
      <c r="K860" s="6"/>
      <c r="L860" s="6"/>
      <c r="M860" s="6"/>
      <c r="N860" s="6"/>
      <c r="O860" s="6"/>
      <c r="P860" s="6"/>
      <c r="Q860" s="6"/>
      <c r="S860" s="6"/>
    </row>
    <row r="861" spans="6:19" ht="14.25" customHeight="1" x14ac:dyDescent="0.35">
      <c r="F861" s="6"/>
      <c r="G861" s="6"/>
      <c r="H861" s="6"/>
      <c r="I861" s="6"/>
      <c r="J861" s="6"/>
      <c r="K861" s="6"/>
      <c r="L861" s="6"/>
      <c r="M861" s="6"/>
      <c r="N861" s="6"/>
      <c r="O861" s="6"/>
      <c r="P861" s="6"/>
      <c r="Q861" s="6"/>
      <c r="S861" s="6"/>
    </row>
    <row r="862" spans="6:19" ht="14.25" customHeight="1" x14ac:dyDescent="0.35">
      <c r="F862" s="6"/>
      <c r="G862" s="6"/>
      <c r="H862" s="6"/>
      <c r="I862" s="6"/>
      <c r="J862" s="6"/>
      <c r="K862" s="6"/>
      <c r="L862" s="6"/>
      <c r="M862" s="6"/>
      <c r="N862" s="6"/>
      <c r="O862" s="6"/>
      <c r="P862" s="6"/>
      <c r="Q862" s="6"/>
      <c r="S862" s="6"/>
    </row>
    <row r="863" spans="6:19" ht="14.25" customHeight="1" x14ac:dyDescent="0.35">
      <c r="F863" s="6"/>
      <c r="G863" s="6"/>
      <c r="H863" s="6"/>
      <c r="I863" s="6"/>
      <c r="J863" s="6"/>
      <c r="K863" s="6"/>
      <c r="L863" s="6"/>
      <c r="M863" s="6"/>
      <c r="N863" s="6"/>
      <c r="O863" s="6"/>
      <c r="P863" s="6"/>
      <c r="Q863" s="6"/>
      <c r="S863" s="6"/>
    </row>
    <row r="864" spans="6:19" ht="14.25" customHeight="1" x14ac:dyDescent="0.35">
      <c r="F864" s="6"/>
      <c r="G864" s="6"/>
      <c r="H864" s="6"/>
      <c r="I864" s="6"/>
      <c r="J864" s="6"/>
      <c r="K864" s="6"/>
      <c r="L864" s="6"/>
      <c r="M864" s="6"/>
      <c r="N864" s="6"/>
      <c r="O864" s="6"/>
      <c r="P864" s="6"/>
      <c r="Q864" s="6"/>
      <c r="S864" s="6"/>
    </row>
    <row r="865" spans="6:19" ht="14.25" customHeight="1" x14ac:dyDescent="0.35">
      <c r="F865" s="6"/>
      <c r="G865" s="6"/>
      <c r="H865" s="6"/>
      <c r="I865" s="6"/>
      <c r="J865" s="6"/>
      <c r="K865" s="6"/>
      <c r="L865" s="6"/>
      <c r="M865" s="6"/>
      <c r="N865" s="6"/>
      <c r="O865" s="6"/>
      <c r="P865" s="6"/>
      <c r="Q865" s="6"/>
      <c r="S865" s="6"/>
    </row>
    <row r="866" spans="6:19" ht="14.25" customHeight="1" x14ac:dyDescent="0.35">
      <c r="F866" s="6"/>
      <c r="G866" s="6"/>
      <c r="H866" s="6"/>
      <c r="I866" s="6"/>
      <c r="J866" s="6"/>
      <c r="K866" s="6"/>
      <c r="L866" s="6"/>
      <c r="M866" s="6"/>
      <c r="N866" s="6"/>
      <c r="O866" s="6"/>
      <c r="P866" s="6"/>
      <c r="Q866" s="6"/>
      <c r="S866" s="6"/>
    </row>
    <row r="867" spans="6:19" ht="14.25" customHeight="1" x14ac:dyDescent="0.35">
      <c r="F867" s="6"/>
      <c r="G867" s="6"/>
      <c r="H867" s="6"/>
      <c r="I867" s="6"/>
      <c r="J867" s="6"/>
      <c r="K867" s="6"/>
      <c r="L867" s="6"/>
      <c r="M867" s="6"/>
      <c r="N867" s="6"/>
      <c r="O867" s="6"/>
      <c r="P867" s="6"/>
      <c r="Q867" s="6"/>
      <c r="S867" s="6"/>
    </row>
    <row r="868" spans="6:19" ht="14.25" customHeight="1" x14ac:dyDescent="0.35">
      <c r="F868" s="6"/>
      <c r="G868" s="6"/>
      <c r="H868" s="6"/>
      <c r="I868" s="6"/>
      <c r="J868" s="6"/>
      <c r="K868" s="6"/>
      <c r="L868" s="6"/>
      <c r="M868" s="6"/>
      <c r="N868" s="6"/>
      <c r="O868" s="6"/>
      <c r="P868" s="6"/>
      <c r="Q868" s="6"/>
      <c r="S868" s="6"/>
    </row>
    <row r="869" spans="6:19" ht="14.25" customHeight="1" x14ac:dyDescent="0.35">
      <c r="F869" s="6"/>
      <c r="G869" s="6"/>
      <c r="H869" s="6"/>
      <c r="I869" s="6"/>
      <c r="J869" s="6"/>
      <c r="K869" s="6"/>
      <c r="L869" s="6"/>
      <c r="M869" s="6"/>
      <c r="N869" s="6"/>
      <c r="O869" s="6"/>
      <c r="P869" s="6"/>
      <c r="Q869" s="6"/>
      <c r="S869" s="6"/>
    </row>
    <row r="870" spans="6:19" ht="14.25" customHeight="1" x14ac:dyDescent="0.35">
      <c r="F870" s="6"/>
      <c r="G870" s="6"/>
      <c r="H870" s="6"/>
      <c r="I870" s="6"/>
      <c r="J870" s="6"/>
      <c r="K870" s="6"/>
      <c r="L870" s="6"/>
      <c r="M870" s="6"/>
      <c r="N870" s="6"/>
      <c r="O870" s="6"/>
      <c r="P870" s="6"/>
      <c r="Q870" s="6"/>
      <c r="S870" s="6"/>
    </row>
    <row r="871" spans="6:19" ht="14.25" customHeight="1" x14ac:dyDescent="0.35">
      <c r="F871" s="6"/>
      <c r="G871" s="6"/>
      <c r="H871" s="6"/>
      <c r="I871" s="6"/>
      <c r="J871" s="6"/>
      <c r="K871" s="6"/>
      <c r="L871" s="6"/>
      <c r="M871" s="6"/>
      <c r="N871" s="6"/>
      <c r="O871" s="6"/>
      <c r="P871" s="6"/>
      <c r="Q871" s="6"/>
      <c r="S871" s="6"/>
    </row>
    <row r="872" spans="6:19" ht="14.25" customHeight="1" x14ac:dyDescent="0.35">
      <c r="F872" s="6"/>
      <c r="G872" s="6"/>
      <c r="H872" s="6"/>
      <c r="I872" s="6"/>
      <c r="J872" s="6"/>
      <c r="K872" s="6"/>
      <c r="L872" s="6"/>
      <c r="M872" s="6"/>
      <c r="N872" s="6"/>
      <c r="O872" s="6"/>
      <c r="P872" s="6"/>
      <c r="Q872" s="6"/>
      <c r="S872" s="6"/>
    </row>
    <row r="873" spans="6:19" ht="14.25" customHeight="1" x14ac:dyDescent="0.35">
      <c r="F873" s="6"/>
      <c r="G873" s="6"/>
      <c r="H873" s="6"/>
      <c r="I873" s="6"/>
      <c r="J873" s="6"/>
      <c r="K873" s="6"/>
      <c r="L873" s="6"/>
      <c r="M873" s="6"/>
      <c r="N873" s="6"/>
      <c r="O873" s="6"/>
      <c r="P873" s="6"/>
      <c r="Q873" s="6"/>
      <c r="S873" s="6"/>
    </row>
    <row r="874" spans="6:19" ht="14.25" customHeight="1" x14ac:dyDescent="0.35">
      <c r="F874" s="6"/>
      <c r="G874" s="6"/>
      <c r="H874" s="6"/>
      <c r="I874" s="6"/>
      <c r="J874" s="6"/>
      <c r="K874" s="6"/>
      <c r="L874" s="6"/>
      <c r="M874" s="6"/>
      <c r="N874" s="6"/>
      <c r="O874" s="6"/>
      <c r="P874" s="6"/>
      <c r="Q874" s="6"/>
      <c r="S874" s="6"/>
    </row>
    <row r="875" spans="6:19" ht="14.25" customHeight="1" x14ac:dyDescent="0.35">
      <c r="F875" s="6"/>
      <c r="G875" s="6"/>
      <c r="H875" s="6"/>
      <c r="I875" s="6"/>
      <c r="J875" s="6"/>
      <c r="K875" s="6"/>
      <c r="L875" s="6"/>
      <c r="M875" s="6"/>
      <c r="N875" s="6"/>
      <c r="O875" s="6"/>
      <c r="P875" s="6"/>
      <c r="Q875" s="6"/>
      <c r="S875" s="6"/>
    </row>
    <row r="876" spans="6:19" ht="14.25" customHeight="1" x14ac:dyDescent="0.35">
      <c r="F876" s="6"/>
      <c r="G876" s="6"/>
      <c r="H876" s="6"/>
      <c r="I876" s="6"/>
      <c r="J876" s="6"/>
      <c r="K876" s="6"/>
      <c r="L876" s="6"/>
      <c r="M876" s="6"/>
      <c r="N876" s="6"/>
      <c r="O876" s="6"/>
      <c r="P876" s="6"/>
      <c r="Q876" s="6"/>
      <c r="S876" s="6"/>
    </row>
    <row r="877" spans="6:19" ht="14.25" customHeight="1" x14ac:dyDescent="0.35">
      <c r="F877" s="6"/>
      <c r="G877" s="6"/>
      <c r="H877" s="6"/>
      <c r="I877" s="6"/>
      <c r="J877" s="6"/>
      <c r="K877" s="6"/>
      <c r="L877" s="6"/>
      <c r="M877" s="6"/>
      <c r="N877" s="6"/>
      <c r="O877" s="6"/>
      <c r="P877" s="6"/>
      <c r="Q877" s="6"/>
      <c r="S877" s="6"/>
    </row>
    <row r="878" spans="6:19" ht="14.25" customHeight="1" x14ac:dyDescent="0.35">
      <c r="F878" s="6"/>
      <c r="G878" s="6"/>
      <c r="H878" s="6"/>
      <c r="I878" s="6"/>
      <c r="J878" s="6"/>
      <c r="K878" s="6"/>
      <c r="L878" s="6"/>
      <c r="M878" s="6"/>
      <c r="N878" s="6"/>
      <c r="O878" s="6"/>
      <c r="P878" s="6"/>
      <c r="Q878" s="6"/>
      <c r="S878" s="6"/>
    </row>
    <row r="879" spans="6:19" ht="14.25" customHeight="1" x14ac:dyDescent="0.35">
      <c r="F879" s="6"/>
      <c r="G879" s="6"/>
      <c r="H879" s="6"/>
      <c r="I879" s="6"/>
      <c r="J879" s="6"/>
      <c r="K879" s="6"/>
      <c r="L879" s="6"/>
      <c r="M879" s="6"/>
      <c r="N879" s="6"/>
      <c r="O879" s="6"/>
      <c r="P879" s="6"/>
      <c r="Q879" s="6"/>
      <c r="S879" s="6"/>
    </row>
    <row r="880" spans="6:19" ht="14.25" customHeight="1" x14ac:dyDescent="0.35">
      <c r="F880" s="6"/>
      <c r="G880" s="6"/>
      <c r="H880" s="6"/>
      <c r="I880" s="6"/>
      <c r="J880" s="6"/>
      <c r="K880" s="6"/>
      <c r="L880" s="6"/>
      <c r="M880" s="6"/>
      <c r="N880" s="6"/>
      <c r="O880" s="6"/>
      <c r="P880" s="6"/>
      <c r="Q880" s="6"/>
      <c r="S880" s="6"/>
    </row>
    <row r="881" spans="6:19" ht="14.25" customHeight="1" x14ac:dyDescent="0.35">
      <c r="F881" s="6"/>
      <c r="G881" s="6"/>
      <c r="H881" s="6"/>
      <c r="I881" s="6"/>
      <c r="J881" s="6"/>
      <c r="K881" s="6"/>
      <c r="L881" s="6"/>
      <c r="M881" s="6"/>
      <c r="N881" s="6"/>
      <c r="O881" s="6"/>
      <c r="P881" s="6"/>
      <c r="Q881" s="6"/>
      <c r="S881" s="6"/>
    </row>
    <row r="882" spans="6:19" ht="14.25" customHeight="1" x14ac:dyDescent="0.35">
      <c r="F882" s="6"/>
      <c r="G882" s="6"/>
      <c r="H882" s="6"/>
      <c r="I882" s="6"/>
      <c r="J882" s="6"/>
      <c r="K882" s="6"/>
      <c r="L882" s="6"/>
      <c r="M882" s="6"/>
      <c r="N882" s="6"/>
      <c r="O882" s="6"/>
      <c r="P882" s="6"/>
      <c r="Q882" s="6"/>
      <c r="S882" s="6"/>
    </row>
    <row r="883" spans="6:19" ht="14.25" customHeight="1" x14ac:dyDescent="0.35">
      <c r="F883" s="6"/>
      <c r="G883" s="6"/>
      <c r="H883" s="6"/>
      <c r="I883" s="6"/>
      <c r="J883" s="6"/>
      <c r="K883" s="6"/>
      <c r="L883" s="6"/>
      <c r="M883" s="6"/>
      <c r="N883" s="6"/>
      <c r="O883" s="6"/>
      <c r="P883" s="6"/>
      <c r="Q883" s="6"/>
      <c r="S883" s="6"/>
    </row>
    <row r="884" spans="6:19" ht="14.25" customHeight="1" x14ac:dyDescent="0.35">
      <c r="F884" s="6"/>
      <c r="G884" s="6"/>
      <c r="H884" s="6"/>
      <c r="I884" s="6"/>
      <c r="J884" s="6"/>
      <c r="K884" s="6"/>
      <c r="L884" s="6"/>
      <c r="M884" s="6"/>
      <c r="N884" s="6"/>
      <c r="O884" s="6"/>
      <c r="P884" s="6"/>
      <c r="Q884" s="6"/>
      <c r="S884" s="6"/>
    </row>
    <row r="885" spans="6:19" ht="14.25" customHeight="1" x14ac:dyDescent="0.35">
      <c r="F885" s="6"/>
      <c r="G885" s="6"/>
      <c r="H885" s="6"/>
      <c r="I885" s="6"/>
      <c r="J885" s="6"/>
      <c r="K885" s="6"/>
      <c r="L885" s="6"/>
      <c r="M885" s="6"/>
      <c r="N885" s="6"/>
      <c r="O885" s="6"/>
      <c r="P885" s="6"/>
      <c r="Q885" s="6"/>
      <c r="S885" s="6"/>
    </row>
    <row r="886" spans="6:19" ht="14.25" customHeight="1" x14ac:dyDescent="0.35">
      <c r="F886" s="6"/>
      <c r="G886" s="6"/>
      <c r="H886" s="6"/>
      <c r="I886" s="6"/>
      <c r="J886" s="6"/>
      <c r="K886" s="6"/>
      <c r="L886" s="6"/>
      <c r="M886" s="6"/>
      <c r="N886" s="6"/>
      <c r="O886" s="6"/>
      <c r="P886" s="6"/>
      <c r="Q886" s="6"/>
      <c r="S886" s="6"/>
    </row>
    <row r="887" spans="6:19" ht="14.25" customHeight="1" x14ac:dyDescent="0.35">
      <c r="F887" s="6"/>
      <c r="G887" s="6"/>
      <c r="H887" s="6"/>
      <c r="I887" s="6"/>
      <c r="J887" s="6"/>
      <c r="K887" s="6"/>
      <c r="L887" s="6"/>
      <c r="M887" s="6"/>
      <c r="N887" s="6"/>
      <c r="O887" s="6"/>
      <c r="P887" s="6"/>
      <c r="Q887" s="6"/>
      <c r="S887" s="6"/>
    </row>
    <row r="888" spans="6:19" ht="14.25" customHeight="1" x14ac:dyDescent="0.35">
      <c r="F888" s="6"/>
      <c r="G888" s="6"/>
      <c r="H888" s="6"/>
      <c r="I888" s="6"/>
      <c r="J888" s="6"/>
      <c r="K888" s="6"/>
      <c r="L888" s="6"/>
      <c r="M888" s="6"/>
      <c r="N888" s="6"/>
      <c r="O888" s="6"/>
      <c r="P888" s="6"/>
      <c r="Q888" s="6"/>
      <c r="S888" s="6"/>
    </row>
    <row r="889" spans="6:19" ht="14.25" customHeight="1" x14ac:dyDescent="0.35">
      <c r="F889" s="6"/>
      <c r="G889" s="6"/>
      <c r="H889" s="6"/>
      <c r="I889" s="6"/>
      <c r="J889" s="6"/>
      <c r="K889" s="6"/>
      <c r="L889" s="6"/>
      <c r="M889" s="6"/>
      <c r="N889" s="6"/>
      <c r="O889" s="6"/>
      <c r="P889" s="6"/>
      <c r="Q889" s="6"/>
      <c r="S889" s="6"/>
    </row>
    <row r="890" spans="6:19" ht="14.25" customHeight="1" x14ac:dyDescent="0.35">
      <c r="F890" s="6"/>
      <c r="G890" s="6"/>
      <c r="H890" s="6"/>
      <c r="I890" s="6"/>
      <c r="J890" s="6"/>
      <c r="K890" s="6"/>
      <c r="L890" s="6"/>
      <c r="M890" s="6"/>
      <c r="N890" s="6"/>
      <c r="O890" s="6"/>
      <c r="P890" s="6"/>
      <c r="Q890" s="6"/>
      <c r="S890" s="6"/>
    </row>
    <row r="891" spans="6:19" ht="14.25" customHeight="1" x14ac:dyDescent="0.35">
      <c r="F891" s="6"/>
      <c r="G891" s="6"/>
      <c r="H891" s="6"/>
      <c r="I891" s="6"/>
      <c r="J891" s="6"/>
      <c r="K891" s="6"/>
      <c r="L891" s="6"/>
      <c r="M891" s="6"/>
      <c r="N891" s="6"/>
      <c r="O891" s="6"/>
      <c r="P891" s="6"/>
      <c r="Q891" s="6"/>
      <c r="S891" s="6"/>
    </row>
    <row r="892" spans="6:19" ht="14.25" customHeight="1" x14ac:dyDescent="0.35">
      <c r="F892" s="6"/>
      <c r="G892" s="6"/>
      <c r="H892" s="6"/>
      <c r="I892" s="6"/>
      <c r="J892" s="6"/>
      <c r="K892" s="6"/>
      <c r="L892" s="6"/>
      <c r="M892" s="6"/>
      <c r="N892" s="6"/>
      <c r="O892" s="6"/>
      <c r="P892" s="6"/>
      <c r="Q892" s="6"/>
      <c r="S892" s="6"/>
    </row>
    <row r="893" spans="6:19" ht="14.25" customHeight="1" x14ac:dyDescent="0.35">
      <c r="F893" s="6"/>
      <c r="G893" s="6"/>
      <c r="H893" s="6"/>
      <c r="I893" s="6"/>
      <c r="J893" s="6"/>
      <c r="K893" s="6"/>
      <c r="L893" s="6"/>
      <c r="M893" s="6"/>
      <c r="N893" s="6"/>
      <c r="O893" s="6"/>
      <c r="P893" s="6"/>
      <c r="Q893" s="6"/>
      <c r="S893" s="6"/>
    </row>
    <row r="894" spans="6:19" ht="14.25" customHeight="1" x14ac:dyDescent="0.35">
      <c r="F894" s="6"/>
      <c r="G894" s="6"/>
      <c r="H894" s="6"/>
      <c r="I894" s="6"/>
      <c r="J894" s="6"/>
      <c r="K894" s="6"/>
      <c r="L894" s="6"/>
      <c r="M894" s="6"/>
      <c r="N894" s="6"/>
      <c r="O894" s="6"/>
      <c r="P894" s="6"/>
      <c r="Q894" s="6"/>
      <c r="S894" s="6"/>
    </row>
    <row r="895" spans="6:19" ht="14.25" customHeight="1" x14ac:dyDescent="0.35">
      <c r="F895" s="6"/>
      <c r="G895" s="6"/>
      <c r="H895" s="6"/>
      <c r="I895" s="6"/>
      <c r="J895" s="6"/>
      <c r="K895" s="6"/>
      <c r="L895" s="6"/>
      <c r="M895" s="6"/>
      <c r="N895" s="6"/>
      <c r="O895" s="6"/>
      <c r="P895" s="6"/>
      <c r="Q895" s="6"/>
      <c r="S895" s="6"/>
    </row>
    <row r="896" spans="6:19" ht="14.25" customHeight="1" x14ac:dyDescent="0.35">
      <c r="F896" s="6"/>
      <c r="G896" s="6"/>
      <c r="H896" s="6"/>
      <c r="I896" s="6"/>
      <c r="J896" s="6"/>
      <c r="K896" s="6"/>
      <c r="L896" s="6"/>
      <c r="M896" s="6"/>
      <c r="N896" s="6"/>
      <c r="O896" s="6"/>
      <c r="P896" s="6"/>
      <c r="Q896" s="6"/>
      <c r="S896" s="6"/>
    </row>
    <row r="897" spans="6:19" ht="14.25" customHeight="1" x14ac:dyDescent="0.35">
      <c r="F897" s="6"/>
      <c r="G897" s="6"/>
      <c r="H897" s="6"/>
      <c r="I897" s="6"/>
      <c r="J897" s="6"/>
      <c r="K897" s="6"/>
      <c r="L897" s="6"/>
      <c r="M897" s="6"/>
      <c r="N897" s="6"/>
      <c r="O897" s="6"/>
      <c r="P897" s="6"/>
      <c r="Q897" s="6"/>
      <c r="S897" s="6"/>
    </row>
    <row r="898" spans="6:19" ht="14.25" customHeight="1" x14ac:dyDescent="0.35">
      <c r="F898" s="6"/>
      <c r="G898" s="6"/>
      <c r="H898" s="6"/>
      <c r="I898" s="6"/>
      <c r="J898" s="6"/>
      <c r="K898" s="6"/>
      <c r="L898" s="6"/>
      <c r="M898" s="6"/>
      <c r="N898" s="6"/>
      <c r="O898" s="6"/>
      <c r="P898" s="6"/>
      <c r="Q898" s="6"/>
      <c r="S898" s="6"/>
    </row>
    <row r="899" spans="6:19" ht="14.25" customHeight="1" x14ac:dyDescent="0.35">
      <c r="F899" s="6"/>
      <c r="G899" s="6"/>
      <c r="H899" s="6"/>
      <c r="I899" s="6"/>
      <c r="J899" s="6"/>
      <c r="K899" s="6"/>
      <c r="L899" s="6"/>
      <c r="M899" s="6"/>
      <c r="N899" s="6"/>
      <c r="O899" s="6"/>
      <c r="P899" s="6"/>
      <c r="Q899" s="6"/>
      <c r="S899" s="6"/>
    </row>
    <row r="900" spans="6:19" ht="14.25" customHeight="1" x14ac:dyDescent="0.35">
      <c r="F900" s="6"/>
      <c r="G900" s="6"/>
      <c r="H900" s="6"/>
      <c r="I900" s="6"/>
      <c r="J900" s="6"/>
      <c r="K900" s="6"/>
      <c r="L900" s="6"/>
      <c r="M900" s="6"/>
      <c r="N900" s="6"/>
      <c r="O900" s="6"/>
      <c r="P900" s="6"/>
      <c r="Q900" s="6"/>
      <c r="S900" s="6"/>
    </row>
    <row r="901" spans="6:19" ht="14.25" customHeight="1" x14ac:dyDescent="0.35">
      <c r="F901" s="6"/>
      <c r="G901" s="6"/>
      <c r="H901" s="6"/>
      <c r="I901" s="6"/>
      <c r="J901" s="6"/>
      <c r="K901" s="6"/>
      <c r="L901" s="6"/>
      <c r="M901" s="6"/>
      <c r="N901" s="6"/>
      <c r="O901" s="6"/>
      <c r="P901" s="6"/>
      <c r="Q901" s="6"/>
      <c r="S901" s="6"/>
    </row>
    <row r="902" spans="6:19" ht="14.25" customHeight="1" x14ac:dyDescent="0.35">
      <c r="F902" s="6"/>
      <c r="G902" s="6"/>
      <c r="H902" s="6"/>
      <c r="I902" s="6"/>
      <c r="J902" s="6"/>
      <c r="K902" s="6"/>
      <c r="L902" s="6"/>
      <c r="M902" s="6"/>
      <c r="N902" s="6"/>
      <c r="O902" s="6"/>
      <c r="P902" s="6"/>
      <c r="Q902" s="6"/>
      <c r="S902" s="6"/>
    </row>
    <row r="903" spans="6:19" ht="14.25" customHeight="1" x14ac:dyDescent="0.35">
      <c r="F903" s="6"/>
      <c r="G903" s="6"/>
      <c r="H903" s="6"/>
      <c r="I903" s="6"/>
      <c r="J903" s="6"/>
      <c r="K903" s="6"/>
      <c r="L903" s="6"/>
      <c r="M903" s="6"/>
      <c r="N903" s="6"/>
      <c r="O903" s="6"/>
      <c r="P903" s="6"/>
      <c r="Q903" s="6"/>
      <c r="S903" s="6"/>
    </row>
    <row r="904" spans="6:19" ht="14.25" customHeight="1" x14ac:dyDescent="0.35">
      <c r="F904" s="6"/>
      <c r="G904" s="6"/>
      <c r="H904" s="6"/>
      <c r="I904" s="6"/>
      <c r="J904" s="6"/>
      <c r="K904" s="6"/>
      <c r="L904" s="6"/>
      <c r="M904" s="6"/>
      <c r="N904" s="6"/>
      <c r="O904" s="6"/>
      <c r="P904" s="6"/>
      <c r="Q904" s="6"/>
      <c r="S904" s="6"/>
    </row>
    <row r="905" spans="6:19" ht="14.25" customHeight="1" x14ac:dyDescent="0.35">
      <c r="F905" s="6"/>
      <c r="G905" s="6"/>
      <c r="H905" s="6"/>
      <c r="I905" s="6"/>
      <c r="J905" s="6"/>
      <c r="K905" s="6"/>
      <c r="L905" s="6"/>
      <c r="M905" s="6"/>
      <c r="N905" s="6"/>
      <c r="O905" s="6"/>
      <c r="P905" s="6"/>
      <c r="Q905" s="6"/>
      <c r="S905" s="6"/>
    </row>
    <row r="906" spans="6:19" ht="14.25" customHeight="1" x14ac:dyDescent="0.35">
      <c r="F906" s="6"/>
      <c r="G906" s="6"/>
      <c r="H906" s="6"/>
      <c r="I906" s="6"/>
      <c r="J906" s="6"/>
      <c r="K906" s="6"/>
      <c r="L906" s="6"/>
      <c r="M906" s="6"/>
      <c r="N906" s="6"/>
      <c r="O906" s="6"/>
      <c r="P906" s="6"/>
      <c r="Q906" s="6"/>
      <c r="S906" s="6"/>
    </row>
    <row r="907" spans="6:19" ht="14.25" customHeight="1" x14ac:dyDescent="0.35">
      <c r="F907" s="6"/>
      <c r="G907" s="6"/>
      <c r="H907" s="6"/>
      <c r="I907" s="6"/>
      <c r="J907" s="6"/>
      <c r="K907" s="6"/>
      <c r="L907" s="6"/>
      <c r="M907" s="6"/>
      <c r="N907" s="6"/>
      <c r="O907" s="6"/>
      <c r="P907" s="6"/>
      <c r="Q907" s="6"/>
      <c r="S907" s="6"/>
    </row>
    <row r="908" spans="6:19" ht="14.25" customHeight="1" x14ac:dyDescent="0.35">
      <c r="F908" s="6"/>
      <c r="G908" s="6"/>
      <c r="H908" s="6"/>
      <c r="I908" s="6"/>
      <c r="J908" s="6"/>
      <c r="K908" s="6"/>
      <c r="L908" s="6"/>
      <c r="M908" s="6"/>
      <c r="N908" s="6"/>
      <c r="O908" s="6"/>
      <c r="P908" s="6"/>
      <c r="Q908" s="6"/>
      <c r="S908" s="6"/>
    </row>
    <row r="909" spans="6:19" ht="14.25" customHeight="1" x14ac:dyDescent="0.35">
      <c r="F909" s="6"/>
      <c r="G909" s="6"/>
      <c r="H909" s="6"/>
      <c r="I909" s="6"/>
      <c r="J909" s="6"/>
      <c r="K909" s="6"/>
      <c r="L909" s="6"/>
      <c r="M909" s="6"/>
      <c r="N909" s="6"/>
      <c r="O909" s="6"/>
      <c r="P909" s="6"/>
      <c r="Q909" s="6"/>
      <c r="S909" s="6"/>
    </row>
    <row r="910" spans="6:19" ht="14.25" customHeight="1" x14ac:dyDescent="0.35">
      <c r="F910" s="6"/>
      <c r="G910" s="6"/>
      <c r="H910" s="6"/>
      <c r="I910" s="6"/>
      <c r="J910" s="6"/>
      <c r="K910" s="6"/>
      <c r="L910" s="6"/>
      <c r="M910" s="6"/>
      <c r="N910" s="6"/>
      <c r="O910" s="6"/>
      <c r="P910" s="6"/>
      <c r="Q910" s="6"/>
      <c r="S910" s="6"/>
    </row>
    <row r="911" spans="6:19" ht="14.25" customHeight="1" x14ac:dyDescent="0.35">
      <c r="F911" s="6"/>
      <c r="G911" s="6"/>
      <c r="H911" s="6"/>
      <c r="I911" s="6"/>
      <c r="J911" s="6"/>
      <c r="K911" s="6"/>
      <c r="L911" s="6"/>
      <c r="M911" s="6"/>
      <c r="N911" s="6"/>
      <c r="O911" s="6"/>
      <c r="P911" s="6"/>
      <c r="Q911" s="6"/>
      <c r="S911" s="6"/>
    </row>
    <row r="912" spans="6:19" ht="14.25" customHeight="1" x14ac:dyDescent="0.35">
      <c r="F912" s="6"/>
      <c r="G912" s="6"/>
      <c r="H912" s="6"/>
      <c r="I912" s="6"/>
      <c r="J912" s="6"/>
      <c r="K912" s="6"/>
      <c r="L912" s="6"/>
      <c r="M912" s="6"/>
      <c r="N912" s="6"/>
      <c r="O912" s="6"/>
      <c r="P912" s="6"/>
      <c r="Q912" s="6"/>
      <c r="S912" s="6"/>
    </row>
    <row r="913" spans="6:19" ht="14.25" customHeight="1" x14ac:dyDescent="0.35">
      <c r="F913" s="6"/>
      <c r="G913" s="6"/>
      <c r="H913" s="6"/>
      <c r="I913" s="6"/>
      <c r="J913" s="6"/>
      <c r="K913" s="6"/>
      <c r="L913" s="6"/>
      <c r="M913" s="6"/>
      <c r="N913" s="6"/>
      <c r="O913" s="6"/>
      <c r="P913" s="6"/>
      <c r="Q913" s="6"/>
      <c r="S913" s="6"/>
    </row>
    <row r="914" spans="6:19" ht="14.25" customHeight="1" x14ac:dyDescent="0.35">
      <c r="F914" s="6"/>
      <c r="G914" s="6"/>
      <c r="H914" s="6"/>
      <c r="I914" s="6"/>
      <c r="J914" s="6"/>
      <c r="K914" s="6"/>
      <c r="L914" s="6"/>
      <c r="M914" s="6"/>
      <c r="N914" s="6"/>
      <c r="O914" s="6"/>
      <c r="P914" s="6"/>
      <c r="Q914" s="6"/>
      <c r="S914" s="6"/>
    </row>
    <row r="915" spans="6:19" ht="14.25" customHeight="1" x14ac:dyDescent="0.35">
      <c r="F915" s="6"/>
      <c r="G915" s="6"/>
      <c r="H915" s="6"/>
      <c r="I915" s="6"/>
      <c r="J915" s="6"/>
      <c r="K915" s="6"/>
      <c r="L915" s="6"/>
      <c r="M915" s="6"/>
      <c r="N915" s="6"/>
      <c r="O915" s="6"/>
      <c r="P915" s="6"/>
      <c r="Q915" s="6"/>
      <c r="S915" s="6"/>
    </row>
    <row r="916" spans="6:19" ht="14.25" customHeight="1" x14ac:dyDescent="0.35">
      <c r="F916" s="6"/>
      <c r="G916" s="6"/>
      <c r="H916" s="6"/>
      <c r="I916" s="6"/>
      <c r="J916" s="6"/>
      <c r="K916" s="6"/>
      <c r="L916" s="6"/>
      <c r="M916" s="6"/>
      <c r="N916" s="6"/>
      <c r="O916" s="6"/>
      <c r="P916" s="6"/>
      <c r="Q916" s="6"/>
      <c r="S916" s="6"/>
    </row>
    <row r="917" spans="6:19" ht="14.25" customHeight="1" x14ac:dyDescent="0.35">
      <c r="F917" s="6"/>
      <c r="G917" s="6"/>
      <c r="H917" s="6"/>
      <c r="I917" s="6"/>
      <c r="J917" s="6"/>
      <c r="K917" s="6"/>
      <c r="L917" s="6"/>
      <c r="M917" s="6"/>
      <c r="N917" s="6"/>
      <c r="O917" s="6"/>
      <c r="P917" s="6"/>
      <c r="Q917" s="6"/>
      <c r="S917" s="6"/>
    </row>
    <row r="918" spans="6:19" ht="14.25" customHeight="1" x14ac:dyDescent="0.35">
      <c r="F918" s="6"/>
      <c r="G918" s="6"/>
      <c r="H918" s="6"/>
      <c r="I918" s="6"/>
      <c r="J918" s="6"/>
      <c r="K918" s="6"/>
      <c r="L918" s="6"/>
      <c r="M918" s="6"/>
      <c r="N918" s="6"/>
      <c r="O918" s="6"/>
      <c r="P918" s="6"/>
      <c r="Q918" s="6"/>
      <c r="S918" s="6"/>
    </row>
    <row r="919" spans="6:19" ht="14.25" customHeight="1" x14ac:dyDescent="0.35">
      <c r="F919" s="6"/>
      <c r="G919" s="6"/>
      <c r="H919" s="6"/>
      <c r="I919" s="6"/>
      <c r="J919" s="6"/>
      <c r="K919" s="6"/>
      <c r="L919" s="6"/>
      <c r="M919" s="6"/>
      <c r="N919" s="6"/>
      <c r="O919" s="6"/>
      <c r="P919" s="6"/>
      <c r="Q919" s="6"/>
      <c r="S919" s="6"/>
    </row>
    <row r="920" spans="6:19" ht="14.25" customHeight="1" x14ac:dyDescent="0.35">
      <c r="F920" s="6"/>
      <c r="G920" s="6"/>
      <c r="H920" s="6"/>
      <c r="I920" s="6"/>
      <c r="J920" s="6"/>
      <c r="K920" s="6"/>
      <c r="L920" s="6"/>
      <c r="M920" s="6"/>
      <c r="N920" s="6"/>
      <c r="O920" s="6"/>
      <c r="P920" s="6"/>
      <c r="Q920" s="6"/>
      <c r="S920" s="6"/>
    </row>
    <row r="921" spans="6:19" ht="14.25" customHeight="1" x14ac:dyDescent="0.35">
      <c r="F921" s="6"/>
      <c r="G921" s="6"/>
      <c r="H921" s="6"/>
      <c r="I921" s="6"/>
      <c r="J921" s="6"/>
      <c r="K921" s="6"/>
      <c r="L921" s="6"/>
      <c r="M921" s="6"/>
      <c r="N921" s="6"/>
      <c r="O921" s="6"/>
      <c r="P921" s="6"/>
      <c r="Q921" s="6"/>
      <c r="S921" s="6"/>
    </row>
    <row r="922" spans="6:19" ht="14.25" customHeight="1" x14ac:dyDescent="0.35">
      <c r="F922" s="6"/>
      <c r="G922" s="6"/>
      <c r="H922" s="6"/>
      <c r="I922" s="6"/>
      <c r="J922" s="6"/>
      <c r="K922" s="6"/>
      <c r="L922" s="6"/>
      <c r="M922" s="6"/>
      <c r="N922" s="6"/>
      <c r="O922" s="6"/>
      <c r="P922" s="6"/>
      <c r="Q922" s="6"/>
      <c r="S922" s="6"/>
    </row>
    <row r="923" spans="6:19" ht="14.25" customHeight="1" x14ac:dyDescent="0.35">
      <c r="F923" s="6"/>
      <c r="G923" s="6"/>
      <c r="H923" s="6"/>
      <c r="I923" s="6"/>
      <c r="J923" s="6"/>
      <c r="K923" s="6"/>
      <c r="L923" s="6"/>
      <c r="M923" s="6"/>
      <c r="N923" s="6"/>
      <c r="O923" s="6"/>
      <c r="P923" s="6"/>
      <c r="Q923" s="6"/>
      <c r="S923" s="6"/>
    </row>
    <row r="924" spans="6:19" ht="14.25" customHeight="1" x14ac:dyDescent="0.35">
      <c r="F924" s="6"/>
      <c r="G924" s="6"/>
      <c r="H924" s="6"/>
      <c r="I924" s="6"/>
      <c r="J924" s="6"/>
      <c r="K924" s="6"/>
      <c r="L924" s="6"/>
      <c r="M924" s="6"/>
      <c r="N924" s="6"/>
      <c r="O924" s="6"/>
      <c r="P924" s="6"/>
      <c r="Q924" s="6"/>
      <c r="S924" s="6"/>
    </row>
    <row r="925" spans="6:19" ht="14.25" customHeight="1" x14ac:dyDescent="0.35">
      <c r="F925" s="6"/>
      <c r="G925" s="6"/>
      <c r="H925" s="6"/>
      <c r="I925" s="6"/>
      <c r="J925" s="6"/>
      <c r="K925" s="6"/>
      <c r="L925" s="6"/>
      <c r="M925" s="6"/>
      <c r="N925" s="6"/>
      <c r="O925" s="6"/>
      <c r="P925" s="6"/>
      <c r="Q925" s="6"/>
      <c r="S925" s="6"/>
    </row>
    <row r="926" spans="6:19" ht="14.25" customHeight="1" x14ac:dyDescent="0.35">
      <c r="F926" s="6"/>
      <c r="G926" s="6"/>
      <c r="H926" s="6"/>
      <c r="I926" s="6"/>
      <c r="J926" s="6"/>
      <c r="K926" s="6"/>
      <c r="L926" s="6"/>
      <c r="M926" s="6"/>
      <c r="N926" s="6"/>
      <c r="O926" s="6"/>
      <c r="P926" s="6"/>
      <c r="Q926" s="6"/>
      <c r="S926" s="6"/>
    </row>
    <row r="927" spans="6:19" ht="14.25" customHeight="1" x14ac:dyDescent="0.35">
      <c r="F927" s="6"/>
      <c r="G927" s="6"/>
      <c r="H927" s="6"/>
      <c r="I927" s="6"/>
      <c r="J927" s="6"/>
      <c r="K927" s="6"/>
      <c r="L927" s="6"/>
      <c r="M927" s="6"/>
      <c r="N927" s="6"/>
      <c r="O927" s="6"/>
      <c r="P927" s="6"/>
      <c r="Q927" s="6"/>
      <c r="S927" s="6"/>
    </row>
    <row r="928" spans="6:19" ht="14.25" customHeight="1" x14ac:dyDescent="0.35">
      <c r="F928" s="6"/>
      <c r="G928" s="6"/>
      <c r="H928" s="6"/>
      <c r="I928" s="6"/>
      <c r="J928" s="6"/>
      <c r="K928" s="6"/>
      <c r="L928" s="6"/>
      <c r="M928" s="6"/>
      <c r="N928" s="6"/>
      <c r="O928" s="6"/>
      <c r="P928" s="6"/>
      <c r="Q928" s="6"/>
      <c r="S928" s="6"/>
    </row>
    <row r="929" spans="6:19" ht="14.25" customHeight="1" x14ac:dyDescent="0.35">
      <c r="F929" s="6"/>
      <c r="G929" s="6"/>
      <c r="H929" s="6"/>
      <c r="I929" s="6"/>
      <c r="J929" s="6"/>
      <c r="K929" s="6"/>
      <c r="L929" s="6"/>
      <c r="M929" s="6"/>
      <c r="N929" s="6"/>
      <c r="O929" s="6"/>
      <c r="P929" s="6"/>
      <c r="Q929" s="6"/>
      <c r="S929" s="6"/>
    </row>
    <row r="930" spans="6:19" ht="14.25" customHeight="1" x14ac:dyDescent="0.35">
      <c r="F930" s="6"/>
      <c r="G930" s="6"/>
      <c r="H930" s="6"/>
      <c r="I930" s="6"/>
      <c r="J930" s="6"/>
      <c r="K930" s="6"/>
      <c r="L930" s="6"/>
      <c r="M930" s="6"/>
      <c r="N930" s="6"/>
      <c r="O930" s="6"/>
      <c r="P930" s="6"/>
      <c r="Q930" s="6"/>
      <c r="S930" s="6"/>
    </row>
    <row r="931" spans="6:19" ht="14.25" customHeight="1" x14ac:dyDescent="0.35">
      <c r="F931" s="6"/>
      <c r="G931" s="6"/>
      <c r="H931" s="6"/>
      <c r="I931" s="6"/>
      <c r="J931" s="6"/>
      <c r="K931" s="6"/>
      <c r="L931" s="6"/>
      <c r="M931" s="6"/>
      <c r="N931" s="6"/>
      <c r="O931" s="6"/>
      <c r="P931" s="6"/>
      <c r="Q931" s="6"/>
      <c r="S931" s="6"/>
    </row>
    <row r="932" spans="6:19" ht="14.25" customHeight="1" x14ac:dyDescent="0.35">
      <c r="F932" s="6"/>
      <c r="G932" s="6"/>
      <c r="H932" s="6"/>
      <c r="I932" s="6"/>
      <c r="J932" s="6"/>
      <c r="K932" s="6"/>
      <c r="L932" s="6"/>
      <c r="M932" s="6"/>
      <c r="N932" s="6"/>
      <c r="O932" s="6"/>
      <c r="P932" s="6"/>
      <c r="Q932" s="6"/>
      <c r="S932" s="6"/>
    </row>
    <row r="933" spans="6:19" ht="14.25" customHeight="1" x14ac:dyDescent="0.35">
      <c r="F933" s="6"/>
      <c r="G933" s="6"/>
      <c r="H933" s="6"/>
      <c r="I933" s="6"/>
      <c r="J933" s="6"/>
      <c r="K933" s="6"/>
      <c r="L933" s="6"/>
      <c r="M933" s="6"/>
      <c r="N933" s="6"/>
      <c r="O933" s="6"/>
      <c r="P933" s="6"/>
      <c r="Q933" s="6"/>
      <c r="S933" s="6"/>
    </row>
    <row r="934" spans="6:19" ht="14.25" customHeight="1" x14ac:dyDescent="0.35">
      <c r="F934" s="6"/>
      <c r="G934" s="6"/>
      <c r="H934" s="6"/>
      <c r="I934" s="6"/>
      <c r="J934" s="6"/>
      <c r="K934" s="6"/>
      <c r="L934" s="6"/>
      <c r="M934" s="6"/>
      <c r="N934" s="6"/>
      <c r="O934" s="6"/>
      <c r="P934" s="6"/>
      <c r="Q934" s="6"/>
      <c r="S934" s="6"/>
    </row>
    <row r="935" spans="6:19" ht="14.25" customHeight="1" x14ac:dyDescent="0.35">
      <c r="F935" s="6"/>
      <c r="G935" s="6"/>
      <c r="H935" s="6"/>
      <c r="I935" s="6"/>
      <c r="J935" s="6"/>
      <c r="K935" s="6"/>
      <c r="L935" s="6"/>
      <c r="M935" s="6"/>
      <c r="N935" s="6"/>
      <c r="O935" s="6"/>
      <c r="P935" s="6"/>
      <c r="Q935" s="6"/>
      <c r="S935" s="6"/>
    </row>
    <row r="936" spans="6:19" ht="14.25" customHeight="1" x14ac:dyDescent="0.35">
      <c r="F936" s="6"/>
      <c r="G936" s="6"/>
      <c r="H936" s="6"/>
      <c r="I936" s="6"/>
      <c r="J936" s="6"/>
      <c r="K936" s="6"/>
      <c r="L936" s="6"/>
      <c r="M936" s="6"/>
      <c r="N936" s="6"/>
      <c r="O936" s="6"/>
      <c r="P936" s="6"/>
      <c r="Q936" s="6"/>
      <c r="S936" s="6"/>
    </row>
    <row r="937" spans="6:19" ht="14.25" customHeight="1" x14ac:dyDescent="0.35">
      <c r="F937" s="6"/>
      <c r="G937" s="6"/>
      <c r="H937" s="6"/>
      <c r="I937" s="6"/>
      <c r="J937" s="6"/>
      <c r="K937" s="6"/>
      <c r="L937" s="6"/>
      <c r="M937" s="6"/>
      <c r="N937" s="6"/>
      <c r="O937" s="6"/>
      <c r="P937" s="6"/>
      <c r="Q937" s="6"/>
      <c r="S937" s="6"/>
    </row>
    <row r="938" spans="6:19" ht="14.25" customHeight="1" x14ac:dyDescent="0.35">
      <c r="F938" s="6"/>
      <c r="G938" s="6"/>
      <c r="H938" s="6"/>
      <c r="I938" s="6"/>
      <c r="J938" s="6"/>
      <c r="K938" s="6"/>
      <c r="L938" s="6"/>
      <c r="M938" s="6"/>
      <c r="N938" s="6"/>
      <c r="O938" s="6"/>
      <c r="P938" s="6"/>
      <c r="Q938" s="6"/>
      <c r="S938" s="6"/>
    </row>
    <row r="939" spans="6:19" ht="14.25" customHeight="1" x14ac:dyDescent="0.35">
      <c r="F939" s="6"/>
      <c r="G939" s="6"/>
      <c r="H939" s="6"/>
      <c r="I939" s="6"/>
      <c r="J939" s="6"/>
      <c r="K939" s="6"/>
      <c r="L939" s="6"/>
      <c r="M939" s="6"/>
      <c r="N939" s="6"/>
      <c r="O939" s="6"/>
      <c r="P939" s="6"/>
      <c r="Q939" s="6"/>
      <c r="S939" s="6"/>
    </row>
    <row r="940" spans="6:19" ht="14.25" customHeight="1" x14ac:dyDescent="0.35">
      <c r="F940" s="6"/>
      <c r="G940" s="6"/>
      <c r="H940" s="6"/>
      <c r="I940" s="6"/>
      <c r="J940" s="6"/>
      <c r="K940" s="6"/>
      <c r="L940" s="6"/>
      <c r="M940" s="6"/>
      <c r="N940" s="6"/>
      <c r="O940" s="6"/>
      <c r="P940" s="6"/>
      <c r="Q940" s="6"/>
      <c r="S940" s="6"/>
    </row>
    <row r="941" spans="6:19" ht="14.25" customHeight="1" x14ac:dyDescent="0.35">
      <c r="F941" s="6"/>
      <c r="G941" s="6"/>
      <c r="H941" s="6"/>
      <c r="I941" s="6"/>
      <c r="J941" s="6"/>
      <c r="K941" s="6"/>
      <c r="L941" s="6"/>
      <c r="M941" s="6"/>
      <c r="N941" s="6"/>
      <c r="O941" s="6"/>
      <c r="P941" s="6"/>
      <c r="Q941" s="6"/>
      <c r="S941" s="6"/>
    </row>
    <row r="942" spans="6:19" ht="14.25" customHeight="1" x14ac:dyDescent="0.35">
      <c r="F942" s="6"/>
      <c r="G942" s="6"/>
      <c r="H942" s="6"/>
      <c r="I942" s="6"/>
      <c r="J942" s="6"/>
      <c r="K942" s="6"/>
      <c r="L942" s="6"/>
      <c r="M942" s="6"/>
      <c r="N942" s="6"/>
      <c r="O942" s="6"/>
      <c r="P942" s="6"/>
      <c r="Q942" s="6"/>
      <c r="S942" s="6"/>
    </row>
    <row r="943" spans="6:19" ht="14.25" customHeight="1" x14ac:dyDescent="0.35">
      <c r="F943" s="6"/>
      <c r="G943" s="6"/>
      <c r="H943" s="6"/>
      <c r="I943" s="6"/>
      <c r="J943" s="6"/>
      <c r="K943" s="6"/>
      <c r="L943" s="6"/>
      <c r="M943" s="6"/>
      <c r="N943" s="6"/>
      <c r="O943" s="6"/>
      <c r="P943" s="6"/>
      <c r="Q943" s="6"/>
      <c r="S943" s="6"/>
    </row>
    <row r="944" spans="6:19" ht="14.25" customHeight="1" x14ac:dyDescent="0.35">
      <c r="F944" s="6"/>
      <c r="G944" s="6"/>
      <c r="H944" s="6"/>
      <c r="I944" s="6"/>
      <c r="J944" s="6"/>
      <c r="K944" s="6"/>
      <c r="L944" s="6"/>
      <c r="M944" s="6"/>
      <c r="N944" s="6"/>
      <c r="O944" s="6"/>
      <c r="P944" s="6"/>
      <c r="Q944" s="6"/>
      <c r="S944" s="6"/>
    </row>
    <row r="945" spans="6:19" ht="14.25" customHeight="1" x14ac:dyDescent="0.35">
      <c r="F945" s="6"/>
      <c r="G945" s="6"/>
      <c r="H945" s="6"/>
      <c r="I945" s="6"/>
      <c r="J945" s="6"/>
      <c r="K945" s="6"/>
      <c r="L945" s="6"/>
      <c r="M945" s="6"/>
      <c r="N945" s="6"/>
      <c r="O945" s="6"/>
      <c r="P945" s="6"/>
      <c r="Q945" s="6"/>
      <c r="S945" s="6"/>
    </row>
    <row r="946" spans="6:19" ht="14.25" customHeight="1" x14ac:dyDescent="0.35">
      <c r="F946" s="6"/>
      <c r="G946" s="6"/>
      <c r="H946" s="6"/>
      <c r="I946" s="6"/>
      <c r="J946" s="6"/>
      <c r="K946" s="6"/>
      <c r="L946" s="6"/>
      <c r="M946" s="6"/>
      <c r="N946" s="6"/>
      <c r="O946" s="6"/>
      <c r="P946" s="6"/>
      <c r="Q946" s="6"/>
      <c r="S946" s="6"/>
    </row>
    <row r="947" spans="6:19" ht="14.25" customHeight="1" x14ac:dyDescent="0.35">
      <c r="F947" s="6"/>
      <c r="G947" s="6"/>
      <c r="H947" s="6"/>
      <c r="I947" s="6"/>
      <c r="J947" s="6"/>
      <c r="K947" s="6"/>
      <c r="L947" s="6"/>
      <c r="M947" s="6"/>
      <c r="N947" s="6"/>
      <c r="O947" s="6"/>
      <c r="P947" s="6"/>
      <c r="Q947" s="6"/>
      <c r="S947" s="6"/>
    </row>
    <row r="948" spans="6:19" ht="14.25" customHeight="1" x14ac:dyDescent="0.35">
      <c r="F948" s="6"/>
      <c r="G948" s="6"/>
      <c r="H948" s="6"/>
      <c r="I948" s="6"/>
      <c r="J948" s="6"/>
      <c r="K948" s="6"/>
      <c r="L948" s="6"/>
      <c r="M948" s="6"/>
      <c r="N948" s="6"/>
      <c r="O948" s="6"/>
      <c r="P948" s="6"/>
      <c r="Q948" s="6"/>
      <c r="S948" s="6"/>
    </row>
    <row r="949" spans="6:19" ht="14.25" customHeight="1" x14ac:dyDescent="0.35">
      <c r="F949" s="6"/>
      <c r="G949" s="6"/>
      <c r="H949" s="6"/>
      <c r="I949" s="6"/>
      <c r="J949" s="6"/>
      <c r="K949" s="6"/>
      <c r="L949" s="6"/>
      <c r="M949" s="6"/>
      <c r="N949" s="6"/>
      <c r="O949" s="6"/>
      <c r="P949" s="6"/>
      <c r="Q949" s="6"/>
      <c r="S949" s="6"/>
    </row>
    <row r="950" spans="6:19" ht="14.25" customHeight="1" x14ac:dyDescent="0.35">
      <c r="F950" s="6"/>
      <c r="G950" s="6"/>
      <c r="H950" s="6"/>
      <c r="I950" s="6"/>
      <c r="J950" s="6"/>
      <c r="K950" s="6"/>
      <c r="L950" s="6"/>
      <c r="M950" s="6"/>
      <c r="N950" s="6"/>
      <c r="O950" s="6"/>
      <c r="P950" s="6"/>
      <c r="Q950" s="6"/>
      <c r="S950" s="6"/>
    </row>
    <row r="951" spans="6:19" ht="14.25" customHeight="1" x14ac:dyDescent="0.35">
      <c r="F951" s="6"/>
      <c r="G951" s="6"/>
      <c r="H951" s="6"/>
      <c r="I951" s="6"/>
      <c r="J951" s="6"/>
      <c r="K951" s="6"/>
      <c r="L951" s="6"/>
      <c r="M951" s="6"/>
      <c r="N951" s="6"/>
      <c r="O951" s="6"/>
      <c r="P951" s="6"/>
      <c r="Q951" s="6"/>
      <c r="S951" s="6"/>
    </row>
    <row r="952" spans="6:19" ht="14.25" customHeight="1" x14ac:dyDescent="0.35">
      <c r="F952" s="6"/>
      <c r="G952" s="6"/>
      <c r="H952" s="6"/>
      <c r="I952" s="6"/>
      <c r="J952" s="6"/>
      <c r="K952" s="6"/>
      <c r="L952" s="6"/>
      <c r="M952" s="6"/>
      <c r="N952" s="6"/>
      <c r="O952" s="6"/>
      <c r="P952" s="6"/>
      <c r="Q952" s="6"/>
      <c r="S952" s="6"/>
    </row>
    <row r="953" spans="6:19" ht="14.25" customHeight="1" x14ac:dyDescent="0.35">
      <c r="F953" s="6"/>
      <c r="G953" s="6"/>
      <c r="H953" s="6"/>
      <c r="I953" s="6"/>
      <c r="J953" s="6"/>
      <c r="K953" s="6"/>
      <c r="L953" s="6"/>
      <c r="M953" s="6"/>
      <c r="N953" s="6"/>
      <c r="O953" s="6"/>
      <c r="P953" s="6"/>
      <c r="Q953" s="6"/>
      <c r="S953" s="6"/>
    </row>
    <row r="954" spans="6:19" ht="14.25" customHeight="1" x14ac:dyDescent="0.35">
      <c r="F954" s="6"/>
      <c r="G954" s="6"/>
      <c r="H954" s="6"/>
      <c r="I954" s="6"/>
      <c r="J954" s="6"/>
      <c r="K954" s="6"/>
      <c r="L954" s="6"/>
      <c r="M954" s="6"/>
      <c r="N954" s="6"/>
      <c r="O954" s="6"/>
      <c r="P954" s="6"/>
      <c r="Q954" s="6"/>
      <c r="S954" s="6"/>
    </row>
    <row r="955" spans="6:19" ht="14.25" customHeight="1" x14ac:dyDescent="0.35">
      <c r="F955" s="6"/>
      <c r="G955" s="6"/>
      <c r="H955" s="6"/>
      <c r="I955" s="6"/>
      <c r="J955" s="6"/>
      <c r="K955" s="6"/>
      <c r="L955" s="6"/>
      <c r="M955" s="6"/>
      <c r="N955" s="6"/>
      <c r="O955" s="6"/>
      <c r="P955" s="6"/>
      <c r="Q955" s="6"/>
      <c r="S955" s="6"/>
    </row>
    <row r="956" spans="6:19" ht="14.25" customHeight="1" x14ac:dyDescent="0.35">
      <c r="F956" s="6"/>
      <c r="G956" s="6"/>
      <c r="H956" s="6"/>
      <c r="I956" s="6"/>
      <c r="J956" s="6"/>
      <c r="K956" s="6"/>
      <c r="L956" s="6"/>
      <c r="M956" s="6"/>
      <c r="N956" s="6"/>
      <c r="O956" s="6"/>
      <c r="P956" s="6"/>
      <c r="Q956" s="6"/>
      <c r="S956" s="6"/>
    </row>
    <row r="957" spans="6:19" ht="14.25" customHeight="1" x14ac:dyDescent="0.35">
      <c r="F957" s="6"/>
      <c r="G957" s="6"/>
      <c r="H957" s="6"/>
      <c r="I957" s="6"/>
      <c r="J957" s="6"/>
      <c r="K957" s="6"/>
      <c r="L957" s="6"/>
      <c r="M957" s="6"/>
      <c r="N957" s="6"/>
      <c r="O957" s="6"/>
      <c r="P957" s="6"/>
      <c r="Q957" s="6"/>
      <c r="S957" s="6"/>
    </row>
    <row r="958" spans="6:19" ht="14.25" customHeight="1" x14ac:dyDescent="0.35">
      <c r="F958" s="6"/>
      <c r="G958" s="6"/>
      <c r="H958" s="6"/>
      <c r="I958" s="6"/>
      <c r="J958" s="6"/>
      <c r="K958" s="6"/>
      <c r="L958" s="6"/>
      <c r="M958" s="6"/>
      <c r="N958" s="6"/>
      <c r="O958" s="6"/>
      <c r="P958" s="6"/>
      <c r="Q958" s="6"/>
      <c r="S958" s="6"/>
    </row>
    <row r="959" spans="6:19" ht="14.25" customHeight="1" x14ac:dyDescent="0.35">
      <c r="F959" s="6"/>
      <c r="G959" s="6"/>
      <c r="H959" s="6"/>
      <c r="I959" s="6"/>
      <c r="J959" s="6"/>
      <c r="K959" s="6"/>
      <c r="L959" s="6"/>
      <c r="M959" s="6"/>
      <c r="N959" s="6"/>
      <c r="O959" s="6"/>
      <c r="P959" s="6"/>
      <c r="Q959" s="6"/>
      <c r="S959" s="6"/>
    </row>
    <row r="960" spans="6:19" ht="14.25" customHeight="1" x14ac:dyDescent="0.35">
      <c r="F960" s="6"/>
      <c r="G960" s="6"/>
      <c r="H960" s="6"/>
      <c r="I960" s="6"/>
      <c r="J960" s="6"/>
      <c r="K960" s="6"/>
      <c r="L960" s="6"/>
      <c r="M960" s="6"/>
      <c r="N960" s="6"/>
      <c r="O960" s="6"/>
      <c r="P960" s="6"/>
      <c r="Q960" s="6"/>
      <c r="S960" s="6"/>
    </row>
    <row r="961" spans="6:19" ht="14.25" customHeight="1" x14ac:dyDescent="0.35">
      <c r="F961" s="6"/>
      <c r="G961" s="6"/>
      <c r="H961" s="6"/>
      <c r="I961" s="6"/>
      <c r="J961" s="6"/>
      <c r="K961" s="6"/>
      <c r="L961" s="6"/>
      <c r="M961" s="6"/>
      <c r="N961" s="6"/>
      <c r="O961" s="6"/>
      <c r="P961" s="6"/>
      <c r="Q961" s="6"/>
      <c r="S961" s="6"/>
    </row>
    <row r="962" spans="6:19" ht="14.25" customHeight="1" x14ac:dyDescent="0.35">
      <c r="F962" s="6"/>
      <c r="G962" s="6"/>
      <c r="H962" s="6"/>
      <c r="I962" s="6"/>
      <c r="J962" s="6"/>
      <c r="K962" s="6"/>
      <c r="L962" s="6"/>
      <c r="M962" s="6"/>
      <c r="N962" s="6"/>
      <c r="O962" s="6"/>
      <c r="P962" s="6"/>
      <c r="Q962" s="6"/>
      <c r="S962" s="6"/>
    </row>
    <row r="963" spans="6:19" ht="14.25" customHeight="1" x14ac:dyDescent="0.35">
      <c r="F963" s="6"/>
      <c r="G963" s="6"/>
      <c r="H963" s="6"/>
      <c r="I963" s="6"/>
      <c r="J963" s="6"/>
      <c r="K963" s="6"/>
      <c r="L963" s="6"/>
      <c r="M963" s="6"/>
      <c r="N963" s="6"/>
      <c r="O963" s="6"/>
      <c r="P963" s="6"/>
      <c r="Q963" s="6"/>
      <c r="S963" s="6"/>
    </row>
    <row r="964" spans="6:19" ht="14.25" customHeight="1" x14ac:dyDescent="0.35">
      <c r="F964" s="6"/>
      <c r="G964" s="6"/>
      <c r="H964" s="6"/>
      <c r="I964" s="6"/>
      <c r="J964" s="6"/>
      <c r="K964" s="6"/>
      <c r="L964" s="6"/>
      <c r="M964" s="6"/>
      <c r="N964" s="6"/>
      <c r="O964" s="6"/>
      <c r="P964" s="6"/>
      <c r="Q964" s="6"/>
      <c r="S964" s="6"/>
    </row>
    <row r="965" spans="6:19" ht="14.25" customHeight="1" x14ac:dyDescent="0.35">
      <c r="F965" s="6"/>
      <c r="G965" s="6"/>
      <c r="H965" s="6"/>
      <c r="I965" s="6"/>
      <c r="J965" s="6"/>
      <c r="K965" s="6"/>
      <c r="L965" s="6"/>
      <c r="M965" s="6"/>
      <c r="N965" s="6"/>
      <c r="O965" s="6"/>
      <c r="P965" s="6"/>
      <c r="Q965" s="6"/>
      <c r="S965" s="6"/>
    </row>
    <row r="966" spans="6:19" ht="14.25" customHeight="1" x14ac:dyDescent="0.35">
      <c r="F966" s="6"/>
      <c r="G966" s="6"/>
      <c r="H966" s="6"/>
      <c r="I966" s="6"/>
      <c r="J966" s="6"/>
      <c r="K966" s="6"/>
      <c r="L966" s="6"/>
      <c r="M966" s="6"/>
      <c r="N966" s="6"/>
      <c r="O966" s="6"/>
      <c r="P966" s="6"/>
      <c r="Q966" s="6"/>
      <c r="S966" s="6"/>
    </row>
    <row r="967" spans="6:19" ht="14.25" customHeight="1" x14ac:dyDescent="0.35">
      <c r="F967" s="6"/>
      <c r="G967" s="6"/>
      <c r="H967" s="6"/>
      <c r="I967" s="6"/>
      <c r="J967" s="6"/>
      <c r="K967" s="6"/>
      <c r="L967" s="6"/>
      <c r="M967" s="6"/>
      <c r="N967" s="6"/>
      <c r="O967" s="6"/>
      <c r="P967" s="6"/>
      <c r="Q967" s="6"/>
      <c r="S967" s="6"/>
    </row>
    <row r="968" spans="6:19" ht="14.25" customHeight="1" x14ac:dyDescent="0.35">
      <c r="F968" s="6"/>
      <c r="G968" s="6"/>
      <c r="H968" s="6"/>
      <c r="I968" s="6"/>
      <c r="J968" s="6"/>
      <c r="K968" s="6"/>
      <c r="L968" s="6"/>
      <c r="M968" s="6"/>
      <c r="N968" s="6"/>
      <c r="O968" s="6"/>
      <c r="P968" s="6"/>
      <c r="Q968" s="6"/>
      <c r="S968" s="6"/>
    </row>
    <row r="969" spans="6:19" ht="14.25" customHeight="1" x14ac:dyDescent="0.35">
      <c r="F969" s="6"/>
      <c r="G969" s="6"/>
      <c r="H969" s="6"/>
      <c r="I969" s="6"/>
      <c r="J969" s="6"/>
      <c r="K969" s="6"/>
      <c r="L969" s="6"/>
      <c r="M969" s="6"/>
      <c r="N969" s="6"/>
      <c r="O969" s="6"/>
      <c r="P969" s="6"/>
      <c r="Q969" s="6"/>
      <c r="S969" s="6"/>
    </row>
    <row r="970" spans="6:19" ht="14.25" customHeight="1" x14ac:dyDescent="0.35">
      <c r="F970" s="6"/>
      <c r="G970" s="6"/>
      <c r="H970" s="6"/>
      <c r="I970" s="6"/>
      <c r="J970" s="6"/>
      <c r="K970" s="6"/>
      <c r="L970" s="6"/>
      <c r="M970" s="6"/>
      <c r="N970" s="6"/>
      <c r="O970" s="6"/>
      <c r="P970" s="6"/>
      <c r="Q970" s="6"/>
      <c r="S970" s="6"/>
    </row>
    <row r="971" spans="6:19" ht="14.25" customHeight="1" x14ac:dyDescent="0.35">
      <c r="F971" s="6"/>
      <c r="G971" s="6"/>
      <c r="H971" s="6"/>
      <c r="I971" s="6"/>
      <c r="J971" s="6"/>
      <c r="K971" s="6"/>
      <c r="L971" s="6"/>
      <c r="M971" s="6"/>
      <c r="N971" s="6"/>
      <c r="O971" s="6"/>
      <c r="P971" s="6"/>
      <c r="Q971" s="6"/>
      <c r="S971" s="6"/>
    </row>
    <row r="972" spans="6:19" ht="14.25" customHeight="1" x14ac:dyDescent="0.35">
      <c r="F972" s="6"/>
      <c r="G972" s="6"/>
      <c r="H972" s="6"/>
      <c r="I972" s="6"/>
      <c r="J972" s="6"/>
      <c r="K972" s="6"/>
      <c r="L972" s="6"/>
      <c r="M972" s="6"/>
      <c r="N972" s="6"/>
      <c r="O972" s="6"/>
      <c r="P972" s="6"/>
      <c r="Q972" s="6"/>
      <c r="S972" s="6"/>
    </row>
    <row r="973" spans="6:19" ht="14.25" customHeight="1" x14ac:dyDescent="0.35">
      <c r="F973" s="6"/>
      <c r="G973" s="6"/>
      <c r="H973" s="6"/>
      <c r="I973" s="6"/>
      <c r="J973" s="6"/>
      <c r="K973" s="6"/>
      <c r="L973" s="6"/>
      <c r="M973" s="6"/>
      <c r="N973" s="6"/>
      <c r="O973" s="6"/>
      <c r="P973" s="6"/>
      <c r="Q973" s="6"/>
      <c r="S973" s="6"/>
    </row>
    <row r="974" spans="6:19" ht="14.25" customHeight="1" x14ac:dyDescent="0.35">
      <c r="F974" s="6"/>
      <c r="G974" s="6"/>
      <c r="H974" s="6"/>
      <c r="I974" s="6"/>
      <c r="J974" s="6"/>
      <c r="K974" s="6"/>
      <c r="L974" s="6"/>
      <c r="M974" s="6"/>
      <c r="N974" s="6"/>
      <c r="O974" s="6"/>
      <c r="P974" s="6"/>
      <c r="Q974" s="6"/>
      <c r="S974" s="6"/>
    </row>
    <row r="975" spans="6:19" ht="14.25" customHeight="1" x14ac:dyDescent="0.35">
      <c r="F975" s="6"/>
      <c r="G975" s="6"/>
      <c r="H975" s="6"/>
      <c r="I975" s="6"/>
      <c r="J975" s="6"/>
      <c r="K975" s="6"/>
      <c r="L975" s="6"/>
      <c r="M975" s="6"/>
      <c r="N975" s="6"/>
      <c r="O975" s="6"/>
      <c r="P975" s="6"/>
      <c r="Q975" s="6"/>
      <c r="S975" s="6"/>
    </row>
    <row r="976" spans="6:19" ht="14.25" customHeight="1" x14ac:dyDescent="0.35">
      <c r="F976" s="6"/>
      <c r="G976" s="6"/>
      <c r="H976" s="6"/>
      <c r="I976" s="6"/>
      <c r="J976" s="6"/>
      <c r="K976" s="6"/>
      <c r="L976" s="6"/>
      <c r="M976" s="6"/>
      <c r="N976" s="6"/>
      <c r="O976" s="6"/>
      <c r="P976" s="6"/>
      <c r="Q976" s="6"/>
      <c r="S976" s="6"/>
    </row>
    <row r="977" spans="6:19" ht="14.25" customHeight="1" x14ac:dyDescent="0.35">
      <c r="F977" s="6"/>
      <c r="G977" s="6"/>
      <c r="H977" s="6"/>
      <c r="I977" s="6"/>
      <c r="J977" s="6"/>
      <c r="K977" s="6"/>
      <c r="L977" s="6"/>
      <c r="M977" s="6"/>
      <c r="N977" s="6"/>
      <c r="O977" s="6"/>
      <c r="P977" s="6"/>
      <c r="Q977" s="6"/>
      <c r="S977" s="6"/>
    </row>
    <row r="978" spans="6:19" ht="14.25" customHeight="1" x14ac:dyDescent="0.35">
      <c r="F978" s="6"/>
      <c r="G978" s="6"/>
      <c r="H978" s="6"/>
      <c r="I978" s="6"/>
      <c r="J978" s="6"/>
      <c r="K978" s="6"/>
      <c r="L978" s="6"/>
      <c r="M978" s="6"/>
      <c r="N978" s="6"/>
      <c r="O978" s="6"/>
      <c r="P978" s="6"/>
      <c r="Q978" s="6"/>
      <c r="S978" s="6"/>
    </row>
    <row r="979" spans="6:19" ht="14.25" customHeight="1" x14ac:dyDescent="0.35">
      <c r="F979" s="6"/>
      <c r="G979" s="6"/>
      <c r="H979" s="6"/>
      <c r="I979" s="6"/>
      <c r="J979" s="6"/>
      <c r="K979" s="6"/>
      <c r="L979" s="6"/>
      <c r="M979" s="6"/>
      <c r="N979" s="6"/>
      <c r="O979" s="6"/>
      <c r="P979" s="6"/>
      <c r="Q979" s="6"/>
      <c r="S979" s="6"/>
    </row>
    <row r="980" spans="6:19" ht="14.25" customHeight="1" x14ac:dyDescent="0.35">
      <c r="F980" s="6"/>
      <c r="G980" s="6"/>
      <c r="H980" s="6"/>
      <c r="I980" s="6"/>
      <c r="J980" s="6"/>
      <c r="K980" s="6"/>
      <c r="L980" s="6"/>
      <c r="M980" s="6"/>
      <c r="N980" s="6"/>
      <c r="O980" s="6"/>
      <c r="P980" s="6"/>
      <c r="Q980" s="6"/>
      <c r="S980" s="6"/>
    </row>
    <row r="981" spans="6:19" ht="14.25" customHeight="1" x14ac:dyDescent="0.35">
      <c r="F981" s="6"/>
      <c r="G981" s="6"/>
      <c r="H981" s="6"/>
      <c r="I981" s="6"/>
      <c r="J981" s="6"/>
      <c r="K981" s="6"/>
      <c r="L981" s="6"/>
      <c r="M981" s="6"/>
      <c r="N981" s="6"/>
      <c r="O981" s="6"/>
      <c r="P981" s="6"/>
      <c r="Q981" s="6"/>
      <c r="S981" s="6"/>
    </row>
    <row r="982" spans="6:19" ht="14.25" customHeight="1" x14ac:dyDescent="0.35">
      <c r="F982" s="6"/>
      <c r="G982" s="6"/>
      <c r="H982" s="6"/>
      <c r="I982" s="6"/>
      <c r="J982" s="6"/>
      <c r="K982" s="6"/>
      <c r="L982" s="6"/>
      <c r="M982" s="6"/>
      <c r="N982" s="6"/>
      <c r="O982" s="6"/>
      <c r="P982" s="6"/>
      <c r="Q982" s="6"/>
      <c r="S982" s="6"/>
    </row>
    <row r="983" spans="6:19" ht="14.25" customHeight="1" x14ac:dyDescent="0.35">
      <c r="F983" s="6"/>
      <c r="G983" s="6"/>
      <c r="H983" s="6"/>
      <c r="I983" s="6"/>
      <c r="J983" s="6"/>
      <c r="K983" s="6"/>
      <c r="L983" s="6"/>
      <c r="M983" s="6"/>
      <c r="N983" s="6"/>
      <c r="O983" s="6"/>
      <c r="P983" s="6"/>
      <c r="Q983" s="6"/>
      <c r="S983" s="6"/>
    </row>
    <row r="984" spans="6:19" ht="14.25" customHeight="1" x14ac:dyDescent="0.35">
      <c r="F984" s="6"/>
      <c r="G984" s="6"/>
      <c r="H984" s="6"/>
      <c r="I984" s="6"/>
      <c r="J984" s="6"/>
      <c r="K984" s="6"/>
      <c r="L984" s="6"/>
      <c r="M984" s="6"/>
      <c r="N984" s="6"/>
      <c r="O984" s="6"/>
      <c r="P984" s="6"/>
      <c r="Q984" s="6"/>
      <c r="S984" s="6"/>
    </row>
    <row r="985" spans="6:19" ht="14.25" customHeight="1" x14ac:dyDescent="0.35">
      <c r="F985" s="6"/>
      <c r="G985" s="6"/>
      <c r="H985" s="6"/>
      <c r="I985" s="6"/>
      <c r="J985" s="6"/>
      <c r="K985" s="6"/>
      <c r="L985" s="6"/>
      <c r="M985" s="6"/>
      <c r="N985" s="6"/>
      <c r="O985" s="6"/>
      <c r="P985" s="6"/>
      <c r="Q985" s="6"/>
      <c r="S985" s="6"/>
    </row>
    <row r="986" spans="6:19" ht="14.25" customHeight="1" x14ac:dyDescent="0.35">
      <c r="F986" s="6"/>
      <c r="G986" s="6"/>
      <c r="H986" s="6"/>
      <c r="I986" s="6"/>
      <c r="J986" s="6"/>
      <c r="K986" s="6"/>
      <c r="L986" s="6"/>
      <c r="M986" s="6"/>
      <c r="N986" s="6"/>
      <c r="O986" s="6"/>
      <c r="P986" s="6"/>
      <c r="Q986" s="6"/>
      <c r="S986" s="6"/>
    </row>
    <row r="987" spans="6:19" ht="14.25" customHeight="1" x14ac:dyDescent="0.35">
      <c r="F987" s="6"/>
      <c r="G987" s="6"/>
      <c r="H987" s="6"/>
      <c r="I987" s="6"/>
      <c r="J987" s="6"/>
      <c r="K987" s="6"/>
      <c r="L987" s="6"/>
      <c r="M987" s="6"/>
      <c r="N987" s="6"/>
      <c r="O987" s="6"/>
      <c r="P987" s="6"/>
      <c r="Q987" s="6"/>
      <c r="S987" s="6"/>
    </row>
    <row r="988" spans="6:19" ht="14.25" customHeight="1" x14ac:dyDescent="0.35">
      <c r="F988" s="6"/>
      <c r="G988" s="6"/>
      <c r="H988" s="6"/>
      <c r="I988" s="6"/>
      <c r="J988" s="6"/>
      <c r="K988" s="6"/>
      <c r="L988" s="6"/>
      <c r="M988" s="6"/>
      <c r="N988" s="6"/>
      <c r="O988" s="6"/>
      <c r="P988" s="6"/>
      <c r="Q988" s="6"/>
      <c r="S988" s="6"/>
    </row>
    <row r="989" spans="6:19" ht="14.25" customHeight="1" x14ac:dyDescent="0.35">
      <c r="F989" s="6"/>
      <c r="G989" s="6"/>
      <c r="H989" s="6"/>
      <c r="I989" s="6"/>
      <c r="J989" s="6"/>
      <c r="K989" s="6"/>
      <c r="L989" s="6"/>
      <c r="M989" s="6"/>
      <c r="N989" s="6"/>
      <c r="O989" s="6"/>
      <c r="P989" s="6"/>
      <c r="Q989" s="6"/>
      <c r="S989" s="6"/>
    </row>
    <row r="990" spans="6:19" ht="14.25" customHeight="1" x14ac:dyDescent="0.35">
      <c r="F990" s="6"/>
      <c r="G990" s="6"/>
      <c r="H990" s="6"/>
      <c r="I990" s="6"/>
      <c r="J990" s="6"/>
      <c r="K990" s="6"/>
      <c r="L990" s="6"/>
      <c r="M990" s="6"/>
      <c r="N990" s="6"/>
      <c r="O990" s="6"/>
      <c r="P990" s="6"/>
      <c r="Q990" s="6"/>
      <c r="S990" s="6"/>
    </row>
    <row r="991" spans="6:19" ht="14.25" customHeight="1" x14ac:dyDescent="0.35">
      <c r="F991" s="6"/>
      <c r="G991" s="6"/>
      <c r="H991" s="6"/>
      <c r="I991" s="6"/>
      <c r="J991" s="6"/>
      <c r="K991" s="6"/>
      <c r="L991" s="6"/>
      <c r="M991" s="6"/>
      <c r="N991" s="6"/>
      <c r="O991" s="6"/>
      <c r="P991" s="6"/>
      <c r="Q991" s="6"/>
      <c r="S991" s="6"/>
    </row>
    <row r="992" spans="6:19" ht="14.25" customHeight="1" x14ac:dyDescent="0.35">
      <c r="F992" s="6"/>
      <c r="G992" s="6"/>
      <c r="H992" s="6"/>
      <c r="I992" s="6"/>
      <c r="J992" s="6"/>
      <c r="K992" s="6"/>
      <c r="L992" s="6"/>
      <c r="M992" s="6"/>
      <c r="N992" s="6"/>
      <c r="O992" s="6"/>
      <c r="P992" s="6"/>
      <c r="Q992" s="6"/>
      <c r="S992" s="6"/>
    </row>
    <row r="993" spans="6:19" ht="14.25" customHeight="1" x14ac:dyDescent="0.35">
      <c r="F993" s="6"/>
      <c r="G993" s="6"/>
      <c r="H993" s="6"/>
      <c r="I993" s="6"/>
      <c r="J993" s="6"/>
      <c r="K993" s="6"/>
      <c r="L993" s="6"/>
      <c r="M993" s="6"/>
      <c r="N993" s="6"/>
      <c r="O993" s="6"/>
      <c r="P993" s="6"/>
      <c r="Q993" s="6"/>
      <c r="S993" s="6"/>
    </row>
    <row r="994" spans="6:19" ht="14.25" customHeight="1" x14ac:dyDescent="0.35">
      <c r="F994" s="6"/>
      <c r="G994" s="6"/>
      <c r="H994" s="6"/>
      <c r="I994" s="6"/>
      <c r="J994" s="6"/>
      <c r="K994" s="6"/>
      <c r="L994" s="6"/>
      <c r="M994" s="6"/>
      <c r="N994" s="6"/>
      <c r="O994" s="6"/>
      <c r="P994" s="6"/>
      <c r="Q994" s="6"/>
      <c r="S994" s="6"/>
    </row>
    <row r="995" spans="6:19" ht="14.25" customHeight="1" x14ac:dyDescent="0.35">
      <c r="F995" s="6"/>
      <c r="G995" s="6"/>
      <c r="H995" s="6"/>
      <c r="I995" s="6"/>
      <c r="J995" s="6"/>
      <c r="K995" s="6"/>
      <c r="L995" s="6"/>
      <c r="M995" s="6"/>
      <c r="N995" s="6"/>
      <c r="O995" s="6"/>
      <c r="P995" s="6"/>
      <c r="Q995" s="6"/>
      <c r="S995" s="6"/>
    </row>
    <row r="996" spans="6:19" ht="14.25" customHeight="1" x14ac:dyDescent="0.35">
      <c r="F996" s="6"/>
      <c r="G996" s="6"/>
      <c r="H996" s="6"/>
      <c r="I996" s="6"/>
      <c r="J996" s="6"/>
      <c r="K996" s="6"/>
      <c r="L996" s="6"/>
      <c r="M996" s="6"/>
      <c r="N996" s="6"/>
      <c r="O996" s="6"/>
      <c r="P996" s="6"/>
      <c r="Q996" s="6"/>
      <c r="S996" s="6"/>
    </row>
    <row r="997" spans="6:19" ht="14.25" customHeight="1" x14ac:dyDescent="0.35">
      <c r="F997" s="6"/>
      <c r="G997" s="6"/>
      <c r="H997" s="6"/>
      <c r="I997" s="6"/>
      <c r="J997" s="6"/>
      <c r="K997" s="6"/>
      <c r="L997" s="6"/>
      <c r="M997" s="6"/>
      <c r="N997" s="6"/>
      <c r="O997" s="6"/>
      <c r="P997" s="6"/>
      <c r="Q997" s="6"/>
      <c r="S997" s="6"/>
    </row>
    <row r="998" spans="6:19" ht="14.25" customHeight="1" x14ac:dyDescent="0.35">
      <c r="F998" s="6"/>
      <c r="G998" s="6"/>
      <c r="H998" s="6"/>
      <c r="I998" s="6"/>
      <c r="J998" s="6"/>
      <c r="K998" s="6"/>
      <c r="L998" s="6"/>
      <c r="M998" s="6"/>
      <c r="N998" s="6"/>
      <c r="O998" s="6"/>
      <c r="P998" s="6"/>
      <c r="Q998" s="6"/>
      <c r="S998" s="6"/>
    </row>
    <row r="999" spans="6:19" ht="14.25" customHeight="1" x14ac:dyDescent="0.35">
      <c r="F999" s="6"/>
      <c r="G999" s="6"/>
      <c r="H999" s="6"/>
      <c r="I999" s="6"/>
      <c r="J999" s="6"/>
      <c r="K999" s="6"/>
      <c r="L999" s="6"/>
      <c r="M999" s="6"/>
      <c r="N999" s="6"/>
      <c r="O999" s="6"/>
      <c r="P999" s="6"/>
      <c r="Q999" s="6"/>
      <c r="S999" s="6"/>
    </row>
    <row r="1000" spans="6:19" ht="14.25" customHeight="1" x14ac:dyDescent="0.35">
      <c r="F1000" s="6"/>
      <c r="G1000" s="6"/>
      <c r="H1000" s="6"/>
      <c r="I1000" s="6"/>
      <c r="J1000" s="6"/>
      <c r="K1000" s="6"/>
      <c r="L1000" s="6"/>
      <c r="M1000" s="6"/>
      <c r="N1000" s="6"/>
      <c r="O1000" s="6"/>
      <c r="P1000" s="6"/>
      <c r="Q1000" s="6"/>
      <c r="S1000" s="6"/>
    </row>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632423"/>
  </sheetPr>
  <dimension ref="A1:AG1000"/>
  <sheetViews>
    <sheetView topLeftCell="H10" workbookViewId="0">
      <selection activeCell="U55" sqref="U55"/>
    </sheetView>
  </sheetViews>
  <sheetFormatPr defaultColWidth="14.453125" defaultRowHeight="15" customHeight="1" x14ac:dyDescent="0.35"/>
  <cols>
    <col min="1" max="1" width="22" customWidth="1"/>
    <col min="2" max="2" width="70" customWidth="1"/>
    <col min="3" max="6" width="8.7265625" customWidth="1"/>
    <col min="7" max="7" width="46.81640625" customWidth="1"/>
    <col min="8" max="8" width="4.453125" customWidth="1"/>
    <col min="9" max="10" width="9.7265625" customWidth="1"/>
    <col min="11" max="11" width="11.36328125" bestFit="1" customWidth="1"/>
    <col min="12" max="19" width="12.36328125" bestFit="1" customWidth="1"/>
    <col min="20" max="20" width="14" bestFit="1" customWidth="1"/>
    <col min="21" max="33" width="8.7265625" customWidth="1"/>
  </cols>
  <sheetData>
    <row r="1" spans="1:33" ht="30" customHeight="1" x14ac:dyDescent="0.35">
      <c r="A1" s="160" t="s">
        <v>530</v>
      </c>
      <c r="B1" s="161"/>
    </row>
    <row r="2" spans="1:33" ht="18" customHeight="1" x14ac:dyDescent="0.35">
      <c r="A2" s="162" t="s">
        <v>90</v>
      </c>
      <c r="B2" s="163"/>
    </row>
    <row r="3" spans="1:33" ht="13.5" customHeight="1" x14ac:dyDescent="0.35">
      <c r="A3" s="164" t="s">
        <v>180</v>
      </c>
      <c r="B3" s="163"/>
      <c r="G3" s="15">
        <f>SUM(H3:S3)</f>
        <v>6205000</v>
      </c>
      <c r="H3" s="15">
        <f t="shared" ref="H3:S3" si="0">SUM(H5:H11)</f>
        <v>0</v>
      </c>
      <c r="I3" s="15">
        <f t="shared" si="0"/>
        <v>905000</v>
      </c>
      <c r="J3" s="15">
        <f t="shared" si="0"/>
        <v>555000</v>
      </c>
      <c r="K3" s="15">
        <f t="shared" si="0"/>
        <v>505000</v>
      </c>
      <c r="L3" s="15">
        <f t="shared" si="0"/>
        <v>555000</v>
      </c>
      <c r="M3" s="15">
        <f t="shared" si="0"/>
        <v>505000</v>
      </c>
      <c r="N3" s="15">
        <f t="shared" si="0"/>
        <v>505000</v>
      </c>
      <c r="O3" s="15">
        <f t="shared" si="0"/>
        <v>555000</v>
      </c>
      <c r="P3" s="15">
        <f t="shared" si="0"/>
        <v>505000</v>
      </c>
      <c r="Q3" s="15">
        <f t="shared" si="0"/>
        <v>555000</v>
      </c>
      <c r="R3" s="15">
        <f t="shared" si="0"/>
        <v>505000</v>
      </c>
      <c r="S3" s="15">
        <f t="shared" si="0"/>
        <v>555000</v>
      </c>
    </row>
    <row r="4" spans="1:33" ht="102.75" customHeight="1" x14ac:dyDescent="0.35">
      <c r="A4" s="36" t="s">
        <v>181</v>
      </c>
      <c r="B4" s="37" t="s">
        <v>531</v>
      </c>
      <c r="G4" s="108" t="s">
        <v>532</v>
      </c>
      <c r="H4" s="108" t="s">
        <v>433</v>
      </c>
      <c r="I4" s="108" t="s">
        <v>434</v>
      </c>
      <c r="J4" s="108" t="s">
        <v>513</v>
      </c>
      <c r="K4" s="108" t="s">
        <v>436</v>
      </c>
      <c r="L4" s="108" t="s">
        <v>437</v>
      </c>
      <c r="M4" s="108" t="s">
        <v>438</v>
      </c>
      <c r="N4" s="108" t="s">
        <v>439</v>
      </c>
      <c r="O4" s="108" t="s">
        <v>440</v>
      </c>
      <c r="P4" s="108" t="s">
        <v>441</v>
      </c>
      <c r="Q4" s="108" t="s">
        <v>442</v>
      </c>
      <c r="R4" s="108" t="s">
        <v>443</v>
      </c>
      <c r="S4" s="108" t="s">
        <v>444</v>
      </c>
      <c r="T4" s="2"/>
    </row>
    <row r="5" spans="1:33" ht="18" customHeight="1" x14ac:dyDescent="0.35">
      <c r="A5" s="38" t="s">
        <v>19</v>
      </c>
      <c r="B5" s="39">
        <v>46113</v>
      </c>
      <c r="G5" s="15" t="s">
        <v>533</v>
      </c>
      <c r="H5" s="15"/>
      <c r="I5" s="15">
        <v>50000</v>
      </c>
      <c r="J5" s="15">
        <v>50000</v>
      </c>
      <c r="K5" s="15">
        <v>50000</v>
      </c>
      <c r="L5" s="15">
        <v>50000</v>
      </c>
      <c r="M5" s="15">
        <v>50000</v>
      </c>
      <c r="N5" s="15">
        <v>50000</v>
      </c>
      <c r="O5" s="15">
        <v>50000</v>
      </c>
      <c r="P5" s="15">
        <v>50000</v>
      </c>
      <c r="Q5" s="15">
        <v>50000</v>
      </c>
      <c r="R5" s="15">
        <v>50000</v>
      </c>
      <c r="S5" s="15">
        <v>50000</v>
      </c>
    </row>
    <row r="6" spans="1:33" ht="18" customHeight="1" x14ac:dyDescent="0.35">
      <c r="A6" s="38" t="s">
        <v>183</v>
      </c>
      <c r="B6" s="37" t="s">
        <v>100</v>
      </c>
      <c r="G6" s="15" t="s">
        <v>534</v>
      </c>
      <c r="H6" s="15"/>
      <c r="I6" s="15">
        <v>30000</v>
      </c>
      <c r="J6" s="15">
        <v>30000</v>
      </c>
      <c r="K6" s="15">
        <v>30000</v>
      </c>
      <c r="L6" s="15">
        <v>30000</v>
      </c>
      <c r="M6" s="15">
        <v>30000</v>
      </c>
      <c r="N6" s="15">
        <v>30000</v>
      </c>
      <c r="O6" s="15">
        <v>30000</v>
      </c>
      <c r="P6" s="15">
        <v>30000</v>
      </c>
      <c r="Q6" s="15">
        <v>30000</v>
      </c>
      <c r="R6" s="15">
        <v>30000</v>
      </c>
      <c r="S6" s="15">
        <v>30000</v>
      </c>
    </row>
    <row r="7" spans="1:33" ht="18" customHeight="1" x14ac:dyDescent="0.35">
      <c r="A7" s="38" t="s">
        <v>184</v>
      </c>
      <c r="B7" s="37" t="s">
        <v>383</v>
      </c>
      <c r="G7" s="15" t="s">
        <v>535</v>
      </c>
      <c r="H7" s="15"/>
      <c r="I7" s="15">
        <v>25000</v>
      </c>
      <c r="J7" s="15">
        <v>25000</v>
      </c>
      <c r="K7" s="15">
        <v>25000</v>
      </c>
      <c r="L7" s="15">
        <v>25000</v>
      </c>
      <c r="M7" s="15">
        <v>25000</v>
      </c>
      <c r="N7" s="15">
        <v>25000</v>
      </c>
      <c r="O7" s="15">
        <v>25000</v>
      </c>
      <c r="P7" s="15">
        <v>25000</v>
      </c>
      <c r="Q7" s="15">
        <v>25000</v>
      </c>
      <c r="R7" s="15">
        <v>25000</v>
      </c>
      <c r="S7" s="15">
        <v>25000</v>
      </c>
    </row>
    <row r="8" spans="1:33" ht="18" customHeight="1" x14ac:dyDescent="0.35">
      <c r="G8" s="15" t="s">
        <v>536</v>
      </c>
      <c r="H8" s="15"/>
      <c r="I8" s="15">
        <v>150000</v>
      </c>
      <c r="J8" s="15">
        <v>150000</v>
      </c>
      <c r="K8" s="15">
        <v>150000</v>
      </c>
      <c r="L8" s="15">
        <v>150000</v>
      </c>
      <c r="M8" s="15">
        <v>150000</v>
      </c>
      <c r="N8" s="15">
        <v>150000</v>
      </c>
      <c r="O8" s="15">
        <v>150000</v>
      </c>
      <c r="P8" s="15">
        <v>150000</v>
      </c>
      <c r="Q8" s="15">
        <v>150000</v>
      </c>
      <c r="R8" s="15">
        <v>150000</v>
      </c>
      <c r="S8" s="15">
        <v>150000</v>
      </c>
    </row>
    <row r="9" spans="1:33" ht="13.5" customHeight="1" x14ac:dyDescent="0.35">
      <c r="A9" s="164" t="s">
        <v>186</v>
      </c>
      <c r="B9" s="163"/>
      <c r="G9" s="15" t="s">
        <v>537</v>
      </c>
      <c r="H9" s="15"/>
      <c r="I9" s="15">
        <v>150000</v>
      </c>
      <c r="J9" s="15">
        <f>150000+50000</f>
        <v>200000</v>
      </c>
      <c r="K9" s="15">
        <v>150000</v>
      </c>
      <c r="L9" s="15">
        <f>150000+50000</f>
        <v>200000</v>
      </c>
      <c r="M9" s="15">
        <v>150000</v>
      </c>
      <c r="N9" s="15">
        <v>150000</v>
      </c>
      <c r="O9" s="15">
        <f>150000+50000</f>
        <v>200000</v>
      </c>
      <c r="P9" s="15">
        <v>150000</v>
      </c>
      <c r="Q9" s="15">
        <f>150000+50000</f>
        <v>200000</v>
      </c>
      <c r="R9" s="15">
        <v>150000</v>
      </c>
      <c r="S9" s="15">
        <f>150000+50000</f>
        <v>200000</v>
      </c>
    </row>
    <row r="10" spans="1:33" ht="63" customHeight="1" x14ac:dyDescent="0.35">
      <c r="A10" s="165" t="s">
        <v>538</v>
      </c>
      <c r="B10" s="163"/>
      <c r="G10" s="15" t="s">
        <v>539</v>
      </c>
      <c r="H10" s="15"/>
      <c r="I10" s="15">
        <v>100000</v>
      </c>
      <c r="J10" s="15">
        <v>100000</v>
      </c>
      <c r="K10" s="15">
        <v>100000</v>
      </c>
      <c r="L10" s="15">
        <v>100000</v>
      </c>
      <c r="M10" s="15">
        <v>100000</v>
      </c>
      <c r="N10" s="15">
        <v>100000</v>
      </c>
      <c r="O10" s="15">
        <v>100000</v>
      </c>
      <c r="P10" s="15">
        <v>100000</v>
      </c>
      <c r="Q10" s="15">
        <v>100000</v>
      </c>
      <c r="R10" s="15">
        <v>100000</v>
      </c>
      <c r="S10" s="15">
        <v>100000</v>
      </c>
    </row>
    <row r="11" spans="1:33" ht="13.5" customHeight="1" x14ac:dyDescent="0.35">
      <c r="A11" s="164" t="s">
        <v>188</v>
      </c>
      <c r="B11" s="163"/>
      <c r="G11" s="15" t="s">
        <v>540</v>
      </c>
      <c r="H11" s="15"/>
      <c r="I11" s="15">
        <v>400000</v>
      </c>
      <c r="J11" s="15"/>
      <c r="K11" s="15"/>
      <c r="L11" s="15"/>
      <c r="M11" s="15"/>
      <c r="N11" s="15"/>
      <c r="O11" s="15"/>
      <c r="P11" s="15"/>
      <c r="Q11" s="15"/>
      <c r="R11" s="15"/>
      <c r="S11" s="15"/>
    </row>
    <row r="12" spans="1:33" ht="14.25" customHeight="1" x14ac:dyDescent="0.35">
      <c r="A12" s="38" t="s">
        <v>189</v>
      </c>
      <c r="B12" s="40" t="s">
        <v>541</v>
      </c>
      <c r="V12" s="108" t="s">
        <v>433</v>
      </c>
      <c r="W12" s="108" t="s">
        <v>434</v>
      </c>
      <c r="X12" s="108" t="s">
        <v>513</v>
      </c>
      <c r="Y12" s="108" t="s">
        <v>436</v>
      </c>
      <c r="Z12" s="108" t="s">
        <v>437</v>
      </c>
      <c r="AA12" s="108" t="s">
        <v>438</v>
      </c>
      <c r="AB12" s="108" t="s">
        <v>439</v>
      </c>
      <c r="AC12" s="108" t="s">
        <v>440</v>
      </c>
      <c r="AD12" s="108" t="s">
        <v>441</v>
      </c>
      <c r="AE12" s="108" t="s">
        <v>442</v>
      </c>
      <c r="AF12" s="108" t="s">
        <v>443</v>
      </c>
      <c r="AG12" s="108" t="s">
        <v>444</v>
      </c>
    </row>
    <row r="13" spans="1:33" ht="14.25" customHeight="1" x14ac:dyDescent="0.35">
      <c r="A13" s="38" t="s">
        <v>191</v>
      </c>
      <c r="B13" s="40" t="s">
        <v>542</v>
      </c>
      <c r="G13" s="2" t="s">
        <v>524</v>
      </c>
      <c r="H13" s="112">
        <f t="shared" ref="H13:T13" si="1">+H14+H36</f>
        <v>0</v>
      </c>
      <c r="I13" s="112">
        <f t="shared" si="1"/>
        <v>101610</v>
      </c>
      <c r="J13" s="112">
        <f t="shared" si="1"/>
        <v>187530</v>
      </c>
      <c r="K13" s="112">
        <f t="shared" si="1"/>
        <v>513120</v>
      </c>
      <c r="L13" s="112">
        <f t="shared" si="1"/>
        <v>2184500</v>
      </c>
      <c r="M13" s="112">
        <f t="shared" si="1"/>
        <v>3145560</v>
      </c>
      <c r="N13" s="112">
        <f t="shared" si="1"/>
        <v>4672310</v>
      </c>
      <c r="O13" s="112">
        <f t="shared" si="1"/>
        <v>5410180</v>
      </c>
      <c r="P13" s="112">
        <f t="shared" si="1"/>
        <v>7160180</v>
      </c>
      <c r="Q13" s="112">
        <f t="shared" si="1"/>
        <v>8312650</v>
      </c>
      <c r="R13" s="112">
        <f t="shared" si="1"/>
        <v>8618860</v>
      </c>
      <c r="S13" s="112">
        <f t="shared" si="1"/>
        <v>9898930</v>
      </c>
      <c r="T13" s="112">
        <f t="shared" si="1"/>
        <v>50205430</v>
      </c>
    </row>
    <row r="14" spans="1:33" ht="57" customHeight="1" x14ac:dyDescent="0.35">
      <c r="A14" s="38" t="s">
        <v>193</v>
      </c>
      <c r="B14" s="40" t="s">
        <v>543</v>
      </c>
      <c r="G14" s="2" t="s">
        <v>430</v>
      </c>
      <c r="H14" s="103">
        <f t="shared" ref="H14:S14" si="2">SUM(H15:H34)</f>
        <v>0</v>
      </c>
      <c r="I14" s="103">
        <f t="shared" si="2"/>
        <v>101610</v>
      </c>
      <c r="J14" s="103">
        <f t="shared" si="2"/>
        <v>187530</v>
      </c>
      <c r="K14" s="103">
        <f t="shared" si="2"/>
        <v>392210</v>
      </c>
      <c r="L14" s="103">
        <f t="shared" si="2"/>
        <v>511420</v>
      </c>
      <c r="M14" s="103">
        <f t="shared" si="2"/>
        <v>696750</v>
      </c>
      <c r="N14" s="103">
        <f t="shared" si="2"/>
        <v>806390</v>
      </c>
      <c r="O14" s="103">
        <f t="shared" si="2"/>
        <v>993930</v>
      </c>
      <c r="P14" s="103">
        <f t="shared" si="2"/>
        <v>1181460</v>
      </c>
      <c r="Q14" s="103">
        <f t="shared" si="2"/>
        <v>1505340</v>
      </c>
      <c r="R14" s="103">
        <f t="shared" si="2"/>
        <v>1690640</v>
      </c>
      <c r="S14" s="103">
        <f t="shared" si="2"/>
        <v>1871840</v>
      </c>
      <c r="T14" s="103">
        <f>SUM(H14:S14)</f>
        <v>9939120</v>
      </c>
      <c r="U14" s="2" t="s">
        <v>544</v>
      </c>
    </row>
    <row r="15" spans="1:33" ht="14.25" customHeight="1" x14ac:dyDescent="0.35">
      <c r="A15" s="38" t="s">
        <v>195</v>
      </c>
      <c r="B15" s="40" t="s">
        <v>545</v>
      </c>
      <c r="G15" s="1" t="s">
        <v>248</v>
      </c>
      <c r="H15" s="6">
        <f t="shared" ref="H15:S15" si="3">ROUND(+$U15*V15,-1)</f>
        <v>0</v>
      </c>
      <c r="I15" s="6">
        <f t="shared" si="3"/>
        <v>22990</v>
      </c>
      <c r="J15" s="6">
        <f t="shared" si="3"/>
        <v>45970</v>
      </c>
      <c r="K15" s="6">
        <f t="shared" si="3"/>
        <v>91940</v>
      </c>
      <c r="L15" s="6">
        <f t="shared" si="3"/>
        <v>122590</v>
      </c>
      <c r="M15" s="6">
        <f t="shared" si="3"/>
        <v>168560</v>
      </c>
      <c r="N15" s="6">
        <f t="shared" si="3"/>
        <v>191550</v>
      </c>
      <c r="O15" s="6">
        <f t="shared" si="3"/>
        <v>237520</v>
      </c>
      <c r="P15" s="6">
        <f t="shared" si="3"/>
        <v>283490</v>
      </c>
      <c r="Q15" s="6">
        <f t="shared" si="3"/>
        <v>360110</v>
      </c>
      <c r="R15" s="6">
        <f t="shared" si="3"/>
        <v>406080</v>
      </c>
      <c r="S15" s="6">
        <f t="shared" si="3"/>
        <v>444390</v>
      </c>
      <c r="U15" s="1">
        <v>7661.9248507139755</v>
      </c>
      <c r="V15" s="1">
        <v>0</v>
      </c>
      <c r="W15" s="1">
        <v>3</v>
      </c>
      <c r="X15" s="1">
        <v>6</v>
      </c>
      <c r="Y15" s="1">
        <v>12</v>
      </c>
      <c r="Z15" s="1">
        <v>16</v>
      </c>
      <c r="AA15" s="1">
        <v>22</v>
      </c>
      <c r="AB15" s="1">
        <v>25</v>
      </c>
      <c r="AC15" s="1">
        <v>31</v>
      </c>
      <c r="AD15" s="1">
        <v>37</v>
      </c>
      <c r="AE15" s="1">
        <v>47</v>
      </c>
      <c r="AF15" s="1">
        <v>53</v>
      </c>
      <c r="AG15" s="1">
        <v>58</v>
      </c>
    </row>
    <row r="16" spans="1:33" ht="14.25" customHeight="1" x14ac:dyDescent="0.35">
      <c r="A16" s="113" t="s">
        <v>546</v>
      </c>
      <c r="B16" s="114" t="s">
        <v>547</v>
      </c>
      <c r="G16" s="1" t="s">
        <v>446</v>
      </c>
      <c r="H16" s="6">
        <f t="shared" ref="H16:S16" si="4">ROUND(+$U16*V16,-1)</f>
        <v>0</v>
      </c>
      <c r="I16" s="6">
        <f t="shared" si="4"/>
        <v>25210</v>
      </c>
      <c r="J16" s="6">
        <f t="shared" si="4"/>
        <v>50420</v>
      </c>
      <c r="K16" s="6">
        <f t="shared" si="4"/>
        <v>107150</v>
      </c>
      <c r="L16" s="6">
        <f t="shared" si="4"/>
        <v>132360</v>
      </c>
      <c r="M16" s="6">
        <f t="shared" si="4"/>
        <v>182780</v>
      </c>
      <c r="N16" s="6">
        <f t="shared" si="4"/>
        <v>214300</v>
      </c>
      <c r="O16" s="6">
        <f t="shared" si="4"/>
        <v>264720</v>
      </c>
      <c r="P16" s="6">
        <f t="shared" si="4"/>
        <v>315140</v>
      </c>
      <c r="Q16" s="6">
        <f t="shared" si="4"/>
        <v>397080</v>
      </c>
      <c r="R16" s="6">
        <f t="shared" si="4"/>
        <v>447500</v>
      </c>
      <c r="S16" s="6">
        <f t="shared" si="4"/>
        <v>510530</v>
      </c>
      <c r="U16" s="1">
        <v>6302.7976073395475</v>
      </c>
      <c r="V16" s="1">
        <v>0</v>
      </c>
      <c r="W16" s="1">
        <v>4</v>
      </c>
      <c r="X16" s="1">
        <v>8</v>
      </c>
      <c r="Y16" s="1">
        <v>17</v>
      </c>
      <c r="Z16" s="1">
        <v>21</v>
      </c>
      <c r="AA16" s="1">
        <v>29</v>
      </c>
      <c r="AB16" s="1">
        <v>34</v>
      </c>
      <c r="AC16" s="1">
        <v>42</v>
      </c>
      <c r="AD16" s="1">
        <v>50</v>
      </c>
      <c r="AE16" s="1">
        <v>63</v>
      </c>
      <c r="AF16" s="1">
        <v>71</v>
      </c>
      <c r="AG16" s="1">
        <v>81</v>
      </c>
    </row>
    <row r="17" spans="7:33" ht="14.25" customHeight="1" x14ac:dyDescent="0.35">
      <c r="G17" s="1" t="s">
        <v>448</v>
      </c>
      <c r="H17" s="6">
        <f t="shared" ref="H17:S17" si="5">ROUND(+$U17*V17,-1)</f>
        <v>0</v>
      </c>
      <c r="I17" s="6">
        <f t="shared" si="5"/>
        <v>2230</v>
      </c>
      <c r="J17" s="6">
        <f t="shared" si="5"/>
        <v>2230</v>
      </c>
      <c r="K17" s="6">
        <f t="shared" si="5"/>
        <v>4460</v>
      </c>
      <c r="L17" s="6">
        <f t="shared" si="5"/>
        <v>6700</v>
      </c>
      <c r="M17" s="6">
        <f t="shared" si="5"/>
        <v>8930</v>
      </c>
      <c r="N17" s="6">
        <f t="shared" si="5"/>
        <v>8930</v>
      </c>
      <c r="O17" s="6">
        <f t="shared" si="5"/>
        <v>11160</v>
      </c>
      <c r="P17" s="6">
        <f t="shared" si="5"/>
        <v>13390</v>
      </c>
      <c r="Q17" s="6">
        <f t="shared" si="5"/>
        <v>17860</v>
      </c>
      <c r="R17" s="6">
        <f t="shared" si="5"/>
        <v>20090</v>
      </c>
      <c r="S17" s="6">
        <f t="shared" si="5"/>
        <v>15620</v>
      </c>
      <c r="U17" s="1">
        <v>2232.0359860117792</v>
      </c>
      <c r="V17" s="1">
        <v>0</v>
      </c>
      <c r="W17" s="1">
        <v>1</v>
      </c>
      <c r="X17" s="1">
        <v>1</v>
      </c>
      <c r="Y17" s="1">
        <v>2</v>
      </c>
      <c r="Z17" s="1">
        <v>3</v>
      </c>
      <c r="AA17" s="1">
        <v>4</v>
      </c>
      <c r="AB17" s="1">
        <v>4</v>
      </c>
      <c r="AC17" s="1">
        <v>5</v>
      </c>
      <c r="AD17" s="1">
        <v>6</v>
      </c>
      <c r="AE17" s="1">
        <v>8</v>
      </c>
      <c r="AF17" s="1">
        <v>9</v>
      </c>
      <c r="AG17" s="1">
        <v>7</v>
      </c>
    </row>
    <row r="18" spans="7:33" ht="14.25" customHeight="1" x14ac:dyDescent="0.35">
      <c r="G18" s="1" t="s">
        <v>449</v>
      </c>
      <c r="H18" s="6">
        <f t="shared" ref="H18:S18" si="6">ROUND(+$U18*V18,-1)</f>
        <v>0</v>
      </c>
      <c r="I18" s="6">
        <f t="shared" si="6"/>
        <v>3010</v>
      </c>
      <c r="J18" s="6">
        <f t="shared" si="6"/>
        <v>6020</v>
      </c>
      <c r="K18" s="6">
        <f t="shared" si="6"/>
        <v>12040</v>
      </c>
      <c r="L18" s="6">
        <f t="shared" si="6"/>
        <v>18050</v>
      </c>
      <c r="M18" s="6">
        <f t="shared" si="6"/>
        <v>24070</v>
      </c>
      <c r="N18" s="6">
        <f t="shared" si="6"/>
        <v>27080</v>
      </c>
      <c r="O18" s="6">
        <f t="shared" si="6"/>
        <v>33100</v>
      </c>
      <c r="P18" s="6">
        <f t="shared" si="6"/>
        <v>39120</v>
      </c>
      <c r="Q18" s="6">
        <f t="shared" si="6"/>
        <v>51150</v>
      </c>
      <c r="R18" s="6">
        <f t="shared" si="6"/>
        <v>57170</v>
      </c>
      <c r="S18" s="6">
        <f t="shared" si="6"/>
        <v>60180</v>
      </c>
      <c r="U18" s="1">
        <v>3008.9909242927497</v>
      </c>
      <c r="V18" s="1">
        <v>0</v>
      </c>
      <c r="W18" s="1">
        <v>1</v>
      </c>
      <c r="X18" s="1">
        <v>2</v>
      </c>
      <c r="Y18" s="1">
        <v>4</v>
      </c>
      <c r="Z18" s="1">
        <v>6</v>
      </c>
      <c r="AA18" s="1">
        <v>8</v>
      </c>
      <c r="AB18" s="1">
        <v>9</v>
      </c>
      <c r="AC18" s="1">
        <v>11</v>
      </c>
      <c r="AD18" s="1">
        <v>13</v>
      </c>
      <c r="AE18" s="1">
        <v>17</v>
      </c>
      <c r="AF18" s="1">
        <v>19</v>
      </c>
      <c r="AG18" s="1">
        <v>20</v>
      </c>
    </row>
    <row r="19" spans="7:33" ht="14.25" customHeight="1" x14ac:dyDescent="0.35">
      <c r="G19" s="1" t="s">
        <v>451</v>
      </c>
      <c r="H19" s="6">
        <f t="shared" ref="H19:S19" si="7">ROUND(+$U19*V19,-1)</f>
        <v>0</v>
      </c>
      <c r="I19" s="6">
        <f t="shared" si="7"/>
        <v>3620</v>
      </c>
      <c r="J19" s="6">
        <f t="shared" si="7"/>
        <v>5430</v>
      </c>
      <c r="K19" s="6">
        <f t="shared" si="7"/>
        <v>10860</v>
      </c>
      <c r="L19" s="6">
        <f t="shared" si="7"/>
        <v>14480</v>
      </c>
      <c r="M19" s="6">
        <f t="shared" si="7"/>
        <v>19920</v>
      </c>
      <c r="N19" s="6">
        <f t="shared" si="7"/>
        <v>23540</v>
      </c>
      <c r="O19" s="6">
        <f t="shared" si="7"/>
        <v>28970</v>
      </c>
      <c r="P19" s="6">
        <f t="shared" si="7"/>
        <v>34400</v>
      </c>
      <c r="Q19" s="6">
        <f t="shared" si="7"/>
        <v>43450</v>
      </c>
      <c r="R19" s="6">
        <f t="shared" si="7"/>
        <v>48880</v>
      </c>
      <c r="S19" s="6">
        <f t="shared" si="7"/>
        <v>56130</v>
      </c>
      <c r="U19" s="1">
        <v>1810.4889436411918</v>
      </c>
      <c r="V19" s="1">
        <v>0</v>
      </c>
      <c r="W19" s="1">
        <v>2</v>
      </c>
      <c r="X19" s="1">
        <v>3</v>
      </c>
      <c r="Y19" s="1">
        <v>6</v>
      </c>
      <c r="Z19" s="1">
        <v>8</v>
      </c>
      <c r="AA19" s="1">
        <v>11</v>
      </c>
      <c r="AB19" s="1">
        <v>13</v>
      </c>
      <c r="AC19" s="1">
        <v>16</v>
      </c>
      <c r="AD19" s="1">
        <v>19</v>
      </c>
      <c r="AE19" s="1">
        <v>24</v>
      </c>
      <c r="AF19" s="1">
        <v>27</v>
      </c>
      <c r="AG19" s="1">
        <v>31</v>
      </c>
    </row>
    <row r="20" spans="7:33" ht="14.25" customHeight="1" x14ac:dyDescent="0.35">
      <c r="G20" s="1" t="s">
        <v>453</v>
      </c>
      <c r="H20" s="6">
        <f t="shared" ref="H20:S20" si="8">ROUND(+$U20*V20,-1)</f>
        <v>0</v>
      </c>
      <c r="I20" s="6">
        <f t="shared" si="8"/>
        <v>11440</v>
      </c>
      <c r="J20" s="6">
        <f t="shared" si="8"/>
        <v>19070</v>
      </c>
      <c r="K20" s="6">
        <f t="shared" si="8"/>
        <v>38130</v>
      </c>
      <c r="L20" s="6">
        <f t="shared" si="8"/>
        <v>49570</v>
      </c>
      <c r="M20" s="6">
        <f t="shared" si="8"/>
        <v>68640</v>
      </c>
      <c r="N20" s="6">
        <f t="shared" si="8"/>
        <v>80080</v>
      </c>
      <c r="O20" s="6">
        <f t="shared" si="8"/>
        <v>99140</v>
      </c>
      <c r="P20" s="6">
        <f t="shared" si="8"/>
        <v>118210</v>
      </c>
      <c r="Q20" s="6">
        <f t="shared" si="8"/>
        <v>148720</v>
      </c>
      <c r="R20" s="6">
        <f t="shared" si="8"/>
        <v>167780</v>
      </c>
      <c r="S20" s="6">
        <f t="shared" si="8"/>
        <v>190660</v>
      </c>
      <c r="U20" s="1">
        <v>3813.2544133303509</v>
      </c>
      <c r="V20" s="1">
        <v>0</v>
      </c>
      <c r="W20" s="1">
        <v>3</v>
      </c>
      <c r="X20" s="1">
        <v>5</v>
      </c>
      <c r="Y20" s="1">
        <v>10</v>
      </c>
      <c r="Z20" s="1">
        <v>13</v>
      </c>
      <c r="AA20" s="1">
        <v>18</v>
      </c>
      <c r="AB20" s="1">
        <v>21</v>
      </c>
      <c r="AC20" s="1">
        <v>26</v>
      </c>
      <c r="AD20" s="1">
        <v>31</v>
      </c>
      <c r="AE20" s="1">
        <v>39</v>
      </c>
      <c r="AF20" s="1">
        <v>44</v>
      </c>
      <c r="AG20" s="1">
        <v>50</v>
      </c>
    </row>
    <row r="21" spans="7:33" ht="14.25" customHeight="1" x14ac:dyDescent="0.35">
      <c r="G21" s="1" t="s">
        <v>244</v>
      </c>
      <c r="H21" s="6">
        <f t="shared" ref="H21:S21" si="9">ROUND(+$U21*V21,-1)</f>
        <v>0</v>
      </c>
      <c r="I21" s="6">
        <f t="shared" si="9"/>
        <v>5240</v>
      </c>
      <c r="J21" s="6">
        <f t="shared" si="9"/>
        <v>10470</v>
      </c>
      <c r="K21" s="6">
        <f t="shared" si="9"/>
        <v>20950</v>
      </c>
      <c r="L21" s="6">
        <f t="shared" si="9"/>
        <v>26180</v>
      </c>
      <c r="M21" s="6">
        <f t="shared" si="9"/>
        <v>36660</v>
      </c>
      <c r="N21" s="6">
        <f t="shared" si="9"/>
        <v>41890</v>
      </c>
      <c r="O21" s="6">
        <f t="shared" si="9"/>
        <v>52370</v>
      </c>
      <c r="P21" s="6">
        <f t="shared" si="9"/>
        <v>62840</v>
      </c>
      <c r="Q21" s="6">
        <f t="shared" si="9"/>
        <v>78550</v>
      </c>
      <c r="R21" s="6">
        <f t="shared" si="9"/>
        <v>89030</v>
      </c>
      <c r="S21" s="6">
        <f t="shared" si="9"/>
        <v>99500</v>
      </c>
      <c r="U21" s="1">
        <v>2618.3826246870785</v>
      </c>
      <c r="V21" s="1">
        <v>0</v>
      </c>
      <c r="W21" s="1">
        <v>2</v>
      </c>
      <c r="X21" s="1">
        <v>4</v>
      </c>
      <c r="Y21" s="1">
        <v>8</v>
      </c>
      <c r="Z21" s="1">
        <v>10</v>
      </c>
      <c r="AA21" s="1">
        <v>14</v>
      </c>
      <c r="AB21" s="1">
        <v>16</v>
      </c>
      <c r="AC21" s="1">
        <v>20</v>
      </c>
      <c r="AD21" s="1">
        <v>24</v>
      </c>
      <c r="AE21" s="1">
        <v>30</v>
      </c>
      <c r="AF21" s="1">
        <v>34</v>
      </c>
      <c r="AG21" s="1">
        <v>38</v>
      </c>
    </row>
    <row r="22" spans="7:33" ht="14.25" customHeight="1" x14ac:dyDescent="0.35">
      <c r="G22" s="1" t="s">
        <v>301</v>
      </c>
      <c r="H22" s="6">
        <f t="shared" ref="H22:S22" si="10">ROUND(+$U22*V22,-1)</f>
        <v>0</v>
      </c>
      <c r="I22" s="6">
        <f t="shared" si="10"/>
        <v>5100</v>
      </c>
      <c r="J22" s="6">
        <f t="shared" si="10"/>
        <v>7650</v>
      </c>
      <c r="K22" s="6">
        <f t="shared" si="10"/>
        <v>15290</v>
      </c>
      <c r="L22" s="6">
        <f t="shared" si="10"/>
        <v>20390</v>
      </c>
      <c r="M22" s="6">
        <f t="shared" si="10"/>
        <v>28040</v>
      </c>
      <c r="N22" s="6">
        <f t="shared" si="10"/>
        <v>33130</v>
      </c>
      <c r="O22" s="6">
        <f t="shared" si="10"/>
        <v>40780</v>
      </c>
      <c r="P22" s="6">
        <f t="shared" si="10"/>
        <v>48430</v>
      </c>
      <c r="Q22" s="6">
        <f t="shared" si="10"/>
        <v>61170</v>
      </c>
      <c r="R22" s="6">
        <f t="shared" si="10"/>
        <v>68820</v>
      </c>
      <c r="S22" s="6">
        <f t="shared" si="10"/>
        <v>79010</v>
      </c>
      <c r="U22" s="1">
        <v>2548.7508935801043</v>
      </c>
      <c r="V22" s="1">
        <v>0</v>
      </c>
      <c r="W22" s="1">
        <v>2</v>
      </c>
      <c r="X22" s="1">
        <v>3</v>
      </c>
      <c r="Y22" s="1">
        <v>6</v>
      </c>
      <c r="Z22" s="1">
        <v>8</v>
      </c>
      <c r="AA22" s="1">
        <v>11</v>
      </c>
      <c r="AB22" s="1">
        <v>13</v>
      </c>
      <c r="AC22" s="1">
        <v>16</v>
      </c>
      <c r="AD22" s="1">
        <v>19</v>
      </c>
      <c r="AE22" s="1">
        <v>24</v>
      </c>
      <c r="AF22" s="1">
        <v>27</v>
      </c>
      <c r="AG22" s="1">
        <v>31</v>
      </c>
    </row>
    <row r="23" spans="7:33" ht="14.25" customHeight="1" x14ac:dyDescent="0.35">
      <c r="G23" s="1" t="s">
        <v>456</v>
      </c>
      <c r="H23" s="6">
        <f t="shared" ref="H23:S23" si="11">ROUND(+$U23*V23,-1)</f>
        <v>0</v>
      </c>
      <c r="I23" s="6">
        <f t="shared" si="11"/>
        <v>4930</v>
      </c>
      <c r="J23" s="6">
        <f t="shared" si="11"/>
        <v>7400</v>
      </c>
      <c r="K23" s="6">
        <f t="shared" si="11"/>
        <v>14790</v>
      </c>
      <c r="L23" s="6">
        <f t="shared" si="11"/>
        <v>19730</v>
      </c>
      <c r="M23" s="6">
        <f t="shared" si="11"/>
        <v>27120</v>
      </c>
      <c r="N23" s="6">
        <f t="shared" si="11"/>
        <v>29590</v>
      </c>
      <c r="O23" s="6">
        <f t="shared" si="11"/>
        <v>36990</v>
      </c>
      <c r="P23" s="6">
        <f t="shared" si="11"/>
        <v>44380</v>
      </c>
      <c r="Q23" s="6">
        <f t="shared" si="11"/>
        <v>56710</v>
      </c>
      <c r="R23" s="6">
        <f t="shared" si="11"/>
        <v>64110</v>
      </c>
      <c r="S23" s="6">
        <f t="shared" si="11"/>
        <v>64110</v>
      </c>
      <c r="U23" s="1">
        <v>2465.6794349860952</v>
      </c>
      <c r="V23" s="1">
        <v>0</v>
      </c>
      <c r="W23" s="1">
        <v>2</v>
      </c>
      <c r="X23" s="1">
        <v>3</v>
      </c>
      <c r="Y23" s="1">
        <v>6</v>
      </c>
      <c r="Z23" s="1">
        <v>8</v>
      </c>
      <c r="AA23" s="1">
        <v>11</v>
      </c>
      <c r="AB23" s="1">
        <v>12</v>
      </c>
      <c r="AC23" s="1">
        <v>15</v>
      </c>
      <c r="AD23" s="1">
        <v>18</v>
      </c>
      <c r="AE23" s="1">
        <v>23</v>
      </c>
      <c r="AF23" s="1">
        <v>26</v>
      </c>
      <c r="AG23" s="1">
        <v>26</v>
      </c>
    </row>
    <row r="24" spans="7:33" ht="14.25" customHeight="1" x14ac:dyDescent="0.35">
      <c r="G24" s="1" t="s">
        <v>457</v>
      </c>
      <c r="H24" s="6">
        <f t="shared" ref="H24:S24" si="12">ROUND(+$U24*V24,-1)</f>
        <v>0</v>
      </c>
      <c r="I24" s="6">
        <f t="shared" si="12"/>
        <v>2200</v>
      </c>
      <c r="J24" s="6">
        <f t="shared" si="12"/>
        <v>2200</v>
      </c>
      <c r="K24" s="6">
        <f t="shared" si="12"/>
        <v>4400</v>
      </c>
      <c r="L24" s="6">
        <f t="shared" si="12"/>
        <v>6600</v>
      </c>
      <c r="M24" s="6">
        <f t="shared" si="12"/>
        <v>8800</v>
      </c>
      <c r="N24" s="6">
        <f t="shared" si="12"/>
        <v>8800</v>
      </c>
      <c r="O24" s="6">
        <f t="shared" si="12"/>
        <v>11000</v>
      </c>
      <c r="P24" s="6">
        <f t="shared" si="12"/>
        <v>13200</v>
      </c>
      <c r="Q24" s="6">
        <f t="shared" si="12"/>
        <v>17600</v>
      </c>
      <c r="R24" s="6">
        <f t="shared" si="12"/>
        <v>19800</v>
      </c>
      <c r="S24" s="6">
        <f t="shared" si="12"/>
        <v>15400</v>
      </c>
      <c r="U24" s="1">
        <v>2200.2123020569175</v>
      </c>
      <c r="V24" s="1">
        <v>0</v>
      </c>
      <c r="W24" s="1">
        <v>1</v>
      </c>
      <c r="X24" s="1">
        <v>1</v>
      </c>
      <c r="Y24" s="1">
        <v>2</v>
      </c>
      <c r="Z24" s="1">
        <v>3</v>
      </c>
      <c r="AA24" s="1">
        <v>4</v>
      </c>
      <c r="AB24" s="1">
        <v>4</v>
      </c>
      <c r="AC24" s="1">
        <v>5</v>
      </c>
      <c r="AD24" s="1">
        <v>6</v>
      </c>
      <c r="AE24" s="1">
        <v>8</v>
      </c>
      <c r="AF24" s="1">
        <v>9</v>
      </c>
      <c r="AG24" s="1">
        <v>7</v>
      </c>
    </row>
    <row r="25" spans="7:33" ht="14.25" customHeight="1" x14ac:dyDescent="0.35">
      <c r="G25" s="1" t="s">
        <v>458</v>
      </c>
      <c r="H25" s="6">
        <f t="shared" ref="H25:S25" si="13">ROUND(+$U25*V25,-1)</f>
        <v>0</v>
      </c>
      <c r="I25" s="6">
        <f t="shared" si="13"/>
        <v>0</v>
      </c>
      <c r="J25" s="6">
        <f t="shared" si="13"/>
        <v>0</v>
      </c>
      <c r="K25" s="6">
        <f t="shared" si="13"/>
        <v>0</v>
      </c>
      <c r="L25" s="6">
        <f t="shared" si="13"/>
        <v>0</v>
      </c>
      <c r="M25" s="6">
        <f t="shared" si="13"/>
        <v>0</v>
      </c>
      <c r="N25" s="6">
        <f t="shared" si="13"/>
        <v>0</v>
      </c>
      <c r="O25" s="6">
        <f t="shared" si="13"/>
        <v>0</v>
      </c>
      <c r="P25" s="6">
        <f t="shared" si="13"/>
        <v>0</v>
      </c>
      <c r="Q25" s="6">
        <f t="shared" si="13"/>
        <v>0</v>
      </c>
      <c r="R25" s="6">
        <f t="shared" si="13"/>
        <v>0</v>
      </c>
      <c r="S25" s="6">
        <f t="shared" si="13"/>
        <v>0</v>
      </c>
      <c r="U25" s="1">
        <v>5942.9578359511343</v>
      </c>
      <c r="V25" s="1">
        <v>0</v>
      </c>
      <c r="W25" s="1">
        <v>0</v>
      </c>
      <c r="X25" s="1">
        <v>0</v>
      </c>
      <c r="Y25" s="1">
        <v>0</v>
      </c>
      <c r="Z25" s="1">
        <v>0</v>
      </c>
      <c r="AA25" s="1">
        <v>0</v>
      </c>
      <c r="AB25" s="1">
        <v>0</v>
      </c>
      <c r="AC25" s="1">
        <v>0</v>
      </c>
      <c r="AD25" s="1">
        <v>0</v>
      </c>
      <c r="AE25" s="1">
        <v>0</v>
      </c>
      <c r="AF25" s="1">
        <v>0</v>
      </c>
      <c r="AG25" s="1">
        <v>0</v>
      </c>
    </row>
    <row r="26" spans="7:33" ht="14.25" customHeight="1" x14ac:dyDescent="0.35">
      <c r="G26" s="1" t="s">
        <v>459</v>
      </c>
      <c r="H26" s="6">
        <f t="shared" ref="H26:S26" si="14">ROUND(+$U26*V26,-1)</f>
        <v>0</v>
      </c>
      <c r="I26" s="6">
        <f t="shared" si="14"/>
        <v>4460</v>
      </c>
      <c r="J26" s="6">
        <f t="shared" si="14"/>
        <v>6690</v>
      </c>
      <c r="K26" s="6">
        <f t="shared" si="14"/>
        <v>15600</v>
      </c>
      <c r="L26" s="6">
        <f t="shared" si="14"/>
        <v>20060</v>
      </c>
      <c r="M26" s="6">
        <f t="shared" si="14"/>
        <v>26750</v>
      </c>
      <c r="N26" s="6">
        <f t="shared" si="14"/>
        <v>31200</v>
      </c>
      <c r="O26" s="6">
        <f t="shared" si="14"/>
        <v>37890</v>
      </c>
      <c r="P26" s="6">
        <f t="shared" si="14"/>
        <v>44580</v>
      </c>
      <c r="Q26" s="6">
        <f t="shared" si="14"/>
        <v>57950</v>
      </c>
      <c r="R26" s="6">
        <f t="shared" si="14"/>
        <v>64630</v>
      </c>
      <c r="S26" s="6">
        <f t="shared" si="14"/>
        <v>69090</v>
      </c>
      <c r="U26" s="1">
        <v>2228.7648777108016</v>
      </c>
      <c r="V26" s="1">
        <v>0</v>
      </c>
      <c r="W26" s="1">
        <v>2</v>
      </c>
      <c r="X26" s="1">
        <v>3</v>
      </c>
      <c r="Y26" s="1">
        <v>7</v>
      </c>
      <c r="Z26" s="1">
        <v>9</v>
      </c>
      <c r="AA26" s="1">
        <v>12</v>
      </c>
      <c r="AB26" s="1">
        <v>14</v>
      </c>
      <c r="AC26" s="1">
        <v>17</v>
      </c>
      <c r="AD26" s="1">
        <v>20</v>
      </c>
      <c r="AE26" s="1">
        <v>26</v>
      </c>
      <c r="AF26" s="1">
        <v>29</v>
      </c>
      <c r="AG26" s="1">
        <v>31</v>
      </c>
    </row>
    <row r="27" spans="7:33" ht="14.25" customHeight="1" x14ac:dyDescent="0.35">
      <c r="G27" s="1" t="s">
        <v>460</v>
      </c>
      <c r="H27" s="6">
        <f t="shared" ref="H27:S27" si="15">ROUND(+$U27*V27,-1)</f>
        <v>0</v>
      </c>
      <c r="I27" s="6">
        <f t="shared" si="15"/>
        <v>2680</v>
      </c>
      <c r="J27" s="6">
        <f t="shared" si="15"/>
        <v>5360</v>
      </c>
      <c r="K27" s="6">
        <f t="shared" si="15"/>
        <v>13400</v>
      </c>
      <c r="L27" s="6">
        <f t="shared" si="15"/>
        <v>16080</v>
      </c>
      <c r="M27" s="6">
        <f t="shared" si="15"/>
        <v>21450</v>
      </c>
      <c r="N27" s="6">
        <f t="shared" si="15"/>
        <v>26810</v>
      </c>
      <c r="O27" s="6">
        <f t="shared" si="15"/>
        <v>32170</v>
      </c>
      <c r="P27" s="6">
        <f t="shared" si="15"/>
        <v>37530</v>
      </c>
      <c r="Q27" s="6">
        <f t="shared" si="15"/>
        <v>48250</v>
      </c>
      <c r="R27" s="6">
        <f t="shared" si="15"/>
        <v>53610</v>
      </c>
      <c r="S27" s="6">
        <f t="shared" si="15"/>
        <v>64340</v>
      </c>
      <c r="U27" s="1">
        <v>2680.6749710197423</v>
      </c>
      <c r="V27" s="1">
        <v>0</v>
      </c>
      <c r="W27" s="1">
        <v>1</v>
      </c>
      <c r="X27" s="1">
        <v>2</v>
      </c>
      <c r="Y27" s="1">
        <v>5</v>
      </c>
      <c r="Z27" s="1">
        <v>6</v>
      </c>
      <c r="AA27" s="1">
        <v>8</v>
      </c>
      <c r="AB27" s="1">
        <v>10</v>
      </c>
      <c r="AC27" s="1">
        <v>12</v>
      </c>
      <c r="AD27" s="1">
        <v>14</v>
      </c>
      <c r="AE27" s="1">
        <v>18</v>
      </c>
      <c r="AF27" s="1">
        <v>20</v>
      </c>
      <c r="AG27" s="1">
        <v>24</v>
      </c>
    </row>
    <row r="28" spans="7:33" ht="14.25" customHeight="1" x14ac:dyDescent="0.35">
      <c r="G28" s="1" t="s">
        <v>461</v>
      </c>
      <c r="H28" s="6">
        <f t="shared" ref="H28:S28" si="16">ROUND(+$U28*V28,-1)</f>
        <v>0</v>
      </c>
      <c r="I28" s="6">
        <f t="shared" si="16"/>
        <v>1610</v>
      </c>
      <c r="J28" s="6">
        <f t="shared" si="16"/>
        <v>4840</v>
      </c>
      <c r="K28" s="6">
        <f t="shared" si="16"/>
        <v>9670</v>
      </c>
      <c r="L28" s="6">
        <f t="shared" si="16"/>
        <v>11280</v>
      </c>
      <c r="M28" s="6">
        <f t="shared" si="16"/>
        <v>16120</v>
      </c>
      <c r="N28" s="6">
        <f t="shared" si="16"/>
        <v>17730</v>
      </c>
      <c r="O28" s="6">
        <f t="shared" si="16"/>
        <v>22570</v>
      </c>
      <c r="P28" s="6">
        <f t="shared" si="16"/>
        <v>27400</v>
      </c>
      <c r="Q28" s="6">
        <f t="shared" si="16"/>
        <v>33850</v>
      </c>
      <c r="R28" s="6">
        <f t="shared" si="16"/>
        <v>38680</v>
      </c>
      <c r="S28" s="6">
        <f t="shared" si="16"/>
        <v>41910</v>
      </c>
      <c r="U28" s="1">
        <v>1611.8339740372135</v>
      </c>
      <c r="V28" s="1">
        <v>0</v>
      </c>
      <c r="W28" s="1">
        <v>1</v>
      </c>
      <c r="X28" s="1">
        <v>3</v>
      </c>
      <c r="Y28" s="1">
        <v>6</v>
      </c>
      <c r="Z28" s="1">
        <v>7</v>
      </c>
      <c r="AA28" s="1">
        <v>10</v>
      </c>
      <c r="AB28" s="1">
        <v>11</v>
      </c>
      <c r="AC28" s="1">
        <v>14</v>
      </c>
      <c r="AD28" s="1">
        <v>17</v>
      </c>
      <c r="AE28" s="1">
        <v>21</v>
      </c>
      <c r="AF28" s="1">
        <v>24</v>
      </c>
      <c r="AG28" s="1">
        <v>26</v>
      </c>
    </row>
    <row r="29" spans="7:33" ht="14.25" customHeight="1" x14ac:dyDescent="0.35">
      <c r="G29" s="1" t="s">
        <v>462</v>
      </c>
      <c r="H29" s="6">
        <f t="shared" ref="H29:S29" si="17">ROUND(+$U29*V29,-1)</f>
        <v>0</v>
      </c>
      <c r="I29" s="6">
        <f t="shared" si="17"/>
        <v>2430</v>
      </c>
      <c r="J29" s="6">
        <f t="shared" si="17"/>
        <v>4860</v>
      </c>
      <c r="K29" s="6">
        <f t="shared" si="17"/>
        <v>9730</v>
      </c>
      <c r="L29" s="6">
        <f t="shared" si="17"/>
        <v>12160</v>
      </c>
      <c r="M29" s="6">
        <f t="shared" si="17"/>
        <v>17020</v>
      </c>
      <c r="N29" s="6">
        <f t="shared" si="17"/>
        <v>19460</v>
      </c>
      <c r="O29" s="6">
        <f t="shared" si="17"/>
        <v>24320</v>
      </c>
      <c r="P29" s="6">
        <f t="shared" si="17"/>
        <v>29190</v>
      </c>
      <c r="Q29" s="6">
        <f t="shared" si="17"/>
        <v>36480</v>
      </c>
      <c r="R29" s="6">
        <f t="shared" si="17"/>
        <v>41350</v>
      </c>
      <c r="S29" s="6">
        <f t="shared" si="17"/>
        <v>46210</v>
      </c>
      <c r="U29" s="1">
        <v>810.70794814586873</v>
      </c>
      <c r="V29" s="1">
        <v>0</v>
      </c>
      <c r="W29" s="1">
        <v>3</v>
      </c>
      <c r="X29" s="1">
        <v>6</v>
      </c>
      <c r="Y29" s="1">
        <v>12</v>
      </c>
      <c r="Z29" s="1">
        <v>15</v>
      </c>
      <c r="AA29" s="1">
        <v>21</v>
      </c>
      <c r="AB29" s="1">
        <v>24</v>
      </c>
      <c r="AC29" s="1">
        <v>30</v>
      </c>
      <c r="AD29" s="1">
        <v>36</v>
      </c>
      <c r="AE29" s="1">
        <v>45</v>
      </c>
      <c r="AF29" s="1">
        <v>51</v>
      </c>
      <c r="AG29" s="1">
        <v>57</v>
      </c>
    </row>
    <row r="30" spans="7:33" ht="14.25" customHeight="1" x14ac:dyDescent="0.35">
      <c r="G30" s="1" t="s">
        <v>483</v>
      </c>
      <c r="H30" s="6">
        <f t="shared" ref="H30:S30" si="18">ROUND(+$U30*V30,-1)</f>
        <v>0</v>
      </c>
      <c r="I30" s="6">
        <f t="shared" si="18"/>
        <v>2230</v>
      </c>
      <c r="J30" s="6">
        <f t="shared" si="18"/>
        <v>4460</v>
      </c>
      <c r="K30" s="6">
        <f t="shared" si="18"/>
        <v>8930</v>
      </c>
      <c r="L30" s="6">
        <f t="shared" si="18"/>
        <v>13390</v>
      </c>
      <c r="M30" s="6">
        <f t="shared" si="18"/>
        <v>17860</v>
      </c>
      <c r="N30" s="6">
        <f t="shared" si="18"/>
        <v>20090</v>
      </c>
      <c r="O30" s="6">
        <f t="shared" si="18"/>
        <v>24550</v>
      </c>
      <c r="P30" s="6">
        <f t="shared" si="18"/>
        <v>29020</v>
      </c>
      <c r="Q30" s="6">
        <f t="shared" si="18"/>
        <v>37940</v>
      </c>
      <c r="R30" s="6">
        <f t="shared" si="18"/>
        <v>42410</v>
      </c>
      <c r="S30" s="6">
        <f t="shared" si="18"/>
        <v>44640</v>
      </c>
      <c r="U30" s="1">
        <v>2232.0359860117792</v>
      </c>
      <c r="V30" s="1">
        <v>0</v>
      </c>
      <c r="W30" s="1">
        <v>1</v>
      </c>
      <c r="X30" s="1">
        <v>2</v>
      </c>
      <c r="Y30" s="1">
        <v>4</v>
      </c>
      <c r="Z30" s="1">
        <v>6</v>
      </c>
      <c r="AA30" s="1">
        <v>8</v>
      </c>
      <c r="AB30" s="1">
        <v>9</v>
      </c>
      <c r="AC30" s="1">
        <v>11</v>
      </c>
      <c r="AD30" s="1">
        <v>13</v>
      </c>
      <c r="AE30" s="1">
        <v>17</v>
      </c>
      <c r="AF30" s="1">
        <v>19</v>
      </c>
      <c r="AG30" s="1">
        <v>20</v>
      </c>
    </row>
    <row r="31" spans="7:33" ht="14.25" customHeight="1" x14ac:dyDescent="0.35">
      <c r="G31" s="1" t="s">
        <v>484</v>
      </c>
      <c r="H31" s="6">
        <f t="shared" ref="H31:S31" si="19">ROUND(+$U31*V31,-1)</f>
        <v>0</v>
      </c>
      <c r="I31" s="6">
        <f t="shared" si="19"/>
        <v>2230</v>
      </c>
      <c r="J31" s="6">
        <f t="shared" si="19"/>
        <v>4460</v>
      </c>
      <c r="K31" s="6">
        <f t="shared" si="19"/>
        <v>8930</v>
      </c>
      <c r="L31" s="6">
        <f t="shared" si="19"/>
        <v>11160</v>
      </c>
      <c r="M31" s="6">
        <f t="shared" si="19"/>
        <v>13390</v>
      </c>
      <c r="N31" s="6">
        <f t="shared" si="19"/>
        <v>15620</v>
      </c>
      <c r="O31" s="6">
        <f t="shared" si="19"/>
        <v>20090</v>
      </c>
      <c r="P31" s="6">
        <f t="shared" si="19"/>
        <v>24550</v>
      </c>
      <c r="Q31" s="6">
        <f t="shared" si="19"/>
        <v>31250</v>
      </c>
      <c r="R31" s="6">
        <f t="shared" si="19"/>
        <v>33480</v>
      </c>
      <c r="S31" s="6">
        <f t="shared" si="19"/>
        <v>35710</v>
      </c>
      <c r="U31" s="1">
        <v>2232.0359860117792</v>
      </c>
      <c r="V31" s="1">
        <v>0</v>
      </c>
      <c r="W31" s="1">
        <v>1</v>
      </c>
      <c r="X31" s="1">
        <v>2</v>
      </c>
      <c r="Y31" s="1">
        <v>4</v>
      </c>
      <c r="Z31" s="1">
        <v>5</v>
      </c>
      <c r="AA31" s="1">
        <v>6</v>
      </c>
      <c r="AB31" s="1">
        <v>7</v>
      </c>
      <c r="AC31" s="1">
        <v>9</v>
      </c>
      <c r="AD31" s="1">
        <v>11</v>
      </c>
      <c r="AE31" s="1">
        <v>14</v>
      </c>
      <c r="AF31" s="1">
        <v>15</v>
      </c>
      <c r="AG31" s="1">
        <v>16</v>
      </c>
    </row>
    <row r="32" spans="7:33" ht="14.25" customHeight="1" x14ac:dyDescent="0.35">
      <c r="G32" s="1" t="s">
        <v>485</v>
      </c>
      <c r="H32" s="6">
        <f t="shared" ref="H32:S32" si="20">ROUND(+$U32*V32,-1)</f>
        <v>0</v>
      </c>
      <c r="I32" s="6">
        <f t="shared" si="20"/>
        <v>0</v>
      </c>
      <c r="J32" s="6">
        <f t="shared" si="20"/>
        <v>0</v>
      </c>
      <c r="K32" s="6">
        <f t="shared" si="20"/>
        <v>0</v>
      </c>
      <c r="L32" s="6">
        <f t="shared" si="20"/>
        <v>2230</v>
      </c>
      <c r="M32" s="6">
        <f t="shared" si="20"/>
        <v>2230</v>
      </c>
      <c r="N32" s="6">
        <f t="shared" si="20"/>
        <v>2230</v>
      </c>
      <c r="O32" s="6">
        <f t="shared" si="20"/>
        <v>2230</v>
      </c>
      <c r="P32" s="6">
        <f t="shared" si="20"/>
        <v>2230</v>
      </c>
      <c r="Q32" s="6">
        <f t="shared" si="20"/>
        <v>4460</v>
      </c>
      <c r="R32" s="6">
        <f t="shared" si="20"/>
        <v>4460</v>
      </c>
      <c r="S32" s="6">
        <f t="shared" si="20"/>
        <v>2230</v>
      </c>
      <c r="U32" s="1">
        <v>2232.0359860117792</v>
      </c>
      <c r="V32" s="1">
        <v>0</v>
      </c>
      <c r="W32" s="1">
        <v>0</v>
      </c>
      <c r="X32" s="1">
        <v>0</v>
      </c>
      <c r="Y32" s="1">
        <v>0</v>
      </c>
      <c r="Z32" s="1">
        <v>1</v>
      </c>
      <c r="AA32" s="1">
        <v>1</v>
      </c>
      <c r="AB32" s="1">
        <v>1</v>
      </c>
      <c r="AC32" s="1">
        <v>1</v>
      </c>
      <c r="AD32" s="1">
        <v>1</v>
      </c>
      <c r="AE32" s="1">
        <v>2</v>
      </c>
      <c r="AF32" s="1">
        <v>2</v>
      </c>
      <c r="AG32" s="1">
        <v>1</v>
      </c>
    </row>
    <row r="33" spans="7:33" ht="14.25" customHeight="1" x14ac:dyDescent="0.35">
      <c r="G33" s="1" t="s">
        <v>486</v>
      </c>
      <c r="H33" s="6">
        <f t="shared" ref="H33:S33" si="21">ROUND(+$U33*V33,-1)</f>
        <v>0</v>
      </c>
      <c r="I33" s="6">
        <f t="shared" si="21"/>
        <v>0</v>
      </c>
      <c r="J33" s="6">
        <f t="shared" si="21"/>
        <v>0</v>
      </c>
      <c r="K33" s="6">
        <f t="shared" si="21"/>
        <v>5940</v>
      </c>
      <c r="L33" s="6">
        <f t="shared" si="21"/>
        <v>5940</v>
      </c>
      <c r="M33" s="6">
        <f t="shared" si="21"/>
        <v>5940</v>
      </c>
      <c r="N33" s="6">
        <f t="shared" si="21"/>
        <v>11890</v>
      </c>
      <c r="O33" s="6">
        <f t="shared" si="21"/>
        <v>11890</v>
      </c>
      <c r="P33" s="6">
        <f t="shared" si="21"/>
        <v>11890</v>
      </c>
      <c r="Q33" s="6">
        <f t="shared" si="21"/>
        <v>17830</v>
      </c>
      <c r="R33" s="6">
        <f t="shared" si="21"/>
        <v>17830</v>
      </c>
      <c r="S33" s="6">
        <f t="shared" si="21"/>
        <v>29710</v>
      </c>
      <c r="U33" s="1">
        <v>5942.9578359511343</v>
      </c>
      <c r="V33" s="1">
        <v>0</v>
      </c>
      <c r="W33" s="1">
        <v>0</v>
      </c>
      <c r="X33" s="1">
        <v>0</v>
      </c>
      <c r="Y33" s="1">
        <v>1</v>
      </c>
      <c r="Z33" s="1">
        <v>1</v>
      </c>
      <c r="AA33" s="1">
        <v>1</v>
      </c>
      <c r="AB33" s="1">
        <v>2</v>
      </c>
      <c r="AC33" s="1">
        <v>2</v>
      </c>
      <c r="AD33" s="1">
        <v>2</v>
      </c>
      <c r="AE33" s="1">
        <v>3</v>
      </c>
      <c r="AF33" s="1">
        <v>3</v>
      </c>
      <c r="AG33" s="1">
        <v>5</v>
      </c>
    </row>
    <row r="34" spans="7:33" ht="14.25" customHeight="1" x14ac:dyDescent="0.35">
      <c r="G34" s="1" t="s">
        <v>489</v>
      </c>
      <c r="H34" s="6">
        <f t="shared" ref="H34:S34" si="22">ROUND(+$U34*V34,-1)</f>
        <v>0</v>
      </c>
      <c r="I34" s="6">
        <f t="shared" si="22"/>
        <v>0</v>
      </c>
      <c r="J34" s="6">
        <f t="shared" si="22"/>
        <v>0</v>
      </c>
      <c r="K34" s="6">
        <f t="shared" si="22"/>
        <v>0</v>
      </c>
      <c r="L34" s="6">
        <f t="shared" si="22"/>
        <v>2470</v>
      </c>
      <c r="M34" s="6">
        <f t="shared" si="22"/>
        <v>2470</v>
      </c>
      <c r="N34" s="6">
        <f t="shared" si="22"/>
        <v>2470</v>
      </c>
      <c r="O34" s="6">
        <f t="shared" si="22"/>
        <v>2470</v>
      </c>
      <c r="P34" s="6">
        <f t="shared" si="22"/>
        <v>2470</v>
      </c>
      <c r="Q34" s="6">
        <f t="shared" si="22"/>
        <v>4930</v>
      </c>
      <c r="R34" s="6">
        <f t="shared" si="22"/>
        <v>4930</v>
      </c>
      <c r="S34" s="6">
        <f t="shared" si="22"/>
        <v>2470</v>
      </c>
      <c r="U34" s="1">
        <v>2465.6794349860952</v>
      </c>
      <c r="V34" s="1">
        <v>0</v>
      </c>
      <c r="W34" s="1">
        <v>0</v>
      </c>
      <c r="X34" s="1">
        <v>0</v>
      </c>
      <c r="Y34" s="1">
        <v>0</v>
      </c>
      <c r="Z34" s="1">
        <v>1</v>
      </c>
      <c r="AA34" s="1">
        <v>1</v>
      </c>
      <c r="AB34" s="1">
        <v>1</v>
      </c>
      <c r="AC34" s="1">
        <v>1</v>
      </c>
      <c r="AD34" s="1">
        <v>1</v>
      </c>
      <c r="AE34" s="1">
        <v>2</v>
      </c>
      <c r="AF34" s="1">
        <v>2</v>
      </c>
      <c r="AG34" s="1">
        <v>1</v>
      </c>
    </row>
    <row r="35" spans="7:33" ht="14.25" customHeight="1" x14ac:dyDescent="0.35"/>
    <row r="36" spans="7:33" ht="14.25" customHeight="1" x14ac:dyDescent="0.35">
      <c r="G36" s="2" t="s">
        <v>491</v>
      </c>
      <c r="H36" s="103">
        <f t="shared" ref="H36:S36" si="23">SUM(H37:H56)</f>
        <v>0</v>
      </c>
      <c r="I36" s="103">
        <f t="shared" si="23"/>
        <v>0</v>
      </c>
      <c r="J36" s="103">
        <f t="shared" si="23"/>
        <v>0</v>
      </c>
      <c r="K36" s="103">
        <f t="shared" si="23"/>
        <v>120910</v>
      </c>
      <c r="L36" s="103">
        <f t="shared" si="23"/>
        <v>1673080</v>
      </c>
      <c r="M36" s="103">
        <f t="shared" si="23"/>
        <v>2448810</v>
      </c>
      <c r="N36" s="103">
        <f t="shared" si="23"/>
        <v>3865920</v>
      </c>
      <c r="O36" s="103">
        <f t="shared" si="23"/>
        <v>4416250</v>
      </c>
      <c r="P36" s="103">
        <f t="shared" si="23"/>
        <v>5978720</v>
      </c>
      <c r="Q36" s="103">
        <f t="shared" si="23"/>
        <v>6807310</v>
      </c>
      <c r="R36" s="103">
        <f t="shared" si="23"/>
        <v>6928220</v>
      </c>
      <c r="S36" s="103">
        <f t="shared" si="23"/>
        <v>8027090</v>
      </c>
      <c r="T36" s="103">
        <f>SUM(H36:S36)</f>
        <v>40266310</v>
      </c>
      <c r="U36" s="2" t="s">
        <v>548</v>
      </c>
    </row>
    <row r="37" spans="7:33" ht="14.25" customHeight="1" x14ac:dyDescent="0.35">
      <c r="G37" s="1" t="s">
        <v>248</v>
      </c>
      <c r="H37" s="6">
        <f t="shared" ref="H37:S37" si="24">ROUND(+$U37*V37,-1)</f>
        <v>0</v>
      </c>
      <c r="I37" s="6">
        <f t="shared" si="24"/>
        <v>0</v>
      </c>
      <c r="J37" s="6">
        <f t="shared" si="24"/>
        <v>0</v>
      </c>
      <c r="K37" s="6">
        <f t="shared" si="24"/>
        <v>0</v>
      </c>
      <c r="L37" s="6">
        <f t="shared" si="24"/>
        <v>303610</v>
      </c>
      <c r="M37" s="6">
        <f t="shared" si="24"/>
        <v>303610</v>
      </c>
      <c r="N37" s="6">
        <f t="shared" si="24"/>
        <v>607220</v>
      </c>
      <c r="O37" s="6">
        <f t="shared" si="24"/>
        <v>607220</v>
      </c>
      <c r="P37" s="6">
        <f t="shared" si="24"/>
        <v>910830</v>
      </c>
      <c r="Q37" s="6">
        <f t="shared" si="24"/>
        <v>910830</v>
      </c>
      <c r="R37" s="6">
        <f t="shared" si="24"/>
        <v>910830</v>
      </c>
      <c r="S37" s="6">
        <f t="shared" si="24"/>
        <v>910830</v>
      </c>
      <c r="U37" s="1">
        <v>303609.13016282138</v>
      </c>
      <c r="V37" s="1">
        <v>0</v>
      </c>
      <c r="W37" s="1">
        <v>0</v>
      </c>
      <c r="X37" s="1">
        <v>0</v>
      </c>
      <c r="Y37" s="1">
        <v>0</v>
      </c>
      <c r="Z37" s="1">
        <v>1</v>
      </c>
      <c r="AA37" s="1">
        <v>1</v>
      </c>
      <c r="AB37" s="1">
        <v>2</v>
      </c>
      <c r="AC37" s="1">
        <v>2</v>
      </c>
      <c r="AD37" s="1">
        <v>3</v>
      </c>
      <c r="AE37" s="1">
        <v>3</v>
      </c>
      <c r="AF37" s="1">
        <v>3</v>
      </c>
      <c r="AG37" s="1">
        <v>3</v>
      </c>
    </row>
    <row r="38" spans="7:33" ht="14.25" customHeight="1" x14ac:dyDescent="0.35">
      <c r="G38" s="1" t="s">
        <v>446</v>
      </c>
      <c r="H38" s="6">
        <f t="shared" ref="H38:S38" si="25">ROUND(+$U38*V38,-1)</f>
        <v>0</v>
      </c>
      <c r="I38" s="6">
        <f t="shared" si="25"/>
        <v>0</v>
      </c>
      <c r="J38" s="6">
        <f t="shared" si="25"/>
        <v>0</v>
      </c>
      <c r="K38" s="6">
        <f t="shared" si="25"/>
        <v>120910</v>
      </c>
      <c r="L38" s="6">
        <f t="shared" si="25"/>
        <v>181360</v>
      </c>
      <c r="M38" s="6">
        <f t="shared" si="25"/>
        <v>362730</v>
      </c>
      <c r="N38" s="6">
        <f t="shared" si="25"/>
        <v>483640</v>
      </c>
      <c r="O38" s="6">
        <f t="shared" si="25"/>
        <v>604550</v>
      </c>
      <c r="P38" s="6">
        <f t="shared" si="25"/>
        <v>665000</v>
      </c>
      <c r="Q38" s="6">
        <f t="shared" si="25"/>
        <v>725460</v>
      </c>
      <c r="R38" s="6">
        <f t="shared" si="25"/>
        <v>846370</v>
      </c>
      <c r="S38" s="6">
        <f t="shared" si="25"/>
        <v>906820</v>
      </c>
      <c r="U38" s="1">
        <v>60454.8432217554</v>
      </c>
      <c r="V38" s="1">
        <v>0</v>
      </c>
      <c r="W38" s="1">
        <v>0</v>
      </c>
      <c r="X38" s="1">
        <v>0</v>
      </c>
      <c r="Y38" s="1">
        <v>2</v>
      </c>
      <c r="Z38" s="1">
        <v>3</v>
      </c>
      <c r="AA38" s="1">
        <v>6</v>
      </c>
      <c r="AB38" s="1">
        <v>8</v>
      </c>
      <c r="AC38" s="1">
        <v>10</v>
      </c>
      <c r="AD38" s="1">
        <v>11</v>
      </c>
      <c r="AE38" s="1">
        <v>12</v>
      </c>
      <c r="AF38" s="1">
        <v>14</v>
      </c>
      <c r="AG38" s="1">
        <v>15</v>
      </c>
    </row>
    <row r="39" spans="7:33" ht="14.25" customHeight="1" x14ac:dyDescent="0.35">
      <c r="G39" s="1" t="s">
        <v>448</v>
      </c>
      <c r="H39" s="6">
        <f t="shared" ref="H39:S39" si="26">ROUND(+$U39*V39,-1)</f>
        <v>0</v>
      </c>
      <c r="I39" s="6">
        <f t="shared" si="26"/>
        <v>0</v>
      </c>
      <c r="J39" s="6">
        <f t="shared" si="26"/>
        <v>0</v>
      </c>
      <c r="K39" s="6">
        <f t="shared" si="26"/>
        <v>0</v>
      </c>
      <c r="L39" s="6">
        <f t="shared" si="26"/>
        <v>0</v>
      </c>
      <c r="M39" s="6">
        <f t="shared" si="26"/>
        <v>0</v>
      </c>
      <c r="N39" s="6">
        <f t="shared" si="26"/>
        <v>0</v>
      </c>
      <c r="O39" s="6">
        <f t="shared" si="26"/>
        <v>0</v>
      </c>
      <c r="P39" s="6">
        <f t="shared" si="26"/>
        <v>233910</v>
      </c>
      <c r="Q39" s="6">
        <f t="shared" si="26"/>
        <v>233910</v>
      </c>
      <c r="R39" s="6">
        <f t="shared" si="26"/>
        <v>233910</v>
      </c>
      <c r="S39" s="6">
        <f t="shared" si="26"/>
        <v>233910</v>
      </c>
      <c r="U39" s="1">
        <v>233914.60595758641</v>
      </c>
      <c r="V39" s="1">
        <v>0</v>
      </c>
      <c r="W39" s="1">
        <v>0</v>
      </c>
      <c r="X39" s="1">
        <v>0</v>
      </c>
      <c r="Y39" s="1">
        <v>0</v>
      </c>
      <c r="Z39" s="1">
        <v>0</v>
      </c>
      <c r="AA39" s="1">
        <v>0</v>
      </c>
      <c r="AB39" s="1">
        <v>0</v>
      </c>
      <c r="AC39" s="1">
        <v>0</v>
      </c>
      <c r="AD39" s="1">
        <v>1</v>
      </c>
      <c r="AE39" s="1">
        <v>1</v>
      </c>
      <c r="AF39" s="1">
        <v>1</v>
      </c>
      <c r="AG39" s="1">
        <v>1</v>
      </c>
    </row>
    <row r="40" spans="7:33" ht="14.25" customHeight="1" x14ac:dyDescent="0.35">
      <c r="G40" s="1" t="s">
        <v>449</v>
      </c>
      <c r="H40" s="6">
        <f t="shared" ref="H40:S40" si="27">ROUND(+$U40*V40,-1)</f>
        <v>0</v>
      </c>
      <c r="I40" s="6">
        <f t="shared" si="27"/>
        <v>0</v>
      </c>
      <c r="J40" s="6">
        <f t="shared" si="27"/>
        <v>0</v>
      </c>
      <c r="K40" s="6">
        <f t="shared" si="27"/>
        <v>0</v>
      </c>
      <c r="L40" s="6">
        <f t="shared" si="27"/>
        <v>269240</v>
      </c>
      <c r="M40" s="6">
        <f t="shared" si="27"/>
        <v>269240</v>
      </c>
      <c r="N40" s="6">
        <f t="shared" si="27"/>
        <v>538490</v>
      </c>
      <c r="O40" s="6">
        <f t="shared" si="27"/>
        <v>538490</v>
      </c>
      <c r="P40" s="6">
        <f t="shared" si="27"/>
        <v>538490</v>
      </c>
      <c r="Q40" s="6">
        <f t="shared" si="27"/>
        <v>807730</v>
      </c>
      <c r="R40" s="6">
        <f t="shared" si="27"/>
        <v>807730</v>
      </c>
      <c r="S40" s="6">
        <f t="shared" si="27"/>
        <v>807730</v>
      </c>
      <c r="U40" s="1">
        <v>269243.95462899754</v>
      </c>
      <c r="V40" s="1">
        <v>0</v>
      </c>
      <c r="W40" s="1">
        <v>0</v>
      </c>
      <c r="X40" s="1">
        <v>0</v>
      </c>
      <c r="Y40" s="1">
        <v>0</v>
      </c>
      <c r="Z40" s="1">
        <v>1</v>
      </c>
      <c r="AA40" s="1">
        <v>1</v>
      </c>
      <c r="AB40" s="1">
        <v>2</v>
      </c>
      <c r="AC40" s="1">
        <v>2</v>
      </c>
      <c r="AD40" s="1">
        <v>2</v>
      </c>
      <c r="AE40" s="1">
        <v>3</v>
      </c>
      <c r="AF40" s="1">
        <v>3</v>
      </c>
      <c r="AG40" s="1">
        <v>3</v>
      </c>
    </row>
    <row r="41" spans="7:33" ht="14.25" customHeight="1" x14ac:dyDescent="0.35">
      <c r="G41" s="1" t="s">
        <v>451</v>
      </c>
      <c r="H41" s="6">
        <f t="shared" ref="H41:S41" si="28">ROUND(+$U41*V41,-1)</f>
        <v>0</v>
      </c>
      <c r="I41" s="6">
        <f t="shared" si="28"/>
        <v>0</v>
      </c>
      <c r="J41" s="6">
        <f t="shared" si="28"/>
        <v>0</v>
      </c>
      <c r="K41" s="6">
        <f t="shared" si="28"/>
        <v>0</v>
      </c>
      <c r="L41" s="6">
        <f t="shared" si="28"/>
        <v>196300</v>
      </c>
      <c r="M41" s="6">
        <f t="shared" si="28"/>
        <v>196300</v>
      </c>
      <c r="N41" s="6">
        <f t="shared" si="28"/>
        <v>392600</v>
      </c>
      <c r="O41" s="6">
        <f t="shared" si="28"/>
        <v>392600</v>
      </c>
      <c r="P41" s="6">
        <f t="shared" si="28"/>
        <v>392600</v>
      </c>
      <c r="Q41" s="6">
        <f t="shared" si="28"/>
        <v>588900</v>
      </c>
      <c r="R41" s="6">
        <f t="shared" si="28"/>
        <v>588900</v>
      </c>
      <c r="S41" s="6">
        <f t="shared" si="28"/>
        <v>588900</v>
      </c>
      <c r="U41" s="1">
        <v>196299.54835222336</v>
      </c>
      <c r="V41" s="1">
        <v>0</v>
      </c>
      <c r="W41" s="1">
        <v>0</v>
      </c>
      <c r="X41" s="1">
        <v>0</v>
      </c>
      <c r="Y41" s="1">
        <v>0</v>
      </c>
      <c r="Z41" s="1">
        <v>1</v>
      </c>
      <c r="AA41" s="1">
        <v>1</v>
      </c>
      <c r="AB41" s="1">
        <v>2</v>
      </c>
      <c r="AC41" s="1">
        <v>2</v>
      </c>
      <c r="AD41" s="1">
        <v>2</v>
      </c>
      <c r="AE41" s="1">
        <v>3</v>
      </c>
      <c r="AF41" s="1">
        <v>3</v>
      </c>
      <c r="AG41" s="1">
        <v>3</v>
      </c>
    </row>
    <row r="42" spans="7:33" ht="14.25" customHeight="1" x14ac:dyDescent="0.35">
      <c r="G42" s="1" t="s">
        <v>453</v>
      </c>
      <c r="H42" s="6">
        <f t="shared" ref="H42:S42" si="29">ROUND(+$U42*V42,-1)</f>
        <v>0</v>
      </c>
      <c r="I42" s="6">
        <f t="shared" si="29"/>
        <v>0</v>
      </c>
      <c r="J42" s="6">
        <f t="shared" si="29"/>
        <v>0</v>
      </c>
      <c r="K42" s="6">
        <f t="shared" si="29"/>
        <v>0</v>
      </c>
      <c r="L42" s="6">
        <f t="shared" si="29"/>
        <v>98300</v>
      </c>
      <c r="M42" s="6">
        <f t="shared" si="29"/>
        <v>98300</v>
      </c>
      <c r="N42" s="6">
        <f t="shared" si="29"/>
        <v>196610</v>
      </c>
      <c r="O42" s="6">
        <f t="shared" si="29"/>
        <v>196610</v>
      </c>
      <c r="P42" s="6">
        <f t="shared" si="29"/>
        <v>294910</v>
      </c>
      <c r="Q42" s="6">
        <f t="shared" si="29"/>
        <v>294910</v>
      </c>
      <c r="R42" s="6">
        <f t="shared" si="29"/>
        <v>294910</v>
      </c>
      <c r="S42" s="6">
        <f t="shared" si="29"/>
        <v>294910</v>
      </c>
      <c r="U42" s="1">
        <v>98304.556005006583</v>
      </c>
      <c r="V42" s="1">
        <v>0</v>
      </c>
      <c r="W42" s="1">
        <v>0</v>
      </c>
      <c r="X42" s="1">
        <v>0</v>
      </c>
      <c r="Y42" s="1">
        <v>0</v>
      </c>
      <c r="Z42" s="1">
        <v>1</v>
      </c>
      <c r="AA42" s="1">
        <v>1</v>
      </c>
      <c r="AB42" s="1">
        <v>2</v>
      </c>
      <c r="AC42" s="1">
        <v>2</v>
      </c>
      <c r="AD42" s="1">
        <v>3</v>
      </c>
      <c r="AE42" s="1">
        <v>3</v>
      </c>
      <c r="AF42" s="1">
        <v>3</v>
      </c>
      <c r="AG42" s="1">
        <v>3</v>
      </c>
    </row>
    <row r="43" spans="7:33" ht="14.25" customHeight="1" x14ac:dyDescent="0.35">
      <c r="G43" s="1" t="s">
        <v>244</v>
      </c>
      <c r="H43" s="6">
        <f t="shared" ref="H43:S43" si="30">ROUND(+$U43*V43,-1)</f>
        <v>0</v>
      </c>
      <c r="I43" s="6">
        <f t="shared" si="30"/>
        <v>0</v>
      </c>
      <c r="J43" s="6">
        <f t="shared" si="30"/>
        <v>0</v>
      </c>
      <c r="K43" s="6">
        <f t="shared" si="30"/>
        <v>0</v>
      </c>
      <c r="L43" s="6">
        <f t="shared" si="30"/>
        <v>161580</v>
      </c>
      <c r="M43" s="6">
        <f t="shared" si="30"/>
        <v>161580</v>
      </c>
      <c r="N43" s="6">
        <f t="shared" si="30"/>
        <v>323150</v>
      </c>
      <c r="O43" s="6">
        <f t="shared" si="30"/>
        <v>323150</v>
      </c>
      <c r="P43" s="6">
        <f t="shared" si="30"/>
        <v>484730</v>
      </c>
      <c r="Q43" s="6">
        <f t="shared" si="30"/>
        <v>484730</v>
      </c>
      <c r="R43" s="6">
        <f t="shared" si="30"/>
        <v>484730</v>
      </c>
      <c r="S43" s="6">
        <f t="shared" si="30"/>
        <v>484730</v>
      </c>
      <c r="U43" s="1">
        <v>161575.60931124966</v>
      </c>
      <c r="V43" s="1">
        <v>0</v>
      </c>
      <c r="W43" s="1">
        <v>0</v>
      </c>
      <c r="X43" s="1">
        <v>0</v>
      </c>
      <c r="Y43" s="1">
        <v>0</v>
      </c>
      <c r="Z43" s="1">
        <v>1</v>
      </c>
      <c r="AA43" s="1">
        <v>1</v>
      </c>
      <c r="AB43" s="1">
        <v>2</v>
      </c>
      <c r="AC43" s="1">
        <v>2</v>
      </c>
      <c r="AD43" s="1">
        <v>3</v>
      </c>
      <c r="AE43" s="1">
        <v>3</v>
      </c>
      <c r="AF43" s="1">
        <v>3</v>
      </c>
      <c r="AG43" s="1">
        <v>3</v>
      </c>
    </row>
    <row r="44" spans="7:33" ht="14.25" customHeight="1" x14ac:dyDescent="0.35">
      <c r="G44" s="1" t="s">
        <v>301</v>
      </c>
      <c r="H44" s="6">
        <f t="shared" ref="H44:S44" si="31">ROUND(+$U44*V44,-1)</f>
        <v>0</v>
      </c>
      <c r="I44" s="6">
        <f t="shared" si="31"/>
        <v>0</v>
      </c>
      <c r="J44" s="6">
        <f t="shared" si="31"/>
        <v>0</v>
      </c>
      <c r="K44" s="6">
        <f t="shared" si="31"/>
        <v>0</v>
      </c>
      <c r="L44" s="6">
        <f t="shared" si="31"/>
        <v>163620</v>
      </c>
      <c r="M44" s="6">
        <f t="shared" si="31"/>
        <v>163620</v>
      </c>
      <c r="N44" s="6">
        <f t="shared" si="31"/>
        <v>163620</v>
      </c>
      <c r="O44" s="6">
        <f t="shared" si="31"/>
        <v>327230</v>
      </c>
      <c r="P44" s="6">
        <f t="shared" si="31"/>
        <v>327230</v>
      </c>
      <c r="Q44" s="6">
        <f t="shared" si="31"/>
        <v>327230</v>
      </c>
      <c r="R44" s="6">
        <f t="shared" si="31"/>
        <v>327230</v>
      </c>
      <c r="S44" s="6">
        <f t="shared" si="31"/>
        <v>490850</v>
      </c>
      <c r="U44" s="1">
        <v>163617.47719744322</v>
      </c>
      <c r="V44" s="1">
        <v>0</v>
      </c>
      <c r="W44" s="1">
        <v>0</v>
      </c>
      <c r="X44" s="1">
        <v>0</v>
      </c>
      <c r="Y44" s="1">
        <v>0</v>
      </c>
      <c r="Z44" s="1">
        <v>1</v>
      </c>
      <c r="AA44" s="1">
        <v>1</v>
      </c>
      <c r="AB44" s="1">
        <v>1</v>
      </c>
      <c r="AC44" s="1">
        <v>2</v>
      </c>
      <c r="AD44" s="1">
        <v>2</v>
      </c>
      <c r="AE44" s="1">
        <v>2</v>
      </c>
      <c r="AF44" s="1">
        <v>2</v>
      </c>
      <c r="AG44" s="1">
        <v>3</v>
      </c>
    </row>
    <row r="45" spans="7:33" ht="14.25" customHeight="1" x14ac:dyDescent="0.35">
      <c r="G45" s="1" t="s">
        <v>456</v>
      </c>
      <c r="H45" s="6">
        <f t="shared" ref="H45:S45" si="32">ROUND(+$U45*V45,-1)</f>
        <v>0</v>
      </c>
      <c r="I45" s="6">
        <f t="shared" si="32"/>
        <v>0</v>
      </c>
      <c r="J45" s="6">
        <f t="shared" si="32"/>
        <v>0</v>
      </c>
      <c r="K45" s="6">
        <f t="shared" si="32"/>
        <v>0</v>
      </c>
      <c r="L45" s="6">
        <f t="shared" si="32"/>
        <v>175970</v>
      </c>
      <c r="M45" s="6">
        <f t="shared" si="32"/>
        <v>175970</v>
      </c>
      <c r="N45" s="6">
        <f t="shared" si="32"/>
        <v>175970</v>
      </c>
      <c r="O45" s="6">
        <f t="shared" si="32"/>
        <v>351940</v>
      </c>
      <c r="P45" s="6">
        <f t="shared" si="32"/>
        <v>351940</v>
      </c>
      <c r="Q45" s="6">
        <f t="shared" si="32"/>
        <v>351940</v>
      </c>
      <c r="R45" s="6">
        <f t="shared" si="32"/>
        <v>351940</v>
      </c>
      <c r="S45" s="6">
        <f t="shared" si="32"/>
        <v>351940</v>
      </c>
      <c r="U45" s="1">
        <v>175968.72020823744</v>
      </c>
      <c r="V45" s="1">
        <v>0</v>
      </c>
      <c r="W45" s="1">
        <v>0</v>
      </c>
      <c r="X45" s="1">
        <v>0</v>
      </c>
      <c r="Y45" s="1">
        <v>0</v>
      </c>
      <c r="Z45" s="1">
        <v>1</v>
      </c>
      <c r="AA45" s="1">
        <v>1</v>
      </c>
      <c r="AB45" s="1">
        <v>1</v>
      </c>
      <c r="AC45" s="1">
        <v>2</v>
      </c>
      <c r="AD45" s="1">
        <v>2</v>
      </c>
      <c r="AE45" s="1">
        <v>2</v>
      </c>
      <c r="AF45" s="1">
        <v>2</v>
      </c>
      <c r="AG45" s="1">
        <v>2</v>
      </c>
    </row>
    <row r="46" spans="7:33" ht="14.25" customHeight="1" x14ac:dyDescent="0.35">
      <c r="G46" s="1" t="s">
        <v>457</v>
      </c>
      <c r="H46" s="6">
        <f t="shared" ref="H46:S46" si="33">ROUND(+$U46*V46,-1)</f>
        <v>0</v>
      </c>
      <c r="I46" s="6">
        <f t="shared" si="33"/>
        <v>0</v>
      </c>
      <c r="J46" s="6">
        <f t="shared" si="33"/>
        <v>0</v>
      </c>
      <c r="K46" s="6">
        <f t="shared" si="33"/>
        <v>0</v>
      </c>
      <c r="L46" s="6">
        <f t="shared" si="33"/>
        <v>0</v>
      </c>
      <c r="M46" s="6">
        <f t="shared" si="33"/>
        <v>183870</v>
      </c>
      <c r="N46" s="6">
        <f t="shared" si="33"/>
        <v>183870</v>
      </c>
      <c r="O46" s="6">
        <f t="shared" si="33"/>
        <v>183870</v>
      </c>
      <c r="P46" s="6">
        <f t="shared" si="33"/>
        <v>367740</v>
      </c>
      <c r="Q46" s="6">
        <f t="shared" si="33"/>
        <v>367740</v>
      </c>
      <c r="R46" s="6">
        <f t="shared" si="33"/>
        <v>367740</v>
      </c>
      <c r="S46" s="6">
        <f t="shared" si="33"/>
        <v>367740</v>
      </c>
      <c r="U46" s="1">
        <v>183869.54774064018</v>
      </c>
      <c r="V46" s="1">
        <v>0</v>
      </c>
      <c r="W46" s="1">
        <v>0</v>
      </c>
      <c r="X46" s="1">
        <v>0</v>
      </c>
      <c r="Y46" s="1">
        <v>0</v>
      </c>
      <c r="Z46" s="1">
        <v>0</v>
      </c>
      <c r="AA46" s="1">
        <v>1</v>
      </c>
      <c r="AB46" s="1">
        <v>1</v>
      </c>
      <c r="AC46" s="1">
        <v>1</v>
      </c>
      <c r="AD46" s="1">
        <v>2</v>
      </c>
      <c r="AE46" s="1">
        <v>2</v>
      </c>
      <c r="AF46" s="1">
        <v>2</v>
      </c>
      <c r="AG46" s="1">
        <v>2</v>
      </c>
    </row>
    <row r="47" spans="7:33" ht="14.25" customHeight="1" x14ac:dyDescent="0.35">
      <c r="G47" s="1" t="s">
        <v>458</v>
      </c>
      <c r="H47" s="6">
        <f t="shared" ref="H47:S47" si="34">ROUND(+$U47*V47,-1)</f>
        <v>0</v>
      </c>
      <c r="I47" s="6">
        <f t="shared" si="34"/>
        <v>0</v>
      </c>
      <c r="J47" s="6">
        <f t="shared" si="34"/>
        <v>0</v>
      </c>
      <c r="K47" s="6">
        <f t="shared" si="34"/>
        <v>0</v>
      </c>
      <c r="L47" s="6">
        <f t="shared" si="34"/>
        <v>0</v>
      </c>
      <c r="M47" s="6">
        <f t="shared" si="34"/>
        <v>0</v>
      </c>
      <c r="N47" s="6">
        <f t="shared" si="34"/>
        <v>0</v>
      </c>
      <c r="O47" s="6">
        <f t="shared" si="34"/>
        <v>0</v>
      </c>
      <c r="P47" s="6">
        <f t="shared" si="34"/>
        <v>0</v>
      </c>
      <c r="Q47" s="6">
        <f t="shared" si="34"/>
        <v>0</v>
      </c>
      <c r="R47" s="6">
        <f t="shared" si="34"/>
        <v>0</v>
      </c>
      <c r="S47" s="6">
        <f t="shared" si="34"/>
        <v>0</v>
      </c>
      <c r="U47" s="1">
        <v>487489.55805447476</v>
      </c>
      <c r="V47" s="1">
        <v>0</v>
      </c>
      <c r="W47" s="1">
        <v>0</v>
      </c>
      <c r="X47" s="1">
        <v>0</v>
      </c>
      <c r="Y47" s="1">
        <v>0</v>
      </c>
      <c r="Z47" s="1">
        <v>0</v>
      </c>
      <c r="AA47" s="1">
        <v>0</v>
      </c>
      <c r="AB47" s="1">
        <v>0</v>
      </c>
      <c r="AC47" s="1">
        <v>0</v>
      </c>
      <c r="AD47" s="1">
        <v>0</v>
      </c>
      <c r="AE47" s="1">
        <v>0</v>
      </c>
      <c r="AF47" s="1">
        <v>0</v>
      </c>
      <c r="AG47" s="1">
        <v>0</v>
      </c>
    </row>
    <row r="48" spans="7:33" ht="14.25" customHeight="1" x14ac:dyDescent="0.35">
      <c r="G48" s="1" t="s">
        <v>459</v>
      </c>
      <c r="H48" s="6">
        <f t="shared" ref="H48:S48" si="35">ROUND(+$U48*V48,-1)</f>
        <v>0</v>
      </c>
      <c r="I48" s="6">
        <f t="shared" si="35"/>
        <v>0</v>
      </c>
      <c r="J48" s="6">
        <f t="shared" si="35"/>
        <v>0</v>
      </c>
      <c r="K48" s="6">
        <f t="shared" si="35"/>
        <v>0</v>
      </c>
      <c r="L48" s="6">
        <f t="shared" si="35"/>
        <v>89840</v>
      </c>
      <c r="M48" s="6">
        <f t="shared" si="35"/>
        <v>89840</v>
      </c>
      <c r="N48" s="6">
        <f t="shared" si="35"/>
        <v>89840</v>
      </c>
      <c r="O48" s="6">
        <f t="shared" si="35"/>
        <v>179680</v>
      </c>
      <c r="P48" s="6">
        <f t="shared" si="35"/>
        <v>179680</v>
      </c>
      <c r="Q48" s="6">
        <f t="shared" si="35"/>
        <v>179680</v>
      </c>
      <c r="R48" s="6">
        <f t="shared" si="35"/>
        <v>179680</v>
      </c>
      <c r="S48" s="6">
        <f t="shared" si="35"/>
        <v>269520</v>
      </c>
      <c r="U48" s="1">
        <v>89841.225302562918</v>
      </c>
      <c r="V48" s="1">
        <v>0</v>
      </c>
      <c r="W48" s="1">
        <v>0</v>
      </c>
      <c r="X48" s="1">
        <v>0</v>
      </c>
      <c r="Y48" s="1">
        <v>0</v>
      </c>
      <c r="Z48" s="1">
        <v>1</v>
      </c>
      <c r="AA48" s="1">
        <v>1</v>
      </c>
      <c r="AB48" s="1">
        <v>1</v>
      </c>
      <c r="AC48" s="1">
        <v>2</v>
      </c>
      <c r="AD48" s="1">
        <v>2</v>
      </c>
      <c r="AE48" s="1">
        <v>2</v>
      </c>
      <c r="AF48" s="1">
        <v>2</v>
      </c>
      <c r="AG48" s="1">
        <v>3</v>
      </c>
    </row>
    <row r="49" spans="7:33" ht="14.25" customHeight="1" x14ac:dyDescent="0.35">
      <c r="G49" s="1" t="s">
        <v>460</v>
      </c>
      <c r="H49" s="6">
        <f t="shared" ref="H49:S49" si="36">ROUND(+$U49*V49,-1)</f>
        <v>0</v>
      </c>
      <c r="I49" s="6">
        <f t="shared" si="36"/>
        <v>0</v>
      </c>
      <c r="J49" s="6">
        <f t="shared" si="36"/>
        <v>0</v>
      </c>
      <c r="K49" s="6">
        <f t="shared" si="36"/>
        <v>0</v>
      </c>
      <c r="L49" s="6">
        <f t="shared" si="36"/>
        <v>0</v>
      </c>
      <c r="M49" s="6">
        <f t="shared" si="36"/>
        <v>68670</v>
      </c>
      <c r="N49" s="6">
        <f t="shared" si="36"/>
        <v>68670</v>
      </c>
      <c r="O49" s="6">
        <f t="shared" si="36"/>
        <v>68670</v>
      </c>
      <c r="P49" s="6">
        <f t="shared" si="36"/>
        <v>68670</v>
      </c>
      <c r="Q49" s="6">
        <f t="shared" si="36"/>
        <v>137340</v>
      </c>
      <c r="R49" s="6">
        <f t="shared" si="36"/>
        <v>137340</v>
      </c>
      <c r="S49" s="6">
        <f t="shared" si="36"/>
        <v>137340</v>
      </c>
      <c r="U49" s="1">
        <v>68667.806015622613</v>
      </c>
      <c r="V49" s="1">
        <v>0</v>
      </c>
      <c r="W49" s="1">
        <v>0</v>
      </c>
      <c r="X49" s="1">
        <v>0</v>
      </c>
      <c r="Y49" s="1">
        <v>0</v>
      </c>
      <c r="Z49" s="1">
        <v>0</v>
      </c>
      <c r="AA49" s="1">
        <v>1</v>
      </c>
      <c r="AB49" s="1">
        <v>1</v>
      </c>
      <c r="AC49" s="1">
        <v>1</v>
      </c>
      <c r="AD49" s="1">
        <v>1</v>
      </c>
      <c r="AE49" s="1">
        <v>2</v>
      </c>
      <c r="AF49" s="1">
        <v>2</v>
      </c>
      <c r="AG49" s="1">
        <v>2</v>
      </c>
    </row>
    <row r="50" spans="7:33" ht="14.25" customHeight="1" x14ac:dyDescent="0.35">
      <c r="G50" s="1" t="s">
        <v>461</v>
      </c>
      <c r="H50" s="6">
        <f t="shared" ref="H50:S50" si="37">ROUND(+$U50*V50,-1)</f>
        <v>0</v>
      </c>
      <c r="I50" s="6">
        <f t="shared" si="37"/>
        <v>0</v>
      </c>
      <c r="J50" s="6">
        <f t="shared" si="37"/>
        <v>0</v>
      </c>
      <c r="K50" s="6">
        <f t="shared" si="37"/>
        <v>0</v>
      </c>
      <c r="L50" s="6">
        <f t="shared" si="37"/>
        <v>0</v>
      </c>
      <c r="M50" s="6">
        <f t="shared" si="37"/>
        <v>107910</v>
      </c>
      <c r="N50" s="6">
        <f t="shared" si="37"/>
        <v>107910</v>
      </c>
      <c r="O50" s="6">
        <f t="shared" si="37"/>
        <v>107910</v>
      </c>
      <c r="P50" s="6">
        <f t="shared" si="37"/>
        <v>107910</v>
      </c>
      <c r="Q50" s="6">
        <f t="shared" si="37"/>
        <v>107910</v>
      </c>
      <c r="R50" s="6">
        <f t="shared" si="37"/>
        <v>107910</v>
      </c>
      <c r="S50" s="6">
        <f t="shared" si="37"/>
        <v>215810</v>
      </c>
      <c r="U50" s="1">
        <v>107905.46502683852</v>
      </c>
      <c r="V50" s="1">
        <v>0</v>
      </c>
      <c r="W50" s="1">
        <v>0</v>
      </c>
      <c r="X50" s="1">
        <v>0</v>
      </c>
      <c r="Y50" s="1">
        <v>0</v>
      </c>
      <c r="Z50" s="1">
        <v>0</v>
      </c>
      <c r="AA50" s="1">
        <v>1</v>
      </c>
      <c r="AB50" s="1">
        <v>1</v>
      </c>
      <c r="AC50" s="1">
        <v>1</v>
      </c>
      <c r="AD50" s="1">
        <v>1</v>
      </c>
      <c r="AE50" s="1">
        <v>1</v>
      </c>
      <c r="AF50" s="1">
        <v>1</v>
      </c>
      <c r="AG50" s="1">
        <v>2</v>
      </c>
    </row>
    <row r="51" spans="7:33" ht="14.25" customHeight="1" x14ac:dyDescent="0.35">
      <c r="G51" s="1" t="s">
        <v>462</v>
      </c>
      <c r="H51" s="6">
        <f t="shared" ref="H51:S51" si="38">ROUND(+$U51*V51,-1)</f>
        <v>0</v>
      </c>
      <c r="I51" s="6">
        <f t="shared" si="38"/>
        <v>0</v>
      </c>
      <c r="J51" s="6">
        <f t="shared" si="38"/>
        <v>0</v>
      </c>
      <c r="K51" s="6">
        <f t="shared" si="38"/>
        <v>0</v>
      </c>
      <c r="L51" s="6">
        <f t="shared" si="38"/>
        <v>33260</v>
      </c>
      <c r="M51" s="6">
        <f t="shared" si="38"/>
        <v>33260</v>
      </c>
      <c r="N51" s="6">
        <f t="shared" si="38"/>
        <v>66510</v>
      </c>
      <c r="O51" s="6">
        <f t="shared" si="38"/>
        <v>66510</v>
      </c>
      <c r="P51" s="6">
        <f t="shared" si="38"/>
        <v>99770</v>
      </c>
      <c r="Q51" s="6">
        <f t="shared" si="38"/>
        <v>99770</v>
      </c>
      <c r="R51" s="6">
        <f t="shared" si="38"/>
        <v>99770</v>
      </c>
      <c r="S51" s="6">
        <f t="shared" si="38"/>
        <v>133030</v>
      </c>
      <c r="U51" s="1">
        <v>33256.565337367196</v>
      </c>
      <c r="V51" s="1">
        <v>0</v>
      </c>
      <c r="W51" s="1">
        <v>0</v>
      </c>
      <c r="X51" s="1">
        <v>0</v>
      </c>
      <c r="Y51" s="1">
        <v>0</v>
      </c>
      <c r="Z51" s="1">
        <v>1</v>
      </c>
      <c r="AA51" s="1">
        <v>1</v>
      </c>
      <c r="AB51" s="1">
        <v>2</v>
      </c>
      <c r="AC51" s="1">
        <v>2</v>
      </c>
      <c r="AD51" s="1">
        <v>3</v>
      </c>
      <c r="AE51" s="1">
        <v>3</v>
      </c>
      <c r="AF51" s="1">
        <v>3</v>
      </c>
      <c r="AG51" s="1">
        <v>4</v>
      </c>
    </row>
    <row r="52" spans="7:33" ht="14.25" customHeight="1" x14ac:dyDescent="0.35">
      <c r="G52" s="1" t="s">
        <v>483</v>
      </c>
      <c r="H52" s="6">
        <f t="shared" ref="H52:S52" si="39">ROUND(+$U52*V52,-1)</f>
        <v>0</v>
      </c>
      <c r="I52" s="6">
        <f t="shared" si="39"/>
        <v>0</v>
      </c>
      <c r="J52" s="6">
        <f t="shared" si="39"/>
        <v>0</v>
      </c>
      <c r="K52" s="6">
        <f t="shared" si="39"/>
        <v>0</v>
      </c>
      <c r="L52" s="6">
        <f t="shared" si="39"/>
        <v>0</v>
      </c>
      <c r="M52" s="6">
        <f t="shared" si="39"/>
        <v>233910</v>
      </c>
      <c r="N52" s="6">
        <f t="shared" si="39"/>
        <v>233910</v>
      </c>
      <c r="O52" s="6">
        <f t="shared" si="39"/>
        <v>233910</v>
      </c>
      <c r="P52" s="6">
        <f t="shared" si="39"/>
        <v>233910</v>
      </c>
      <c r="Q52" s="6">
        <f t="shared" si="39"/>
        <v>467830</v>
      </c>
      <c r="R52" s="6">
        <f t="shared" si="39"/>
        <v>467830</v>
      </c>
      <c r="S52" s="6">
        <f t="shared" si="39"/>
        <v>467830</v>
      </c>
      <c r="U52" s="1">
        <v>233914.60595758641</v>
      </c>
      <c r="V52" s="1">
        <v>0</v>
      </c>
      <c r="W52" s="1">
        <v>0</v>
      </c>
      <c r="X52" s="1">
        <v>0</v>
      </c>
      <c r="Y52" s="1">
        <v>0</v>
      </c>
      <c r="Z52" s="1">
        <v>0</v>
      </c>
      <c r="AA52" s="1">
        <v>1</v>
      </c>
      <c r="AB52" s="1">
        <v>1</v>
      </c>
      <c r="AC52" s="1">
        <v>1</v>
      </c>
      <c r="AD52" s="1">
        <v>1</v>
      </c>
      <c r="AE52" s="1">
        <v>2</v>
      </c>
      <c r="AF52" s="1">
        <v>2</v>
      </c>
      <c r="AG52" s="1">
        <v>2</v>
      </c>
    </row>
    <row r="53" spans="7:33" ht="14.25" customHeight="1" x14ac:dyDescent="0.35">
      <c r="G53" s="1" t="s">
        <v>484</v>
      </c>
      <c r="H53" s="6">
        <f t="shared" ref="H53:S53" si="40">ROUND(+$U53*V53,-1)</f>
        <v>0</v>
      </c>
      <c r="I53" s="6">
        <f t="shared" si="40"/>
        <v>0</v>
      </c>
      <c r="J53" s="6">
        <f t="shared" si="40"/>
        <v>0</v>
      </c>
      <c r="K53" s="6">
        <f t="shared" si="40"/>
        <v>0</v>
      </c>
      <c r="L53" s="6">
        <f t="shared" si="40"/>
        <v>0</v>
      </c>
      <c r="M53" s="6">
        <f t="shared" si="40"/>
        <v>0</v>
      </c>
      <c r="N53" s="6">
        <f t="shared" si="40"/>
        <v>233910</v>
      </c>
      <c r="O53" s="6">
        <f t="shared" si="40"/>
        <v>233910</v>
      </c>
      <c r="P53" s="6">
        <f t="shared" si="40"/>
        <v>233910</v>
      </c>
      <c r="Q53" s="6">
        <f t="shared" si="40"/>
        <v>233910</v>
      </c>
      <c r="R53" s="6">
        <f t="shared" si="40"/>
        <v>233910</v>
      </c>
      <c r="S53" s="6">
        <f t="shared" si="40"/>
        <v>467830</v>
      </c>
      <c r="U53" s="1">
        <v>233914.60595758641</v>
      </c>
      <c r="V53" s="1">
        <v>0</v>
      </c>
      <c r="W53" s="1">
        <v>0</v>
      </c>
      <c r="X53" s="1">
        <v>0</v>
      </c>
      <c r="Y53" s="1">
        <v>0</v>
      </c>
      <c r="Z53" s="1">
        <v>0</v>
      </c>
      <c r="AA53" s="1">
        <v>0</v>
      </c>
      <c r="AB53" s="1">
        <v>1</v>
      </c>
      <c r="AC53" s="1">
        <v>1</v>
      </c>
      <c r="AD53" s="1">
        <v>1</v>
      </c>
      <c r="AE53" s="1">
        <v>1</v>
      </c>
      <c r="AF53" s="1">
        <v>1</v>
      </c>
      <c r="AG53" s="1">
        <v>2</v>
      </c>
    </row>
    <row r="54" spans="7:33" ht="14.25" customHeight="1" x14ac:dyDescent="0.35">
      <c r="G54" s="1" t="s">
        <v>485</v>
      </c>
      <c r="H54" s="6">
        <f t="shared" ref="H54:S54" si="41">ROUND(+$U54*V54,-1)</f>
        <v>0</v>
      </c>
      <c r="I54" s="6">
        <f t="shared" si="41"/>
        <v>0</v>
      </c>
      <c r="J54" s="6">
        <f t="shared" si="41"/>
        <v>0</v>
      </c>
      <c r="K54" s="6">
        <f t="shared" si="41"/>
        <v>0</v>
      </c>
      <c r="L54" s="6">
        <f t="shared" si="41"/>
        <v>0</v>
      </c>
      <c r="M54" s="6">
        <f t="shared" si="41"/>
        <v>0</v>
      </c>
      <c r="N54" s="6">
        <f t="shared" si="41"/>
        <v>0</v>
      </c>
      <c r="O54" s="6">
        <f t="shared" si="41"/>
        <v>0</v>
      </c>
      <c r="P54" s="6">
        <f t="shared" si="41"/>
        <v>0</v>
      </c>
      <c r="Q54" s="6">
        <f t="shared" si="41"/>
        <v>0</v>
      </c>
      <c r="R54" s="6">
        <f t="shared" si="41"/>
        <v>0</v>
      </c>
      <c r="S54" s="6">
        <f t="shared" si="41"/>
        <v>233910</v>
      </c>
      <c r="U54" s="1">
        <v>233914.60595758641</v>
      </c>
      <c r="V54" s="1">
        <v>0</v>
      </c>
      <c r="W54" s="1">
        <v>0</v>
      </c>
      <c r="X54" s="1">
        <v>0</v>
      </c>
      <c r="Y54" s="1">
        <v>0</v>
      </c>
      <c r="Z54" s="1">
        <v>0</v>
      </c>
      <c r="AA54" s="1">
        <v>0</v>
      </c>
      <c r="AB54" s="1">
        <v>0</v>
      </c>
      <c r="AC54" s="1">
        <v>0</v>
      </c>
      <c r="AD54" s="1">
        <v>0</v>
      </c>
      <c r="AE54" s="1">
        <v>0</v>
      </c>
      <c r="AF54" s="1">
        <v>0</v>
      </c>
      <c r="AG54" s="1">
        <v>1</v>
      </c>
    </row>
    <row r="55" spans="7:33" ht="14.25" customHeight="1" x14ac:dyDescent="0.35">
      <c r="G55" s="1" t="s">
        <v>486</v>
      </c>
      <c r="H55" s="6">
        <f t="shared" ref="H55:S55" si="42">ROUND(+$U55*V55,-1)</f>
        <v>0</v>
      </c>
      <c r="I55" s="6">
        <f t="shared" si="42"/>
        <v>0</v>
      </c>
      <c r="J55" s="6">
        <f t="shared" si="42"/>
        <v>0</v>
      </c>
      <c r="K55" s="6">
        <f t="shared" si="42"/>
        <v>0</v>
      </c>
      <c r="L55" s="6">
        <f t="shared" si="42"/>
        <v>0</v>
      </c>
      <c r="M55" s="6">
        <f t="shared" si="42"/>
        <v>0</v>
      </c>
      <c r="N55" s="6">
        <f t="shared" si="42"/>
        <v>0</v>
      </c>
      <c r="O55" s="6">
        <f t="shared" si="42"/>
        <v>0</v>
      </c>
      <c r="P55" s="6">
        <f t="shared" si="42"/>
        <v>487490</v>
      </c>
      <c r="Q55" s="6">
        <f t="shared" si="42"/>
        <v>487490</v>
      </c>
      <c r="R55" s="6">
        <f t="shared" si="42"/>
        <v>487490</v>
      </c>
      <c r="S55" s="6">
        <f t="shared" si="42"/>
        <v>487490</v>
      </c>
      <c r="U55" s="1">
        <v>487489.55805447476</v>
      </c>
      <c r="V55" s="1">
        <v>0</v>
      </c>
      <c r="W55" s="1">
        <v>0</v>
      </c>
      <c r="X55" s="1">
        <v>0</v>
      </c>
      <c r="Y55" s="1">
        <v>0</v>
      </c>
      <c r="Z55" s="1">
        <v>0</v>
      </c>
      <c r="AA55" s="1">
        <v>0</v>
      </c>
      <c r="AB55" s="1">
        <v>0</v>
      </c>
      <c r="AC55" s="1">
        <v>0</v>
      </c>
      <c r="AD55" s="1">
        <v>1</v>
      </c>
      <c r="AE55" s="1">
        <v>1</v>
      </c>
      <c r="AF55" s="1">
        <v>1</v>
      </c>
      <c r="AG55" s="1">
        <v>1</v>
      </c>
    </row>
    <row r="56" spans="7:33" ht="14.25" customHeight="1" x14ac:dyDescent="0.35">
      <c r="G56" s="1" t="s">
        <v>489</v>
      </c>
      <c r="H56" s="6">
        <f t="shared" ref="H56:S56" si="43">ROUND(+$U56*V56,-1)</f>
        <v>0</v>
      </c>
      <c r="I56" s="6">
        <f t="shared" si="43"/>
        <v>0</v>
      </c>
      <c r="J56" s="6">
        <f t="shared" si="43"/>
        <v>0</v>
      </c>
      <c r="K56" s="6">
        <f t="shared" si="43"/>
        <v>0</v>
      </c>
      <c r="L56" s="6">
        <f t="shared" si="43"/>
        <v>0</v>
      </c>
      <c r="M56" s="6">
        <f t="shared" si="43"/>
        <v>0</v>
      </c>
      <c r="N56" s="6">
        <f t="shared" si="43"/>
        <v>0</v>
      </c>
      <c r="O56" s="6">
        <f t="shared" si="43"/>
        <v>0</v>
      </c>
      <c r="P56" s="6">
        <f t="shared" si="43"/>
        <v>0</v>
      </c>
      <c r="Q56" s="6">
        <f t="shared" si="43"/>
        <v>0</v>
      </c>
      <c r="R56" s="6">
        <f t="shared" si="43"/>
        <v>0</v>
      </c>
      <c r="S56" s="6">
        <f t="shared" si="43"/>
        <v>175970</v>
      </c>
      <c r="U56" s="1">
        <v>175968.72020823744</v>
      </c>
      <c r="V56" s="1">
        <v>0</v>
      </c>
      <c r="W56" s="1">
        <v>0</v>
      </c>
      <c r="X56" s="1">
        <v>0</v>
      </c>
      <c r="Y56" s="1">
        <v>0</v>
      </c>
      <c r="Z56" s="1">
        <v>0</v>
      </c>
      <c r="AA56" s="1">
        <v>0</v>
      </c>
      <c r="AB56" s="1">
        <v>0</v>
      </c>
      <c r="AC56" s="1">
        <v>0</v>
      </c>
      <c r="AD56" s="1">
        <v>0</v>
      </c>
      <c r="AE56" s="1">
        <v>0</v>
      </c>
      <c r="AF56" s="1">
        <v>0</v>
      </c>
      <c r="AG56" s="1">
        <v>1</v>
      </c>
    </row>
    <row r="57" spans="7:33" ht="14.25" customHeight="1" x14ac:dyDescent="0.35"/>
    <row r="58" spans="7:33" ht="14.25" customHeight="1" x14ac:dyDescent="0.35"/>
    <row r="59" spans="7:33" ht="14.25" customHeight="1" x14ac:dyDescent="0.35"/>
    <row r="60" spans="7:33" ht="14.25" customHeight="1" x14ac:dyDescent="0.35"/>
    <row r="61" spans="7:33" ht="14.25" customHeight="1" x14ac:dyDescent="0.35"/>
    <row r="62" spans="7:33" ht="14.25" customHeight="1" x14ac:dyDescent="0.35"/>
    <row r="63" spans="7:33" ht="14.25" customHeight="1" x14ac:dyDescent="0.35"/>
    <row r="64" spans="7:3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499984740745262"/>
  </sheetPr>
  <dimension ref="A1:P1000"/>
  <sheetViews>
    <sheetView workbookViewId="0">
      <selection sqref="A1:B1"/>
    </sheetView>
  </sheetViews>
  <sheetFormatPr defaultColWidth="14.453125" defaultRowHeight="15" customHeight="1" x14ac:dyDescent="0.35"/>
  <cols>
    <col min="1" max="1" width="35" customWidth="1"/>
    <col min="2" max="2" width="62.6328125" customWidth="1"/>
    <col min="3" max="3" width="29.08984375" customWidth="1"/>
    <col min="4" max="4" width="25.453125" customWidth="1"/>
    <col min="5" max="5" width="14.54296875" customWidth="1"/>
    <col min="6" max="7" width="18.08984375" customWidth="1"/>
    <col min="8" max="26" width="8.7265625" customWidth="1"/>
  </cols>
  <sheetData>
    <row r="1" spans="1:16" ht="30" customHeight="1" x14ac:dyDescent="0.35">
      <c r="A1" s="115" t="s">
        <v>549</v>
      </c>
      <c r="B1" s="116"/>
      <c r="C1" s="117"/>
      <c r="D1" s="117" t="s">
        <v>771</v>
      </c>
      <c r="E1" s="117">
        <v>7.5916160380083003E-2</v>
      </c>
      <c r="F1" s="117">
        <v>7.7724757033914876E-2</v>
      </c>
      <c r="G1" s="117">
        <v>8.5973355824505313E-2</v>
      </c>
    </row>
    <row r="2" spans="1:16" ht="18" customHeight="1" x14ac:dyDescent="0.35">
      <c r="A2" s="118" t="s">
        <v>105</v>
      </c>
      <c r="B2" s="119"/>
      <c r="C2" s="120"/>
      <c r="D2" s="120" t="s">
        <v>772</v>
      </c>
      <c r="E2" s="120">
        <v>0.13139165935181996</v>
      </c>
      <c r="F2" s="120">
        <v>6.1925468382562583E-2</v>
      </c>
      <c r="G2" s="120">
        <v>6.5901700147304704E-2</v>
      </c>
    </row>
    <row r="3" spans="1:16" ht="13.5" customHeight="1" x14ac:dyDescent="0.35">
      <c r="A3" s="121" t="s">
        <v>180</v>
      </c>
      <c r="B3" s="122"/>
      <c r="C3" s="123"/>
      <c r="D3" s="123"/>
      <c r="E3" s="123"/>
      <c r="F3" s="123"/>
      <c r="G3" s="123"/>
    </row>
    <row r="4" spans="1:16" ht="72" customHeight="1" x14ac:dyDescent="0.35">
      <c r="A4" s="124" t="s">
        <v>181</v>
      </c>
      <c r="B4" s="125" t="s">
        <v>550</v>
      </c>
      <c r="C4" s="126"/>
      <c r="D4" s="126"/>
      <c r="E4" s="126"/>
      <c r="F4" s="126"/>
      <c r="G4" s="126"/>
      <c r="H4" s="126"/>
      <c r="I4" s="126"/>
      <c r="J4" s="126"/>
      <c r="K4" s="126"/>
      <c r="L4" s="126"/>
      <c r="M4" s="126"/>
      <c r="N4" s="126"/>
      <c r="O4" s="126"/>
      <c r="P4" s="126"/>
    </row>
    <row r="5" spans="1:16" ht="18" customHeight="1" x14ac:dyDescent="0.35">
      <c r="A5" s="124" t="s">
        <v>19</v>
      </c>
      <c r="B5" s="127">
        <v>46113</v>
      </c>
      <c r="C5" s="126"/>
      <c r="D5" s="214"/>
      <c r="E5" s="126"/>
      <c r="F5" s="126"/>
      <c r="G5" s="126"/>
    </row>
    <row r="6" spans="1:16" ht="18" customHeight="1" x14ac:dyDescent="0.35">
      <c r="A6" s="124" t="s">
        <v>183</v>
      </c>
      <c r="B6" s="125" t="s">
        <v>107</v>
      </c>
      <c r="C6" s="126"/>
      <c r="D6" s="126"/>
      <c r="E6" s="126"/>
      <c r="F6" s="126"/>
      <c r="G6" s="126"/>
    </row>
    <row r="7" spans="1:16" ht="18" customHeight="1" x14ac:dyDescent="0.35">
      <c r="A7" s="124" t="s">
        <v>184</v>
      </c>
      <c r="B7" s="125" t="s">
        <v>551</v>
      </c>
      <c r="C7" s="126"/>
      <c r="D7" s="126"/>
      <c r="E7" s="126"/>
      <c r="F7" s="126"/>
      <c r="G7" s="126"/>
    </row>
    <row r="8" spans="1:16" ht="18" customHeight="1" x14ac:dyDescent="0.35">
      <c r="A8" s="128"/>
      <c r="B8" s="129"/>
    </row>
    <row r="9" spans="1:16" ht="13.5" customHeight="1" x14ac:dyDescent="0.35">
      <c r="A9" s="121" t="s">
        <v>186</v>
      </c>
      <c r="B9" s="122"/>
      <c r="C9" s="123"/>
      <c r="D9" s="123"/>
      <c r="E9" s="123"/>
      <c r="F9" s="123"/>
      <c r="G9" s="123"/>
    </row>
    <row r="10" spans="1:16" ht="129.75" customHeight="1" x14ac:dyDescent="0.35">
      <c r="A10" s="165" t="s">
        <v>552</v>
      </c>
      <c r="B10" s="177"/>
      <c r="C10" s="130"/>
      <c r="D10" s="130"/>
      <c r="E10" s="130"/>
      <c r="F10" s="130"/>
      <c r="G10" s="130"/>
    </row>
    <row r="11" spans="1:16" ht="13.5" customHeight="1" x14ac:dyDescent="0.35">
      <c r="A11" s="121" t="s">
        <v>188</v>
      </c>
      <c r="B11" s="122"/>
      <c r="C11" s="123"/>
      <c r="D11" s="123"/>
      <c r="E11" s="123"/>
      <c r="F11" s="123"/>
      <c r="G11" s="123"/>
    </row>
    <row r="12" spans="1:16" ht="18" customHeight="1" x14ac:dyDescent="0.35">
      <c r="A12" s="38" t="s">
        <v>189</v>
      </c>
      <c r="B12" s="131" t="s">
        <v>553</v>
      </c>
    </row>
    <row r="13" spans="1:16" ht="24" customHeight="1" x14ac:dyDescent="0.35">
      <c r="A13" s="38" t="s">
        <v>191</v>
      </c>
      <c r="B13" s="132" t="s">
        <v>554</v>
      </c>
      <c r="C13" s="126"/>
      <c r="D13" s="126"/>
      <c r="E13" s="126"/>
      <c r="F13" s="126"/>
      <c r="G13" s="126"/>
    </row>
    <row r="14" spans="1:16" ht="24" customHeight="1" x14ac:dyDescent="0.35">
      <c r="A14" s="38" t="s">
        <v>193</v>
      </c>
      <c r="B14" s="133" t="s">
        <v>555</v>
      </c>
    </row>
    <row r="15" spans="1:16" ht="18" customHeight="1" x14ac:dyDescent="0.35">
      <c r="A15" s="38" t="s">
        <v>195</v>
      </c>
      <c r="B15" s="131" t="s">
        <v>556</v>
      </c>
    </row>
    <row r="16" spans="1:16" ht="22.5" customHeight="1" x14ac:dyDescent="0.35">
      <c r="A16" s="134" t="s">
        <v>557</v>
      </c>
      <c r="B16" s="135"/>
      <c r="C16" s="135"/>
      <c r="D16" s="135"/>
      <c r="E16" s="135"/>
      <c r="F16" s="135"/>
      <c r="G16" s="135"/>
    </row>
    <row r="17" spans="1:7" ht="14.25" customHeight="1" x14ac:dyDescent="0.35">
      <c r="A17" s="136" t="s">
        <v>13</v>
      </c>
      <c r="B17" s="137" t="s">
        <v>558</v>
      </c>
      <c r="C17" s="137" t="s">
        <v>559</v>
      </c>
      <c r="D17" s="137" t="s">
        <v>560</v>
      </c>
      <c r="E17" s="137" t="s">
        <v>561</v>
      </c>
      <c r="F17" s="137" t="s">
        <v>562</v>
      </c>
      <c r="G17" s="138" t="s">
        <v>563</v>
      </c>
    </row>
    <row r="18" spans="1:7" ht="14.25" customHeight="1" x14ac:dyDescent="0.35">
      <c r="A18" s="139">
        <v>1</v>
      </c>
      <c r="B18" s="140" t="s">
        <v>564</v>
      </c>
      <c r="C18" s="140" t="s">
        <v>565</v>
      </c>
      <c r="D18" s="140" t="s">
        <v>566</v>
      </c>
      <c r="E18" s="140" t="s">
        <v>567</v>
      </c>
      <c r="F18" s="141">
        <v>998688</v>
      </c>
      <c r="G18" s="142">
        <v>11984256</v>
      </c>
    </row>
    <row r="19" spans="1:7" ht="14.25" customHeight="1" x14ac:dyDescent="0.35">
      <c r="A19" s="139">
        <v>2</v>
      </c>
      <c r="B19" s="140" t="s">
        <v>568</v>
      </c>
      <c r="C19" s="140" t="s">
        <v>569</v>
      </c>
      <c r="D19" s="140" t="s">
        <v>570</v>
      </c>
      <c r="E19" s="140" t="s">
        <v>571</v>
      </c>
      <c r="F19" s="141">
        <v>825346</v>
      </c>
      <c r="G19" s="142">
        <v>9904153</v>
      </c>
    </row>
    <row r="20" spans="1:7" ht="14.25" customHeight="1" x14ac:dyDescent="0.35">
      <c r="A20" s="139">
        <v>3</v>
      </c>
      <c r="B20" s="140" t="s">
        <v>572</v>
      </c>
      <c r="C20" s="140" t="s">
        <v>573</v>
      </c>
      <c r="D20" s="140" t="s">
        <v>574</v>
      </c>
      <c r="E20" s="140" t="s">
        <v>575</v>
      </c>
      <c r="F20" s="141">
        <v>431438</v>
      </c>
      <c r="G20" s="142">
        <v>5177255</v>
      </c>
    </row>
    <row r="21" spans="1:7" ht="14.25" customHeight="1" x14ac:dyDescent="0.35">
      <c r="A21" s="139">
        <v>4</v>
      </c>
      <c r="B21" s="140" t="s">
        <v>576</v>
      </c>
      <c r="C21" s="140" t="s">
        <v>577</v>
      </c>
      <c r="D21" s="140" t="s">
        <v>578</v>
      </c>
      <c r="E21" s="140" t="s">
        <v>579</v>
      </c>
      <c r="F21" s="141">
        <v>379748</v>
      </c>
      <c r="G21" s="142">
        <v>4556970</v>
      </c>
    </row>
    <row r="22" spans="1:7" ht="14.25" customHeight="1" x14ac:dyDescent="0.35">
      <c r="A22" s="139">
        <v>5</v>
      </c>
      <c r="B22" s="140" t="s">
        <v>580</v>
      </c>
      <c r="C22" s="140" t="s">
        <v>581</v>
      </c>
      <c r="D22" s="140" t="s">
        <v>582</v>
      </c>
      <c r="E22" s="140" t="s">
        <v>583</v>
      </c>
      <c r="F22" s="141">
        <v>335162</v>
      </c>
      <c r="G22" s="142">
        <v>4021948</v>
      </c>
    </row>
    <row r="23" spans="1:7" ht="14.25" customHeight="1" x14ac:dyDescent="0.35">
      <c r="A23" s="139">
        <v>6</v>
      </c>
      <c r="B23" s="140" t="s">
        <v>584</v>
      </c>
      <c r="C23" s="140" t="s">
        <v>585</v>
      </c>
      <c r="D23" s="140" t="s">
        <v>586</v>
      </c>
      <c r="E23" s="140" t="s">
        <v>587</v>
      </c>
      <c r="F23" s="141">
        <v>246412</v>
      </c>
      <c r="G23" s="142">
        <v>2956945</v>
      </c>
    </row>
    <row r="24" spans="1:7" ht="14.25" customHeight="1" x14ac:dyDescent="0.35">
      <c r="A24" s="139">
        <v>7</v>
      </c>
      <c r="B24" s="140" t="s">
        <v>588</v>
      </c>
      <c r="C24" s="140" t="s">
        <v>589</v>
      </c>
      <c r="D24" s="140" t="s">
        <v>590</v>
      </c>
      <c r="E24" s="140" t="s">
        <v>591</v>
      </c>
      <c r="F24" s="141">
        <v>148331</v>
      </c>
      <c r="G24" s="142">
        <v>1779975</v>
      </c>
    </row>
    <row r="25" spans="1:7" ht="14.25" customHeight="1" x14ac:dyDescent="0.35">
      <c r="A25" s="139">
        <v>8</v>
      </c>
      <c r="B25" s="140" t="s">
        <v>592</v>
      </c>
      <c r="C25" s="140" t="s">
        <v>593</v>
      </c>
      <c r="D25" s="140" t="s">
        <v>594</v>
      </c>
      <c r="E25" s="140" t="s">
        <v>567</v>
      </c>
      <c r="F25" s="141">
        <v>125444</v>
      </c>
      <c r="G25" s="142">
        <v>1505331</v>
      </c>
    </row>
    <row r="26" spans="1:7" ht="14.25" customHeight="1" x14ac:dyDescent="0.35">
      <c r="A26" s="139">
        <v>9</v>
      </c>
      <c r="B26" s="140" t="s">
        <v>595</v>
      </c>
      <c r="C26" s="140" t="s">
        <v>596</v>
      </c>
      <c r="D26" s="140" t="s">
        <v>597</v>
      </c>
      <c r="E26" s="140" t="s">
        <v>587</v>
      </c>
      <c r="F26" s="141">
        <v>117070</v>
      </c>
      <c r="G26" s="142">
        <v>1404840</v>
      </c>
    </row>
    <row r="27" spans="1:7" ht="14.25" customHeight="1" x14ac:dyDescent="0.35">
      <c r="A27" s="139">
        <v>10</v>
      </c>
      <c r="B27" s="140" t="s">
        <v>598</v>
      </c>
      <c r="C27" s="140" t="s">
        <v>599</v>
      </c>
      <c r="D27" s="140" t="s">
        <v>600</v>
      </c>
      <c r="E27" s="140" t="s">
        <v>601</v>
      </c>
      <c r="F27" s="141">
        <v>84436</v>
      </c>
      <c r="G27" s="142">
        <v>1013230</v>
      </c>
    </row>
    <row r="28" spans="1:7" ht="14.25" customHeight="1" x14ac:dyDescent="0.35">
      <c r="A28" s="139">
        <v>11</v>
      </c>
      <c r="B28" s="140" t="s">
        <v>602</v>
      </c>
      <c r="C28" s="140" t="s">
        <v>603</v>
      </c>
      <c r="D28" s="140" t="s">
        <v>604</v>
      </c>
      <c r="E28" s="140" t="s">
        <v>591</v>
      </c>
      <c r="F28" s="141">
        <v>56435</v>
      </c>
      <c r="G28" s="142">
        <v>677223</v>
      </c>
    </row>
    <row r="29" spans="1:7" ht="14.25" customHeight="1" x14ac:dyDescent="0.35">
      <c r="A29" s="139">
        <v>12</v>
      </c>
      <c r="B29" s="140" t="s">
        <v>605</v>
      </c>
      <c r="C29" s="140" t="s">
        <v>606</v>
      </c>
      <c r="D29" s="140" t="s">
        <v>607</v>
      </c>
      <c r="E29" s="140" t="s">
        <v>608</v>
      </c>
      <c r="F29" s="141">
        <v>49678</v>
      </c>
      <c r="G29" s="142">
        <v>596131</v>
      </c>
    </row>
    <row r="30" spans="1:7" ht="14.25" customHeight="1" x14ac:dyDescent="0.35">
      <c r="A30" s="139">
        <v>13</v>
      </c>
      <c r="B30" s="140" t="s">
        <v>609</v>
      </c>
      <c r="C30" s="140" t="s">
        <v>610</v>
      </c>
      <c r="D30" s="140" t="s">
        <v>611</v>
      </c>
      <c r="E30" s="140" t="s">
        <v>612</v>
      </c>
      <c r="F30" s="141">
        <v>43227</v>
      </c>
      <c r="G30" s="142">
        <v>518726</v>
      </c>
    </row>
    <row r="31" spans="1:7" ht="14.25" customHeight="1" x14ac:dyDescent="0.35">
      <c r="A31" s="139">
        <v>14</v>
      </c>
      <c r="B31" s="140" t="s">
        <v>613</v>
      </c>
      <c r="C31" s="140" t="s">
        <v>614</v>
      </c>
      <c r="D31" s="140" t="s">
        <v>615</v>
      </c>
      <c r="E31" s="140" t="s">
        <v>616</v>
      </c>
      <c r="F31" s="141">
        <v>24025</v>
      </c>
      <c r="G31" s="142">
        <v>288299</v>
      </c>
    </row>
    <row r="32" spans="1:7" ht="14.25" customHeight="1" x14ac:dyDescent="0.35">
      <c r="A32" s="139">
        <v>15</v>
      </c>
      <c r="B32" s="140" t="s">
        <v>617</v>
      </c>
      <c r="C32" s="140" t="s">
        <v>618</v>
      </c>
      <c r="D32" s="140" t="s">
        <v>619</v>
      </c>
      <c r="E32" s="140" t="s">
        <v>620</v>
      </c>
      <c r="F32" s="141">
        <v>11331</v>
      </c>
      <c r="G32" s="142">
        <v>135967</v>
      </c>
    </row>
    <row r="33" spans="1:7" ht="14.25" customHeight="1" x14ac:dyDescent="0.35">
      <c r="A33" s="139">
        <v>16</v>
      </c>
      <c r="B33" s="140" t="s">
        <v>621</v>
      </c>
      <c r="C33" s="140" t="s">
        <v>622</v>
      </c>
      <c r="D33" s="140" t="s">
        <v>623</v>
      </c>
      <c r="E33" s="140" t="s">
        <v>624</v>
      </c>
      <c r="F33" s="141">
        <v>5377</v>
      </c>
      <c r="G33" s="142">
        <v>64525</v>
      </c>
    </row>
    <row r="34" spans="1:7" ht="14.25" customHeight="1" x14ac:dyDescent="0.35">
      <c r="A34" s="143"/>
      <c r="B34" s="144" t="s">
        <v>309</v>
      </c>
      <c r="C34" s="145"/>
      <c r="D34" s="145"/>
      <c r="E34" s="145"/>
      <c r="F34" s="146">
        <f t="shared" ref="F34:G34" si="0">SUM(F18:F33)</f>
        <v>3882148</v>
      </c>
      <c r="G34" s="147">
        <f t="shared" si="0"/>
        <v>46585774</v>
      </c>
    </row>
    <row r="35" spans="1:7" ht="14.25" customHeight="1" x14ac:dyDescent="0.35"/>
    <row r="36" spans="1:7" ht="14.25" customHeight="1" x14ac:dyDescent="0.35">
      <c r="A36" s="178" t="s">
        <v>625</v>
      </c>
      <c r="B36" s="179"/>
      <c r="C36" s="179"/>
      <c r="D36" s="179"/>
      <c r="E36" s="179"/>
      <c r="F36" s="179"/>
      <c r="G36" s="179"/>
    </row>
    <row r="37" spans="1:7" ht="14.25" customHeight="1" x14ac:dyDescent="0.35"/>
    <row r="38" spans="1:7" ht="14.25" customHeight="1" x14ac:dyDescent="0.35"/>
    <row r="39" spans="1:7" ht="14.25" customHeight="1" x14ac:dyDescent="0.35"/>
    <row r="40" spans="1:7" ht="14.25" customHeight="1" x14ac:dyDescent="0.35"/>
    <row r="41" spans="1:7" ht="14.25" customHeight="1" x14ac:dyDescent="0.35"/>
    <row r="42" spans="1:7" ht="14.25" customHeight="1" x14ac:dyDescent="0.35"/>
    <row r="43" spans="1:7" ht="14.25" customHeight="1" x14ac:dyDescent="0.35"/>
    <row r="44" spans="1:7" ht="14.25" customHeight="1" x14ac:dyDescent="0.35"/>
    <row r="45" spans="1:7" ht="14.25" customHeight="1" x14ac:dyDescent="0.35"/>
    <row r="46" spans="1:7" ht="14.25" customHeight="1" x14ac:dyDescent="0.35"/>
    <row r="47" spans="1:7" ht="14.25" customHeight="1" x14ac:dyDescent="0.35"/>
    <row r="48" spans="1:7"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2">
    <mergeCell ref="A10:B10"/>
    <mergeCell ref="A36:G36"/>
  </mergeCells>
  <phoneticPr fontId="37" type="noConversion"/>
  <pageMargins left="0.75" right="0.75" top="1" bottom="1"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5" tint="-0.499984740745262"/>
  </sheetPr>
  <dimension ref="A1:B1000"/>
  <sheetViews>
    <sheetView topLeftCell="A4" workbookViewId="0">
      <selection activeCell="P4" sqref="D4:P5"/>
    </sheetView>
  </sheetViews>
  <sheetFormatPr defaultColWidth="14.453125" defaultRowHeight="15" customHeight="1" x14ac:dyDescent="0.35"/>
  <cols>
    <col min="1" max="1" width="22" customWidth="1"/>
    <col min="2" max="2" width="70" customWidth="1"/>
    <col min="3" max="26" width="8.7265625" customWidth="1"/>
  </cols>
  <sheetData>
    <row r="1" spans="1:2" ht="30" customHeight="1" x14ac:dyDescent="0.35">
      <c r="A1" s="180" t="s">
        <v>626</v>
      </c>
      <c r="B1" s="161"/>
    </row>
    <row r="2" spans="1:2" ht="18" customHeight="1" x14ac:dyDescent="0.35">
      <c r="A2" s="181" t="s">
        <v>105</v>
      </c>
      <c r="B2" s="163"/>
    </row>
    <row r="3" spans="1:2" ht="13.5" customHeight="1" x14ac:dyDescent="0.35">
      <c r="A3" s="182" t="s">
        <v>180</v>
      </c>
      <c r="B3" s="163"/>
    </row>
    <row r="4" spans="1:2" ht="72" customHeight="1" x14ac:dyDescent="0.35">
      <c r="A4" s="124" t="s">
        <v>181</v>
      </c>
      <c r="B4" s="37" t="s">
        <v>627</v>
      </c>
    </row>
    <row r="5" spans="1:2" ht="18" customHeight="1" x14ac:dyDescent="0.35">
      <c r="A5" s="38" t="s">
        <v>19</v>
      </c>
      <c r="B5" s="39">
        <v>46113</v>
      </c>
    </row>
    <row r="6" spans="1:2" ht="18" customHeight="1" x14ac:dyDescent="0.35">
      <c r="A6" s="38" t="s">
        <v>183</v>
      </c>
      <c r="B6" s="37" t="s">
        <v>111</v>
      </c>
    </row>
    <row r="7" spans="1:2" ht="18" customHeight="1" x14ac:dyDescent="0.35">
      <c r="A7" s="38" t="s">
        <v>184</v>
      </c>
      <c r="B7" s="37" t="s">
        <v>628</v>
      </c>
    </row>
    <row r="8" spans="1:2" ht="18" customHeight="1" x14ac:dyDescent="0.35"/>
    <row r="9" spans="1:2" ht="13.5" customHeight="1" x14ac:dyDescent="0.35">
      <c r="A9" s="182" t="s">
        <v>186</v>
      </c>
      <c r="B9" s="163"/>
    </row>
    <row r="10" spans="1:2" ht="129.75" customHeight="1" x14ac:dyDescent="0.35">
      <c r="A10" s="165" t="s">
        <v>629</v>
      </c>
      <c r="B10" s="163"/>
    </row>
    <row r="11" spans="1:2" ht="13.5" customHeight="1" x14ac:dyDescent="0.35">
      <c r="A11" s="182" t="s">
        <v>188</v>
      </c>
      <c r="B11" s="163"/>
    </row>
    <row r="12" spans="1:2" ht="18" customHeight="1" x14ac:dyDescent="0.35">
      <c r="A12" s="38" t="s">
        <v>189</v>
      </c>
      <c r="B12" s="40" t="s">
        <v>630</v>
      </c>
    </row>
    <row r="13" spans="1:2" ht="24" customHeight="1" x14ac:dyDescent="0.35">
      <c r="A13" s="38" t="s">
        <v>191</v>
      </c>
      <c r="B13" s="40" t="s">
        <v>631</v>
      </c>
    </row>
    <row r="14" spans="1:2" ht="24" customHeight="1" x14ac:dyDescent="0.35">
      <c r="A14" s="38" t="s">
        <v>193</v>
      </c>
      <c r="B14" s="40" t="s">
        <v>632</v>
      </c>
    </row>
    <row r="15" spans="1:2" ht="18" customHeight="1" x14ac:dyDescent="0.35">
      <c r="A15" s="38" t="s">
        <v>195</v>
      </c>
      <c r="B15" s="40" t="s">
        <v>633</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tint="-0.499984740745262"/>
  </sheetPr>
  <dimension ref="A1:B1000"/>
  <sheetViews>
    <sheetView workbookViewId="0">
      <selection sqref="A1:B1"/>
    </sheetView>
  </sheetViews>
  <sheetFormatPr defaultColWidth="14.453125" defaultRowHeight="15" customHeight="1" x14ac:dyDescent="0.35"/>
  <cols>
    <col min="1" max="1" width="22" customWidth="1"/>
    <col min="2" max="2" width="70" customWidth="1"/>
    <col min="3" max="26" width="8.7265625" customWidth="1"/>
  </cols>
  <sheetData>
    <row r="1" spans="1:2" ht="30" customHeight="1" x14ac:dyDescent="0.35">
      <c r="A1" s="180" t="s">
        <v>634</v>
      </c>
      <c r="B1" s="161"/>
    </row>
    <row r="2" spans="1:2" ht="18" customHeight="1" x14ac:dyDescent="0.35">
      <c r="A2" s="181" t="s">
        <v>105</v>
      </c>
      <c r="B2" s="163"/>
    </row>
    <row r="3" spans="1:2" ht="13.5" customHeight="1" x14ac:dyDescent="0.35">
      <c r="A3" s="182" t="s">
        <v>180</v>
      </c>
      <c r="B3" s="163"/>
    </row>
    <row r="4" spans="1:2" ht="72" customHeight="1" x14ac:dyDescent="0.35">
      <c r="A4" s="124" t="s">
        <v>181</v>
      </c>
      <c r="B4" s="37" t="s">
        <v>635</v>
      </c>
    </row>
    <row r="5" spans="1:2" ht="18" customHeight="1" x14ac:dyDescent="0.35">
      <c r="A5" s="38" t="s">
        <v>19</v>
      </c>
      <c r="B5" s="39">
        <v>46113</v>
      </c>
    </row>
    <row r="6" spans="1:2" ht="18" customHeight="1" x14ac:dyDescent="0.35">
      <c r="A6" s="38" t="s">
        <v>183</v>
      </c>
      <c r="B6" s="37" t="s">
        <v>115</v>
      </c>
    </row>
    <row r="7" spans="1:2" ht="18" customHeight="1" x14ac:dyDescent="0.35">
      <c r="A7" s="38" t="s">
        <v>184</v>
      </c>
      <c r="B7" s="37" t="s">
        <v>636</v>
      </c>
    </row>
    <row r="8" spans="1:2" ht="18" customHeight="1" x14ac:dyDescent="0.35"/>
    <row r="9" spans="1:2" ht="13.5" customHeight="1" x14ac:dyDescent="0.35">
      <c r="A9" s="182" t="s">
        <v>186</v>
      </c>
      <c r="B9" s="163"/>
    </row>
    <row r="10" spans="1:2" ht="129.75" customHeight="1" x14ac:dyDescent="0.35">
      <c r="A10" s="165" t="s">
        <v>637</v>
      </c>
      <c r="B10" s="163"/>
    </row>
    <row r="11" spans="1:2" ht="13.5" customHeight="1" x14ac:dyDescent="0.35">
      <c r="A11" s="182" t="s">
        <v>188</v>
      </c>
      <c r="B11" s="163"/>
    </row>
    <row r="12" spans="1:2" ht="18" customHeight="1" x14ac:dyDescent="0.35">
      <c r="A12" s="38" t="s">
        <v>189</v>
      </c>
      <c r="B12" s="40" t="s">
        <v>630</v>
      </c>
    </row>
    <row r="13" spans="1:2" ht="24" customHeight="1" x14ac:dyDescent="0.35">
      <c r="A13" s="38" t="s">
        <v>191</v>
      </c>
      <c r="B13" s="40" t="s">
        <v>638</v>
      </c>
    </row>
    <row r="14" spans="1:2" ht="24" customHeight="1" x14ac:dyDescent="0.35">
      <c r="A14" s="38" t="s">
        <v>193</v>
      </c>
      <c r="B14" s="40" t="s">
        <v>639</v>
      </c>
    </row>
    <row r="15" spans="1:2" ht="18" customHeight="1" x14ac:dyDescent="0.35">
      <c r="A15" s="38" t="s">
        <v>195</v>
      </c>
      <c r="B15" s="40" t="s">
        <v>640</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5" tint="-0.499984740745262"/>
  </sheetPr>
  <dimension ref="A1:B1000"/>
  <sheetViews>
    <sheetView workbookViewId="0">
      <selection sqref="A1:B1"/>
    </sheetView>
  </sheetViews>
  <sheetFormatPr defaultColWidth="14.453125" defaultRowHeight="15" customHeight="1" x14ac:dyDescent="0.35"/>
  <cols>
    <col min="1" max="1" width="22" customWidth="1"/>
    <col min="2" max="2" width="70" customWidth="1"/>
    <col min="3" max="26" width="8.7265625" customWidth="1"/>
  </cols>
  <sheetData>
    <row r="1" spans="1:2" ht="30" customHeight="1" x14ac:dyDescent="0.35">
      <c r="A1" s="180" t="s">
        <v>641</v>
      </c>
      <c r="B1" s="161"/>
    </row>
    <row r="2" spans="1:2" ht="18" customHeight="1" x14ac:dyDescent="0.35">
      <c r="A2" s="181" t="s">
        <v>105</v>
      </c>
      <c r="B2" s="163"/>
    </row>
    <row r="3" spans="1:2" ht="13.5" customHeight="1" x14ac:dyDescent="0.35">
      <c r="A3" s="182" t="s">
        <v>180</v>
      </c>
      <c r="B3" s="163"/>
    </row>
    <row r="4" spans="1:2" ht="72" customHeight="1" x14ac:dyDescent="0.35">
      <c r="A4" s="124" t="s">
        <v>181</v>
      </c>
      <c r="B4" s="37" t="s">
        <v>642</v>
      </c>
    </row>
    <row r="5" spans="1:2" ht="18" customHeight="1" x14ac:dyDescent="0.35">
      <c r="A5" s="38" t="s">
        <v>19</v>
      </c>
      <c r="B5" s="39">
        <v>46174</v>
      </c>
    </row>
    <row r="6" spans="1:2" ht="18" customHeight="1" x14ac:dyDescent="0.35">
      <c r="A6" s="38" t="s">
        <v>183</v>
      </c>
      <c r="B6" s="37" t="s">
        <v>119</v>
      </c>
    </row>
    <row r="7" spans="1:2" ht="18" customHeight="1" x14ac:dyDescent="0.35">
      <c r="A7" s="38" t="s">
        <v>184</v>
      </c>
      <c r="B7" s="37" t="s">
        <v>643</v>
      </c>
    </row>
    <row r="8" spans="1:2" ht="18" customHeight="1" x14ac:dyDescent="0.35"/>
    <row r="9" spans="1:2" ht="13.5" customHeight="1" x14ac:dyDescent="0.35">
      <c r="A9" s="182" t="s">
        <v>186</v>
      </c>
      <c r="B9" s="163"/>
    </row>
    <row r="10" spans="1:2" ht="129.75" customHeight="1" x14ac:dyDescent="0.35">
      <c r="A10" s="165" t="s">
        <v>644</v>
      </c>
      <c r="B10" s="163"/>
    </row>
    <row r="11" spans="1:2" ht="13.5" customHeight="1" x14ac:dyDescent="0.35">
      <c r="A11" s="182" t="s">
        <v>188</v>
      </c>
      <c r="B11" s="163"/>
    </row>
    <row r="12" spans="1:2" ht="18" customHeight="1" x14ac:dyDescent="0.35">
      <c r="A12" s="38" t="s">
        <v>189</v>
      </c>
      <c r="B12" s="40" t="s">
        <v>645</v>
      </c>
    </row>
    <row r="13" spans="1:2" ht="24" customHeight="1" x14ac:dyDescent="0.35">
      <c r="A13" s="38" t="s">
        <v>191</v>
      </c>
      <c r="B13" s="40" t="s">
        <v>646</v>
      </c>
    </row>
    <row r="14" spans="1:2" ht="24" customHeight="1" x14ac:dyDescent="0.35">
      <c r="A14" s="38" t="s">
        <v>193</v>
      </c>
      <c r="B14" s="40" t="s">
        <v>647</v>
      </c>
    </row>
    <row r="15" spans="1:2" ht="18" customHeight="1" x14ac:dyDescent="0.35">
      <c r="A15" s="38" t="s">
        <v>195</v>
      </c>
      <c r="B15" s="40" t="s">
        <v>648</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tint="-0.499984740745262"/>
  </sheetPr>
  <dimension ref="A1:B1000"/>
  <sheetViews>
    <sheetView workbookViewId="0">
      <selection sqref="A1:B1"/>
    </sheetView>
  </sheetViews>
  <sheetFormatPr defaultColWidth="14.453125" defaultRowHeight="15" customHeight="1" x14ac:dyDescent="0.35"/>
  <cols>
    <col min="1" max="1" width="22" customWidth="1"/>
    <col min="2" max="2" width="70" customWidth="1"/>
    <col min="3" max="26" width="8.7265625" customWidth="1"/>
  </cols>
  <sheetData>
    <row r="1" spans="1:2" ht="30" customHeight="1" x14ac:dyDescent="0.35">
      <c r="A1" s="180" t="s">
        <v>649</v>
      </c>
      <c r="B1" s="161"/>
    </row>
    <row r="2" spans="1:2" ht="18" customHeight="1" x14ac:dyDescent="0.35">
      <c r="A2" s="181" t="s">
        <v>105</v>
      </c>
      <c r="B2" s="163"/>
    </row>
    <row r="3" spans="1:2" ht="13.5" customHeight="1" x14ac:dyDescent="0.35">
      <c r="A3" s="182" t="s">
        <v>180</v>
      </c>
      <c r="B3" s="163"/>
    </row>
    <row r="4" spans="1:2" ht="72" customHeight="1" x14ac:dyDescent="0.35">
      <c r="A4" s="124" t="s">
        <v>181</v>
      </c>
      <c r="B4" s="37" t="s">
        <v>650</v>
      </c>
    </row>
    <row r="5" spans="1:2" ht="18" customHeight="1" x14ac:dyDescent="0.35">
      <c r="A5" s="38" t="s">
        <v>19</v>
      </c>
      <c r="B5" s="39">
        <v>46113</v>
      </c>
    </row>
    <row r="6" spans="1:2" ht="18" customHeight="1" x14ac:dyDescent="0.35">
      <c r="A6" s="38" t="s">
        <v>183</v>
      </c>
      <c r="B6" s="37" t="s">
        <v>123</v>
      </c>
    </row>
    <row r="7" spans="1:2" ht="18" customHeight="1" x14ac:dyDescent="0.35">
      <c r="A7" s="38" t="s">
        <v>184</v>
      </c>
      <c r="B7" s="37" t="s">
        <v>651</v>
      </c>
    </row>
    <row r="8" spans="1:2" ht="18" customHeight="1" x14ac:dyDescent="0.35"/>
    <row r="9" spans="1:2" ht="13.5" customHeight="1" x14ac:dyDescent="0.35">
      <c r="A9" s="182" t="s">
        <v>186</v>
      </c>
      <c r="B9" s="163"/>
    </row>
    <row r="10" spans="1:2" ht="129.75" customHeight="1" x14ac:dyDescent="0.35">
      <c r="A10" s="165" t="s">
        <v>652</v>
      </c>
      <c r="B10" s="163"/>
    </row>
    <row r="11" spans="1:2" ht="13.5" customHeight="1" x14ac:dyDescent="0.35">
      <c r="A11" s="182" t="s">
        <v>188</v>
      </c>
      <c r="B11" s="163"/>
    </row>
    <row r="12" spans="1:2" ht="18" customHeight="1" x14ac:dyDescent="0.35">
      <c r="A12" s="38" t="s">
        <v>189</v>
      </c>
      <c r="B12" s="40" t="s">
        <v>653</v>
      </c>
    </row>
    <row r="13" spans="1:2" ht="24" customHeight="1" x14ac:dyDescent="0.35">
      <c r="A13" s="38" t="s">
        <v>191</v>
      </c>
      <c r="B13" s="40" t="s">
        <v>654</v>
      </c>
    </row>
    <row r="14" spans="1:2" ht="24" customHeight="1" x14ac:dyDescent="0.35">
      <c r="A14" s="38" t="s">
        <v>193</v>
      </c>
      <c r="B14" s="40" t="s">
        <v>655</v>
      </c>
    </row>
    <row r="15" spans="1:2" ht="18" customHeight="1" x14ac:dyDescent="0.35">
      <c r="A15" s="38" t="s">
        <v>195</v>
      </c>
      <c r="B15" s="40" t="s">
        <v>656</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5" tint="-0.499984740745262"/>
  </sheetPr>
  <dimension ref="A1:S1000"/>
  <sheetViews>
    <sheetView topLeftCell="C1" workbookViewId="0">
      <selection activeCell="G3" sqref="G3:S3"/>
    </sheetView>
  </sheetViews>
  <sheetFormatPr defaultColWidth="14.453125" defaultRowHeight="15" customHeight="1" x14ac:dyDescent="0.35"/>
  <cols>
    <col min="1" max="1" width="22" customWidth="1"/>
    <col min="2" max="2" width="70" customWidth="1"/>
    <col min="3" max="26" width="8.7265625" customWidth="1"/>
  </cols>
  <sheetData>
    <row r="1" spans="1:19" ht="30" customHeight="1" x14ac:dyDescent="0.35">
      <c r="A1" s="180" t="s">
        <v>657</v>
      </c>
      <c r="B1" s="161"/>
    </row>
    <row r="2" spans="1:19" ht="18" customHeight="1" x14ac:dyDescent="0.35">
      <c r="A2" s="181" t="s">
        <v>105</v>
      </c>
      <c r="B2" s="163"/>
    </row>
    <row r="3" spans="1:19" ht="13.5" customHeight="1" x14ac:dyDescent="0.35">
      <c r="A3" s="182" t="s">
        <v>180</v>
      </c>
      <c r="B3" s="163"/>
      <c r="H3" s="212" t="s">
        <v>433</v>
      </c>
      <c r="I3" s="212" t="s">
        <v>434</v>
      </c>
      <c r="J3" s="212" t="s">
        <v>513</v>
      </c>
      <c r="K3" s="212" t="s">
        <v>436</v>
      </c>
      <c r="L3" s="212" t="s">
        <v>437</v>
      </c>
      <c r="M3" s="212" t="s">
        <v>438</v>
      </c>
      <c r="N3" s="212" t="s">
        <v>439</v>
      </c>
      <c r="O3" s="212" t="s">
        <v>440</v>
      </c>
      <c r="P3" s="212" t="s">
        <v>441</v>
      </c>
      <c r="Q3" s="212" t="s">
        <v>442</v>
      </c>
      <c r="R3" s="212" t="s">
        <v>443</v>
      </c>
      <c r="S3" s="212" t="s">
        <v>444</v>
      </c>
    </row>
    <row r="4" spans="1:19" ht="72" customHeight="1" x14ac:dyDescent="0.35">
      <c r="A4" s="124" t="s">
        <v>181</v>
      </c>
      <c r="B4" s="37" t="s">
        <v>658</v>
      </c>
      <c r="H4" s="207">
        <v>7.1854254935633577E-2</v>
      </c>
      <c r="I4" s="207">
        <v>7.1842761751786374E-2</v>
      </c>
      <c r="J4" s="207">
        <v>6.8150811956933816E-2</v>
      </c>
      <c r="K4" s="207">
        <v>7.4527644863633724E-2</v>
      </c>
      <c r="L4" s="207">
        <v>0.10452871716826603</v>
      </c>
      <c r="M4" s="207">
        <v>4.2781115917025714E-2</v>
      </c>
      <c r="N4" s="207">
        <v>7.0356278572072703E-2</v>
      </c>
      <c r="O4" s="207">
        <v>8.0148188590617481E-2</v>
      </c>
      <c r="P4" s="207">
        <v>7.2635037785843778E-2</v>
      </c>
      <c r="Q4" s="207">
        <v>8.023450522750275E-2</v>
      </c>
      <c r="R4" s="207">
        <v>8.9285081336296465E-2</v>
      </c>
      <c r="S4" s="207">
        <v>0.17365560189438758</v>
      </c>
    </row>
    <row r="5" spans="1:19" ht="18" customHeight="1" x14ac:dyDescent="0.35">
      <c r="A5" s="38" t="s">
        <v>19</v>
      </c>
      <c r="B5" s="39">
        <v>46113</v>
      </c>
      <c r="F5" s="212" t="s">
        <v>777</v>
      </c>
      <c r="G5">
        <v>1500000</v>
      </c>
      <c r="H5">
        <f>+$G$5*H4</f>
        <v>107781.38240345036</v>
      </c>
      <c r="I5">
        <f t="shared" ref="I5:S5" si="0">+$G$5*I4</f>
        <v>107764.14262767957</v>
      </c>
      <c r="J5">
        <f t="shared" si="0"/>
        <v>102226.21793540072</v>
      </c>
      <c r="K5">
        <f t="shared" si="0"/>
        <v>111791.46729545058</v>
      </c>
      <c r="L5">
        <f t="shared" si="0"/>
        <v>156793.07575239905</v>
      </c>
      <c r="M5">
        <f t="shared" si="0"/>
        <v>64171.673875538574</v>
      </c>
      <c r="N5">
        <f t="shared" si="0"/>
        <v>105534.41785810905</v>
      </c>
      <c r="O5">
        <f t="shared" si="0"/>
        <v>120222.28288592622</v>
      </c>
      <c r="P5">
        <f t="shared" si="0"/>
        <v>108952.55667876567</v>
      </c>
      <c r="Q5">
        <f t="shared" si="0"/>
        <v>120351.75784125412</v>
      </c>
      <c r="R5">
        <f t="shared" si="0"/>
        <v>133927.62200444471</v>
      </c>
      <c r="S5">
        <f t="shared" si="0"/>
        <v>260483.40284158138</v>
      </c>
    </row>
    <row r="6" spans="1:19" ht="18" customHeight="1" x14ac:dyDescent="0.35">
      <c r="A6" s="38" t="s">
        <v>183</v>
      </c>
      <c r="B6" s="37" t="s">
        <v>127</v>
      </c>
      <c r="F6" s="212"/>
    </row>
    <row r="7" spans="1:19" ht="18" customHeight="1" x14ac:dyDescent="0.35">
      <c r="A7" s="38" t="s">
        <v>184</v>
      </c>
      <c r="B7" s="37" t="s">
        <v>659</v>
      </c>
    </row>
    <row r="8" spans="1:19" ht="18" customHeight="1" x14ac:dyDescent="0.35"/>
    <row r="9" spans="1:19" ht="13.5" customHeight="1" x14ac:dyDescent="0.35">
      <c r="A9" s="182" t="s">
        <v>186</v>
      </c>
      <c r="B9" s="163"/>
    </row>
    <row r="10" spans="1:19" ht="177.75" customHeight="1" x14ac:dyDescent="0.35">
      <c r="A10" s="165" t="s">
        <v>660</v>
      </c>
      <c r="B10" s="163"/>
    </row>
    <row r="11" spans="1:19" ht="13.5" customHeight="1" x14ac:dyDescent="0.35">
      <c r="A11" s="182" t="s">
        <v>188</v>
      </c>
      <c r="B11" s="163"/>
    </row>
    <row r="12" spans="1:19" ht="18" customHeight="1" x14ac:dyDescent="0.35">
      <c r="A12" s="38" t="s">
        <v>189</v>
      </c>
      <c r="B12" s="40" t="s">
        <v>661</v>
      </c>
    </row>
    <row r="13" spans="1:19" ht="24" customHeight="1" x14ac:dyDescent="0.35">
      <c r="A13" s="38" t="s">
        <v>191</v>
      </c>
      <c r="B13" s="40" t="s">
        <v>662</v>
      </c>
    </row>
    <row r="14" spans="1:19" ht="24" customHeight="1" x14ac:dyDescent="0.35">
      <c r="A14" s="38" t="s">
        <v>193</v>
      </c>
      <c r="B14" s="40" t="s">
        <v>663</v>
      </c>
    </row>
    <row r="15" spans="1:19" ht="14.25" customHeight="1" x14ac:dyDescent="0.35">
      <c r="A15" s="38" t="s">
        <v>195</v>
      </c>
      <c r="B15" s="40" t="s">
        <v>664</v>
      </c>
    </row>
    <row r="16" spans="1:19" ht="14.25" customHeight="1" x14ac:dyDescent="0.35">
      <c r="A16" s="113" t="s">
        <v>546</v>
      </c>
      <c r="B16" s="114" t="s">
        <v>776</v>
      </c>
    </row>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honeticPr fontId="37" type="noConversion"/>
  <pageMargins left="0.75" right="0.75" top="1" bottom="1"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5" tint="-0.499984740745262"/>
  </sheetPr>
  <dimension ref="A1:S1000"/>
  <sheetViews>
    <sheetView workbookViewId="0">
      <selection activeCell="G6" sqref="G6"/>
    </sheetView>
  </sheetViews>
  <sheetFormatPr defaultColWidth="14.453125" defaultRowHeight="15" customHeight="1" x14ac:dyDescent="0.35"/>
  <cols>
    <col min="1" max="1" width="22" customWidth="1"/>
    <col min="2" max="2" width="70" customWidth="1"/>
    <col min="3" max="3" width="8.7265625" customWidth="1"/>
    <col min="4" max="4" width="9.81640625" bestFit="1" customWidth="1"/>
    <col min="5" max="5" width="8.7265625" customWidth="1"/>
    <col min="6" max="10" width="14.26953125" bestFit="1" customWidth="1"/>
    <col min="11" max="11" width="15.7265625" bestFit="1" customWidth="1"/>
    <col min="12" max="15" width="14.26953125" bestFit="1" customWidth="1"/>
    <col min="16" max="16" width="15.7265625" bestFit="1" customWidth="1"/>
    <col min="17" max="17" width="14.26953125" bestFit="1" customWidth="1"/>
    <col min="18" max="18" width="15.7265625" bestFit="1" customWidth="1"/>
    <col min="19" max="26" width="8.7265625" customWidth="1"/>
  </cols>
  <sheetData>
    <row r="1" spans="1:19" ht="30" customHeight="1" x14ac:dyDescent="0.35">
      <c r="A1" s="180" t="s">
        <v>665</v>
      </c>
      <c r="B1" s="161"/>
    </row>
    <row r="2" spans="1:19" ht="18" customHeight="1" x14ac:dyDescent="0.35">
      <c r="A2" s="181" t="s">
        <v>105</v>
      </c>
      <c r="B2" s="163"/>
    </row>
    <row r="3" spans="1:19" ht="13.5" customHeight="1" x14ac:dyDescent="0.35">
      <c r="A3" s="182" t="s">
        <v>180</v>
      </c>
      <c r="B3" s="163"/>
      <c r="F3" s="212" t="s">
        <v>433</v>
      </c>
      <c r="G3" s="212" t="s">
        <v>434</v>
      </c>
      <c r="H3" s="212" t="s">
        <v>513</v>
      </c>
      <c r="I3" s="212" t="s">
        <v>436</v>
      </c>
      <c r="J3" s="212" t="s">
        <v>437</v>
      </c>
      <c r="K3" s="212" t="s">
        <v>438</v>
      </c>
      <c r="L3" s="212" t="s">
        <v>439</v>
      </c>
      <c r="M3" s="212" t="s">
        <v>440</v>
      </c>
      <c r="N3" s="212" t="s">
        <v>441</v>
      </c>
      <c r="O3" s="212" t="s">
        <v>442</v>
      </c>
      <c r="P3" s="212" t="s">
        <v>443</v>
      </c>
      <c r="Q3" s="212" t="s">
        <v>444</v>
      </c>
      <c r="R3" s="212" t="s">
        <v>760</v>
      </c>
    </row>
    <row r="4" spans="1:19" ht="72" customHeight="1" x14ac:dyDescent="0.35">
      <c r="A4" s="124" t="s">
        <v>181</v>
      </c>
      <c r="B4" s="37" t="s">
        <v>666</v>
      </c>
      <c r="D4" s="212" t="s">
        <v>780</v>
      </c>
      <c r="F4" s="208">
        <v>4653353.87</v>
      </c>
      <c r="G4" s="208">
        <v>4618295.13</v>
      </c>
      <c r="H4" s="208">
        <v>8597700.0099999998</v>
      </c>
      <c r="I4" s="208">
        <v>8080824.8799999999</v>
      </c>
      <c r="J4" s="208">
        <v>7537976</v>
      </c>
      <c r="K4" s="208">
        <v>11680040.530000001</v>
      </c>
      <c r="L4" s="208">
        <v>8184021.0499999998</v>
      </c>
      <c r="M4" s="208">
        <v>6696564.8300000001</v>
      </c>
      <c r="N4" s="208">
        <v>6470070.1500000004</v>
      </c>
      <c r="O4" s="208">
        <v>5028388.4600000009</v>
      </c>
      <c r="P4" s="208">
        <v>14886144.959999999</v>
      </c>
      <c r="Q4" s="208">
        <v>9718269.8800000008</v>
      </c>
      <c r="R4" s="208">
        <f>SUM(F4:Q4)</f>
        <v>96151649.749999985</v>
      </c>
    </row>
    <row r="5" spans="1:19" ht="18" customHeight="1" x14ac:dyDescent="0.35">
      <c r="A5" s="38" t="s">
        <v>19</v>
      </c>
      <c r="B5" s="39">
        <v>46143</v>
      </c>
      <c r="D5" s="212" t="s">
        <v>781</v>
      </c>
      <c r="F5" s="209">
        <f>+AMC!D63</f>
        <v>5322041.8</v>
      </c>
      <c r="G5" s="209">
        <f>+AMC!E63</f>
        <v>1095302.3</v>
      </c>
      <c r="H5" s="209">
        <f>+AMC!F63</f>
        <v>8800589.6999999993</v>
      </c>
      <c r="I5" s="209">
        <f>+AMC!G63</f>
        <v>666270.85</v>
      </c>
      <c r="J5" s="209">
        <f>+AMC!H63</f>
        <v>720491.35</v>
      </c>
      <c r="K5" s="209">
        <f>+AMC!I63</f>
        <v>531688.80000000005</v>
      </c>
      <c r="L5" s="209">
        <f>+AMC!J63</f>
        <v>15813509.1</v>
      </c>
      <c r="M5" s="209">
        <f>+AMC!K63</f>
        <v>22735891.300000001</v>
      </c>
      <c r="N5" s="209">
        <f>+AMC!L63</f>
        <v>1648382</v>
      </c>
      <c r="O5" s="209">
        <f>+AMC!M63</f>
        <v>9195902.75</v>
      </c>
      <c r="P5" s="209">
        <f>+AMC!N63</f>
        <v>922889.95</v>
      </c>
      <c r="Q5" s="209">
        <f>+AMC!O63</f>
        <v>17703184.57</v>
      </c>
      <c r="R5" s="208">
        <f>SUM(F5:Q5)</f>
        <v>85156144.469999999</v>
      </c>
    </row>
    <row r="6" spans="1:19" ht="18" customHeight="1" x14ac:dyDescent="0.35">
      <c r="A6" s="38" t="s">
        <v>183</v>
      </c>
      <c r="B6" s="37" t="s">
        <v>131</v>
      </c>
      <c r="D6" s="212" t="s">
        <v>858</v>
      </c>
      <c r="F6" s="209">
        <f>+F5-F4</f>
        <v>668687.9299999997</v>
      </c>
      <c r="G6" s="209">
        <f t="shared" ref="G6:S6" si="0">+G5-G4</f>
        <v>-3522992.83</v>
      </c>
      <c r="H6" s="209">
        <f t="shared" si="0"/>
        <v>202889.68999999948</v>
      </c>
      <c r="I6" s="209">
        <f t="shared" si="0"/>
        <v>-7414554.0300000003</v>
      </c>
      <c r="J6" s="209">
        <f t="shared" si="0"/>
        <v>-6817484.6500000004</v>
      </c>
      <c r="K6" s="209">
        <f t="shared" si="0"/>
        <v>-11148351.73</v>
      </c>
      <c r="L6" s="209">
        <f t="shared" si="0"/>
        <v>7629488.0499999998</v>
      </c>
      <c r="M6" s="209">
        <f t="shared" si="0"/>
        <v>16039326.470000001</v>
      </c>
      <c r="N6" s="209">
        <f t="shared" si="0"/>
        <v>-4821688.1500000004</v>
      </c>
      <c r="O6" s="209">
        <f t="shared" si="0"/>
        <v>4167514.2899999991</v>
      </c>
      <c r="P6" s="209">
        <f t="shared" si="0"/>
        <v>-13963255.01</v>
      </c>
      <c r="Q6" s="209">
        <f t="shared" si="0"/>
        <v>7984914.6899999995</v>
      </c>
      <c r="R6" s="209">
        <f t="shared" si="0"/>
        <v>-10995505.279999986</v>
      </c>
      <c r="S6" s="209">
        <f t="shared" si="0"/>
        <v>0</v>
      </c>
    </row>
    <row r="7" spans="1:19" ht="18" customHeight="1" x14ac:dyDescent="0.35">
      <c r="A7" s="38" t="s">
        <v>184</v>
      </c>
      <c r="B7" s="37" t="s">
        <v>667</v>
      </c>
    </row>
    <row r="8" spans="1:19" ht="18" customHeight="1" x14ac:dyDescent="0.35"/>
    <row r="9" spans="1:19" ht="13.5" customHeight="1" x14ac:dyDescent="0.35">
      <c r="A9" s="182" t="s">
        <v>186</v>
      </c>
      <c r="B9" s="163"/>
    </row>
    <row r="10" spans="1:19" ht="129.75" customHeight="1" x14ac:dyDescent="0.35">
      <c r="A10" s="165" t="s">
        <v>668</v>
      </c>
      <c r="B10" s="163"/>
    </row>
    <row r="11" spans="1:19" ht="13.5" customHeight="1" x14ac:dyDescent="0.35">
      <c r="A11" s="182" t="s">
        <v>188</v>
      </c>
      <c r="B11" s="163"/>
    </row>
    <row r="12" spans="1:19" ht="18" customHeight="1" x14ac:dyDescent="0.35">
      <c r="A12" s="38" t="s">
        <v>189</v>
      </c>
      <c r="B12" s="40" t="s">
        <v>669</v>
      </c>
    </row>
    <row r="13" spans="1:19" ht="24" customHeight="1" x14ac:dyDescent="0.35">
      <c r="A13" s="38" t="s">
        <v>191</v>
      </c>
      <c r="B13" s="40" t="s">
        <v>670</v>
      </c>
    </row>
    <row r="14" spans="1:19" ht="24" customHeight="1" x14ac:dyDescent="0.35">
      <c r="A14" s="38" t="s">
        <v>193</v>
      </c>
      <c r="B14" s="40" t="s">
        <v>671</v>
      </c>
    </row>
    <row r="15" spans="1:19" ht="18" customHeight="1" x14ac:dyDescent="0.35">
      <c r="A15" s="38" t="s">
        <v>195</v>
      </c>
      <c r="B15" s="40" t="s">
        <v>672</v>
      </c>
    </row>
    <row r="16" spans="1:19"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499984740745262"/>
  </sheetPr>
  <dimension ref="A1:B1000"/>
  <sheetViews>
    <sheetView workbookViewId="0">
      <selection sqref="A1:B1"/>
    </sheetView>
  </sheetViews>
  <sheetFormatPr defaultColWidth="14.453125" defaultRowHeight="15" customHeight="1" x14ac:dyDescent="0.35"/>
  <cols>
    <col min="1" max="1" width="22" customWidth="1"/>
    <col min="2" max="2" width="70" customWidth="1"/>
    <col min="3" max="26" width="8.7265625" customWidth="1"/>
  </cols>
  <sheetData>
    <row r="1" spans="1:2" ht="30" customHeight="1" x14ac:dyDescent="0.35">
      <c r="A1" s="180" t="s">
        <v>673</v>
      </c>
      <c r="B1" s="161"/>
    </row>
    <row r="2" spans="1:2" ht="18" customHeight="1" x14ac:dyDescent="0.35">
      <c r="A2" s="181" t="s">
        <v>135</v>
      </c>
      <c r="B2" s="163"/>
    </row>
    <row r="3" spans="1:2" ht="13.5" customHeight="1" x14ac:dyDescent="0.35">
      <c r="A3" s="182" t="s">
        <v>180</v>
      </c>
      <c r="B3" s="163"/>
    </row>
    <row r="4" spans="1:2" ht="72" customHeight="1" x14ac:dyDescent="0.35">
      <c r="A4" s="124" t="s">
        <v>181</v>
      </c>
      <c r="B4" s="37" t="s">
        <v>674</v>
      </c>
    </row>
    <row r="5" spans="1:2" ht="18" customHeight="1" x14ac:dyDescent="0.35">
      <c r="A5" s="38" t="s">
        <v>19</v>
      </c>
      <c r="B5" s="39">
        <v>46113</v>
      </c>
    </row>
    <row r="6" spans="1:2" ht="18" customHeight="1" x14ac:dyDescent="0.35">
      <c r="A6" s="38" t="s">
        <v>183</v>
      </c>
      <c r="B6" s="37" t="s">
        <v>137</v>
      </c>
    </row>
    <row r="7" spans="1:2" ht="18" customHeight="1" x14ac:dyDescent="0.35">
      <c r="A7" s="38" t="s">
        <v>184</v>
      </c>
      <c r="B7" s="37" t="s">
        <v>675</v>
      </c>
    </row>
    <row r="8" spans="1:2" ht="18" customHeight="1" x14ac:dyDescent="0.35"/>
    <row r="9" spans="1:2" ht="13.5" customHeight="1" x14ac:dyDescent="0.35">
      <c r="A9" s="182" t="s">
        <v>186</v>
      </c>
      <c r="B9" s="163"/>
    </row>
    <row r="10" spans="1:2" ht="211.5" customHeight="1" x14ac:dyDescent="0.35">
      <c r="A10" s="165" t="s">
        <v>676</v>
      </c>
      <c r="B10" s="163"/>
    </row>
    <row r="11" spans="1:2" ht="13.5" customHeight="1" x14ac:dyDescent="0.35">
      <c r="A11" s="182" t="s">
        <v>188</v>
      </c>
      <c r="B11" s="163"/>
    </row>
    <row r="12" spans="1:2" ht="18" customHeight="1" x14ac:dyDescent="0.35">
      <c r="A12" s="38" t="s">
        <v>189</v>
      </c>
      <c r="B12" s="40" t="s">
        <v>677</v>
      </c>
    </row>
    <row r="13" spans="1:2" ht="24" customHeight="1" x14ac:dyDescent="0.35">
      <c r="A13" s="38" t="s">
        <v>191</v>
      </c>
      <c r="B13" s="40" t="s">
        <v>678</v>
      </c>
    </row>
    <row r="14" spans="1:2" ht="24" customHeight="1" x14ac:dyDescent="0.35">
      <c r="A14" s="38" t="s">
        <v>193</v>
      </c>
      <c r="B14" s="40" t="s">
        <v>679</v>
      </c>
    </row>
    <row r="15" spans="1:2" ht="18" customHeight="1" x14ac:dyDescent="0.35">
      <c r="A15" s="38" t="s">
        <v>195</v>
      </c>
      <c r="B15" s="40" t="s">
        <v>680</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499984740745262"/>
  </sheetPr>
  <dimension ref="A1:B1000"/>
  <sheetViews>
    <sheetView workbookViewId="0">
      <selection sqref="A1:B1"/>
    </sheetView>
  </sheetViews>
  <sheetFormatPr defaultColWidth="14.453125" defaultRowHeight="15" customHeight="1" x14ac:dyDescent="0.35"/>
  <cols>
    <col min="1" max="1" width="22" customWidth="1"/>
    <col min="2" max="2" width="70" customWidth="1"/>
    <col min="3" max="26" width="8.7265625" customWidth="1"/>
  </cols>
  <sheetData>
    <row r="1" spans="1:2" ht="30" customHeight="1" x14ac:dyDescent="0.35">
      <c r="A1" s="180" t="s">
        <v>681</v>
      </c>
      <c r="B1" s="161"/>
    </row>
    <row r="2" spans="1:2" ht="18" customHeight="1" x14ac:dyDescent="0.35">
      <c r="A2" s="181" t="s">
        <v>135</v>
      </c>
      <c r="B2" s="163"/>
    </row>
    <row r="3" spans="1:2" ht="13.5" customHeight="1" x14ac:dyDescent="0.35">
      <c r="A3" s="182" t="s">
        <v>180</v>
      </c>
      <c r="B3" s="163"/>
    </row>
    <row r="4" spans="1:2" ht="72" customHeight="1" x14ac:dyDescent="0.35">
      <c r="A4" s="124" t="s">
        <v>181</v>
      </c>
      <c r="B4" s="37" t="s">
        <v>682</v>
      </c>
    </row>
    <row r="5" spans="1:2" ht="18" customHeight="1" x14ac:dyDescent="0.35">
      <c r="A5" s="38" t="s">
        <v>19</v>
      </c>
      <c r="B5" s="39">
        <v>46174</v>
      </c>
    </row>
    <row r="6" spans="1:2" ht="18" customHeight="1" x14ac:dyDescent="0.35">
      <c r="A6" s="38" t="s">
        <v>183</v>
      </c>
      <c r="B6" s="37" t="s">
        <v>141</v>
      </c>
    </row>
    <row r="7" spans="1:2" ht="18" customHeight="1" x14ac:dyDescent="0.35">
      <c r="A7" s="38" t="s">
        <v>184</v>
      </c>
      <c r="B7" s="37" t="s">
        <v>683</v>
      </c>
    </row>
    <row r="8" spans="1:2" ht="18" customHeight="1" x14ac:dyDescent="0.35"/>
    <row r="9" spans="1:2" ht="13.5" customHeight="1" x14ac:dyDescent="0.35">
      <c r="A9" s="182" t="s">
        <v>186</v>
      </c>
      <c r="B9" s="163"/>
    </row>
    <row r="10" spans="1:2" ht="129.75" customHeight="1" x14ac:dyDescent="0.35">
      <c r="A10" s="165" t="s">
        <v>684</v>
      </c>
      <c r="B10" s="163"/>
    </row>
    <row r="11" spans="1:2" ht="13.5" customHeight="1" x14ac:dyDescent="0.35">
      <c r="A11" s="182" t="s">
        <v>188</v>
      </c>
      <c r="B11" s="163"/>
    </row>
    <row r="12" spans="1:2" ht="18" customHeight="1" x14ac:dyDescent="0.35">
      <c r="A12" s="38" t="s">
        <v>189</v>
      </c>
      <c r="B12" s="40" t="s">
        <v>685</v>
      </c>
    </row>
    <row r="13" spans="1:2" ht="24" customHeight="1" x14ac:dyDescent="0.35">
      <c r="A13" s="38" t="s">
        <v>191</v>
      </c>
      <c r="B13" s="40" t="s">
        <v>686</v>
      </c>
    </row>
    <row r="14" spans="1:2" ht="24" customHeight="1" x14ac:dyDescent="0.35">
      <c r="A14" s="38" t="s">
        <v>193</v>
      </c>
      <c r="B14" s="40" t="s">
        <v>687</v>
      </c>
    </row>
    <row r="15" spans="1:2" ht="18" customHeight="1" x14ac:dyDescent="0.35">
      <c r="A15" s="38" t="s">
        <v>195</v>
      </c>
      <c r="B15" s="40" t="s">
        <v>688</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499984740745262"/>
  </sheetPr>
  <dimension ref="A1:B1000"/>
  <sheetViews>
    <sheetView workbookViewId="0">
      <selection sqref="A1:B1"/>
    </sheetView>
  </sheetViews>
  <sheetFormatPr defaultColWidth="14.453125" defaultRowHeight="15" customHeight="1" x14ac:dyDescent="0.35"/>
  <cols>
    <col min="1" max="1" width="22" customWidth="1"/>
    <col min="2" max="2" width="70" customWidth="1"/>
    <col min="3" max="26" width="8.7265625" customWidth="1"/>
  </cols>
  <sheetData>
    <row r="1" spans="1:2" ht="30" customHeight="1" x14ac:dyDescent="0.35">
      <c r="A1" s="180" t="s">
        <v>689</v>
      </c>
      <c r="B1" s="161"/>
    </row>
    <row r="2" spans="1:2" ht="18" customHeight="1" x14ac:dyDescent="0.35">
      <c r="A2" s="181" t="s">
        <v>135</v>
      </c>
      <c r="B2" s="163"/>
    </row>
    <row r="3" spans="1:2" ht="13.5" customHeight="1" x14ac:dyDescent="0.35">
      <c r="A3" s="182" t="s">
        <v>180</v>
      </c>
      <c r="B3" s="163"/>
    </row>
    <row r="4" spans="1:2" ht="72" customHeight="1" x14ac:dyDescent="0.35">
      <c r="A4" s="124" t="s">
        <v>181</v>
      </c>
      <c r="B4" s="37" t="s">
        <v>690</v>
      </c>
    </row>
    <row r="5" spans="1:2" ht="18" customHeight="1" x14ac:dyDescent="0.35">
      <c r="A5" s="38" t="s">
        <v>19</v>
      </c>
      <c r="B5" s="39">
        <v>46174</v>
      </c>
    </row>
    <row r="6" spans="1:2" ht="18" customHeight="1" x14ac:dyDescent="0.35">
      <c r="A6" s="38" t="s">
        <v>183</v>
      </c>
      <c r="B6" s="37" t="s">
        <v>145</v>
      </c>
    </row>
    <row r="7" spans="1:2" ht="18" customHeight="1" x14ac:dyDescent="0.35">
      <c r="A7" s="38" t="s">
        <v>184</v>
      </c>
      <c r="B7" s="37" t="s">
        <v>691</v>
      </c>
    </row>
    <row r="8" spans="1:2" ht="18" customHeight="1" x14ac:dyDescent="0.35"/>
    <row r="9" spans="1:2" ht="13.5" customHeight="1" x14ac:dyDescent="0.35">
      <c r="A9" s="182" t="s">
        <v>186</v>
      </c>
      <c r="B9" s="163"/>
    </row>
    <row r="10" spans="1:2" ht="182.25" customHeight="1" x14ac:dyDescent="0.35">
      <c r="A10" s="165" t="s">
        <v>692</v>
      </c>
      <c r="B10" s="163"/>
    </row>
    <row r="11" spans="1:2" ht="13.5" customHeight="1" x14ac:dyDescent="0.35">
      <c r="A11" s="182" t="s">
        <v>188</v>
      </c>
      <c r="B11" s="163"/>
    </row>
    <row r="12" spans="1:2" ht="18" customHeight="1" x14ac:dyDescent="0.35">
      <c r="A12" s="38" t="s">
        <v>189</v>
      </c>
      <c r="B12" s="40" t="s">
        <v>693</v>
      </c>
    </row>
    <row r="13" spans="1:2" ht="24" customHeight="1" x14ac:dyDescent="0.35">
      <c r="A13" s="38" t="s">
        <v>191</v>
      </c>
      <c r="B13" s="40" t="s">
        <v>694</v>
      </c>
    </row>
    <row r="14" spans="1:2" ht="24" customHeight="1" x14ac:dyDescent="0.35">
      <c r="A14" s="38" t="s">
        <v>193</v>
      </c>
      <c r="B14" s="40" t="s">
        <v>695</v>
      </c>
    </row>
    <row r="15" spans="1:2" ht="18" customHeight="1" x14ac:dyDescent="0.35">
      <c r="A15" s="38" t="s">
        <v>195</v>
      </c>
      <c r="B15" s="40" t="s">
        <v>696</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F3E69-275B-44D3-85FC-CD79F7F2F144}">
  <sheetPr>
    <tabColor theme="5" tint="-0.499984740745262"/>
  </sheetPr>
  <dimension ref="A1:P64"/>
  <sheetViews>
    <sheetView topLeftCell="C55" zoomScale="63" workbookViewId="0">
      <selection activeCell="G6" sqref="G6"/>
    </sheetView>
  </sheetViews>
  <sheetFormatPr defaultRowHeight="14.5" x14ac:dyDescent="0.35"/>
  <cols>
    <col min="1" max="1" width="8.7265625" style="232"/>
    <col min="2" max="2" width="44.81640625" style="232" bestFit="1" customWidth="1"/>
    <col min="3" max="3" width="18" style="232" bestFit="1" customWidth="1"/>
    <col min="4" max="8" width="14.81640625" style="233" bestFit="1" customWidth="1"/>
    <col min="9" max="9" width="16.6328125" style="233" bestFit="1" customWidth="1"/>
    <col min="10" max="11" width="16.54296875" style="233" bestFit="1" customWidth="1"/>
    <col min="12" max="13" width="14.81640625" style="233" bestFit="1" customWidth="1"/>
    <col min="14" max="14" width="16.6328125" style="233" bestFit="1" customWidth="1"/>
    <col min="15" max="15" width="16.54296875" style="233" bestFit="1" customWidth="1"/>
    <col min="16" max="16" width="16.6328125" style="234" bestFit="1" customWidth="1"/>
    <col min="17" max="16384" width="8.7265625" style="232"/>
  </cols>
  <sheetData>
    <row r="1" spans="1:16" x14ac:dyDescent="0.35">
      <c r="A1" s="230" t="s">
        <v>785</v>
      </c>
      <c r="B1" s="230" t="s">
        <v>786</v>
      </c>
      <c r="C1" s="230" t="s">
        <v>787</v>
      </c>
      <c r="D1" s="231" t="s">
        <v>788</v>
      </c>
      <c r="E1" s="231" t="s">
        <v>434</v>
      </c>
      <c r="F1" s="231" t="s">
        <v>435</v>
      </c>
      <c r="G1" s="231" t="s">
        <v>789</v>
      </c>
      <c r="H1" s="231" t="s">
        <v>790</v>
      </c>
      <c r="I1" s="231" t="s">
        <v>791</v>
      </c>
      <c r="J1" s="231" t="s">
        <v>792</v>
      </c>
      <c r="K1" s="231" t="s">
        <v>793</v>
      </c>
      <c r="L1" s="231" t="s">
        <v>794</v>
      </c>
      <c r="M1" s="231" t="s">
        <v>795</v>
      </c>
      <c r="N1" s="231" t="s">
        <v>796</v>
      </c>
      <c r="O1" s="231" t="s">
        <v>797</v>
      </c>
      <c r="P1" s="231" t="s">
        <v>26</v>
      </c>
    </row>
    <row r="2" spans="1:16" x14ac:dyDescent="0.35">
      <c r="A2" s="232" t="s">
        <v>798</v>
      </c>
      <c r="B2" s="232" t="s">
        <v>799</v>
      </c>
      <c r="C2" s="232" t="s">
        <v>800</v>
      </c>
      <c r="G2" s="233">
        <v>65260</v>
      </c>
      <c r="P2" s="234">
        <v>65260</v>
      </c>
    </row>
    <row r="3" spans="1:16" x14ac:dyDescent="0.35">
      <c r="A3" s="232" t="s">
        <v>798</v>
      </c>
      <c r="B3" s="232" t="s">
        <v>801</v>
      </c>
      <c r="C3" s="232" t="s">
        <v>800</v>
      </c>
      <c r="G3" s="233">
        <v>23179</v>
      </c>
      <c r="N3" s="233">
        <v>38668</v>
      </c>
      <c r="P3" s="234">
        <v>61847</v>
      </c>
    </row>
    <row r="4" spans="1:16" x14ac:dyDescent="0.35">
      <c r="A4" s="232" t="s">
        <v>798</v>
      </c>
      <c r="B4" s="232" t="s">
        <v>802</v>
      </c>
      <c r="C4" s="232" t="s">
        <v>800</v>
      </c>
      <c r="H4" s="233">
        <v>225693</v>
      </c>
      <c r="M4" s="233">
        <v>148329</v>
      </c>
      <c r="P4" s="234">
        <v>374022</v>
      </c>
    </row>
    <row r="5" spans="1:16" x14ac:dyDescent="0.35">
      <c r="A5" s="232" t="s">
        <v>798</v>
      </c>
      <c r="B5" s="232" t="s">
        <v>803</v>
      </c>
      <c r="C5" s="232" t="s">
        <v>800</v>
      </c>
      <c r="E5" s="233">
        <v>125187</v>
      </c>
      <c r="F5" s="233">
        <v>40036</v>
      </c>
      <c r="J5" s="233">
        <v>101724</v>
      </c>
      <c r="K5" s="233">
        <v>25909</v>
      </c>
      <c r="M5" s="233">
        <v>40035</v>
      </c>
      <c r="P5" s="234">
        <v>332891</v>
      </c>
    </row>
    <row r="6" spans="1:16" x14ac:dyDescent="0.35">
      <c r="A6" s="232" t="s">
        <v>798</v>
      </c>
      <c r="B6" s="232" t="s">
        <v>804</v>
      </c>
      <c r="C6" s="232" t="s">
        <v>800</v>
      </c>
      <c r="M6" s="233">
        <v>421034</v>
      </c>
      <c r="O6" s="233">
        <v>79877</v>
      </c>
      <c r="P6" s="234">
        <v>500911</v>
      </c>
    </row>
    <row r="7" spans="1:16" x14ac:dyDescent="0.35">
      <c r="A7" s="232" t="s">
        <v>798</v>
      </c>
      <c r="B7" s="232" t="s">
        <v>805</v>
      </c>
      <c r="C7" s="232" t="s">
        <v>800</v>
      </c>
      <c r="F7" s="233">
        <v>2855</v>
      </c>
      <c r="O7" s="233">
        <v>5740</v>
      </c>
      <c r="P7" s="234">
        <v>8595</v>
      </c>
    </row>
    <row r="8" spans="1:16" x14ac:dyDescent="0.35">
      <c r="A8" s="232" t="s">
        <v>798</v>
      </c>
      <c r="B8" s="232" t="s">
        <v>806</v>
      </c>
      <c r="C8" s="232" t="s">
        <v>800</v>
      </c>
      <c r="G8" s="233">
        <v>17388</v>
      </c>
      <c r="J8" s="233">
        <v>8332</v>
      </c>
      <c r="P8" s="234">
        <v>25720</v>
      </c>
    </row>
    <row r="9" spans="1:16" x14ac:dyDescent="0.35">
      <c r="A9" s="232" t="s">
        <v>798</v>
      </c>
      <c r="B9" s="232" t="s">
        <v>807</v>
      </c>
      <c r="C9" s="232" t="s">
        <v>800</v>
      </c>
      <c r="E9" s="233">
        <v>202780</v>
      </c>
      <c r="G9" s="233">
        <v>344911</v>
      </c>
      <c r="H9" s="233">
        <v>198396</v>
      </c>
      <c r="I9" s="233">
        <v>168560</v>
      </c>
      <c r="M9" s="233">
        <v>889919</v>
      </c>
      <c r="N9" s="233">
        <v>319269</v>
      </c>
      <c r="O9" s="233">
        <v>172456</v>
      </c>
      <c r="P9" s="234">
        <v>2296291</v>
      </c>
    </row>
    <row r="10" spans="1:16" x14ac:dyDescent="0.35">
      <c r="A10" s="232" t="s">
        <v>798</v>
      </c>
      <c r="B10" s="232" t="s">
        <v>808</v>
      </c>
      <c r="C10" s="232" t="s">
        <v>800</v>
      </c>
      <c r="E10" s="233">
        <v>172688</v>
      </c>
      <c r="J10" s="233">
        <v>115125</v>
      </c>
      <c r="P10" s="234">
        <v>287813</v>
      </c>
    </row>
    <row r="11" spans="1:16" x14ac:dyDescent="0.35">
      <c r="A11" s="232" t="s">
        <v>798</v>
      </c>
      <c r="B11" s="232" t="s">
        <v>809</v>
      </c>
      <c r="C11" s="232" t="s">
        <v>800</v>
      </c>
      <c r="D11" s="233">
        <v>-148833.31</v>
      </c>
      <c r="M11" s="233">
        <v>-41914</v>
      </c>
      <c r="P11" s="234">
        <v>-190747.31</v>
      </c>
    </row>
    <row r="12" spans="1:16" x14ac:dyDescent="0.35">
      <c r="A12" s="232" t="s">
        <v>798</v>
      </c>
      <c r="B12" s="232" t="s">
        <v>810</v>
      </c>
      <c r="C12" s="232" t="s">
        <v>800</v>
      </c>
      <c r="E12" s="233">
        <v>-1275714.82</v>
      </c>
      <c r="P12" s="234">
        <v>-1275714.82</v>
      </c>
    </row>
    <row r="13" spans="1:16" x14ac:dyDescent="0.35">
      <c r="A13" s="232" t="s">
        <v>798</v>
      </c>
      <c r="B13" s="232" t="s">
        <v>811</v>
      </c>
      <c r="C13" s="232" t="s">
        <v>800</v>
      </c>
      <c r="G13" s="233">
        <v>271430</v>
      </c>
      <c r="J13" s="233">
        <v>58821</v>
      </c>
      <c r="P13" s="234">
        <v>330251</v>
      </c>
    </row>
    <row r="14" spans="1:16" x14ac:dyDescent="0.35">
      <c r="A14" s="232" t="s">
        <v>798</v>
      </c>
      <c r="B14" s="232" t="s">
        <v>812</v>
      </c>
      <c r="C14" s="232" t="s">
        <v>800</v>
      </c>
      <c r="G14" s="233">
        <v>32787</v>
      </c>
      <c r="P14" s="234">
        <v>32787</v>
      </c>
    </row>
    <row r="15" spans="1:16" x14ac:dyDescent="0.35">
      <c r="A15" s="232" t="s">
        <v>798</v>
      </c>
      <c r="B15" s="232" t="s">
        <v>813</v>
      </c>
      <c r="C15" s="232" t="s">
        <v>800</v>
      </c>
      <c r="I15" s="233">
        <v>7709</v>
      </c>
      <c r="O15" s="233">
        <v>24819</v>
      </c>
      <c r="P15" s="234">
        <v>32528</v>
      </c>
    </row>
    <row r="16" spans="1:16" x14ac:dyDescent="0.35">
      <c r="A16" s="232" t="s">
        <v>798</v>
      </c>
      <c r="B16" s="232" t="s">
        <v>814</v>
      </c>
      <c r="C16" s="232" t="s">
        <v>800</v>
      </c>
      <c r="M16" s="233">
        <v>104757</v>
      </c>
      <c r="P16" s="234">
        <v>104757</v>
      </c>
    </row>
    <row r="17" spans="1:16" x14ac:dyDescent="0.35">
      <c r="A17" s="232" t="s">
        <v>798</v>
      </c>
      <c r="B17" s="232" t="s">
        <v>815</v>
      </c>
      <c r="C17" s="232" t="s">
        <v>800</v>
      </c>
      <c r="J17" s="233">
        <v>76912.5</v>
      </c>
      <c r="L17" s="233">
        <v>104627</v>
      </c>
      <c r="P17" s="234">
        <v>181539.5</v>
      </c>
    </row>
    <row r="18" spans="1:16" x14ac:dyDescent="0.35">
      <c r="A18" s="232" t="s">
        <v>798</v>
      </c>
      <c r="B18" s="232" t="s">
        <v>816</v>
      </c>
      <c r="C18" s="232" t="s">
        <v>800</v>
      </c>
      <c r="F18" s="233">
        <v>170920</v>
      </c>
      <c r="K18" s="233">
        <v>427107</v>
      </c>
      <c r="N18" s="233">
        <v>135500</v>
      </c>
      <c r="O18" s="233">
        <v>67207</v>
      </c>
      <c r="P18" s="234">
        <v>800734</v>
      </c>
    </row>
    <row r="19" spans="1:16" x14ac:dyDescent="0.35">
      <c r="A19" s="232" t="s">
        <v>798</v>
      </c>
      <c r="B19" s="232" t="s">
        <v>817</v>
      </c>
      <c r="C19" s="232" t="s">
        <v>800</v>
      </c>
      <c r="K19" s="233">
        <v>20073</v>
      </c>
      <c r="P19" s="234">
        <v>20073</v>
      </c>
    </row>
    <row r="20" spans="1:16" x14ac:dyDescent="0.35">
      <c r="A20" s="232" t="s">
        <v>798</v>
      </c>
      <c r="B20" s="232" t="s">
        <v>818</v>
      </c>
      <c r="C20" s="232" t="s">
        <v>800</v>
      </c>
      <c r="F20" s="233">
        <v>77331</v>
      </c>
      <c r="G20" s="233">
        <v>286842</v>
      </c>
      <c r="J20" s="233">
        <v>22280</v>
      </c>
      <c r="L20" s="233">
        <v>572312</v>
      </c>
      <c r="N20" s="233">
        <v>268507</v>
      </c>
      <c r="P20" s="234">
        <v>1227272</v>
      </c>
    </row>
    <row r="21" spans="1:16" x14ac:dyDescent="0.35">
      <c r="A21" s="232" t="s">
        <v>798</v>
      </c>
      <c r="B21" s="232" t="s">
        <v>819</v>
      </c>
      <c r="C21" s="232" t="s">
        <v>800</v>
      </c>
      <c r="F21" s="233">
        <v>3268795</v>
      </c>
      <c r="I21" s="233">
        <v>3247739</v>
      </c>
      <c r="N21" s="233">
        <v>5726289.8399999999</v>
      </c>
      <c r="P21" s="234">
        <v>12242823.84</v>
      </c>
    </row>
    <row r="22" spans="1:16" x14ac:dyDescent="0.35">
      <c r="A22" s="232" t="s">
        <v>798</v>
      </c>
      <c r="B22" s="232" t="s">
        <v>820</v>
      </c>
      <c r="C22" s="232" t="s">
        <v>800</v>
      </c>
      <c r="G22" s="233">
        <v>4042</v>
      </c>
      <c r="P22" s="234">
        <v>4042</v>
      </c>
    </row>
    <row r="23" spans="1:16" x14ac:dyDescent="0.35">
      <c r="A23" s="232" t="s">
        <v>798</v>
      </c>
      <c r="B23" s="232" t="s">
        <v>821</v>
      </c>
      <c r="C23" s="232" t="s">
        <v>800</v>
      </c>
      <c r="G23" s="233">
        <v>79089</v>
      </c>
      <c r="H23" s="233">
        <v>41914</v>
      </c>
      <c r="M23" s="233">
        <v>95215.3</v>
      </c>
      <c r="P23" s="234">
        <v>216218.3</v>
      </c>
    </row>
    <row r="24" spans="1:16" x14ac:dyDescent="0.35">
      <c r="A24" s="232" t="s">
        <v>798</v>
      </c>
      <c r="B24" s="232" t="s">
        <v>822</v>
      </c>
      <c r="C24" s="232" t="s">
        <v>800</v>
      </c>
      <c r="J24" s="233">
        <v>41318.5</v>
      </c>
      <c r="O24" s="233">
        <v>46411</v>
      </c>
      <c r="P24" s="234">
        <v>87729.5</v>
      </c>
    </row>
    <row r="25" spans="1:16" x14ac:dyDescent="0.35">
      <c r="A25" s="232" t="s">
        <v>798</v>
      </c>
      <c r="B25" s="232" t="s">
        <v>823</v>
      </c>
      <c r="C25" s="232" t="s">
        <v>800</v>
      </c>
      <c r="E25" s="233">
        <v>1058</v>
      </c>
      <c r="L25" s="233">
        <v>4151</v>
      </c>
      <c r="P25" s="234">
        <v>5209</v>
      </c>
    </row>
    <row r="26" spans="1:16" x14ac:dyDescent="0.35">
      <c r="A26" s="232" t="s">
        <v>798</v>
      </c>
      <c r="B26" s="232" t="s">
        <v>824</v>
      </c>
      <c r="C26" s="232" t="s">
        <v>800</v>
      </c>
      <c r="H26" s="233">
        <v>107382</v>
      </c>
      <c r="O26" s="233">
        <v>221618</v>
      </c>
      <c r="P26" s="234">
        <v>329000</v>
      </c>
    </row>
    <row r="27" spans="1:16" x14ac:dyDescent="0.35">
      <c r="A27" s="232" t="s">
        <v>798</v>
      </c>
      <c r="B27" s="232" t="s">
        <v>825</v>
      </c>
      <c r="C27" s="232" t="s">
        <v>800</v>
      </c>
      <c r="J27" s="233">
        <v>251516</v>
      </c>
      <c r="N27" s="233">
        <v>408396</v>
      </c>
      <c r="P27" s="234">
        <v>659912</v>
      </c>
    </row>
    <row r="28" spans="1:16" x14ac:dyDescent="0.35">
      <c r="A28" s="232" t="s">
        <v>798</v>
      </c>
      <c r="B28" s="232" t="s">
        <v>826</v>
      </c>
      <c r="C28" s="232" t="s">
        <v>800</v>
      </c>
      <c r="J28" s="233">
        <v>20240</v>
      </c>
      <c r="L28" s="233">
        <v>21657</v>
      </c>
      <c r="O28" s="233">
        <v>21657</v>
      </c>
      <c r="P28" s="234">
        <v>63554</v>
      </c>
    </row>
    <row r="29" spans="1:16" x14ac:dyDescent="0.35">
      <c r="A29" s="232" t="s">
        <v>798</v>
      </c>
      <c r="B29" s="232" t="s">
        <v>827</v>
      </c>
      <c r="C29" s="232" t="s">
        <v>800</v>
      </c>
      <c r="K29" s="233">
        <v>1175049</v>
      </c>
      <c r="P29" s="234">
        <v>1175049</v>
      </c>
    </row>
    <row r="30" spans="1:16" x14ac:dyDescent="0.35">
      <c r="A30" s="232" t="s">
        <v>798</v>
      </c>
      <c r="B30" s="232" t="s">
        <v>828</v>
      </c>
      <c r="C30" s="232" t="s">
        <v>800</v>
      </c>
      <c r="I30" s="233">
        <v>10970</v>
      </c>
      <c r="P30" s="234">
        <v>10970</v>
      </c>
    </row>
    <row r="31" spans="1:16" x14ac:dyDescent="0.35">
      <c r="A31" s="232" t="s">
        <v>798</v>
      </c>
      <c r="B31" s="232" t="s">
        <v>829</v>
      </c>
      <c r="C31" s="232" t="s">
        <v>800</v>
      </c>
      <c r="O31" s="233">
        <v>104092</v>
      </c>
      <c r="P31" s="234">
        <v>104092</v>
      </c>
    </row>
    <row r="32" spans="1:16" x14ac:dyDescent="0.35">
      <c r="A32" s="232" t="s">
        <v>798</v>
      </c>
      <c r="B32" s="232" t="s">
        <v>830</v>
      </c>
      <c r="C32" s="232" t="s">
        <v>800</v>
      </c>
      <c r="E32" s="233">
        <v>720727.41999999993</v>
      </c>
      <c r="F32" s="233">
        <v>893030</v>
      </c>
      <c r="G32" s="233">
        <v>1288217</v>
      </c>
      <c r="H32" s="233">
        <v>3294263</v>
      </c>
      <c r="I32" s="233">
        <v>444427.32999999996</v>
      </c>
      <c r="K32" s="233">
        <v>15518</v>
      </c>
      <c r="L32" s="233">
        <v>1788180</v>
      </c>
      <c r="N32" s="233">
        <v>1082063.22</v>
      </c>
      <c r="O32" s="233">
        <v>2216603</v>
      </c>
      <c r="P32" s="234">
        <v>11743028.970000001</v>
      </c>
    </row>
    <row r="33" spans="1:16" x14ac:dyDescent="0.35">
      <c r="A33" s="232" t="s">
        <v>798</v>
      </c>
      <c r="B33" s="232" t="s">
        <v>831</v>
      </c>
      <c r="C33" s="232" t="s">
        <v>800</v>
      </c>
      <c r="O33" s="233">
        <v>204435</v>
      </c>
      <c r="P33" s="234">
        <v>204435</v>
      </c>
    </row>
    <row r="34" spans="1:16" x14ac:dyDescent="0.35">
      <c r="A34" s="232" t="s">
        <v>798</v>
      </c>
      <c r="B34" s="232" t="s">
        <v>832</v>
      </c>
      <c r="C34" s="232" t="s">
        <v>800</v>
      </c>
      <c r="G34" s="233">
        <v>223020</v>
      </c>
      <c r="J34" s="233">
        <v>58223</v>
      </c>
      <c r="P34" s="234">
        <v>281243</v>
      </c>
    </row>
    <row r="35" spans="1:16" x14ac:dyDescent="0.35">
      <c r="A35" s="232" t="s">
        <v>798</v>
      </c>
      <c r="B35" s="232" t="s">
        <v>833</v>
      </c>
      <c r="C35" s="232" t="s">
        <v>800</v>
      </c>
      <c r="O35" s="233">
        <v>23713</v>
      </c>
      <c r="P35" s="234">
        <v>23713</v>
      </c>
    </row>
    <row r="36" spans="1:16" x14ac:dyDescent="0.35">
      <c r="A36" s="232" t="s">
        <v>798</v>
      </c>
      <c r="B36" s="232" t="s">
        <v>834</v>
      </c>
      <c r="C36" s="232" t="s">
        <v>800</v>
      </c>
      <c r="J36" s="233">
        <v>129809</v>
      </c>
      <c r="M36" s="233">
        <v>169777</v>
      </c>
      <c r="P36" s="234">
        <v>299586</v>
      </c>
    </row>
    <row r="37" spans="1:16" x14ac:dyDescent="0.35">
      <c r="A37" s="232" t="s">
        <v>798</v>
      </c>
      <c r="B37" s="232" t="s">
        <v>835</v>
      </c>
      <c r="C37" s="232" t="s">
        <v>800</v>
      </c>
      <c r="E37" s="233">
        <v>15187</v>
      </c>
      <c r="L37" s="233">
        <v>15187</v>
      </c>
      <c r="M37" s="233">
        <v>6556</v>
      </c>
      <c r="P37" s="234">
        <v>36930</v>
      </c>
    </row>
    <row r="38" spans="1:16" x14ac:dyDescent="0.35">
      <c r="A38" s="232" t="s">
        <v>798</v>
      </c>
      <c r="B38" s="232" t="s">
        <v>836</v>
      </c>
      <c r="C38" s="232" t="s">
        <v>800</v>
      </c>
      <c r="I38" s="233">
        <v>604535</v>
      </c>
      <c r="O38" s="233">
        <v>54970</v>
      </c>
      <c r="P38" s="234">
        <v>659505</v>
      </c>
    </row>
    <row r="39" spans="1:16" x14ac:dyDescent="0.35">
      <c r="A39" s="232" t="s">
        <v>798</v>
      </c>
      <c r="B39" s="232" t="s">
        <v>837</v>
      </c>
      <c r="C39" s="232" t="s">
        <v>800</v>
      </c>
      <c r="N39" s="233">
        <v>574857</v>
      </c>
      <c r="P39" s="234">
        <v>574857</v>
      </c>
    </row>
    <row r="40" spans="1:16" x14ac:dyDescent="0.35">
      <c r="A40" s="232" t="s">
        <v>798</v>
      </c>
      <c r="B40" s="232" t="s">
        <v>838</v>
      </c>
      <c r="C40" s="232" t="s">
        <v>800</v>
      </c>
      <c r="E40" s="233">
        <v>1176743</v>
      </c>
      <c r="F40" s="233">
        <v>165557</v>
      </c>
      <c r="H40" s="233">
        <v>50507</v>
      </c>
      <c r="J40" s="233">
        <v>689392</v>
      </c>
      <c r="K40" s="233">
        <v>105702</v>
      </c>
      <c r="L40" s="233">
        <v>262506.16000000003</v>
      </c>
      <c r="N40" s="233">
        <v>1292830.73</v>
      </c>
      <c r="O40" s="233">
        <v>77132</v>
      </c>
      <c r="P40" s="234">
        <v>3820369.89</v>
      </c>
    </row>
    <row r="41" spans="1:16" x14ac:dyDescent="0.35">
      <c r="A41" s="232" t="s">
        <v>798</v>
      </c>
      <c r="B41" s="232" t="s">
        <v>839</v>
      </c>
      <c r="C41" s="232" t="s">
        <v>800</v>
      </c>
      <c r="D41" s="233">
        <v>4802187.18</v>
      </c>
      <c r="E41" s="233">
        <v>2686038.53</v>
      </c>
      <c r="F41" s="233">
        <v>3579608.51</v>
      </c>
      <c r="G41" s="233">
        <v>4980670.88</v>
      </c>
      <c r="H41" s="233">
        <v>3152305</v>
      </c>
      <c r="I41" s="233">
        <v>3153194.2</v>
      </c>
      <c r="J41" s="233">
        <v>4219801.54</v>
      </c>
      <c r="K41" s="233">
        <v>3263892.83</v>
      </c>
      <c r="L41" s="233">
        <v>3261144.99</v>
      </c>
      <c r="M41" s="233">
        <v>2621141.27</v>
      </c>
      <c r="N41" s="233">
        <v>2777982.17</v>
      </c>
      <c r="O41" s="233">
        <v>3620400</v>
      </c>
      <c r="P41" s="234">
        <v>42118367.100000001</v>
      </c>
    </row>
    <row r="42" spans="1:16" x14ac:dyDescent="0.35">
      <c r="A42" s="232" t="s">
        <v>798</v>
      </c>
      <c r="B42" s="232" t="s">
        <v>840</v>
      </c>
      <c r="C42" s="232" t="s">
        <v>800</v>
      </c>
      <c r="H42" s="233">
        <v>31121</v>
      </c>
      <c r="P42" s="234">
        <v>31121</v>
      </c>
    </row>
    <row r="43" spans="1:16" x14ac:dyDescent="0.35">
      <c r="A43" s="232" t="s">
        <v>798</v>
      </c>
      <c r="B43" s="232" t="s">
        <v>841</v>
      </c>
      <c r="C43" s="232" t="s">
        <v>800</v>
      </c>
      <c r="E43" s="233">
        <v>76346</v>
      </c>
      <c r="O43" s="233">
        <v>38852</v>
      </c>
      <c r="P43" s="234">
        <v>115198</v>
      </c>
    </row>
    <row r="44" spans="1:16" x14ac:dyDescent="0.35">
      <c r="A44" s="232" t="s">
        <v>798</v>
      </c>
      <c r="B44" s="232" t="s">
        <v>842</v>
      </c>
      <c r="C44" s="232" t="s">
        <v>800</v>
      </c>
      <c r="F44" s="233">
        <v>31425</v>
      </c>
      <c r="J44" s="233">
        <v>64247</v>
      </c>
      <c r="O44" s="233">
        <v>134549</v>
      </c>
      <c r="P44" s="234">
        <v>230221</v>
      </c>
    </row>
    <row r="45" spans="1:16" x14ac:dyDescent="0.35">
      <c r="A45" s="232" t="s">
        <v>798</v>
      </c>
      <c r="B45" s="232" t="s">
        <v>843</v>
      </c>
      <c r="C45" s="232" t="s">
        <v>800</v>
      </c>
      <c r="F45" s="233">
        <v>15532</v>
      </c>
      <c r="H45" s="233">
        <v>1907</v>
      </c>
      <c r="J45" s="233">
        <v>481166</v>
      </c>
      <c r="L45" s="233">
        <v>11441</v>
      </c>
      <c r="M45" s="233">
        <v>508513.41</v>
      </c>
      <c r="O45" s="233">
        <v>525071</v>
      </c>
      <c r="P45" s="234">
        <v>1543630.41</v>
      </c>
    </row>
    <row r="46" spans="1:16" x14ac:dyDescent="0.35">
      <c r="A46" s="232" t="s">
        <v>798</v>
      </c>
      <c r="B46" s="232" t="s">
        <v>844</v>
      </c>
      <c r="C46" s="232" t="s">
        <v>800</v>
      </c>
      <c r="G46" s="233">
        <v>18000</v>
      </c>
      <c r="N46" s="233">
        <v>30486</v>
      </c>
      <c r="P46" s="234">
        <v>48486</v>
      </c>
    </row>
    <row r="47" spans="1:16" x14ac:dyDescent="0.35">
      <c r="A47" s="232" t="s">
        <v>798</v>
      </c>
      <c r="B47" s="232" t="s">
        <v>845</v>
      </c>
      <c r="C47" s="232" t="s">
        <v>800</v>
      </c>
      <c r="J47" s="233">
        <v>112563</v>
      </c>
      <c r="P47" s="234">
        <v>112563</v>
      </c>
    </row>
    <row r="48" spans="1:16" x14ac:dyDescent="0.35">
      <c r="A48" s="232" t="s">
        <v>798</v>
      </c>
      <c r="B48" s="232" t="s">
        <v>846</v>
      </c>
      <c r="C48" s="232" t="s">
        <v>800</v>
      </c>
      <c r="F48" s="233">
        <v>203670</v>
      </c>
      <c r="P48" s="234">
        <v>203670</v>
      </c>
    </row>
    <row r="49" spans="1:16" x14ac:dyDescent="0.35">
      <c r="A49" s="232" t="s">
        <v>798</v>
      </c>
      <c r="B49" s="232" t="s">
        <v>847</v>
      </c>
      <c r="C49" s="232" t="s">
        <v>800</v>
      </c>
      <c r="F49" s="233">
        <v>46633</v>
      </c>
      <c r="I49" s="233">
        <v>24349</v>
      </c>
      <c r="N49" s="233">
        <v>15778</v>
      </c>
      <c r="P49" s="234">
        <v>86760</v>
      </c>
    </row>
    <row r="50" spans="1:16" x14ac:dyDescent="0.35">
      <c r="A50" s="232" t="s">
        <v>798</v>
      </c>
      <c r="B50" s="232" t="s">
        <v>848</v>
      </c>
      <c r="C50" s="232" t="s">
        <v>800</v>
      </c>
      <c r="E50" s="233">
        <v>82800</v>
      </c>
      <c r="K50" s="233">
        <v>20141</v>
      </c>
      <c r="O50" s="233">
        <v>17031</v>
      </c>
      <c r="P50" s="234">
        <v>119972</v>
      </c>
    </row>
    <row r="51" spans="1:16" x14ac:dyDescent="0.35">
      <c r="A51" s="232" t="s">
        <v>798</v>
      </c>
      <c r="B51" s="232" t="s">
        <v>849</v>
      </c>
      <c r="C51" s="232" t="s">
        <v>800</v>
      </c>
      <c r="E51" s="233">
        <v>135809</v>
      </c>
      <c r="J51" s="233">
        <v>39772</v>
      </c>
      <c r="L51" s="233">
        <v>91615</v>
      </c>
      <c r="N51" s="233">
        <v>38925</v>
      </c>
      <c r="O51" s="233">
        <v>38280</v>
      </c>
      <c r="P51" s="234">
        <v>344401</v>
      </c>
    </row>
    <row r="52" spans="1:16" x14ac:dyDescent="0.35">
      <c r="A52" s="232" t="s">
        <v>798</v>
      </c>
      <c r="B52" s="232" t="s">
        <v>850</v>
      </c>
      <c r="C52" s="232" t="s">
        <v>800</v>
      </c>
      <c r="G52" s="233">
        <v>15013</v>
      </c>
      <c r="O52" s="233">
        <v>25158</v>
      </c>
      <c r="P52" s="234">
        <v>40171</v>
      </c>
    </row>
    <row r="53" spans="1:16" x14ac:dyDescent="0.35">
      <c r="A53" s="232" t="s">
        <v>798</v>
      </c>
      <c r="B53" s="232" t="s">
        <v>851</v>
      </c>
      <c r="C53" s="232" t="s">
        <v>800</v>
      </c>
      <c r="H53" s="233">
        <v>434488</v>
      </c>
      <c r="J53" s="233">
        <v>405841</v>
      </c>
      <c r="L53" s="233">
        <v>257828</v>
      </c>
      <c r="O53" s="233">
        <v>256743</v>
      </c>
      <c r="P53" s="234">
        <v>1354900</v>
      </c>
    </row>
    <row r="54" spans="1:16" x14ac:dyDescent="0.35">
      <c r="A54" s="232" t="s">
        <v>798</v>
      </c>
      <c r="B54" s="232" t="s">
        <v>852</v>
      </c>
      <c r="C54" s="232" t="s">
        <v>800</v>
      </c>
      <c r="I54" s="233">
        <v>27109</v>
      </c>
      <c r="L54" s="233">
        <v>19241</v>
      </c>
      <c r="P54" s="234">
        <v>46350</v>
      </c>
    </row>
    <row r="55" spans="1:16" x14ac:dyDescent="0.35">
      <c r="A55" s="232" t="s">
        <v>798</v>
      </c>
      <c r="B55" s="232" t="s">
        <v>853</v>
      </c>
      <c r="C55" s="232" t="s">
        <v>800</v>
      </c>
      <c r="E55" s="233">
        <v>23911</v>
      </c>
      <c r="K55" s="233">
        <v>44258</v>
      </c>
      <c r="L55" s="233">
        <v>47307</v>
      </c>
      <c r="N55" s="233">
        <v>21762</v>
      </c>
      <c r="P55" s="234">
        <v>137238</v>
      </c>
    </row>
    <row r="56" spans="1:16" x14ac:dyDescent="0.35">
      <c r="A56" s="232" t="s">
        <v>798</v>
      </c>
      <c r="B56" s="232" t="s">
        <v>854</v>
      </c>
      <c r="C56" s="232" t="s">
        <v>800</v>
      </c>
      <c r="O56" s="233">
        <v>236895</v>
      </c>
      <c r="P56" s="234">
        <v>236895</v>
      </c>
    </row>
    <row r="57" spans="1:16" x14ac:dyDescent="0.35">
      <c r="A57" s="232" t="s">
        <v>798</v>
      </c>
      <c r="B57" s="232" t="s">
        <v>855</v>
      </c>
      <c r="C57" s="232" t="s">
        <v>800</v>
      </c>
      <c r="E57" s="233">
        <v>474735</v>
      </c>
      <c r="G57" s="233">
        <v>345976</v>
      </c>
      <c r="I57" s="233">
        <v>3991448</v>
      </c>
      <c r="J57" s="233">
        <v>1257976.51</v>
      </c>
      <c r="K57" s="233">
        <v>1586042</v>
      </c>
      <c r="N57" s="233">
        <v>2115883</v>
      </c>
      <c r="O57" s="233">
        <v>1388687</v>
      </c>
      <c r="P57" s="234">
        <v>11160747.51</v>
      </c>
    </row>
    <row r="58" spans="1:16" x14ac:dyDescent="0.35">
      <c r="A58" s="232" t="s">
        <v>856</v>
      </c>
      <c r="B58" s="232" t="s">
        <v>830</v>
      </c>
      <c r="C58" s="232" t="s">
        <v>800</v>
      </c>
      <c r="F58" s="233">
        <v>85312.5</v>
      </c>
      <c r="G58" s="233">
        <v>85000</v>
      </c>
      <c r="J58" s="233">
        <v>16090</v>
      </c>
      <c r="M58" s="233">
        <v>52152.480000000003</v>
      </c>
      <c r="O58" s="233">
        <v>82575.489999999991</v>
      </c>
      <c r="P58" s="234">
        <v>321130.46999999997</v>
      </c>
    </row>
    <row r="59" spans="1:16" x14ac:dyDescent="0.35">
      <c r="A59" s="232" t="s">
        <v>856</v>
      </c>
      <c r="B59" s="232" t="s">
        <v>839</v>
      </c>
      <c r="C59" s="232" t="s">
        <v>800</v>
      </c>
      <c r="F59" s="233">
        <v>16995</v>
      </c>
      <c r="J59" s="233">
        <v>12871</v>
      </c>
      <c r="K59" s="233">
        <v>12873</v>
      </c>
      <c r="L59" s="233">
        <v>12873</v>
      </c>
      <c r="M59" s="233">
        <v>12873</v>
      </c>
      <c r="N59" s="233">
        <v>38948</v>
      </c>
      <c r="O59" s="233">
        <v>33298.39</v>
      </c>
      <c r="P59" s="234">
        <v>140731.39000000001</v>
      </c>
    </row>
    <row r="60" spans="1:16" s="237" customFormat="1" ht="17" x14ac:dyDescent="0.4">
      <c r="A60" s="235" t="s">
        <v>26</v>
      </c>
      <c r="B60" s="235"/>
      <c r="C60" s="235"/>
      <c r="D60" s="236">
        <f>SUM(D$2:D$59)</f>
        <v>4653353.87</v>
      </c>
      <c r="E60" s="236">
        <f t="shared" ref="E60:P60" si="0">SUM(E$2:E$59)</f>
        <v>4618295.13</v>
      </c>
      <c r="F60" s="236">
        <f t="shared" si="0"/>
        <v>8597700.0099999998</v>
      </c>
      <c r="G60" s="236">
        <f t="shared" si="0"/>
        <v>8080824.8799999999</v>
      </c>
      <c r="H60" s="236">
        <f t="shared" si="0"/>
        <v>7537976</v>
      </c>
      <c r="I60" s="236">
        <f t="shared" si="0"/>
        <v>11680040.530000001</v>
      </c>
      <c r="J60" s="236">
        <f t="shared" si="0"/>
        <v>8184021.0499999998</v>
      </c>
      <c r="K60" s="236">
        <f t="shared" si="0"/>
        <v>6696564.8300000001</v>
      </c>
      <c r="L60" s="236">
        <f t="shared" si="0"/>
        <v>6470070.1500000004</v>
      </c>
      <c r="M60" s="236">
        <f t="shared" si="0"/>
        <v>5028388.4600000009</v>
      </c>
      <c r="N60" s="236">
        <f t="shared" si="0"/>
        <v>14886144.959999999</v>
      </c>
      <c r="O60" s="236">
        <f t="shared" si="0"/>
        <v>9718269.8800000008</v>
      </c>
      <c r="P60" s="236">
        <f t="shared" si="0"/>
        <v>96151649.75</v>
      </c>
    </row>
    <row r="63" spans="1:16" s="237" customFormat="1" ht="17" x14ac:dyDescent="0.4">
      <c r="B63" s="237" t="s">
        <v>857</v>
      </c>
      <c r="C63" s="237" t="s">
        <v>800</v>
      </c>
      <c r="D63" s="236">
        <v>5322041.8</v>
      </c>
      <c r="E63" s="236">
        <v>1095302.3</v>
      </c>
      <c r="F63" s="236">
        <v>8800589.6999999993</v>
      </c>
      <c r="G63" s="236">
        <v>666270.85</v>
      </c>
      <c r="H63" s="236">
        <v>720491.35</v>
      </c>
      <c r="I63" s="236">
        <v>531688.80000000005</v>
      </c>
      <c r="J63" s="236">
        <v>15813509.1</v>
      </c>
      <c r="K63" s="236">
        <v>22735891.300000001</v>
      </c>
      <c r="L63" s="236">
        <v>1648382</v>
      </c>
      <c r="M63" s="236">
        <v>9195902.75</v>
      </c>
      <c r="N63" s="236">
        <v>922889.95</v>
      </c>
      <c r="O63" s="236">
        <v>17703184.57</v>
      </c>
      <c r="P63" s="236">
        <v>85156144.469999999</v>
      </c>
    </row>
    <row r="64" spans="1:16" s="238" customFormat="1" x14ac:dyDescent="0.35">
      <c r="B64" s="238" t="s">
        <v>858</v>
      </c>
      <c r="D64" s="239">
        <f>D63-D60</f>
        <v>668687.9299999997</v>
      </c>
      <c r="E64" s="239">
        <f t="shared" ref="E64:O64" si="1">E63-E60</f>
        <v>-3522992.83</v>
      </c>
      <c r="F64" s="239">
        <f t="shared" si="1"/>
        <v>202889.68999999948</v>
      </c>
      <c r="G64" s="239">
        <f t="shared" si="1"/>
        <v>-7414554.0300000003</v>
      </c>
      <c r="H64" s="239">
        <f t="shared" si="1"/>
        <v>-6817484.6500000004</v>
      </c>
      <c r="I64" s="239">
        <f t="shared" si="1"/>
        <v>-11148351.73</v>
      </c>
      <c r="J64" s="239">
        <f t="shared" si="1"/>
        <v>7629488.0499999998</v>
      </c>
      <c r="K64" s="239">
        <f t="shared" si="1"/>
        <v>16039326.470000001</v>
      </c>
      <c r="L64" s="239">
        <f t="shared" si="1"/>
        <v>-4821688.1500000004</v>
      </c>
      <c r="M64" s="239">
        <f t="shared" si="1"/>
        <v>4167514.2899999991</v>
      </c>
      <c r="N64" s="239">
        <f t="shared" si="1"/>
        <v>-13963255.01</v>
      </c>
      <c r="O64" s="239">
        <f t="shared" si="1"/>
        <v>7984914.6899999995</v>
      </c>
      <c r="P64" s="239">
        <v>-10995501.409999996</v>
      </c>
    </row>
  </sheetData>
  <mergeCells count="1">
    <mergeCell ref="A60:C60"/>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FF00"/>
  </sheetPr>
  <dimension ref="A1:B1000"/>
  <sheetViews>
    <sheetView topLeftCell="A10" workbookViewId="0">
      <selection activeCell="B16" sqref="B16"/>
    </sheetView>
  </sheetViews>
  <sheetFormatPr defaultColWidth="14.453125" defaultRowHeight="15" customHeight="1" x14ac:dyDescent="0.35"/>
  <cols>
    <col min="1" max="1" width="22" customWidth="1"/>
    <col min="2" max="2" width="70" customWidth="1"/>
    <col min="3" max="26" width="8.7265625" customWidth="1"/>
  </cols>
  <sheetData>
    <row r="1" spans="1:2" ht="30" customHeight="1" x14ac:dyDescent="0.35">
      <c r="A1" s="180" t="s">
        <v>697</v>
      </c>
      <c r="B1" s="161"/>
    </row>
    <row r="2" spans="1:2" ht="18" customHeight="1" x14ac:dyDescent="0.35">
      <c r="A2" s="181" t="s">
        <v>135</v>
      </c>
      <c r="B2" s="163"/>
    </row>
    <row r="3" spans="1:2" ht="13.5" customHeight="1" x14ac:dyDescent="0.35">
      <c r="A3" s="182" t="s">
        <v>180</v>
      </c>
      <c r="B3" s="163"/>
    </row>
    <row r="4" spans="1:2" ht="72" customHeight="1" x14ac:dyDescent="0.35">
      <c r="A4" s="124" t="s">
        <v>181</v>
      </c>
      <c r="B4" s="37" t="s">
        <v>698</v>
      </c>
    </row>
    <row r="5" spans="1:2" ht="18" customHeight="1" x14ac:dyDescent="0.35">
      <c r="A5" s="38" t="s">
        <v>19</v>
      </c>
      <c r="B5" s="39">
        <v>46143</v>
      </c>
    </row>
    <row r="6" spans="1:2" ht="18" customHeight="1" x14ac:dyDescent="0.35">
      <c r="A6" s="38" t="s">
        <v>183</v>
      </c>
      <c r="B6" s="37" t="s">
        <v>149</v>
      </c>
    </row>
    <row r="7" spans="1:2" ht="18" customHeight="1" x14ac:dyDescent="0.35">
      <c r="A7" s="38" t="s">
        <v>184</v>
      </c>
      <c r="B7" s="37" t="s">
        <v>699</v>
      </c>
    </row>
    <row r="8" spans="1:2" ht="18" customHeight="1" x14ac:dyDescent="0.35"/>
    <row r="9" spans="1:2" ht="13.5" customHeight="1" x14ac:dyDescent="0.35">
      <c r="A9" s="182" t="s">
        <v>186</v>
      </c>
      <c r="B9" s="163"/>
    </row>
    <row r="10" spans="1:2" ht="129.75" customHeight="1" x14ac:dyDescent="0.35">
      <c r="A10" s="165" t="s">
        <v>700</v>
      </c>
      <c r="B10" s="163"/>
    </row>
    <row r="11" spans="1:2" ht="13.5" customHeight="1" x14ac:dyDescent="0.35">
      <c r="A11" s="182" t="s">
        <v>188</v>
      </c>
      <c r="B11" s="163"/>
    </row>
    <row r="12" spans="1:2" ht="18" customHeight="1" x14ac:dyDescent="0.35">
      <c r="A12" s="38" t="s">
        <v>189</v>
      </c>
      <c r="B12" s="40" t="s">
        <v>701</v>
      </c>
    </row>
    <row r="13" spans="1:2" ht="24" customHeight="1" x14ac:dyDescent="0.35">
      <c r="A13" s="38" t="s">
        <v>191</v>
      </c>
      <c r="B13" s="40" t="s">
        <v>702</v>
      </c>
    </row>
    <row r="14" spans="1:2" ht="24" customHeight="1" x14ac:dyDescent="0.35">
      <c r="A14" s="38" t="s">
        <v>193</v>
      </c>
      <c r="B14" s="40" t="s">
        <v>703</v>
      </c>
    </row>
    <row r="15" spans="1:2" ht="18" customHeight="1" x14ac:dyDescent="0.35">
      <c r="A15" s="38" t="s">
        <v>195</v>
      </c>
      <c r="B15" s="40" t="s">
        <v>704</v>
      </c>
    </row>
    <row r="16" spans="1:2" ht="14.25" customHeight="1" x14ac:dyDescent="0.35">
      <c r="A16" s="113" t="s">
        <v>546</v>
      </c>
      <c r="B16" s="240" t="s">
        <v>782</v>
      </c>
    </row>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FF00"/>
  </sheetPr>
  <dimension ref="A1:B1000"/>
  <sheetViews>
    <sheetView topLeftCell="A10" workbookViewId="0">
      <selection activeCell="B16" sqref="B16"/>
    </sheetView>
  </sheetViews>
  <sheetFormatPr defaultColWidth="14.453125" defaultRowHeight="15" customHeight="1" x14ac:dyDescent="0.35"/>
  <cols>
    <col min="1" max="1" width="22" customWidth="1"/>
    <col min="2" max="2" width="70" customWidth="1"/>
    <col min="3" max="26" width="8.7265625" customWidth="1"/>
  </cols>
  <sheetData>
    <row r="1" spans="1:2" ht="30" customHeight="1" x14ac:dyDescent="0.35">
      <c r="A1" s="180" t="s">
        <v>705</v>
      </c>
      <c r="B1" s="161"/>
    </row>
    <row r="2" spans="1:2" ht="18" customHeight="1" x14ac:dyDescent="0.35">
      <c r="A2" s="181" t="s">
        <v>153</v>
      </c>
      <c r="B2" s="163"/>
    </row>
    <row r="3" spans="1:2" ht="13.5" customHeight="1" x14ac:dyDescent="0.35">
      <c r="A3" s="182" t="s">
        <v>180</v>
      </c>
      <c r="B3" s="163"/>
    </row>
    <row r="4" spans="1:2" ht="72" customHeight="1" x14ac:dyDescent="0.35">
      <c r="A4" s="124" t="s">
        <v>181</v>
      </c>
      <c r="B4" s="37" t="s">
        <v>706</v>
      </c>
    </row>
    <row r="5" spans="1:2" ht="18" customHeight="1" x14ac:dyDescent="0.35">
      <c r="A5" s="38" t="s">
        <v>19</v>
      </c>
      <c r="B5" s="39">
        <v>46143</v>
      </c>
    </row>
    <row r="6" spans="1:2" ht="18" customHeight="1" x14ac:dyDescent="0.35">
      <c r="A6" s="38" t="s">
        <v>183</v>
      </c>
      <c r="B6" s="37" t="s">
        <v>155</v>
      </c>
    </row>
    <row r="7" spans="1:2" ht="18" customHeight="1" x14ac:dyDescent="0.35">
      <c r="A7" s="38" t="s">
        <v>184</v>
      </c>
      <c r="B7" s="37" t="s">
        <v>707</v>
      </c>
    </row>
    <row r="8" spans="1:2" ht="18" customHeight="1" x14ac:dyDescent="0.35"/>
    <row r="9" spans="1:2" ht="13.5" customHeight="1" x14ac:dyDescent="0.35">
      <c r="A9" s="182" t="s">
        <v>186</v>
      </c>
      <c r="B9" s="163"/>
    </row>
    <row r="10" spans="1:2" ht="165.75" customHeight="1" x14ac:dyDescent="0.35">
      <c r="A10" s="165" t="s">
        <v>708</v>
      </c>
      <c r="B10" s="163"/>
    </row>
    <row r="11" spans="1:2" ht="13.5" customHeight="1" x14ac:dyDescent="0.35">
      <c r="A11" s="182" t="s">
        <v>188</v>
      </c>
      <c r="B11" s="163"/>
    </row>
    <row r="12" spans="1:2" ht="18" customHeight="1" x14ac:dyDescent="0.35">
      <c r="A12" s="38" t="s">
        <v>189</v>
      </c>
      <c r="B12" s="40" t="s">
        <v>709</v>
      </c>
    </row>
    <row r="13" spans="1:2" ht="24" customHeight="1" x14ac:dyDescent="0.35">
      <c r="A13" s="38" t="s">
        <v>191</v>
      </c>
      <c r="B13" s="40" t="s">
        <v>710</v>
      </c>
    </row>
    <row r="14" spans="1:2" ht="24" customHeight="1" x14ac:dyDescent="0.35">
      <c r="A14" s="38" t="s">
        <v>193</v>
      </c>
      <c r="B14" s="40" t="s">
        <v>711</v>
      </c>
    </row>
    <row r="15" spans="1:2" ht="69" customHeight="1" x14ac:dyDescent="0.35">
      <c r="A15" s="38" t="s">
        <v>195</v>
      </c>
      <c r="B15" s="40" t="s">
        <v>712</v>
      </c>
    </row>
    <row r="16" spans="1:2" ht="14.25" customHeight="1" x14ac:dyDescent="0.35">
      <c r="A16" s="241" t="s">
        <v>546</v>
      </c>
      <c r="B16" s="240" t="s">
        <v>859</v>
      </c>
    </row>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5" right="0.75" top="1" bottom="1"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499984740745262"/>
  </sheetPr>
  <dimension ref="A1:P1000"/>
  <sheetViews>
    <sheetView workbookViewId="0">
      <selection activeCell="F7" sqref="F7"/>
    </sheetView>
  </sheetViews>
  <sheetFormatPr defaultColWidth="14.453125" defaultRowHeight="15" customHeight="1" x14ac:dyDescent="0.35"/>
  <cols>
    <col min="1" max="1" width="22" customWidth="1"/>
    <col min="2" max="2" width="70" customWidth="1"/>
    <col min="3" max="26" width="8.7265625" customWidth="1"/>
  </cols>
  <sheetData>
    <row r="1" spans="1:16" ht="30" customHeight="1" x14ac:dyDescent="0.35">
      <c r="A1" s="180" t="s">
        <v>713</v>
      </c>
      <c r="B1" s="161"/>
    </row>
    <row r="2" spans="1:16" ht="18" customHeight="1" x14ac:dyDescent="0.35">
      <c r="A2" s="181" t="s">
        <v>153</v>
      </c>
      <c r="B2" s="163"/>
      <c r="H2" s="207">
        <v>0.03</v>
      </c>
      <c r="I2" s="207">
        <v>0.05</v>
      </c>
      <c r="J2" s="207">
        <v>7.0000000000000007E-2</v>
      </c>
      <c r="K2" s="207">
        <v>0.09</v>
      </c>
      <c r="L2" s="207">
        <v>0.11</v>
      </c>
      <c r="M2" s="207">
        <v>0.13</v>
      </c>
      <c r="N2" s="207">
        <v>0.15</v>
      </c>
      <c r="O2" s="207">
        <v>0.17</v>
      </c>
      <c r="P2" s="207">
        <v>0.2</v>
      </c>
    </row>
    <row r="3" spans="1:16" ht="13.5" customHeight="1" x14ac:dyDescent="0.35">
      <c r="A3" s="182" t="s">
        <v>180</v>
      </c>
      <c r="B3" s="163"/>
      <c r="E3" t="s">
        <v>433</v>
      </c>
      <c r="F3" t="s">
        <v>434</v>
      </c>
      <c r="G3" t="s">
        <v>513</v>
      </c>
      <c r="H3" t="s">
        <v>436</v>
      </c>
      <c r="I3" t="s">
        <v>437</v>
      </c>
      <c r="J3" t="s">
        <v>438</v>
      </c>
      <c r="K3" t="s">
        <v>439</v>
      </c>
      <c r="L3" t="s">
        <v>440</v>
      </c>
      <c r="M3" t="s">
        <v>441</v>
      </c>
      <c r="N3" t="s">
        <v>442</v>
      </c>
      <c r="O3" t="s">
        <v>443</v>
      </c>
      <c r="P3" t="s">
        <v>444</v>
      </c>
    </row>
    <row r="4" spans="1:16" ht="72" customHeight="1" x14ac:dyDescent="0.35">
      <c r="A4" s="124" t="s">
        <v>181</v>
      </c>
      <c r="B4" s="37" t="s">
        <v>714</v>
      </c>
      <c r="D4">
        <v>1500000</v>
      </c>
      <c r="E4">
        <f>+$D$4*E2</f>
        <v>0</v>
      </c>
      <c r="F4">
        <f t="shared" ref="F4:P4" si="0">+$D$4*F2</f>
        <v>0</v>
      </c>
      <c r="G4">
        <f t="shared" si="0"/>
        <v>0</v>
      </c>
      <c r="H4">
        <f t="shared" si="0"/>
        <v>45000</v>
      </c>
      <c r="I4">
        <f t="shared" si="0"/>
        <v>75000</v>
      </c>
      <c r="J4">
        <f t="shared" si="0"/>
        <v>105000.00000000001</v>
      </c>
      <c r="K4">
        <f t="shared" si="0"/>
        <v>135000</v>
      </c>
      <c r="L4">
        <f t="shared" si="0"/>
        <v>165000</v>
      </c>
      <c r="M4">
        <f t="shared" si="0"/>
        <v>195000</v>
      </c>
      <c r="N4">
        <f t="shared" si="0"/>
        <v>225000</v>
      </c>
      <c r="O4">
        <f t="shared" si="0"/>
        <v>255000.00000000003</v>
      </c>
      <c r="P4">
        <f t="shared" si="0"/>
        <v>300000</v>
      </c>
    </row>
    <row r="5" spans="1:16" ht="18" customHeight="1" x14ac:dyDescent="0.35">
      <c r="A5" s="38" t="s">
        <v>19</v>
      </c>
      <c r="B5" s="39">
        <v>46113</v>
      </c>
    </row>
    <row r="6" spans="1:16" ht="18" customHeight="1" x14ac:dyDescent="0.35">
      <c r="A6" s="38" t="s">
        <v>183</v>
      </c>
      <c r="B6" s="37" t="s">
        <v>159</v>
      </c>
    </row>
    <row r="7" spans="1:16" ht="18" customHeight="1" x14ac:dyDescent="0.35">
      <c r="A7" s="38" t="s">
        <v>184</v>
      </c>
      <c r="B7" s="37" t="s">
        <v>659</v>
      </c>
    </row>
    <row r="8" spans="1:16" ht="18" customHeight="1" x14ac:dyDescent="0.35"/>
    <row r="9" spans="1:16" ht="13.5" customHeight="1" x14ac:dyDescent="0.35">
      <c r="A9" s="182" t="s">
        <v>186</v>
      </c>
      <c r="B9" s="163"/>
    </row>
    <row r="10" spans="1:16" ht="129.75" customHeight="1" x14ac:dyDescent="0.35">
      <c r="A10" s="165" t="s">
        <v>715</v>
      </c>
      <c r="B10" s="163"/>
    </row>
    <row r="11" spans="1:16" ht="13.5" customHeight="1" x14ac:dyDescent="0.35">
      <c r="A11" s="182" t="s">
        <v>188</v>
      </c>
      <c r="B11" s="163"/>
    </row>
    <row r="12" spans="1:16" ht="18" customHeight="1" x14ac:dyDescent="0.35">
      <c r="A12" s="38" t="s">
        <v>189</v>
      </c>
      <c r="B12" s="40" t="s">
        <v>716</v>
      </c>
    </row>
    <row r="13" spans="1:16" ht="24" customHeight="1" x14ac:dyDescent="0.35">
      <c r="A13" s="38" t="s">
        <v>191</v>
      </c>
      <c r="B13" s="40" t="s">
        <v>717</v>
      </c>
    </row>
    <row r="14" spans="1:16" ht="24" customHeight="1" x14ac:dyDescent="0.35">
      <c r="A14" s="38" t="s">
        <v>193</v>
      </c>
      <c r="B14" s="40" t="s">
        <v>718</v>
      </c>
    </row>
    <row r="15" spans="1:16" ht="14.25" customHeight="1" x14ac:dyDescent="0.35">
      <c r="A15" s="38" t="s">
        <v>195</v>
      </c>
      <c r="B15" s="40" t="s">
        <v>719</v>
      </c>
    </row>
    <row r="16" spans="1:16" ht="28.5" customHeight="1" x14ac:dyDescent="0.35">
      <c r="A16" s="113" t="s">
        <v>546</v>
      </c>
      <c r="B16" s="114" t="s">
        <v>761</v>
      </c>
    </row>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honeticPr fontId="36" type="noConversion"/>
  <pageMargins left="0.75" right="0.75" top="1" bottom="1"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499984740745262"/>
  </sheetPr>
  <dimension ref="A1:B1000"/>
  <sheetViews>
    <sheetView topLeftCell="A11" workbookViewId="0">
      <selection activeCell="A10" sqref="A10:B10"/>
    </sheetView>
  </sheetViews>
  <sheetFormatPr defaultColWidth="14.453125" defaultRowHeight="15" customHeight="1" x14ac:dyDescent="0.35"/>
  <cols>
    <col min="1" max="1" width="32.7265625" customWidth="1"/>
    <col min="2" max="2" width="90.81640625" customWidth="1"/>
    <col min="3" max="26" width="8.7265625" customWidth="1"/>
  </cols>
  <sheetData>
    <row r="1" spans="1:2" ht="14.25" customHeight="1" x14ac:dyDescent="0.35">
      <c r="A1" s="183" t="s">
        <v>720</v>
      </c>
      <c r="B1" s="184"/>
    </row>
    <row r="2" spans="1:2" ht="14.25" customHeight="1" x14ac:dyDescent="0.35">
      <c r="A2" s="185" t="s">
        <v>163</v>
      </c>
      <c r="B2" s="177"/>
    </row>
    <row r="3" spans="1:2" ht="14.25" customHeight="1" x14ac:dyDescent="0.35">
      <c r="A3" s="186" t="s">
        <v>180</v>
      </c>
      <c r="B3" s="177"/>
    </row>
    <row r="4" spans="1:2" ht="115.5" customHeight="1" x14ac:dyDescent="0.35">
      <c r="A4" s="148" t="s">
        <v>181</v>
      </c>
      <c r="B4" s="149" t="s">
        <v>721</v>
      </c>
    </row>
    <row r="5" spans="1:2" ht="14.25" customHeight="1" x14ac:dyDescent="0.35">
      <c r="A5" s="150" t="s">
        <v>19</v>
      </c>
      <c r="B5" s="151">
        <v>46143</v>
      </c>
    </row>
    <row r="6" spans="1:2" ht="14.25" customHeight="1" x14ac:dyDescent="0.35">
      <c r="A6" s="150" t="s">
        <v>183</v>
      </c>
      <c r="B6" s="152" t="s">
        <v>165</v>
      </c>
    </row>
    <row r="7" spans="1:2" ht="14.25" customHeight="1" x14ac:dyDescent="0.35">
      <c r="A7" s="150" t="s">
        <v>184</v>
      </c>
      <c r="B7" s="152"/>
    </row>
    <row r="8" spans="1:2" ht="14.25" customHeight="1" x14ac:dyDescent="0.35">
      <c r="A8" s="153"/>
      <c r="B8" s="154"/>
    </row>
    <row r="9" spans="1:2" ht="14.25" customHeight="1" x14ac:dyDescent="0.35">
      <c r="A9" s="186" t="s">
        <v>186</v>
      </c>
      <c r="B9" s="177"/>
    </row>
    <row r="10" spans="1:2" ht="79.5" customHeight="1" x14ac:dyDescent="0.35">
      <c r="A10" s="187" t="s">
        <v>722</v>
      </c>
      <c r="B10" s="177"/>
    </row>
    <row r="11" spans="1:2" ht="14.25" customHeight="1" x14ac:dyDescent="0.35">
      <c r="A11" s="186" t="s">
        <v>188</v>
      </c>
      <c r="B11" s="177"/>
    </row>
    <row r="12" spans="1:2" ht="14.25" customHeight="1" x14ac:dyDescent="0.35">
      <c r="A12" s="150" t="s">
        <v>189</v>
      </c>
      <c r="B12" s="155" t="s">
        <v>723</v>
      </c>
    </row>
    <row r="13" spans="1:2" ht="141" customHeight="1" x14ac:dyDescent="0.35">
      <c r="A13" s="150" t="s">
        <v>191</v>
      </c>
      <c r="B13" s="156" t="s">
        <v>724</v>
      </c>
    </row>
    <row r="14" spans="1:2" ht="60" customHeight="1" x14ac:dyDescent="0.35">
      <c r="A14" s="150" t="s">
        <v>193</v>
      </c>
      <c r="B14" s="156" t="s">
        <v>725</v>
      </c>
    </row>
    <row r="15" spans="1:2" ht="14.25" customHeight="1" x14ac:dyDescent="0.35">
      <c r="A15" s="157" t="s">
        <v>195</v>
      </c>
      <c r="B15" s="158" t="s">
        <v>726</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499984740745262"/>
  </sheetPr>
  <dimension ref="A1:B1000"/>
  <sheetViews>
    <sheetView workbookViewId="0">
      <selection activeCell="A10" sqref="A10:B10"/>
    </sheetView>
  </sheetViews>
  <sheetFormatPr defaultColWidth="14.453125" defaultRowHeight="15" customHeight="1" x14ac:dyDescent="0.35"/>
  <cols>
    <col min="1" max="1" width="32.7265625" customWidth="1"/>
    <col min="2" max="2" width="90.81640625" customWidth="1"/>
    <col min="3" max="26" width="8.7265625" customWidth="1"/>
  </cols>
  <sheetData>
    <row r="1" spans="1:2" ht="14.25" customHeight="1" x14ac:dyDescent="0.35">
      <c r="A1" s="183" t="s">
        <v>727</v>
      </c>
      <c r="B1" s="184"/>
    </row>
    <row r="2" spans="1:2" ht="14.25" customHeight="1" x14ac:dyDescent="0.35">
      <c r="A2" s="185" t="s">
        <v>163</v>
      </c>
      <c r="B2" s="177"/>
    </row>
    <row r="3" spans="1:2" ht="14.25" customHeight="1" x14ac:dyDescent="0.35">
      <c r="A3" s="186" t="s">
        <v>180</v>
      </c>
      <c r="B3" s="177"/>
    </row>
    <row r="4" spans="1:2" ht="160.5" customHeight="1" x14ac:dyDescent="0.35">
      <c r="A4" s="148" t="s">
        <v>181</v>
      </c>
      <c r="B4" s="149" t="s">
        <v>728</v>
      </c>
    </row>
    <row r="5" spans="1:2" ht="14.25" customHeight="1" x14ac:dyDescent="0.35">
      <c r="A5" s="150" t="s">
        <v>19</v>
      </c>
      <c r="B5" s="151">
        <v>46143</v>
      </c>
    </row>
    <row r="6" spans="1:2" ht="14.25" customHeight="1" x14ac:dyDescent="0.35">
      <c r="A6" s="150" t="s">
        <v>183</v>
      </c>
      <c r="B6" s="152" t="s">
        <v>165</v>
      </c>
    </row>
    <row r="7" spans="1:2" ht="14.25" customHeight="1" x14ac:dyDescent="0.35">
      <c r="A7" s="150" t="s">
        <v>184</v>
      </c>
      <c r="B7" s="152"/>
    </row>
    <row r="8" spans="1:2" ht="14.25" customHeight="1" x14ac:dyDescent="0.35">
      <c r="A8" s="153"/>
      <c r="B8" s="154"/>
    </row>
    <row r="9" spans="1:2" ht="14.25" customHeight="1" x14ac:dyDescent="0.35">
      <c r="A9" s="186" t="s">
        <v>186</v>
      </c>
      <c r="B9" s="177"/>
    </row>
    <row r="10" spans="1:2" ht="79.5" customHeight="1" x14ac:dyDescent="0.35">
      <c r="A10" s="187" t="s">
        <v>729</v>
      </c>
      <c r="B10" s="177"/>
    </row>
    <row r="11" spans="1:2" ht="14.25" customHeight="1" x14ac:dyDescent="0.35">
      <c r="A11" s="186" t="s">
        <v>188</v>
      </c>
      <c r="B11" s="177"/>
    </row>
    <row r="12" spans="1:2" ht="14.25" customHeight="1" x14ac:dyDescent="0.35">
      <c r="A12" s="150" t="s">
        <v>189</v>
      </c>
      <c r="B12" s="155" t="s">
        <v>730</v>
      </c>
    </row>
    <row r="13" spans="1:2" ht="120" customHeight="1" x14ac:dyDescent="0.35">
      <c r="A13" s="150" t="s">
        <v>191</v>
      </c>
      <c r="B13" s="156" t="s">
        <v>731</v>
      </c>
    </row>
    <row r="14" spans="1:2" ht="60" customHeight="1" x14ac:dyDescent="0.35">
      <c r="A14" s="150" t="s">
        <v>193</v>
      </c>
      <c r="B14" s="156" t="s">
        <v>732</v>
      </c>
    </row>
    <row r="15" spans="1:2" ht="14.25" customHeight="1" x14ac:dyDescent="0.35">
      <c r="A15" s="157" t="s">
        <v>195</v>
      </c>
      <c r="B15" s="158" t="s">
        <v>733</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499984740745262"/>
  </sheetPr>
  <dimension ref="A1:B1000"/>
  <sheetViews>
    <sheetView workbookViewId="0">
      <selection activeCell="A10" sqref="A10:B10"/>
    </sheetView>
  </sheetViews>
  <sheetFormatPr defaultColWidth="14.453125" defaultRowHeight="15" customHeight="1" x14ac:dyDescent="0.35"/>
  <cols>
    <col min="1" max="1" width="32.7265625" customWidth="1"/>
    <col min="2" max="2" width="90.81640625" customWidth="1"/>
    <col min="3" max="26" width="8.7265625" customWidth="1"/>
  </cols>
  <sheetData>
    <row r="1" spans="1:2" ht="14.25" customHeight="1" x14ac:dyDescent="0.35">
      <c r="A1" s="183" t="s">
        <v>734</v>
      </c>
      <c r="B1" s="184"/>
    </row>
    <row r="2" spans="1:2" ht="14.25" customHeight="1" x14ac:dyDescent="0.35">
      <c r="A2" s="185" t="s">
        <v>163</v>
      </c>
      <c r="B2" s="177"/>
    </row>
    <row r="3" spans="1:2" ht="14.25" customHeight="1" x14ac:dyDescent="0.35">
      <c r="A3" s="186" t="s">
        <v>180</v>
      </c>
      <c r="B3" s="177"/>
    </row>
    <row r="4" spans="1:2" ht="79.5" customHeight="1" x14ac:dyDescent="0.35">
      <c r="A4" s="148" t="s">
        <v>181</v>
      </c>
      <c r="B4" s="149" t="s">
        <v>735</v>
      </c>
    </row>
    <row r="5" spans="1:2" ht="14.25" customHeight="1" x14ac:dyDescent="0.35">
      <c r="A5" s="150" t="s">
        <v>19</v>
      </c>
      <c r="B5" s="151">
        <v>46143</v>
      </c>
    </row>
    <row r="6" spans="1:2" ht="14.25" customHeight="1" x14ac:dyDescent="0.35">
      <c r="A6" s="150" t="s">
        <v>183</v>
      </c>
      <c r="B6" s="152" t="s">
        <v>165</v>
      </c>
    </row>
    <row r="7" spans="1:2" ht="14.25" customHeight="1" x14ac:dyDescent="0.35">
      <c r="A7" s="150" t="s">
        <v>184</v>
      </c>
      <c r="B7" s="152"/>
    </row>
    <row r="8" spans="1:2" ht="14.25" customHeight="1" x14ac:dyDescent="0.35">
      <c r="A8" s="153"/>
      <c r="B8" s="154"/>
    </row>
    <row r="9" spans="1:2" ht="14.25" customHeight="1" x14ac:dyDescent="0.35">
      <c r="A9" s="186" t="s">
        <v>186</v>
      </c>
      <c r="B9" s="177"/>
    </row>
    <row r="10" spans="1:2" ht="79.5" customHeight="1" x14ac:dyDescent="0.35">
      <c r="A10" s="187" t="s">
        <v>736</v>
      </c>
      <c r="B10" s="177"/>
    </row>
    <row r="11" spans="1:2" ht="14.25" customHeight="1" x14ac:dyDescent="0.35">
      <c r="A11" s="186" t="s">
        <v>188</v>
      </c>
      <c r="B11" s="177"/>
    </row>
    <row r="12" spans="1:2" ht="14.25" customHeight="1" x14ac:dyDescent="0.35">
      <c r="A12" s="150" t="s">
        <v>189</v>
      </c>
      <c r="B12" s="155" t="s">
        <v>737</v>
      </c>
    </row>
    <row r="13" spans="1:2" ht="120" customHeight="1" x14ac:dyDescent="0.35">
      <c r="A13" s="150" t="s">
        <v>191</v>
      </c>
      <c r="B13" s="156" t="s">
        <v>738</v>
      </c>
    </row>
    <row r="14" spans="1:2" ht="60" customHeight="1" x14ac:dyDescent="0.35">
      <c r="A14" s="150" t="s">
        <v>193</v>
      </c>
      <c r="B14" s="156" t="s">
        <v>739</v>
      </c>
    </row>
    <row r="15" spans="1:2" ht="14.25" customHeight="1" x14ac:dyDescent="0.35">
      <c r="A15" s="157" t="s">
        <v>195</v>
      </c>
      <c r="B15" s="158" t="s">
        <v>740</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 right="0.7" top="0.75" bottom="0.75"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499984740745262"/>
  </sheetPr>
  <dimension ref="A1:B1000"/>
  <sheetViews>
    <sheetView workbookViewId="0">
      <selection activeCell="A10" sqref="A10:B10"/>
    </sheetView>
  </sheetViews>
  <sheetFormatPr defaultColWidth="14.453125" defaultRowHeight="15" customHeight="1" x14ac:dyDescent="0.35"/>
  <cols>
    <col min="1" max="1" width="32.7265625" customWidth="1"/>
    <col min="2" max="2" width="90.81640625" customWidth="1"/>
    <col min="3" max="26" width="8.7265625" customWidth="1"/>
  </cols>
  <sheetData>
    <row r="1" spans="1:2" ht="14.25" customHeight="1" x14ac:dyDescent="0.35">
      <c r="A1" s="183" t="s">
        <v>741</v>
      </c>
      <c r="B1" s="184"/>
    </row>
    <row r="2" spans="1:2" ht="14.25" customHeight="1" x14ac:dyDescent="0.35">
      <c r="A2" s="185" t="s">
        <v>163</v>
      </c>
      <c r="B2" s="177"/>
    </row>
    <row r="3" spans="1:2" ht="14.25" customHeight="1" x14ac:dyDescent="0.35">
      <c r="A3" s="186" t="s">
        <v>180</v>
      </c>
      <c r="B3" s="177"/>
    </row>
    <row r="4" spans="1:2" ht="133.5" customHeight="1" x14ac:dyDescent="0.35">
      <c r="A4" s="148" t="s">
        <v>181</v>
      </c>
      <c r="B4" s="149" t="s">
        <v>742</v>
      </c>
    </row>
    <row r="5" spans="1:2" ht="14.25" customHeight="1" x14ac:dyDescent="0.35">
      <c r="A5" s="150" t="s">
        <v>19</v>
      </c>
      <c r="B5" s="151">
        <v>46143</v>
      </c>
    </row>
    <row r="6" spans="1:2" ht="14.25" customHeight="1" x14ac:dyDescent="0.35">
      <c r="A6" s="150" t="s">
        <v>183</v>
      </c>
      <c r="B6" s="152" t="s">
        <v>165</v>
      </c>
    </row>
    <row r="7" spans="1:2" ht="14.25" customHeight="1" x14ac:dyDescent="0.35">
      <c r="A7" s="150" t="s">
        <v>184</v>
      </c>
      <c r="B7" s="152"/>
    </row>
    <row r="8" spans="1:2" ht="14.25" customHeight="1" x14ac:dyDescent="0.35">
      <c r="A8" s="153"/>
      <c r="B8" s="154"/>
    </row>
    <row r="9" spans="1:2" ht="14.25" customHeight="1" x14ac:dyDescent="0.35">
      <c r="A9" s="186" t="s">
        <v>186</v>
      </c>
      <c r="B9" s="177"/>
    </row>
    <row r="10" spans="1:2" ht="79.5" customHeight="1" x14ac:dyDescent="0.35">
      <c r="A10" s="187" t="s">
        <v>743</v>
      </c>
      <c r="B10" s="177"/>
    </row>
    <row r="11" spans="1:2" ht="14.25" customHeight="1" x14ac:dyDescent="0.35">
      <c r="A11" s="186" t="s">
        <v>188</v>
      </c>
      <c r="B11" s="177"/>
    </row>
    <row r="12" spans="1:2" ht="14.25" customHeight="1" x14ac:dyDescent="0.35">
      <c r="A12" s="150" t="s">
        <v>189</v>
      </c>
      <c r="B12" s="155" t="s">
        <v>744</v>
      </c>
    </row>
    <row r="13" spans="1:2" ht="120" customHeight="1" x14ac:dyDescent="0.35">
      <c r="A13" s="150" t="s">
        <v>191</v>
      </c>
      <c r="B13" s="156" t="s">
        <v>745</v>
      </c>
    </row>
    <row r="14" spans="1:2" ht="60" customHeight="1" x14ac:dyDescent="0.35">
      <c r="A14" s="150" t="s">
        <v>193</v>
      </c>
      <c r="B14" s="156" t="s">
        <v>746</v>
      </c>
    </row>
    <row r="15" spans="1:2" ht="14.25" customHeight="1" x14ac:dyDescent="0.35">
      <c r="A15" s="157" t="s">
        <v>195</v>
      </c>
      <c r="B15" s="158" t="s">
        <v>747</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499984740745262"/>
  </sheetPr>
  <dimension ref="A1:B1000"/>
  <sheetViews>
    <sheetView workbookViewId="0">
      <selection activeCell="A10" sqref="A10:B10"/>
    </sheetView>
  </sheetViews>
  <sheetFormatPr defaultColWidth="14.453125" defaultRowHeight="15" customHeight="1" x14ac:dyDescent="0.35"/>
  <cols>
    <col min="1" max="1" width="32.7265625" customWidth="1"/>
    <col min="2" max="2" width="90.81640625" customWidth="1"/>
    <col min="3" max="26" width="8.7265625" customWidth="1"/>
  </cols>
  <sheetData>
    <row r="1" spans="1:2" ht="14.25" customHeight="1" x14ac:dyDescent="0.35">
      <c r="A1" s="183" t="s">
        <v>748</v>
      </c>
      <c r="B1" s="184"/>
    </row>
    <row r="2" spans="1:2" ht="14.25" customHeight="1" x14ac:dyDescent="0.35">
      <c r="A2" s="185" t="s">
        <v>163</v>
      </c>
      <c r="B2" s="177"/>
    </row>
    <row r="3" spans="1:2" ht="14.25" customHeight="1" x14ac:dyDescent="0.35">
      <c r="A3" s="186" t="s">
        <v>180</v>
      </c>
      <c r="B3" s="177"/>
    </row>
    <row r="4" spans="1:2" ht="79.5" customHeight="1" x14ac:dyDescent="0.35">
      <c r="A4" s="148" t="s">
        <v>181</v>
      </c>
      <c r="B4" s="149" t="s">
        <v>749</v>
      </c>
    </row>
    <row r="5" spans="1:2" ht="14.25" customHeight="1" x14ac:dyDescent="0.35">
      <c r="A5" s="150" t="s">
        <v>19</v>
      </c>
      <c r="B5" s="151">
        <v>46143</v>
      </c>
    </row>
    <row r="6" spans="1:2" ht="14.25" customHeight="1" x14ac:dyDescent="0.35">
      <c r="A6" s="150" t="s">
        <v>183</v>
      </c>
      <c r="B6" s="152" t="s">
        <v>178</v>
      </c>
    </row>
    <row r="7" spans="1:2" ht="14.25" customHeight="1" x14ac:dyDescent="0.35">
      <c r="A7" s="150" t="s">
        <v>184</v>
      </c>
      <c r="B7" s="152"/>
    </row>
    <row r="8" spans="1:2" ht="14.25" customHeight="1" x14ac:dyDescent="0.35">
      <c r="A8" s="153"/>
      <c r="B8" s="154"/>
    </row>
    <row r="9" spans="1:2" ht="14.25" customHeight="1" x14ac:dyDescent="0.35">
      <c r="A9" s="186" t="s">
        <v>186</v>
      </c>
      <c r="B9" s="177"/>
    </row>
    <row r="10" spans="1:2" ht="79.5" customHeight="1" x14ac:dyDescent="0.35">
      <c r="A10" s="187" t="s">
        <v>750</v>
      </c>
      <c r="B10" s="177"/>
    </row>
    <row r="11" spans="1:2" ht="14.25" customHeight="1" x14ac:dyDescent="0.35">
      <c r="A11" s="186" t="s">
        <v>188</v>
      </c>
      <c r="B11" s="177"/>
    </row>
    <row r="12" spans="1:2" ht="14.25" customHeight="1" x14ac:dyDescent="0.35">
      <c r="A12" s="150" t="s">
        <v>189</v>
      </c>
      <c r="B12" s="159" t="s">
        <v>751</v>
      </c>
    </row>
    <row r="13" spans="1:2" ht="120" customHeight="1" x14ac:dyDescent="0.35">
      <c r="A13" s="150" t="s">
        <v>191</v>
      </c>
      <c r="B13" s="156" t="s">
        <v>752</v>
      </c>
    </row>
    <row r="14" spans="1:2" ht="60" customHeight="1" x14ac:dyDescent="0.35">
      <c r="A14" s="150" t="s">
        <v>193</v>
      </c>
      <c r="B14" s="156" t="s">
        <v>753</v>
      </c>
    </row>
    <row r="15" spans="1:2" ht="14.25" customHeight="1" x14ac:dyDescent="0.35">
      <c r="A15" s="157" t="s">
        <v>195</v>
      </c>
      <c r="B15" s="158" t="s">
        <v>754</v>
      </c>
    </row>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Assumptions</vt:lpstr>
      <vt:lpstr>Initiative Register</vt:lpstr>
      <vt:lpstr>R-01</vt:lpstr>
      <vt:lpstr>R-02</vt:lpstr>
      <vt:lpstr>R-03</vt:lpstr>
      <vt:lpstr>R-04</vt:lpstr>
      <vt:lpstr>R-05</vt:lpstr>
      <vt:lpstr>R-06</vt:lpstr>
      <vt:lpstr>R-07</vt:lpstr>
      <vt:lpstr>R-08</vt:lpstr>
      <vt:lpstr>R-09</vt:lpstr>
      <vt:lpstr>R-10</vt:lpstr>
      <vt:lpstr>R-11</vt:lpstr>
      <vt:lpstr>R-12</vt:lpstr>
      <vt:lpstr>R-13</vt:lpstr>
      <vt:lpstr>R-14</vt:lpstr>
      <vt:lpstr>R-15</vt:lpstr>
      <vt:lpstr>C-01</vt:lpstr>
      <vt:lpstr>C-02</vt:lpstr>
      <vt:lpstr>C-03</vt:lpstr>
      <vt:lpstr>C-04</vt:lpstr>
      <vt:lpstr>C-05</vt:lpstr>
      <vt:lpstr>C-06</vt:lpstr>
      <vt:lpstr>C-07</vt:lpstr>
      <vt:lpstr>C-08</vt:lpstr>
      <vt:lpstr>C-09</vt:lpstr>
      <vt:lpstr>C-10</vt:lpstr>
      <vt:lpstr>AMC</vt:lpstr>
      <vt:lpstr>C-11</vt:lpstr>
      <vt:lpstr>C-12</vt:lpstr>
      <vt:lpstr>C-13</vt:lpstr>
      <vt:lpstr>CL-01</vt:lpstr>
      <vt:lpstr>CL-02</vt:lpstr>
      <vt:lpstr>CL-03</vt:lpstr>
      <vt:lpstr>CL-04</vt:lpstr>
      <vt:lpstr>CL-05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Sreevidhya V Pai FCA</cp:lastModifiedBy>
  <dcterms:created xsi:type="dcterms:W3CDTF">2026-04-17T06:32:14Z</dcterms:created>
  <dcterms:modified xsi:type="dcterms:W3CDTF">2026-04-27T10:50:17Z</dcterms:modified>
</cp:coreProperties>
</file>
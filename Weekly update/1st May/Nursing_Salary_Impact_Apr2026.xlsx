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coo\Desktop\"/>
    </mc:Choice>
  </mc:AlternateContent>
  <xr:revisionPtr revIDLastSave="0" documentId="8_{718A281B-D820-4E10-8473-24A132F3EC51}" xr6:coauthVersionLast="47" xr6:coauthVersionMax="47" xr10:uidLastSave="{00000000-0000-0000-0000-000000000000}"/>
  <bookViews>
    <workbookView xWindow="-110" yWindow="-110" windowWidth="19420" windowHeight="11500" xr2:uid="{7222A474-28E9-47F4-A641-350719F46C81}"/>
  </bookViews>
  <sheets>
    <sheet name="Summary" sheetId="6" r:id="rId1"/>
    <sheet name="Admin &amp; Para" sheetId="3" r:id="rId2"/>
    <sheet name="Nursing" sheetId="5" r:id="rId3"/>
    <sheet name="Nursing Assistant" sheetId="7" r:id="rId4"/>
    <sheet name="Managers" sheetId="2" r:id="rId5"/>
    <sheet name="Staff List Master" sheetId="1" r:id="rId6"/>
  </sheets>
  <definedNames>
    <definedName name="_xlnm._FilterDatabase" localSheetId="1" hidden="1">'Admin &amp; Para'!$A$4:$K$812</definedName>
    <definedName name="_xlnm._FilterDatabase" localSheetId="2" hidden="1">Nursing!$A$3:$L$602</definedName>
    <definedName name="_xlnm._FilterDatabase" localSheetId="3" hidden="1">'Nursing Assistant'!$A$3:$L$3</definedName>
    <definedName name="_xlnm._FilterDatabase" localSheetId="5" hidden="1">'Staff List Master'!$A$4:$I$1410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6" l="1"/>
  <c r="G33" i="6"/>
  <c r="G22" i="6"/>
  <c r="G12" i="6"/>
  <c r="G7" i="6"/>
  <c r="G8" i="6"/>
  <c r="F12" i="6"/>
  <c r="E19" i="6"/>
  <c r="E20" i="6"/>
  <c r="G20" i="6" s="1"/>
  <c r="E21" i="6"/>
  <c r="G21" i="6" s="1"/>
  <c r="E18" i="6"/>
  <c r="E36" i="6"/>
  <c r="E35" i="6"/>
  <c r="J78" i="7"/>
  <c r="F33" i="6"/>
  <c r="G32" i="6"/>
  <c r="G31" i="6"/>
  <c r="G30" i="6"/>
  <c r="G29" i="6"/>
  <c r="F22" i="6"/>
  <c r="G19" i="6"/>
  <c r="G18" i="6"/>
  <c r="G9" i="6"/>
  <c r="G10" i="6"/>
  <c r="G11" i="6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434" i="5"/>
  <c r="L433" i="5"/>
  <c r="L432" i="5"/>
  <c r="L430" i="5"/>
  <c r="L429" i="5"/>
  <c r="L428" i="5"/>
  <c r="L427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5" i="5"/>
  <c r="L404" i="5"/>
  <c r="L403" i="5"/>
  <c r="L402" i="5"/>
  <c r="L401" i="5"/>
  <c r="L400" i="5"/>
  <c r="L399" i="5"/>
  <c r="L398" i="5"/>
  <c r="L397" i="5"/>
  <c r="L396" i="5"/>
  <c r="L395" i="5"/>
  <c r="L392" i="5"/>
  <c r="L390" i="5"/>
  <c r="L389" i="5"/>
  <c r="L381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59" i="5"/>
  <c r="L358" i="5"/>
  <c r="L357" i="5"/>
  <c r="L354" i="5"/>
  <c r="L353" i="5"/>
  <c r="L352" i="5"/>
  <c r="L350" i="5"/>
  <c r="L349" i="5"/>
  <c r="L343" i="5"/>
  <c r="L342" i="5"/>
  <c r="L341" i="5"/>
  <c r="L340" i="5"/>
  <c r="L335" i="5"/>
  <c r="L334" i="5"/>
  <c r="L333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605" i="3"/>
  <c r="L604" i="3"/>
  <c r="L603" i="3"/>
  <c r="L602" i="3"/>
  <c r="L601" i="3"/>
  <c r="L600" i="3"/>
  <c r="L599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E30" i="6"/>
  <c r="E31" i="6"/>
  <c r="E32" i="6"/>
  <c r="E29" i="6"/>
  <c r="E9" i="6"/>
  <c r="E10" i="6"/>
  <c r="E11" i="6"/>
  <c r="E8" i="6"/>
  <c r="C33" i="6"/>
  <c r="E28" i="6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C12" i="6"/>
  <c r="E7" i="6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5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L739" i="3" l="1"/>
  <c r="L740" i="3" s="1"/>
  <c r="L78" i="7"/>
  <c r="L79" i="7" s="1"/>
  <c r="L601" i="5"/>
  <c r="L602" i="5" s="1"/>
  <c r="E12" i="6"/>
  <c r="E33" i="6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</calcChain>
</file>

<file path=xl/sharedStrings.xml><?xml version="1.0" encoding="utf-8"?>
<sst xmlns="http://schemas.openxmlformats.org/spreadsheetml/2006/main" count="14559" uniqueCount="1911">
  <si>
    <t>LAKESHORE HOSPITAL &amp; RESEARCH CENTRE LTD</t>
  </si>
  <si>
    <t>NETTOOR-KERALA</t>
  </si>
  <si>
    <t>Sl #</t>
  </si>
  <si>
    <t>Emp ID</t>
  </si>
  <si>
    <t>Name</t>
  </si>
  <si>
    <t>Designation</t>
  </si>
  <si>
    <t>Department</t>
  </si>
  <si>
    <t>Sub Department</t>
  </si>
  <si>
    <t>Joining Date</t>
  </si>
  <si>
    <t>Employee Type</t>
  </si>
  <si>
    <t>Aji Sebastian</t>
  </si>
  <si>
    <t>Sr.Supervisor</t>
  </si>
  <si>
    <t>Transport</t>
  </si>
  <si>
    <t>Permanent</t>
  </si>
  <si>
    <t>Soby John</t>
  </si>
  <si>
    <t>Sr Hospital Assistant</t>
  </si>
  <si>
    <t>Nursing</t>
  </si>
  <si>
    <t>Nursing Office H/A</t>
  </si>
  <si>
    <t>Salimma Antony</t>
  </si>
  <si>
    <t>Deputy Chief Nursing Officer</t>
  </si>
  <si>
    <t>Cno</t>
  </si>
  <si>
    <t>Executive</t>
  </si>
  <si>
    <t>Anumol M A</t>
  </si>
  <si>
    <t>Asst Manager -Accounts</t>
  </si>
  <si>
    <t>Accounts And Finance</t>
  </si>
  <si>
    <t>Cfo</t>
  </si>
  <si>
    <t>Shibi P Mathai</t>
  </si>
  <si>
    <t>Supervisor-Endoscopy</t>
  </si>
  <si>
    <t>Gastroenterology</t>
  </si>
  <si>
    <t>Endoscopy Technician</t>
  </si>
  <si>
    <t>Regi Jose Lovejoy</t>
  </si>
  <si>
    <t>Manager</t>
  </si>
  <si>
    <t>Shiny M K</t>
  </si>
  <si>
    <t>Ance V A</t>
  </si>
  <si>
    <t>Sr.Technician-Electricals</t>
  </si>
  <si>
    <t>Engineering</t>
  </si>
  <si>
    <t>Engineering - Electricals &amp; Medical Gas</t>
  </si>
  <si>
    <t>Deepa M A</t>
  </si>
  <si>
    <t>Assistant Manager</t>
  </si>
  <si>
    <t>Jabeena K S</t>
  </si>
  <si>
    <t>Sr. Nursing Assistant</t>
  </si>
  <si>
    <t>Opd Nursing Assistant</t>
  </si>
  <si>
    <t>Princy M J</t>
  </si>
  <si>
    <t>Sr. Podiatry Assistant</t>
  </si>
  <si>
    <t>Endocrinology</t>
  </si>
  <si>
    <t>Doc Endocrinology</t>
  </si>
  <si>
    <t>Mercy P A</t>
  </si>
  <si>
    <t>Mary Augustine</t>
  </si>
  <si>
    <t>Endoscopy Ns</t>
  </si>
  <si>
    <t>Jiji Thomas</t>
  </si>
  <si>
    <t>Sr. Biomedical Engineer</t>
  </si>
  <si>
    <t>Biomedical Engineering</t>
  </si>
  <si>
    <t>Rejumon R</t>
  </si>
  <si>
    <t>Sr.Office Assistant</t>
  </si>
  <si>
    <t>Mrd</t>
  </si>
  <si>
    <t>Simi K M</t>
  </si>
  <si>
    <t>Manager-Executive Office</t>
  </si>
  <si>
    <t>Administration</t>
  </si>
  <si>
    <t>Md</t>
  </si>
  <si>
    <t>Byju Alias</t>
  </si>
  <si>
    <t>Sr Cssd Technician</t>
  </si>
  <si>
    <t>Cssd</t>
  </si>
  <si>
    <t>Francina K.J</t>
  </si>
  <si>
    <t>Sr Tec-Histopathology</t>
  </si>
  <si>
    <t>Histopathology</t>
  </si>
  <si>
    <t>Gladis P G</t>
  </si>
  <si>
    <t>Sajitha Thampi</t>
  </si>
  <si>
    <t>Mathew Albert P J</t>
  </si>
  <si>
    <t>Patient Care Services</t>
  </si>
  <si>
    <t>Opd Secretary</t>
  </si>
  <si>
    <t>Francisca V.A</t>
  </si>
  <si>
    <t>Selvi N</t>
  </si>
  <si>
    <t>Raji K Issac</t>
  </si>
  <si>
    <t>Shymol Abraham</t>
  </si>
  <si>
    <t>Sr Executive-Secretyary</t>
  </si>
  <si>
    <t>Viji Varghese</t>
  </si>
  <si>
    <t>Shiji E.D</t>
  </si>
  <si>
    <t>Jr Cssd Technician</t>
  </si>
  <si>
    <t>Teresa Sweety V.X</t>
  </si>
  <si>
    <t>Eldho K John</t>
  </si>
  <si>
    <t>Sr.Technician</t>
  </si>
  <si>
    <t>Telby K.J</t>
  </si>
  <si>
    <t>Vineesh A.S</t>
  </si>
  <si>
    <t>Sr. Plumber</t>
  </si>
  <si>
    <t>Engineering - Civil &amp; Plumbing</t>
  </si>
  <si>
    <t>Ambily P.G</t>
  </si>
  <si>
    <t>Sr.Anaes.Tec / Incharge</t>
  </si>
  <si>
    <t>Anaesthesiology</t>
  </si>
  <si>
    <t>Anaesthesiology Doctors</t>
  </si>
  <si>
    <t>Bibi K.M</t>
  </si>
  <si>
    <t>Thankamani P.V</t>
  </si>
  <si>
    <t>Sindu K Menon</t>
  </si>
  <si>
    <t>Jyothi P</t>
  </si>
  <si>
    <t>Rejitha Mohan</t>
  </si>
  <si>
    <t>Biochemistry</t>
  </si>
  <si>
    <t>Shymole N.F</t>
  </si>
  <si>
    <t>Aleyamma K E</t>
  </si>
  <si>
    <t>Smitha K.A</t>
  </si>
  <si>
    <t>Incharge/Sr Executive Medical</t>
  </si>
  <si>
    <t>Discharge Summary</t>
  </si>
  <si>
    <t>Operations</t>
  </si>
  <si>
    <t>Prakasan P.B</t>
  </si>
  <si>
    <t>Supervisor - Hospital Assistants</t>
  </si>
  <si>
    <t>Pharmacy</t>
  </si>
  <si>
    <t>Ancy N J</t>
  </si>
  <si>
    <t>Anil Kumar M K</t>
  </si>
  <si>
    <t>Sr.Operator</t>
  </si>
  <si>
    <t>Soumy M Paul</t>
  </si>
  <si>
    <t>Sudha K R</t>
  </si>
  <si>
    <t>Sr.Anm</t>
  </si>
  <si>
    <t>Lr</t>
  </si>
  <si>
    <t>Susy Paul</t>
  </si>
  <si>
    <t>Microbiology</t>
  </si>
  <si>
    <t>Microbiology Supervisor</t>
  </si>
  <si>
    <t>Sujatha R</t>
  </si>
  <si>
    <t>Asst. Manager-Purchase&amp;Stores</t>
  </si>
  <si>
    <t>Purchase</t>
  </si>
  <si>
    <t>Purchase And Stores</t>
  </si>
  <si>
    <t>Sini K A</t>
  </si>
  <si>
    <t>Jancy Jose</t>
  </si>
  <si>
    <t>Sibichan Varghese</t>
  </si>
  <si>
    <t>Reshmy K S</t>
  </si>
  <si>
    <t>Simi A J</t>
  </si>
  <si>
    <t>Asha Joseph</t>
  </si>
  <si>
    <t>Sr. Manager</t>
  </si>
  <si>
    <t>Sajimon Thomas</t>
  </si>
  <si>
    <t>Engineer</t>
  </si>
  <si>
    <t>Executives With Vol. Pf</t>
  </si>
  <si>
    <t>Johny K G</t>
  </si>
  <si>
    <t>Supervisor</t>
  </si>
  <si>
    <t>Premakumar A R</t>
  </si>
  <si>
    <t>Antony M T</t>
  </si>
  <si>
    <t>Hospital Assistants Prd</t>
  </si>
  <si>
    <t>Mary Teroisieya</t>
  </si>
  <si>
    <t>Jolliamma K C</t>
  </si>
  <si>
    <t>Margarat Varghese</t>
  </si>
  <si>
    <t>Sr. Exec.Patient Care Service</t>
  </si>
  <si>
    <t>Medical Oncology Asst Manager</t>
  </si>
  <si>
    <t>Marcel Linus T G</t>
  </si>
  <si>
    <t>Medical Oncology</t>
  </si>
  <si>
    <t>Ambili S</t>
  </si>
  <si>
    <t>Ot Ns</t>
  </si>
  <si>
    <t>Maya Maria Joseph</t>
  </si>
  <si>
    <t>Jayanthi K P</t>
  </si>
  <si>
    <t>Radiology Ns</t>
  </si>
  <si>
    <t>Job P A</t>
  </si>
  <si>
    <t>Sr.Driver</t>
  </si>
  <si>
    <t>Jacob P Mathews</t>
  </si>
  <si>
    <t>Bosmi Chandra Bose</t>
  </si>
  <si>
    <t>Asst.Manager- Op Pharmacy</t>
  </si>
  <si>
    <t>Neema Albert</t>
  </si>
  <si>
    <t>Sr. Executive</t>
  </si>
  <si>
    <t>Accounts Billing</t>
  </si>
  <si>
    <t>Bency Martin V P</t>
  </si>
  <si>
    <t>Shiji K G</t>
  </si>
  <si>
    <t>Rethymol C V</t>
  </si>
  <si>
    <t>Sheeja K J</t>
  </si>
  <si>
    <t>Nursing Assistant</t>
  </si>
  <si>
    <t>Anitha S.S</t>
  </si>
  <si>
    <t>Cini Jacob</t>
  </si>
  <si>
    <t>Asst.Manager-Patientcareservic</t>
  </si>
  <si>
    <t>Urology</t>
  </si>
  <si>
    <t>Pinkymol P V</t>
  </si>
  <si>
    <t>Joshy V J</t>
  </si>
  <si>
    <t>Sr. Radiology Imaging Technolo</t>
  </si>
  <si>
    <t>Radiology</t>
  </si>
  <si>
    <t>Jisha Abraham</t>
  </si>
  <si>
    <t>Deputy Manager</t>
  </si>
  <si>
    <t>Aleyamma Jacob</t>
  </si>
  <si>
    <t>Jiji Sebastian</t>
  </si>
  <si>
    <t>Mariyamma P K</t>
  </si>
  <si>
    <t>Anupama A S</t>
  </si>
  <si>
    <t>Vijimol V</t>
  </si>
  <si>
    <t>Sheeja Varghese</t>
  </si>
  <si>
    <t>Riyas M K</t>
  </si>
  <si>
    <t>Sasikumar M V</t>
  </si>
  <si>
    <t>Stores</t>
  </si>
  <si>
    <t>Mary Stella K B</t>
  </si>
  <si>
    <t>Incharge-Ward Secretaries</t>
  </si>
  <si>
    <t>Strategic Operations</t>
  </si>
  <si>
    <t>Maya C A</t>
  </si>
  <si>
    <t>Blood Bank</t>
  </si>
  <si>
    <t>Simi N G</t>
  </si>
  <si>
    <t>Rani Paul C</t>
  </si>
  <si>
    <t>Ambili K V</t>
  </si>
  <si>
    <t>Sailamma M P</t>
  </si>
  <si>
    <t>Sr. Executive - Ward Secretary</t>
  </si>
  <si>
    <t>Ward Secretary</t>
  </si>
  <si>
    <t>Rani N C</t>
  </si>
  <si>
    <t>Sr.Tech.Eeg And Emg</t>
  </si>
  <si>
    <t>Neurology</t>
  </si>
  <si>
    <t>Anil Kumar A U</t>
  </si>
  <si>
    <t>Rejish J</t>
  </si>
  <si>
    <t>Sr.Laundry Operator</t>
  </si>
  <si>
    <t>Laundry</t>
  </si>
  <si>
    <t>Merita K M</t>
  </si>
  <si>
    <t>Sreeja K B</t>
  </si>
  <si>
    <t>Senior Executive - Insurance</t>
  </si>
  <si>
    <t>Insurance</t>
  </si>
  <si>
    <t>Ansar K I</t>
  </si>
  <si>
    <t>Shiji S</t>
  </si>
  <si>
    <t>Carmaly Shaly</t>
  </si>
  <si>
    <t>In-Charge Of Opd Secretaries</t>
  </si>
  <si>
    <t>Sworu Sivaraman</t>
  </si>
  <si>
    <t>Sr.Staff Nurse</t>
  </si>
  <si>
    <t>Rekhamol P R</t>
  </si>
  <si>
    <t>Rajeev K K</t>
  </si>
  <si>
    <t>Tailor</t>
  </si>
  <si>
    <t>Noushad A O</t>
  </si>
  <si>
    <t>Litty Varghese</t>
  </si>
  <si>
    <t>Sonia Faber</t>
  </si>
  <si>
    <t>Mallika P M</t>
  </si>
  <si>
    <t>Shilja M A</t>
  </si>
  <si>
    <t>Technical Incharge</t>
  </si>
  <si>
    <t>Sini K C</t>
  </si>
  <si>
    <t>Jeesa Alukkal</t>
  </si>
  <si>
    <t>Assistant Manager -Operations</t>
  </si>
  <si>
    <t>Umesh P C</t>
  </si>
  <si>
    <t>Elsamma P V</t>
  </si>
  <si>
    <t>Riya Varghese</t>
  </si>
  <si>
    <t>Treesa Dalia N J</t>
  </si>
  <si>
    <t>Jasmine Thomas E</t>
  </si>
  <si>
    <t>Jayadas N C</t>
  </si>
  <si>
    <t>Joseph P Varghese</t>
  </si>
  <si>
    <t>Bindhu K J</t>
  </si>
  <si>
    <t>Liny M Y</t>
  </si>
  <si>
    <t>Suma Devassy K</t>
  </si>
  <si>
    <t>Technical Supervisor</t>
  </si>
  <si>
    <t>Haematology</t>
  </si>
  <si>
    <t>Sreesan S</t>
  </si>
  <si>
    <t>Sheeba N A</t>
  </si>
  <si>
    <t>Sindhu Thomas.</t>
  </si>
  <si>
    <t>Sr.Execu - Store / Incharge</t>
  </si>
  <si>
    <t>Devassy C J</t>
  </si>
  <si>
    <t>John Bosco N C</t>
  </si>
  <si>
    <t>Sr Executive -Stores</t>
  </si>
  <si>
    <t>Rajitha R Leelamony</t>
  </si>
  <si>
    <t>Sr.Staff Nurse / Team Leader</t>
  </si>
  <si>
    <t>Neonatal Icu</t>
  </si>
  <si>
    <t>Rani M P</t>
  </si>
  <si>
    <t>Sona Soman</t>
  </si>
  <si>
    <t>Jiji George</t>
  </si>
  <si>
    <t>Shaji K K</t>
  </si>
  <si>
    <t>Sr.Painter</t>
  </si>
  <si>
    <t>Mary Dasini K F</t>
  </si>
  <si>
    <t>Mini K.R</t>
  </si>
  <si>
    <t>Selma Mary K G</t>
  </si>
  <si>
    <t>Ot Recovery</t>
  </si>
  <si>
    <t>Sreedevi P G</t>
  </si>
  <si>
    <t>Medical Transcriptionist</t>
  </si>
  <si>
    <t>Radhamony T</t>
  </si>
  <si>
    <t>Deleena Joseph</t>
  </si>
  <si>
    <t>Seena John</t>
  </si>
  <si>
    <t>Deepa N S</t>
  </si>
  <si>
    <t>Prd</t>
  </si>
  <si>
    <t>Mary Francis</t>
  </si>
  <si>
    <t>Ambika P S</t>
  </si>
  <si>
    <t>Sr Lab Technician</t>
  </si>
  <si>
    <t>George Sebastian</t>
  </si>
  <si>
    <t>Nibi Thomas</t>
  </si>
  <si>
    <t>Veneetha I X</t>
  </si>
  <si>
    <t>Antony Gerald K A</t>
  </si>
  <si>
    <t>Mary Simi</t>
  </si>
  <si>
    <t>Cardiology</t>
  </si>
  <si>
    <t>Tmt</t>
  </si>
  <si>
    <t>Mary Sunitha M G</t>
  </si>
  <si>
    <t>Orma A Thoppil</t>
  </si>
  <si>
    <t>Sanisha K R</t>
  </si>
  <si>
    <t>Sr. Executive - Billing</t>
  </si>
  <si>
    <t>Tony Mathew Thomas</t>
  </si>
  <si>
    <t>Viswappan C P</t>
  </si>
  <si>
    <t>Anju T P</t>
  </si>
  <si>
    <t>Teresa Lijia T J</t>
  </si>
  <si>
    <t>Manager-Billing</t>
  </si>
  <si>
    <t>Martin Panakkathara</t>
  </si>
  <si>
    <t>Sr.Cathlab Assistant</t>
  </si>
  <si>
    <t>Cathlab Technician</t>
  </si>
  <si>
    <t>Aswathi P V</t>
  </si>
  <si>
    <t>Nijila P M</t>
  </si>
  <si>
    <t>Vimal Philip</t>
  </si>
  <si>
    <t>Sr.Executive - Ward Secretary</t>
  </si>
  <si>
    <t>Vyja P P</t>
  </si>
  <si>
    <t>Sr.Executive - Purchase</t>
  </si>
  <si>
    <t>Sharath T R</t>
  </si>
  <si>
    <t>Asst Manager Rso Level 1</t>
  </si>
  <si>
    <t>Radiology Inchg</t>
  </si>
  <si>
    <t>Nishamol V C</t>
  </si>
  <si>
    <t>Biji Sebastian</t>
  </si>
  <si>
    <t>Bish K Bal</t>
  </si>
  <si>
    <t>Rosedeleema A C</t>
  </si>
  <si>
    <t>Shemi M</t>
  </si>
  <si>
    <t>Soumya V P</t>
  </si>
  <si>
    <t>Sr.Anaesthesia Technician</t>
  </si>
  <si>
    <t>Cardiothorasic Anaesthesia</t>
  </si>
  <si>
    <t>Sumimol C H</t>
  </si>
  <si>
    <t>Assistant Nurse Manager</t>
  </si>
  <si>
    <t>Dhanya Sidharthan</t>
  </si>
  <si>
    <t>Jayamol K J</t>
  </si>
  <si>
    <t>Executive Secretary</t>
  </si>
  <si>
    <t>Anila K A</t>
  </si>
  <si>
    <t>Insurance Incharge</t>
  </si>
  <si>
    <t>Lissymol Lawrence</t>
  </si>
  <si>
    <t>8th North Ns</t>
  </si>
  <si>
    <t>Ajikumar M R</t>
  </si>
  <si>
    <t>Shyji Varghese</t>
  </si>
  <si>
    <t>Mini Thomas</t>
  </si>
  <si>
    <t>Cs</t>
  </si>
  <si>
    <t>Nisha R</t>
  </si>
  <si>
    <t>Sr.Pharmacist</t>
  </si>
  <si>
    <t>Sinu Xavier</t>
  </si>
  <si>
    <t>Dayana Mathew</t>
  </si>
  <si>
    <t>Zameena Moitheen</t>
  </si>
  <si>
    <t>Roni V I</t>
  </si>
  <si>
    <t>Sr.Dialysis Technician</t>
  </si>
  <si>
    <t>Nephrology</t>
  </si>
  <si>
    <t>Nephrology Staff</t>
  </si>
  <si>
    <t>Soby Paul</t>
  </si>
  <si>
    <t>Nurse Manager</t>
  </si>
  <si>
    <t>Sreeja P S</t>
  </si>
  <si>
    <t>Tissa Tom</t>
  </si>
  <si>
    <t>Chandrasekhar V</t>
  </si>
  <si>
    <t>Chief Information Officer</t>
  </si>
  <si>
    <t>It</t>
  </si>
  <si>
    <t>R Muraleedharan</t>
  </si>
  <si>
    <t>Principal Company Secretary</t>
  </si>
  <si>
    <t>Deepa Varghese</t>
  </si>
  <si>
    <t>Ctot</t>
  </si>
  <si>
    <t>Sugamya A R</t>
  </si>
  <si>
    <t>Tom Joseph</t>
  </si>
  <si>
    <t>Elizabeth Liya M P</t>
  </si>
  <si>
    <t>Sr Medical Record Technician</t>
  </si>
  <si>
    <t>Lincy James</t>
  </si>
  <si>
    <t>Sr Technologist</t>
  </si>
  <si>
    <t>Rajen Mathew</t>
  </si>
  <si>
    <t>Tersey K J</t>
  </si>
  <si>
    <t>Asha N P</t>
  </si>
  <si>
    <t>Rajalakshmi C</t>
  </si>
  <si>
    <t>Amal Varghese V</t>
  </si>
  <si>
    <t>Mahujubin N A</t>
  </si>
  <si>
    <t>Sajitha T S</t>
  </si>
  <si>
    <t>Executive Patientcare Services</t>
  </si>
  <si>
    <t>Shiji Abraham</t>
  </si>
  <si>
    <t>Akhil A</t>
  </si>
  <si>
    <t>Housekeeping</t>
  </si>
  <si>
    <t>House Keeping</t>
  </si>
  <si>
    <t>Asha Joslin</t>
  </si>
  <si>
    <t>Srexecutive-Patientcare Servic</t>
  </si>
  <si>
    <t>Selu P K</t>
  </si>
  <si>
    <t>Soumya Kurian</t>
  </si>
  <si>
    <t>Jayakumar N S</t>
  </si>
  <si>
    <t>Jency T F</t>
  </si>
  <si>
    <t>Shaji P V</t>
  </si>
  <si>
    <t>Roshan C V</t>
  </si>
  <si>
    <t>Er</t>
  </si>
  <si>
    <t>Deepu K K</t>
  </si>
  <si>
    <t>Sr.Plumber</t>
  </si>
  <si>
    <t>Sheeba George</t>
  </si>
  <si>
    <t>Mini P P</t>
  </si>
  <si>
    <t>Manager-Renal Trplnt Coordinat</t>
  </si>
  <si>
    <t>Jolly Mathew T</t>
  </si>
  <si>
    <t>Rejitha C S</t>
  </si>
  <si>
    <t>Linimol K J</t>
  </si>
  <si>
    <t>Salini O</t>
  </si>
  <si>
    <t>Denisha K J</t>
  </si>
  <si>
    <t>Dhanyamol P P</t>
  </si>
  <si>
    <t>Aswathy A</t>
  </si>
  <si>
    <t>Abhilash Sebastian</t>
  </si>
  <si>
    <t>Team Leader -Nursing</t>
  </si>
  <si>
    <t>Haemodialysis Ns</t>
  </si>
  <si>
    <t>Elizabeth Jose</t>
  </si>
  <si>
    <t>Gisha George</t>
  </si>
  <si>
    <t>Chithra K R</t>
  </si>
  <si>
    <t>Jino P M</t>
  </si>
  <si>
    <t>Sreelekshmi P</t>
  </si>
  <si>
    <t>Aswathy T A</t>
  </si>
  <si>
    <t>Incharge-Call Center</t>
  </si>
  <si>
    <t>Call Centre</t>
  </si>
  <si>
    <t>Anuja K S</t>
  </si>
  <si>
    <t>Financial Counselling</t>
  </si>
  <si>
    <t>Surej S</t>
  </si>
  <si>
    <t>Senior Executive - Billing</t>
  </si>
  <si>
    <t>Sheeja K G</t>
  </si>
  <si>
    <t>Ambili Mol N S</t>
  </si>
  <si>
    <t>Rachitha P M</t>
  </si>
  <si>
    <t>Radhika R</t>
  </si>
  <si>
    <t>Suresh G</t>
  </si>
  <si>
    <t>Chief Perfusionist</t>
  </si>
  <si>
    <t>Cardiothoracic Surgery</t>
  </si>
  <si>
    <t>Cardiothorasic Surgery Staff</t>
  </si>
  <si>
    <t>Rakhi Remanan</t>
  </si>
  <si>
    <t>Moncy K M</t>
  </si>
  <si>
    <t>Vanaja A N</t>
  </si>
  <si>
    <t>Abin P A</t>
  </si>
  <si>
    <t>Anoop C V</t>
  </si>
  <si>
    <t>Bavitha K K</t>
  </si>
  <si>
    <t>Biju Bhaskaran</t>
  </si>
  <si>
    <t>Bineesh K B</t>
  </si>
  <si>
    <t>Dhanya V A</t>
  </si>
  <si>
    <t>Jishal A S</t>
  </si>
  <si>
    <t>Laundry Operator</t>
  </si>
  <si>
    <t>Mahesh A T</t>
  </si>
  <si>
    <t>Mallika C V</t>
  </si>
  <si>
    <t>Mary Joseph</t>
  </si>
  <si>
    <t>Nisha T P</t>
  </si>
  <si>
    <t>Rajan M G</t>
  </si>
  <si>
    <t>Engineering - Admin</t>
  </si>
  <si>
    <t>Rarish Raj</t>
  </si>
  <si>
    <t>Nuclear Medicine</t>
  </si>
  <si>
    <t>Nuclear Medicine Tech</t>
  </si>
  <si>
    <t>Rooby E P</t>
  </si>
  <si>
    <t>Sabu N V</t>
  </si>
  <si>
    <t>Seena M S</t>
  </si>
  <si>
    <t>Sheeba K H</t>
  </si>
  <si>
    <t>Sheeba P S</t>
  </si>
  <si>
    <t>Sheena P W</t>
  </si>
  <si>
    <t>Simi K J</t>
  </si>
  <si>
    <t>Sindhu K R</t>
  </si>
  <si>
    <t>Sindhu Jose</t>
  </si>
  <si>
    <t>Soman M B</t>
  </si>
  <si>
    <t>Tijo Toms K</t>
  </si>
  <si>
    <t>Ramla Beevi V U</t>
  </si>
  <si>
    <t>Cssd Technician</t>
  </si>
  <si>
    <t>Rejimol P A</t>
  </si>
  <si>
    <t>Deepa R</t>
  </si>
  <si>
    <t>Radiotherapy</t>
  </si>
  <si>
    <t>Sherly K V</t>
  </si>
  <si>
    <t>Nisha Sasidharan</t>
  </si>
  <si>
    <t>Coordinator</t>
  </si>
  <si>
    <t>Santhosh V G</t>
  </si>
  <si>
    <t>George P V</t>
  </si>
  <si>
    <t>Sr.Electrician</t>
  </si>
  <si>
    <t>Fathima J M</t>
  </si>
  <si>
    <t>Jyothimol N S</t>
  </si>
  <si>
    <t>Jeny Mathew</t>
  </si>
  <si>
    <t>10th New</t>
  </si>
  <si>
    <t>Sarin K S</t>
  </si>
  <si>
    <t>Deputy Manager-O T</t>
  </si>
  <si>
    <t>Johnson Kuriakose</t>
  </si>
  <si>
    <t>Athmaja Abraham</t>
  </si>
  <si>
    <t>Ctw</t>
  </si>
  <si>
    <t>Lini E C</t>
  </si>
  <si>
    <t>Reshmi Krishnan</t>
  </si>
  <si>
    <t>Sr. Pharmacist</t>
  </si>
  <si>
    <t>Thomson T Thomas</t>
  </si>
  <si>
    <t>Muhammed Shiyas P M</t>
  </si>
  <si>
    <t>Madhu M K</t>
  </si>
  <si>
    <t>Mary George</t>
  </si>
  <si>
    <t>Pouly Siji K J</t>
  </si>
  <si>
    <t>Satheesan K N</t>
  </si>
  <si>
    <t>Soumya S</t>
  </si>
  <si>
    <t>Aneesha Thankappan</t>
  </si>
  <si>
    <t>7th Ns New Block</t>
  </si>
  <si>
    <t>Naijo John</t>
  </si>
  <si>
    <t>Sr.Laundry Oprt - Incharge</t>
  </si>
  <si>
    <t>Nisha George</t>
  </si>
  <si>
    <t>Jr.Executive</t>
  </si>
  <si>
    <t>Mini Paul</t>
  </si>
  <si>
    <t>Telmy Mary S</t>
  </si>
  <si>
    <t>Sajeev Kumar K S</t>
  </si>
  <si>
    <t>Sebastian P V</t>
  </si>
  <si>
    <t>Sojo Antony</t>
  </si>
  <si>
    <t>Incharge -Cathlab Technician</t>
  </si>
  <si>
    <t>Cathlab Supervisor</t>
  </si>
  <si>
    <t>Reshmi V P</t>
  </si>
  <si>
    <t>Anumol E S</t>
  </si>
  <si>
    <t>Sayana Mary K S</t>
  </si>
  <si>
    <t>Telephones</t>
  </si>
  <si>
    <t>Leeba S B</t>
  </si>
  <si>
    <t>Bijoy A</t>
  </si>
  <si>
    <t>Executive-Visual Editor/Secret</t>
  </si>
  <si>
    <t>Aseeja K Y</t>
  </si>
  <si>
    <t>Shiny P S</t>
  </si>
  <si>
    <t>Sindhu K V</t>
  </si>
  <si>
    <t>Helan Varghese</t>
  </si>
  <si>
    <t>Neetha K U</t>
  </si>
  <si>
    <t>Assistant Technical Manager</t>
  </si>
  <si>
    <t>Anishya V Mohan</t>
  </si>
  <si>
    <t>Praveen C M</t>
  </si>
  <si>
    <t>Fousia P E</t>
  </si>
  <si>
    <t>Bineesh K M</t>
  </si>
  <si>
    <t>Neuro Surgical Icu</t>
  </si>
  <si>
    <t>Athulya S Devan</t>
  </si>
  <si>
    <t>Lima Rose T J</t>
  </si>
  <si>
    <t>Cath Lab</t>
  </si>
  <si>
    <t>Mubeena M</t>
  </si>
  <si>
    <t>Baby George</t>
  </si>
  <si>
    <t>Sr.Executive Accounts</t>
  </si>
  <si>
    <t>Princy Antony</t>
  </si>
  <si>
    <t>Lab Technician</t>
  </si>
  <si>
    <t>Baiju V O</t>
  </si>
  <si>
    <t>Sindhu Mol K G</t>
  </si>
  <si>
    <t>Praheerth K G</t>
  </si>
  <si>
    <t>Sr.Plaster Technician</t>
  </si>
  <si>
    <t>Orthopaedics</t>
  </si>
  <si>
    <t>Ortho Joint Repl Staff</t>
  </si>
  <si>
    <t>Manju K</t>
  </si>
  <si>
    <t>Swapna Thomas</t>
  </si>
  <si>
    <t>4th</t>
  </si>
  <si>
    <t>Sinimol N G</t>
  </si>
  <si>
    <t>Sajini Babu</t>
  </si>
  <si>
    <t>Rejna P R</t>
  </si>
  <si>
    <t>Soniya M P</t>
  </si>
  <si>
    <t>Sheela K R</t>
  </si>
  <si>
    <t>Seethumol P G</t>
  </si>
  <si>
    <t>Resmi T G</t>
  </si>
  <si>
    <t>Hr</t>
  </si>
  <si>
    <t>Sheeja Manoj</t>
  </si>
  <si>
    <t>Sheeja P S</t>
  </si>
  <si>
    <t>Regithamol P R</t>
  </si>
  <si>
    <t>Shimi K G</t>
  </si>
  <si>
    <t>Resmi Raju</t>
  </si>
  <si>
    <t>Shiny Joseph</t>
  </si>
  <si>
    <t>Cicily N A</t>
  </si>
  <si>
    <t>Soumya R</t>
  </si>
  <si>
    <t>Salini S</t>
  </si>
  <si>
    <t>Ratheeja P R</t>
  </si>
  <si>
    <t>Riso Raj</t>
  </si>
  <si>
    <t>Cs Icu</t>
  </si>
  <si>
    <t>Seethal Joseph</t>
  </si>
  <si>
    <t>Executive Billing</t>
  </si>
  <si>
    <t>Subaida V P</t>
  </si>
  <si>
    <t>Sandhya K V</t>
  </si>
  <si>
    <t>Anusree N V</t>
  </si>
  <si>
    <t>Jisha K J</t>
  </si>
  <si>
    <t>Liny K P</t>
  </si>
  <si>
    <t>Jesy K M</t>
  </si>
  <si>
    <t>Suchithra Sivasankaran</t>
  </si>
  <si>
    <t>Anju Joseph</t>
  </si>
  <si>
    <t>Shyni Jose</t>
  </si>
  <si>
    <t>Treesa Mary Brice</t>
  </si>
  <si>
    <t>Ancy Varghese</t>
  </si>
  <si>
    <t>Dini Wilson</t>
  </si>
  <si>
    <t>Ambily A S</t>
  </si>
  <si>
    <t>Usha P</t>
  </si>
  <si>
    <t>Deepa E C</t>
  </si>
  <si>
    <t>Executive - Call Centre</t>
  </si>
  <si>
    <t>Nithya K</t>
  </si>
  <si>
    <t>Sr.Physiotherapist</t>
  </si>
  <si>
    <t>Physiotherapy</t>
  </si>
  <si>
    <t>Kumari K A</t>
  </si>
  <si>
    <t>Swathy N R</t>
  </si>
  <si>
    <t>Latha P Menon</t>
  </si>
  <si>
    <t>Reshmi Vasu</t>
  </si>
  <si>
    <t>Shamila V S</t>
  </si>
  <si>
    <t>Sheena K P</t>
  </si>
  <si>
    <t>Sr.Echo Technician</t>
  </si>
  <si>
    <t>Doc Cardiology</t>
  </si>
  <si>
    <t>Bindu P S</t>
  </si>
  <si>
    <t>Joby P C</t>
  </si>
  <si>
    <t>Senior Executive - Ward Secret</t>
  </si>
  <si>
    <t>Rugmini T</t>
  </si>
  <si>
    <t>Bincy John</t>
  </si>
  <si>
    <t>Aswathy K A</t>
  </si>
  <si>
    <t>Sneha Antony M A</t>
  </si>
  <si>
    <t>Rani Mathai</t>
  </si>
  <si>
    <t>Mary Diana A S</t>
  </si>
  <si>
    <t>Bobby Joseph</t>
  </si>
  <si>
    <t>Hospital Assistant</t>
  </si>
  <si>
    <t>Ambily S</t>
  </si>
  <si>
    <t>Minu Mathew</t>
  </si>
  <si>
    <t>Sr. Executive- Qid</t>
  </si>
  <si>
    <t>Qid</t>
  </si>
  <si>
    <t>Renjumol P S</t>
  </si>
  <si>
    <t>Staff Nurse</t>
  </si>
  <si>
    <t>Jincy Raju</t>
  </si>
  <si>
    <t>Arun Gopinath</t>
  </si>
  <si>
    <t>Solly V Abraham</t>
  </si>
  <si>
    <t>Jisha Xavier</t>
  </si>
  <si>
    <t>Manju P K</t>
  </si>
  <si>
    <t>Anila S Babu</t>
  </si>
  <si>
    <t>Soumya A M</t>
  </si>
  <si>
    <t>Jr Executive- Stores</t>
  </si>
  <si>
    <t>Rakhi Gopinath</t>
  </si>
  <si>
    <t>Sinu A Y</t>
  </si>
  <si>
    <t>Iccu</t>
  </si>
  <si>
    <t>Rajasree C</t>
  </si>
  <si>
    <t>Sr. Accounts Officer</t>
  </si>
  <si>
    <t>Sani K John</t>
  </si>
  <si>
    <t>Nimmy Jose</t>
  </si>
  <si>
    <t>Sheeja N</t>
  </si>
  <si>
    <t>Smitha Thankappan</t>
  </si>
  <si>
    <t>Shiji George</t>
  </si>
  <si>
    <t>Manager - Quality</t>
  </si>
  <si>
    <t>Medical Administration.</t>
  </si>
  <si>
    <t>Sumi U</t>
  </si>
  <si>
    <t>Anju Krishna</t>
  </si>
  <si>
    <t>Sr.Microbiologist</t>
  </si>
  <si>
    <t>Bincy M S</t>
  </si>
  <si>
    <t>Dittymol M K</t>
  </si>
  <si>
    <t>Mdicu</t>
  </si>
  <si>
    <t>Reshma Prakash</t>
  </si>
  <si>
    <t>Ryji Varghese</t>
  </si>
  <si>
    <t>Sibi V P</t>
  </si>
  <si>
    <t>Akhila S Sukumaran</t>
  </si>
  <si>
    <t>M R Assistant</t>
  </si>
  <si>
    <t>Biatrees K C</t>
  </si>
  <si>
    <t>Mercy K Chacko</t>
  </si>
  <si>
    <t>Auxiliary Nurse Midwife</t>
  </si>
  <si>
    <t>Anju T T</t>
  </si>
  <si>
    <t>Mrd Technician</t>
  </si>
  <si>
    <t>Remya T K</t>
  </si>
  <si>
    <t>Linu M K</t>
  </si>
  <si>
    <t>Bipin Gopi</t>
  </si>
  <si>
    <t>Neenu S Mani</t>
  </si>
  <si>
    <t>Mini V J</t>
  </si>
  <si>
    <t>Jiji Kuryakose</t>
  </si>
  <si>
    <t>Usha Paulose</t>
  </si>
  <si>
    <t>Sini K R</t>
  </si>
  <si>
    <t>Simily Solomon</t>
  </si>
  <si>
    <t>Infection Control Nurse</t>
  </si>
  <si>
    <t>Rincy K A</t>
  </si>
  <si>
    <t>Vinay Babu V S</t>
  </si>
  <si>
    <t>Rekha Jancy P J</t>
  </si>
  <si>
    <t>Muhammed Shafeek P M</t>
  </si>
  <si>
    <t>Vishnu Radhakrishnan</t>
  </si>
  <si>
    <t>Bincy Thomas</t>
  </si>
  <si>
    <t>Alishiya Roy</t>
  </si>
  <si>
    <t>Neethu Abraham</t>
  </si>
  <si>
    <t>Anitha M</t>
  </si>
  <si>
    <t>Mereena S</t>
  </si>
  <si>
    <t>Radiation Onco Ns B2</t>
  </si>
  <si>
    <t>Haritha S Nair</t>
  </si>
  <si>
    <t>Bimi Joseph</t>
  </si>
  <si>
    <t>Ecg/Tmt Technician</t>
  </si>
  <si>
    <t>Tincy Varghese</t>
  </si>
  <si>
    <t>Philomina P F</t>
  </si>
  <si>
    <t>4th Ii</t>
  </si>
  <si>
    <t>Manoj Namboodiri</t>
  </si>
  <si>
    <t>Boiler Operator</t>
  </si>
  <si>
    <t>Mithu Prakash</t>
  </si>
  <si>
    <t>Senior Research Assoclate,</t>
  </si>
  <si>
    <t>Clinical Research</t>
  </si>
  <si>
    <t>Molecular Biology</t>
  </si>
  <si>
    <t>Manjusha P</t>
  </si>
  <si>
    <t>Bindu M S</t>
  </si>
  <si>
    <t>Arun P A</t>
  </si>
  <si>
    <t>Manu P V</t>
  </si>
  <si>
    <t>Incharge-Physiotherapy</t>
  </si>
  <si>
    <t>Valsa K C</t>
  </si>
  <si>
    <t>Arabic Translator</t>
  </si>
  <si>
    <t>International Healthcare Promotions</t>
  </si>
  <si>
    <t>International Healthcare Promotion</t>
  </si>
  <si>
    <t>Maya P R</t>
  </si>
  <si>
    <t>Rishad R</t>
  </si>
  <si>
    <t>Sushama M S</t>
  </si>
  <si>
    <t>2nd Iii</t>
  </si>
  <si>
    <t>Anitha P Kumar</t>
  </si>
  <si>
    <t>Lab Technician-Biochemistry</t>
  </si>
  <si>
    <t>Sanu Omanakuttan</t>
  </si>
  <si>
    <t>Sr. I T Support Engineer</t>
  </si>
  <si>
    <t>Anusree P S</t>
  </si>
  <si>
    <t>Clinical Nurse Instructor</t>
  </si>
  <si>
    <t>Salisha R M</t>
  </si>
  <si>
    <t>Syammon S</t>
  </si>
  <si>
    <t>Praseeda K Sathyan</t>
  </si>
  <si>
    <t>Teena Thomas</t>
  </si>
  <si>
    <t>8th S Nb</t>
  </si>
  <si>
    <t>Tissy Tomy</t>
  </si>
  <si>
    <t>Sicu</t>
  </si>
  <si>
    <t>Vishakh Vijayan</t>
  </si>
  <si>
    <t>Sreeja Pillai</t>
  </si>
  <si>
    <t>Clinical Psychologist</t>
  </si>
  <si>
    <t>Psychiatry</t>
  </si>
  <si>
    <t>Sukanya Parameswaran</t>
  </si>
  <si>
    <t>Rajeswari K S</t>
  </si>
  <si>
    <t>Chinnu C C</t>
  </si>
  <si>
    <t>Bindumol V</t>
  </si>
  <si>
    <t>Anju Jacob</t>
  </si>
  <si>
    <t>Seetha K S</t>
  </si>
  <si>
    <t>Pharmacist</t>
  </si>
  <si>
    <t>Darsana K S</t>
  </si>
  <si>
    <t>Lavanya K K</t>
  </si>
  <si>
    <t>Ajithamol V</t>
  </si>
  <si>
    <t>Sarimol T O</t>
  </si>
  <si>
    <t>Malukutty C S</t>
  </si>
  <si>
    <t>Maya Manoharan</t>
  </si>
  <si>
    <t>Sebastian M C</t>
  </si>
  <si>
    <t>Saritha Kumari L</t>
  </si>
  <si>
    <t>Ot Technician</t>
  </si>
  <si>
    <t>Rosemary J</t>
  </si>
  <si>
    <t>Aswathy V V</t>
  </si>
  <si>
    <t>6th New Block Ns</t>
  </si>
  <si>
    <t>Anila Chandran P</t>
  </si>
  <si>
    <t>3rd Ii</t>
  </si>
  <si>
    <t>Thresiamma S</t>
  </si>
  <si>
    <t>Anis T Khathar</t>
  </si>
  <si>
    <t>Manager-Biomedical Engineering</t>
  </si>
  <si>
    <t>Meenu Supran</t>
  </si>
  <si>
    <t>Sdicu</t>
  </si>
  <si>
    <t>Sneha Devasia</t>
  </si>
  <si>
    <t>Soumya Mathew</t>
  </si>
  <si>
    <t>Kannan K V</t>
  </si>
  <si>
    <t>Subina C S</t>
  </si>
  <si>
    <t>Blood Bank Technician</t>
  </si>
  <si>
    <t>Subin S</t>
  </si>
  <si>
    <t>Hanitha A K</t>
  </si>
  <si>
    <t>Sreeja K K</t>
  </si>
  <si>
    <t>Gs Hdu</t>
  </si>
  <si>
    <t>Nima Gopi</t>
  </si>
  <si>
    <t>Indulekha C N</t>
  </si>
  <si>
    <t>Pournami Pavithran</t>
  </si>
  <si>
    <t>Linta Kurian</t>
  </si>
  <si>
    <t>Ambily P V</t>
  </si>
  <si>
    <t>Roney K E</t>
  </si>
  <si>
    <t>Vishnu M P</t>
  </si>
  <si>
    <t>Sebastian P W</t>
  </si>
  <si>
    <t>Ancy Antony</t>
  </si>
  <si>
    <t>Aswathy S Nair</t>
  </si>
  <si>
    <t>Surya P</t>
  </si>
  <si>
    <t>Sinai Koshy</t>
  </si>
  <si>
    <t>Meera K M</t>
  </si>
  <si>
    <t>7th</t>
  </si>
  <si>
    <t>M Muthuvel</t>
  </si>
  <si>
    <t>Chief Physicist Cum Rso</t>
  </si>
  <si>
    <t>Radiation Oncology</t>
  </si>
  <si>
    <t>Maya A M</t>
  </si>
  <si>
    <t>Secretary</t>
  </si>
  <si>
    <t>Kunjumol K P</t>
  </si>
  <si>
    <t>Tx. Icu</t>
  </si>
  <si>
    <t>Mohandas D</t>
  </si>
  <si>
    <t>Sr Radiotherapy Technologist</t>
  </si>
  <si>
    <t>K Kathiresan</t>
  </si>
  <si>
    <t>Sr Medical Physicist</t>
  </si>
  <si>
    <t>Resmi Sivan</t>
  </si>
  <si>
    <t>Sheelamma K C</t>
  </si>
  <si>
    <t>Lab Tech /Phlebotomy Incharge</t>
  </si>
  <si>
    <t>Josmy George</t>
  </si>
  <si>
    <t>Chinnu P T</t>
  </si>
  <si>
    <t>Simi George</t>
  </si>
  <si>
    <t>5th</t>
  </si>
  <si>
    <t>Sreena N</t>
  </si>
  <si>
    <t>Brittu Kunjumon</t>
  </si>
  <si>
    <t>Antony Francis</t>
  </si>
  <si>
    <t>Radiology Imaging Technologist</t>
  </si>
  <si>
    <t>Shinto John</t>
  </si>
  <si>
    <t>Chief Radiotherapytechnologist</t>
  </si>
  <si>
    <t>Meenu K Sudheer</t>
  </si>
  <si>
    <t>Sona Joseph</t>
  </si>
  <si>
    <t>Priya Mathew</t>
  </si>
  <si>
    <t>6th</t>
  </si>
  <si>
    <t>Akhil V S</t>
  </si>
  <si>
    <t>Anju Suresh</t>
  </si>
  <si>
    <t>Elby Mathew</t>
  </si>
  <si>
    <t>Sibi Cherian</t>
  </si>
  <si>
    <t>Anju V O</t>
  </si>
  <si>
    <t>Bhavana Vincent</t>
  </si>
  <si>
    <t>N Kannan</t>
  </si>
  <si>
    <t>Prasobh K P</t>
  </si>
  <si>
    <t>Hla Technical Supervisor</t>
  </si>
  <si>
    <t>Tony Xavier K S</t>
  </si>
  <si>
    <t>Prajeesh P P</t>
  </si>
  <si>
    <t>Manjusha Babu</t>
  </si>
  <si>
    <t>Saumya S Nair</t>
  </si>
  <si>
    <t>Usha P K</t>
  </si>
  <si>
    <t>Parvathy Harsha</t>
  </si>
  <si>
    <t>Biomedical Engineer</t>
  </si>
  <si>
    <t>Albeena Jose</t>
  </si>
  <si>
    <t>Vidya Vijayan</t>
  </si>
  <si>
    <t>Rosemary Augstian</t>
  </si>
  <si>
    <t>Dhaneesh P S</t>
  </si>
  <si>
    <t>Indira Gopi Nair</t>
  </si>
  <si>
    <t>Manager Ip Services</t>
  </si>
  <si>
    <t>Aneesha M N</t>
  </si>
  <si>
    <t>Neuro Hdu</t>
  </si>
  <si>
    <t>Bincy K S</t>
  </si>
  <si>
    <t>Fazil A K</t>
  </si>
  <si>
    <t>Kurian P A</t>
  </si>
  <si>
    <t>Elby Sebastian</t>
  </si>
  <si>
    <t>Sr.Dietician</t>
  </si>
  <si>
    <t>Clinical Nutrition</t>
  </si>
  <si>
    <t>Mary Joshna C J</t>
  </si>
  <si>
    <t>Krishna Mohan</t>
  </si>
  <si>
    <t>Strategic Operations Er</t>
  </si>
  <si>
    <t>Prathibha Kunjamma</t>
  </si>
  <si>
    <t>Anju George</t>
  </si>
  <si>
    <t>Krishna Indu K R</t>
  </si>
  <si>
    <t>Nidhina Ramachandran</t>
  </si>
  <si>
    <t>Reena Glaris C J</t>
  </si>
  <si>
    <t>Dialysis Technician</t>
  </si>
  <si>
    <t>Beena K P</t>
  </si>
  <si>
    <t>Nuclear Medicine Technologist</t>
  </si>
  <si>
    <t>Sajitha V S</t>
  </si>
  <si>
    <t>Anjali Krishna A</t>
  </si>
  <si>
    <t>Rintumol Raju</t>
  </si>
  <si>
    <t>Simi Thomas</t>
  </si>
  <si>
    <t>Anu Antony.</t>
  </si>
  <si>
    <t>Antony Joseph V J</t>
  </si>
  <si>
    <t>Ullas Krishnan</t>
  </si>
  <si>
    <t>Anjali Stephen</t>
  </si>
  <si>
    <t>Amal K T</t>
  </si>
  <si>
    <t>Joseph K V</t>
  </si>
  <si>
    <t>Sherin Varghese</t>
  </si>
  <si>
    <t>Nishanth M</t>
  </si>
  <si>
    <t>Senior Manager Laboratory</t>
  </si>
  <si>
    <t>Doc Pathology</t>
  </si>
  <si>
    <t>Bindu K V</t>
  </si>
  <si>
    <t>Sijo Joseph</t>
  </si>
  <si>
    <t>Physician Assistant</t>
  </si>
  <si>
    <t>Jipson K J</t>
  </si>
  <si>
    <t>Fire &amp; Safety Officer</t>
  </si>
  <si>
    <t>Fire And Safety</t>
  </si>
  <si>
    <t>Fires And Safety</t>
  </si>
  <si>
    <t>Moni Maria Paulose</t>
  </si>
  <si>
    <t>Vishnu M R</t>
  </si>
  <si>
    <t>Shyama B</t>
  </si>
  <si>
    <t>Fathima K S</t>
  </si>
  <si>
    <t>Anu Antony</t>
  </si>
  <si>
    <t>Anaesthesia Technician</t>
  </si>
  <si>
    <t>Anaesthesia Tecnician</t>
  </si>
  <si>
    <t>Jinu T S</t>
  </si>
  <si>
    <t>Issac P A</t>
  </si>
  <si>
    <t>Nithin Wilson</t>
  </si>
  <si>
    <t>Plumber</t>
  </si>
  <si>
    <t>Manju Mol M</t>
  </si>
  <si>
    <t>Jijo A G</t>
  </si>
  <si>
    <t>Driver</t>
  </si>
  <si>
    <t>Sachumol G</t>
  </si>
  <si>
    <t>Paediatric Icu</t>
  </si>
  <si>
    <t>Babitha P M</t>
  </si>
  <si>
    <t>5th Ii</t>
  </si>
  <si>
    <t>Deepthi K C</t>
  </si>
  <si>
    <t>Sibichan Joseph</t>
  </si>
  <si>
    <t>Rony Jose</t>
  </si>
  <si>
    <t>Meenu M R</t>
  </si>
  <si>
    <t>Mary A</t>
  </si>
  <si>
    <t>9th New</t>
  </si>
  <si>
    <t>Alice K A</t>
  </si>
  <si>
    <t>Rahul R..</t>
  </si>
  <si>
    <t>Niroshitha Rajan</t>
  </si>
  <si>
    <t>Baiju K Lawrance</t>
  </si>
  <si>
    <t>Electrician</t>
  </si>
  <si>
    <t>Hema K B</t>
  </si>
  <si>
    <t>Saju G</t>
  </si>
  <si>
    <t>Treesa Varghese</t>
  </si>
  <si>
    <t>Akhila K T</t>
  </si>
  <si>
    <t>Peter Dixon</t>
  </si>
  <si>
    <t>Airiene Ameena Akbar</t>
  </si>
  <si>
    <t>Monisha Mohan</t>
  </si>
  <si>
    <t>Prajishamol C A</t>
  </si>
  <si>
    <t>Savitha N S</t>
  </si>
  <si>
    <t>Tharakrishna C R</t>
  </si>
  <si>
    <t>Executive - Insurance</t>
  </si>
  <si>
    <t>Riya Reji</t>
  </si>
  <si>
    <t>Athira M</t>
  </si>
  <si>
    <t>Amrutha Babu</t>
  </si>
  <si>
    <t>Sony P B</t>
  </si>
  <si>
    <t>Smruthi Sekhar</t>
  </si>
  <si>
    <t>Transplant Co Ordinator</t>
  </si>
  <si>
    <t>Aranya V Raju</t>
  </si>
  <si>
    <t>Juliet Jose</t>
  </si>
  <si>
    <t>3rd</t>
  </si>
  <si>
    <t>Limi K A</t>
  </si>
  <si>
    <t>Haris P I</t>
  </si>
  <si>
    <t>Jithin T C</t>
  </si>
  <si>
    <t>Subhash A</t>
  </si>
  <si>
    <t>Neethu V V</t>
  </si>
  <si>
    <t>Noorjin V A</t>
  </si>
  <si>
    <t>Tintu Thomas.</t>
  </si>
  <si>
    <t>Sarunmon P P</t>
  </si>
  <si>
    <t>Sayed Mohamed Abdul Vahab K M</t>
  </si>
  <si>
    <t>Josey Joseph</t>
  </si>
  <si>
    <t>Jincy Varghese</t>
  </si>
  <si>
    <t>Anandu K M</t>
  </si>
  <si>
    <t>Raju K Pauly</t>
  </si>
  <si>
    <t>Vidya Chandran</t>
  </si>
  <si>
    <t>Anna Jisha P J</t>
  </si>
  <si>
    <t>Sibin George</t>
  </si>
  <si>
    <t>Hemanth C</t>
  </si>
  <si>
    <t>Sr.Endoscopy Techn.</t>
  </si>
  <si>
    <t>Inzamam Rahim</t>
  </si>
  <si>
    <t>Rajendran T R</t>
  </si>
  <si>
    <t>Neenu Varghese 6683</t>
  </si>
  <si>
    <t>Chinnu Varghese</t>
  </si>
  <si>
    <t>Diet Assistant</t>
  </si>
  <si>
    <t>Merrin P Alias</t>
  </si>
  <si>
    <t>Asha V G</t>
  </si>
  <si>
    <t>Tinu Jose 6711</t>
  </si>
  <si>
    <t>Binija Joseph</t>
  </si>
  <si>
    <t>Gijo George</t>
  </si>
  <si>
    <t>Snehalatha A</t>
  </si>
  <si>
    <t>Jijimol Wilson 6730</t>
  </si>
  <si>
    <t>Sreemol T S 6731</t>
  </si>
  <si>
    <t>Silpamol P</t>
  </si>
  <si>
    <t>Devi M</t>
  </si>
  <si>
    <t>Microbiologist</t>
  </si>
  <si>
    <t>Premna Subin</t>
  </si>
  <si>
    <t>Minimally Invasive Surgery</t>
  </si>
  <si>
    <t>Marketing 1</t>
  </si>
  <si>
    <t>Contract</t>
  </si>
  <si>
    <t>Divya Divakaran</t>
  </si>
  <si>
    <t>Archana V Asok</t>
  </si>
  <si>
    <t>Harikrishnan N S</t>
  </si>
  <si>
    <t>Jithin K J</t>
  </si>
  <si>
    <t>Prasanth K S</t>
  </si>
  <si>
    <t>Dr Manju P George</t>
  </si>
  <si>
    <t>Chief Dietician</t>
  </si>
  <si>
    <t>Akhila A</t>
  </si>
  <si>
    <t>Onco Icu</t>
  </si>
  <si>
    <t>Jeen Abraham</t>
  </si>
  <si>
    <t>Ansa John</t>
  </si>
  <si>
    <t>Dhanya M S</t>
  </si>
  <si>
    <t>Ginimol P T</t>
  </si>
  <si>
    <t>Jasmine Joseph</t>
  </si>
  <si>
    <t>Dipu Divakaran</t>
  </si>
  <si>
    <t>Neuro Technologist</t>
  </si>
  <si>
    <t>Akhiya Louis</t>
  </si>
  <si>
    <t>Ajith Anil</t>
  </si>
  <si>
    <t>Pranav Prasannan</t>
  </si>
  <si>
    <t>Raji Susan Mathew</t>
  </si>
  <si>
    <t>Kelvin Peter</t>
  </si>
  <si>
    <t>Jijo Thomas</t>
  </si>
  <si>
    <t>Cisymol Devasia</t>
  </si>
  <si>
    <t>Sr.Diet Clerk</t>
  </si>
  <si>
    <t>Manju M</t>
  </si>
  <si>
    <t>Biji Xaviour</t>
  </si>
  <si>
    <t>Rubin Stein Rodrigues</t>
  </si>
  <si>
    <t>Manager-Safety And Security</t>
  </si>
  <si>
    <t>Amal P K</t>
  </si>
  <si>
    <t>Neethu Alias</t>
  </si>
  <si>
    <t>Ortho Ot</t>
  </si>
  <si>
    <t>Remya K Kartha</t>
  </si>
  <si>
    <t>Ambily K U</t>
  </si>
  <si>
    <t>Sruthy P S</t>
  </si>
  <si>
    <t>Sudheesh Kumar T R</t>
  </si>
  <si>
    <t>Ramees C Y</t>
  </si>
  <si>
    <t>Tesni Rose T V</t>
  </si>
  <si>
    <t>Bineesh P K</t>
  </si>
  <si>
    <t>Happy K Alphonse</t>
  </si>
  <si>
    <t>Reshma T S</t>
  </si>
  <si>
    <t>Dr Snitha Rajan Jacob</t>
  </si>
  <si>
    <t>Clinical Pharmacist</t>
  </si>
  <si>
    <t>Ismael K P</t>
  </si>
  <si>
    <t>Athira Thankachan</t>
  </si>
  <si>
    <t>Rajalakshmi R</t>
  </si>
  <si>
    <t>Jismy M J</t>
  </si>
  <si>
    <t>Reetha K A</t>
  </si>
  <si>
    <t>Bineesh A B</t>
  </si>
  <si>
    <t>Haripriya K T</t>
  </si>
  <si>
    <t>Deepa N R</t>
  </si>
  <si>
    <t>Manager-Endoscopy Services</t>
  </si>
  <si>
    <t>Endoscopy Tech Hd</t>
  </si>
  <si>
    <t>Jyothi K H</t>
  </si>
  <si>
    <t>Anitha T R</t>
  </si>
  <si>
    <t>Nimmu T Paulose</t>
  </si>
  <si>
    <t>Shahanas M K</t>
  </si>
  <si>
    <t>Lincy Sabu</t>
  </si>
  <si>
    <t>Indu T T</t>
  </si>
  <si>
    <t>9th</t>
  </si>
  <si>
    <t>Neethu P</t>
  </si>
  <si>
    <t>Aswathy Prakasan</t>
  </si>
  <si>
    <t>Echs</t>
  </si>
  <si>
    <t>Shilpa Sivan</t>
  </si>
  <si>
    <t>Arjun T S</t>
  </si>
  <si>
    <t>Anna Lawsiya</t>
  </si>
  <si>
    <t>Sreemol Sasi</t>
  </si>
  <si>
    <t>8th</t>
  </si>
  <si>
    <t>Shereena P S</t>
  </si>
  <si>
    <t>Niveditha Rajan</t>
  </si>
  <si>
    <t>10th</t>
  </si>
  <si>
    <t>Rinci Mol A K</t>
  </si>
  <si>
    <t>Jayalekshmi M</t>
  </si>
  <si>
    <t>Gayathri L</t>
  </si>
  <si>
    <t>Fazna R</t>
  </si>
  <si>
    <t>Rejani T R</t>
  </si>
  <si>
    <t>Mariya Jolly</t>
  </si>
  <si>
    <t>Sreebala S</t>
  </si>
  <si>
    <t>Revathy R P</t>
  </si>
  <si>
    <t>Marimuthu K</t>
  </si>
  <si>
    <t>Manager Quality Labservice</t>
  </si>
  <si>
    <t>Soumya B Ahamed</t>
  </si>
  <si>
    <t>Executive-Billing Audit</t>
  </si>
  <si>
    <t>Mohamed Salfi</t>
  </si>
  <si>
    <t>Critical Care Technician</t>
  </si>
  <si>
    <t>Critical Care</t>
  </si>
  <si>
    <t>Anitha Augustine</t>
  </si>
  <si>
    <t>Sofiya Babu</t>
  </si>
  <si>
    <t>Athira C R</t>
  </si>
  <si>
    <t>Sethumol K S</t>
  </si>
  <si>
    <t>Anila Kumari A R</t>
  </si>
  <si>
    <t>Prameesha P</t>
  </si>
  <si>
    <t>Anandhu B</t>
  </si>
  <si>
    <t>Bhagyalakshmi M B</t>
  </si>
  <si>
    <t>Counselor</t>
  </si>
  <si>
    <t>Nimisha Mohan</t>
  </si>
  <si>
    <t>Anzal Shajahan</t>
  </si>
  <si>
    <t>Jr.Biomedical Engineer</t>
  </si>
  <si>
    <t>Ammu T J</t>
  </si>
  <si>
    <t>Executive-Accounts</t>
  </si>
  <si>
    <t>Mephia Tomy P</t>
  </si>
  <si>
    <t>Aparna Sudhakar</t>
  </si>
  <si>
    <t>Ltxicu</t>
  </si>
  <si>
    <t>Rehitha R</t>
  </si>
  <si>
    <t>6th Ii</t>
  </si>
  <si>
    <t>Jerymol Joy</t>
  </si>
  <si>
    <t>Avani A M</t>
  </si>
  <si>
    <t>Arathy S R</t>
  </si>
  <si>
    <t>Difna Baiju K</t>
  </si>
  <si>
    <t>Bisamol K V</t>
  </si>
  <si>
    <t>Sreedevi S</t>
  </si>
  <si>
    <t>Divya A S</t>
  </si>
  <si>
    <t>Helma Sunny</t>
  </si>
  <si>
    <t>Muhammed Firoz M J</t>
  </si>
  <si>
    <t>Celiya George</t>
  </si>
  <si>
    <t>Suju Ravi</t>
  </si>
  <si>
    <t>Elizabeth P Abraham</t>
  </si>
  <si>
    <t>Reshma R</t>
  </si>
  <si>
    <t>Vineetha V</t>
  </si>
  <si>
    <t>Athira Paul</t>
  </si>
  <si>
    <t>Riyamol V B</t>
  </si>
  <si>
    <t>Mary Shanma</t>
  </si>
  <si>
    <t>Binfy Markos</t>
  </si>
  <si>
    <t>Jyothy Jose</t>
  </si>
  <si>
    <t>Aswathy P S</t>
  </si>
  <si>
    <t>Suma V C</t>
  </si>
  <si>
    <t>Merlin Paulose 7753</t>
  </si>
  <si>
    <t>Meera T S</t>
  </si>
  <si>
    <t>Aswathy E V</t>
  </si>
  <si>
    <t>Veena P V</t>
  </si>
  <si>
    <t>Abithamol</t>
  </si>
  <si>
    <t>Executive- Accounts &amp; Finance</t>
  </si>
  <si>
    <t>Vrinda R V</t>
  </si>
  <si>
    <t>Telephone Operator</t>
  </si>
  <si>
    <t>Reneesha K Babu</t>
  </si>
  <si>
    <t>Divya Priya P</t>
  </si>
  <si>
    <t>Medical Physicist</t>
  </si>
  <si>
    <t>Rosily Jismy C J</t>
  </si>
  <si>
    <t>Liver Transplant</t>
  </si>
  <si>
    <t>Doc Comprehensive Liver Care</t>
  </si>
  <si>
    <t>Shabana Sherin A</t>
  </si>
  <si>
    <t>Megha T T</t>
  </si>
  <si>
    <t>Assistant Manager-Hr</t>
  </si>
  <si>
    <t>Permanent With Vol.Pf</t>
  </si>
  <si>
    <t>Aswathi P T</t>
  </si>
  <si>
    <t>Syamkumar K K</t>
  </si>
  <si>
    <t>It Executive</t>
  </si>
  <si>
    <t>Sreelekshmi S</t>
  </si>
  <si>
    <t>Niveya Merin</t>
  </si>
  <si>
    <t>Devika P A</t>
  </si>
  <si>
    <t>Gifty Paulose</t>
  </si>
  <si>
    <t>Rincy Joseph</t>
  </si>
  <si>
    <t>Suryamol S</t>
  </si>
  <si>
    <t>Jisna George</t>
  </si>
  <si>
    <t>Vandana A</t>
  </si>
  <si>
    <t>Arya M M</t>
  </si>
  <si>
    <t>Sreevidya Babu</t>
  </si>
  <si>
    <t>Vishnu Sanu</t>
  </si>
  <si>
    <t>Reshmi K T</t>
  </si>
  <si>
    <t>Anakha K S</t>
  </si>
  <si>
    <t>Arun Johnson V J</t>
  </si>
  <si>
    <t>Swathy M S</t>
  </si>
  <si>
    <t>Santhikrishna</t>
  </si>
  <si>
    <t>Asha Raphael K</t>
  </si>
  <si>
    <t>Arathi Sajeev</t>
  </si>
  <si>
    <t>Ann Anna Stephanac A</t>
  </si>
  <si>
    <t>Neurosurgery</t>
  </si>
  <si>
    <t>Sreelakshmi T R</t>
  </si>
  <si>
    <t>Prabha G Nadh</t>
  </si>
  <si>
    <t>Gastro Medical Icu</t>
  </si>
  <si>
    <t>Parthasarathi V</t>
  </si>
  <si>
    <t>Gibin K B</t>
  </si>
  <si>
    <t>Manager - Corporate Relations</t>
  </si>
  <si>
    <t>Health Care Promotions</t>
  </si>
  <si>
    <t>Rahul T R</t>
  </si>
  <si>
    <t>Kavya Raj</t>
  </si>
  <si>
    <t>Anila Xavier</t>
  </si>
  <si>
    <t>Bency Jose</t>
  </si>
  <si>
    <t>Ansu Joseph</t>
  </si>
  <si>
    <t>Anu Kurian</t>
  </si>
  <si>
    <t>Jerin Jose</t>
  </si>
  <si>
    <t>Athira Raju</t>
  </si>
  <si>
    <t>Naveena Martin</t>
  </si>
  <si>
    <t>Sindhu Rajesh</t>
  </si>
  <si>
    <t>Indu Abraham</t>
  </si>
  <si>
    <t>Jomon Jose</t>
  </si>
  <si>
    <t>Feba S J</t>
  </si>
  <si>
    <t>Probation</t>
  </si>
  <si>
    <t>Gokul Gopi</t>
  </si>
  <si>
    <t>Sandra Shaji</t>
  </si>
  <si>
    <t>Saranya C R</t>
  </si>
  <si>
    <t>Gopika Jayanthan</t>
  </si>
  <si>
    <t>Lindamol Varghese</t>
  </si>
  <si>
    <t>Nisha S</t>
  </si>
  <si>
    <t>Athiradas</t>
  </si>
  <si>
    <t>Nayana K</t>
  </si>
  <si>
    <t>Aleena Francis</t>
  </si>
  <si>
    <t>Remya Raveendran</t>
  </si>
  <si>
    <t>Haritha Prasad</t>
  </si>
  <si>
    <t>Niva Boban</t>
  </si>
  <si>
    <t>Binoma John</t>
  </si>
  <si>
    <t>Anagha K M</t>
  </si>
  <si>
    <t>Babitha Babu</t>
  </si>
  <si>
    <t>Parvathy A A</t>
  </si>
  <si>
    <t>S K Abdulla</t>
  </si>
  <si>
    <t>Managing Director</t>
  </si>
  <si>
    <t>Mekha P U</t>
  </si>
  <si>
    <t>Akshara Jyothi</t>
  </si>
  <si>
    <t>Priya Thomas</t>
  </si>
  <si>
    <t>Plamena James A M</t>
  </si>
  <si>
    <t>Ambily Gopalan</t>
  </si>
  <si>
    <t>Shari Mol K S</t>
  </si>
  <si>
    <t>Annsherin K V</t>
  </si>
  <si>
    <t>Kiran Suresh</t>
  </si>
  <si>
    <t>Sajitha C</t>
  </si>
  <si>
    <t>Shemi Mol Z</t>
  </si>
  <si>
    <t>Deputy Manager - Hr</t>
  </si>
  <si>
    <t>Jyothimol S</t>
  </si>
  <si>
    <t>Meenu N C</t>
  </si>
  <si>
    <t>Paediatric Ward</t>
  </si>
  <si>
    <t>Arundhathi S</t>
  </si>
  <si>
    <t>Nayana Km</t>
  </si>
  <si>
    <t>Divya P B</t>
  </si>
  <si>
    <t>Krupa Thomas</t>
  </si>
  <si>
    <t>Neethu N U</t>
  </si>
  <si>
    <t>Priya Mohan</t>
  </si>
  <si>
    <t>Athira V S</t>
  </si>
  <si>
    <t>Jomol T B</t>
  </si>
  <si>
    <t>Sandra Bose</t>
  </si>
  <si>
    <t>Amrutha A</t>
  </si>
  <si>
    <t>Reshma R-8140</t>
  </si>
  <si>
    <t>Radiology Associate</t>
  </si>
  <si>
    <t>Bindu Varghese</t>
  </si>
  <si>
    <t>Neethu Mohan</t>
  </si>
  <si>
    <t>Shibin P B</t>
  </si>
  <si>
    <t>Reshma M R 8150</t>
  </si>
  <si>
    <t>2nd</t>
  </si>
  <si>
    <t>Jojo Antony A G</t>
  </si>
  <si>
    <t>General Trade Mechanic</t>
  </si>
  <si>
    <t>Dileep Kumar K P</t>
  </si>
  <si>
    <t>Gardener</t>
  </si>
  <si>
    <t>Arya S</t>
  </si>
  <si>
    <t>Athira V V</t>
  </si>
  <si>
    <t>Sarimol Sasi 8165</t>
  </si>
  <si>
    <t>Priyanka P R 8175</t>
  </si>
  <si>
    <t>Binsha N S</t>
  </si>
  <si>
    <t>Athira S S</t>
  </si>
  <si>
    <t>Amrutha K S</t>
  </si>
  <si>
    <t>Anjali V S</t>
  </si>
  <si>
    <t>Avani V Babu</t>
  </si>
  <si>
    <t>Drishya D</t>
  </si>
  <si>
    <t>Soumya Asokan</t>
  </si>
  <si>
    <t>Delna Joseph</t>
  </si>
  <si>
    <t>Dietitian</t>
  </si>
  <si>
    <t>Athira S 8220</t>
  </si>
  <si>
    <t>Manju Mathew</t>
  </si>
  <si>
    <t>Ferseena C J</t>
  </si>
  <si>
    <t>Krishnapriya Sivan</t>
  </si>
  <si>
    <t>Deepa M</t>
  </si>
  <si>
    <t>Manjula Madanan</t>
  </si>
  <si>
    <t>Karthika S Pillai</t>
  </si>
  <si>
    <t>Sujitha C S</t>
  </si>
  <si>
    <t>Aswathy Vijay</t>
  </si>
  <si>
    <t>Sreejith P</t>
  </si>
  <si>
    <t>Jr.Microbiologist</t>
  </si>
  <si>
    <t>Gopika G 8285</t>
  </si>
  <si>
    <t>Aryamol M</t>
  </si>
  <si>
    <t>Amal Raj M</t>
  </si>
  <si>
    <t>Executive -Insurance</t>
  </si>
  <si>
    <t>Amrutha T Jayan</t>
  </si>
  <si>
    <t>Aida Trease Thomas</t>
  </si>
  <si>
    <t>Sreedevi R Nair</t>
  </si>
  <si>
    <t>Anna Thomas</t>
  </si>
  <si>
    <t>Meera Babu</t>
  </si>
  <si>
    <t>Shibu E A</t>
  </si>
  <si>
    <t>Dgm-Radiology</t>
  </si>
  <si>
    <t>Metilda D Cruz 8310</t>
  </si>
  <si>
    <t>Ananthakrishnan K S 8317</t>
  </si>
  <si>
    <t>Jeny Mol Joy</t>
  </si>
  <si>
    <t>Mary Ashna K X</t>
  </si>
  <si>
    <t>Prajeeshmon K P</t>
  </si>
  <si>
    <t>Pretty Rachel John</t>
  </si>
  <si>
    <t>Prajeesha K P 8339</t>
  </si>
  <si>
    <t>Saranya Babu 8340</t>
  </si>
  <si>
    <t>Dr Prasanth A S</t>
  </si>
  <si>
    <t>Hodâ€“Biochemistry &amp; Lab Quality</t>
  </si>
  <si>
    <t>Neethu V Nair</t>
  </si>
  <si>
    <t>Thresiamma V J</t>
  </si>
  <si>
    <t>Saranya Mol K U</t>
  </si>
  <si>
    <t>Mohammed Raouf K</t>
  </si>
  <si>
    <t>Elizabeth Steena Saju</t>
  </si>
  <si>
    <t>Sruthi Francis</t>
  </si>
  <si>
    <t>Sreeja T R</t>
  </si>
  <si>
    <t>Aparna D</t>
  </si>
  <si>
    <t>Amitha Shaji</t>
  </si>
  <si>
    <t>3rd Tower Iii</t>
  </si>
  <si>
    <t>Akhila George</t>
  </si>
  <si>
    <t>Keerthi G S</t>
  </si>
  <si>
    <t>Bettin C B</t>
  </si>
  <si>
    <t>Fire And Safety Technician</t>
  </si>
  <si>
    <t>Monisha Prakash</t>
  </si>
  <si>
    <t>Arathy P M</t>
  </si>
  <si>
    <t>Athulya C P</t>
  </si>
  <si>
    <t>Veena V</t>
  </si>
  <si>
    <t>Maria Varghese</t>
  </si>
  <si>
    <t>Athulya Prabhu</t>
  </si>
  <si>
    <t>Riya Sabu 8431</t>
  </si>
  <si>
    <t>Elsa Mary Joy</t>
  </si>
  <si>
    <t>Lakshmi Jayakumar P</t>
  </si>
  <si>
    <t>Aneesha G</t>
  </si>
  <si>
    <t>Vibishna Vinayakumar</t>
  </si>
  <si>
    <t>Jomol Sebastian</t>
  </si>
  <si>
    <t>Jisna Joy</t>
  </si>
  <si>
    <t>Jomy George</t>
  </si>
  <si>
    <t>Sruthy Mol P D</t>
  </si>
  <si>
    <t>Surya M S</t>
  </si>
  <si>
    <t>Athira P N</t>
  </si>
  <si>
    <t>Arsha Antony</t>
  </si>
  <si>
    <t>Esther Jacob</t>
  </si>
  <si>
    <t>Binsha K P</t>
  </si>
  <si>
    <t>Divya Mohandas</t>
  </si>
  <si>
    <t>Josphine Rositta V R</t>
  </si>
  <si>
    <t>Aiswarya M K</t>
  </si>
  <si>
    <t>Monisha P M</t>
  </si>
  <si>
    <t>Jisha O V</t>
  </si>
  <si>
    <t>Shaijan P G</t>
  </si>
  <si>
    <t>Theresa Johnson</t>
  </si>
  <si>
    <t>Perfusionist</t>
  </si>
  <si>
    <t>Cardiothorasic Staff 2</t>
  </si>
  <si>
    <t>Aryamol S</t>
  </si>
  <si>
    <t>Muhammed Hilal</t>
  </si>
  <si>
    <t>Manager On Duty</t>
  </si>
  <si>
    <t>Sini Mohan</t>
  </si>
  <si>
    <t>Abhijith M K</t>
  </si>
  <si>
    <t>Tinil Marshal A J</t>
  </si>
  <si>
    <t>Saranya S</t>
  </si>
  <si>
    <t>Ortho Icu</t>
  </si>
  <si>
    <t>Sethu Lakshmi V L</t>
  </si>
  <si>
    <t>Sumesh M M</t>
  </si>
  <si>
    <t>Ansifa C N</t>
  </si>
  <si>
    <t>Keerthi C S</t>
  </si>
  <si>
    <t>Anjana Raju</t>
  </si>
  <si>
    <t>Rinsiya O A</t>
  </si>
  <si>
    <t>Sijimol N S</t>
  </si>
  <si>
    <t>Rakhi Renjith</t>
  </si>
  <si>
    <t>Athul Martin</t>
  </si>
  <si>
    <t>Vinu Varghese</t>
  </si>
  <si>
    <t>Amitha Sunny</t>
  </si>
  <si>
    <t>Aiswarya K A</t>
  </si>
  <si>
    <t>Jini Joseph</t>
  </si>
  <si>
    <t>Mary Gracy</t>
  </si>
  <si>
    <t>Gopika T P</t>
  </si>
  <si>
    <t>Dhanya Sreedhar</t>
  </si>
  <si>
    <t>Anjumol A A</t>
  </si>
  <si>
    <t>Maria Gloria A M</t>
  </si>
  <si>
    <t>Gopika K N</t>
  </si>
  <si>
    <t>Shibu Gopalan</t>
  </si>
  <si>
    <t>Jino Joseph</t>
  </si>
  <si>
    <t>Assi Manager- Hcp</t>
  </si>
  <si>
    <t>Marketing</t>
  </si>
  <si>
    <t>Suneef N</t>
  </si>
  <si>
    <t>Vidya K V</t>
  </si>
  <si>
    <t>Mini John</t>
  </si>
  <si>
    <t>Fathima R K</t>
  </si>
  <si>
    <t>Lijimol David</t>
  </si>
  <si>
    <t>Jyothi Babu</t>
  </si>
  <si>
    <t>Sachin Jose</t>
  </si>
  <si>
    <t>Psychiatric Social Worker</t>
  </si>
  <si>
    <t>Avinash Thankappan</t>
  </si>
  <si>
    <t>Senior Radiographer</t>
  </si>
  <si>
    <t>Arya C P</t>
  </si>
  <si>
    <t>Sindhya A S</t>
  </si>
  <si>
    <t>Devikrishna K S</t>
  </si>
  <si>
    <t>Reshma Devi K R</t>
  </si>
  <si>
    <t>Anandhalakshmi K Ratheesan</t>
  </si>
  <si>
    <t>Amitha K M</t>
  </si>
  <si>
    <t>Anny Joseph</t>
  </si>
  <si>
    <t>Nijil Anilkumar</t>
  </si>
  <si>
    <t>Neethu A F</t>
  </si>
  <si>
    <t>Nayana V R</t>
  </si>
  <si>
    <t>Anju Babu</t>
  </si>
  <si>
    <t>Renjini P B</t>
  </si>
  <si>
    <t>I Saeed Ahsan</t>
  </si>
  <si>
    <t>Physiotherapist</t>
  </si>
  <si>
    <t>Unnimaya P B</t>
  </si>
  <si>
    <t>Sivapriya</t>
  </si>
  <si>
    <t>Divya K D</t>
  </si>
  <si>
    <t>Ashna Sunny</t>
  </si>
  <si>
    <t>Sumitha Suresh</t>
  </si>
  <si>
    <t>Praveen Sunil</t>
  </si>
  <si>
    <t>Noufiya S</t>
  </si>
  <si>
    <t>Rajimol N R</t>
  </si>
  <si>
    <t>Nija S Renjan</t>
  </si>
  <si>
    <t>Sethulekshmi S</t>
  </si>
  <si>
    <t>Akshaya G</t>
  </si>
  <si>
    <t>Thresiamma Varghese</t>
  </si>
  <si>
    <t>Nissy Baby</t>
  </si>
  <si>
    <t>Jr.Molecular Biologist</t>
  </si>
  <si>
    <t>Sajitha P S</t>
  </si>
  <si>
    <t>Sonia Baby</t>
  </si>
  <si>
    <t>Stefin Mattathil Joseph</t>
  </si>
  <si>
    <t>It Support Engineer</t>
  </si>
  <si>
    <t>Divya Poulose</t>
  </si>
  <si>
    <t>Nisha Mol C J</t>
  </si>
  <si>
    <t>Anusree J</t>
  </si>
  <si>
    <t>Katherine Thomas</t>
  </si>
  <si>
    <t>Raveena Boyujaid</t>
  </si>
  <si>
    <t>Aleena Joseph</t>
  </si>
  <si>
    <t>Sheethal V P</t>
  </si>
  <si>
    <t>Asst Manager Financial Counselling</t>
  </si>
  <si>
    <t>Muhammed Rami Ajmal T</t>
  </si>
  <si>
    <t>Sandra Maria Lukose</t>
  </si>
  <si>
    <t>Sreedevi Sunil</t>
  </si>
  <si>
    <t>Jinu Sara Koshy</t>
  </si>
  <si>
    <t>Josna E U</t>
  </si>
  <si>
    <t>Anju Eapen</t>
  </si>
  <si>
    <t>Executive- Hr</t>
  </si>
  <si>
    <t>Jayesh V Nair</t>
  </si>
  <si>
    <t>Chief Executive Officer</t>
  </si>
  <si>
    <t>Sariga Santhosh</t>
  </si>
  <si>
    <t>Optometrist</t>
  </si>
  <si>
    <t>Ophthalmology</t>
  </si>
  <si>
    <t>Amala Edwin A A</t>
  </si>
  <si>
    <t>Sruthy V J</t>
  </si>
  <si>
    <t>Ajitha K.R</t>
  </si>
  <si>
    <t>Jaquleen K Mathew</t>
  </si>
  <si>
    <t>Brijil Joseph</t>
  </si>
  <si>
    <t>Corporate Communication</t>
  </si>
  <si>
    <t>Anju Gopi</t>
  </si>
  <si>
    <t>Sivapriya S</t>
  </si>
  <si>
    <t>Reshma V M</t>
  </si>
  <si>
    <t>Alfana M.P</t>
  </si>
  <si>
    <t>Pooja Thambi</t>
  </si>
  <si>
    <t>Pooja K Binu</t>
  </si>
  <si>
    <t>Gokuldas C M</t>
  </si>
  <si>
    <t>Soby P B</t>
  </si>
  <si>
    <t>Alka John</t>
  </si>
  <si>
    <t>Alisha Anish</t>
  </si>
  <si>
    <t>Mary Reshma K V</t>
  </si>
  <si>
    <t>Sreehari T</t>
  </si>
  <si>
    <t>Radiographer</t>
  </si>
  <si>
    <t>Rineesh Thomas P</t>
  </si>
  <si>
    <t>Shilu Saju</t>
  </si>
  <si>
    <t>Aparna T M</t>
  </si>
  <si>
    <t>Athira P S</t>
  </si>
  <si>
    <t>Nurse</t>
  </si>
  <si>
    <t>Trainee</t>
  </si>
  <si>
    <t>Ajimol K J</t>
  </si>
  <si>
    <t>Athira N P</t>
  </si>
  <si>
    <t>Samkhya P S</t>
  </si>
  <si>
    <t>Shuhair M K</t>
  </si>
  <si>
    <t>Dr Orvil Elishwa Gogy</t>
  </si>
  <si>
    <t>Thanveer Umer</t>
  </si>
  <si>
    <t>Mariya Sunny</t>
  </si>
  <si>
    <t>Shiyona Dinson</t>
  </si>
  <si>
    <t>Mereena Saju</t>
  </si>
  <si>
    <t>Jency Joseph</t>
  </si>
  <si>
    <t>Indhu A</t>
  </si>
  <si>
    <t>Tisna Joy V</t>
  </si>
  <si>
    <t>Neurology Staff</t>
  </si>
  <si>
    <t>Aswathy Sivan</t>
  </si>
  <si>
    <t>Nikhil K J</t>
  </si>
  <si>
    <t>Radhika B</t>
  </si>
  <si>
    <t>Krishnapriya R</t>
  </si>
  <si>
    <t>Aryamol P G</t>
  </si>
  <si>
    <t>Suveena M A</t>
  </si>
  <si>
    <t>Nimmy Nelson</t>
  </si>
  <si>
    <t>Haritha E S</t>
  </si>
  <si>
    <t>Mamitha Nayak</t>
  </si>
  <si>
    <t>Jincy P Isac</t>
  </si>
  <si>
    <t>Seleena S</t>
  </si>
  <si>
    <t>Aksa B</t>
  </si>
  <si>
    <t>Lakshmi S</t>
  </si>
  <si>
    <t>Jairy Johns</t>
  </si>
  <si>
    <t>Maneeshmon K K</t>
  </si>
  <si>
    <t>Fitter</t>
  </si>
  <si>
    <t>Binitta Binu</t>
  </si>
  <si>
    <t>Angel Rose Biju</t>
  </si>
  <si>
    <t>Mary Dayana T S</t>
  </si>
  <si>
    <t>Dilsa Eldho</t>
  </si>
  <si>
    <t>Starlit Susan Jacob</t>
  </si>
  <si>
    <t>Athira V R</t>
  </si>
  <si>
    <t>Benny Pavil</t>
  </si>
  <si>
    <t>Cath Lab Technician</t>
  </si>
  <si>
    <t>Subeena Shamsudheen P V</t>
  </si>
  <si>
    <t>Echo Technician</t>
  </si>
  <si>
    <t>Eco</t>
  </si>
  <si>
    <t>Philomina Riyamol</t>
  </si>
  <si>
    <t>Anshitha K A</t>
  </si>
  <si>
    <t>Amal Job</t>
  </si>
  <si>
    <t>Reshma C M</t>
  </si>
  <si>
    <t>Amala Raju</t>
  </si>
  <si>
    <t>Sandra Mariya Joseph</t>
  </si>
  <si>
    <t>Ramya Ramesh K</t>
  </si>
  <si>
    <t>Jeena K N</t>
  </si>
  <si>
    <t>Pooja K S</t>
  </si>
  <si>
    <t>Jissymol Francis</t>
  </si>
  <si>
    <t>Jisa Rajan</t>
  </si>
  <si>
    <t>Drishya V S</t>
  </si>
  <si>
    <t>Revathy R</t>
  </si>
  <si>
    <t>Mary Rinsha Xavier</t>
  </si>
  <si>
    <t>Anilkumar T</t>
  </si>
  <si>
    <t>Manager-Corporate Communicati</t>
  </si>
  <si>
    <t>Vrindha R Mohan</t>
  </si>
  <si>
    <t>Vrindha V C</t>
  </si>
  <si>
    <t>Alvina John</t>
  </si>
  <si>
    <t>Bincy Benny</t>
  </si>
  <si>
    <t>Meenu Shaju</t>
  </si>
  <si>
    <t>Jenny Mary Sunil</t>
  </si>
  <si>
    <t>Drishya Dev K</t>
  </si>
  <si>
    <t>Vishal Sunny</t>
  </si>
  <si>
    <t>Jerin Sojan</t>
  </si>
  <si>
    <t>Liver Transplant Coordinator</t>
  </si>
  <si>
    <t>Aneesha T</t>
  </si>
  <si>
    <t>Sumayya H</t>
  </si>
  <si>
    <t>Padmavathi N</t>
  </si>
  <si>
    <t>Chief Nursing Officer</t>
  </si>
  <si>
    <t>Nikesh V P</t>
  </si>
  <si>
    <t>Aparna P U</t>
  </si>
  <si>
    <t>Anumol P K</t>
  </si>
  <si>
    <t>Aparna V K</t>
  </si>
  <si>
    <t>Sandra P S</t>
  </si>
  <si>
    <t>Fredin Joseph V G</t>
  </si>
  <si>
    <t>Gayathri Devi K</t>
  </si>
  <si>
    <t>Aswathi K P</t>
  </si>
  <si>
    <t>Tmt Technician</t>
  </si>
  <si>
    <t>Deepika M S</t>
  </si>
  <si>
    <t>Abhijith J P</t>
  </si>
  <si>
    <t>Crispin Titus</t>
  </si>
  <si>
    <t>Vinaya V C</t>
  </si>
  <si>
    <t>Ajmal K J</t>
  </si>
  <si>
    <t>Arnold Chris Alex</t>
  </si>
  <si>
    <t>Kishor C K</t>
  </si>
  <si>
    <t>John Thomas</t>
  </si>
  <si>
    <t>Anjana Gopalakrishnan</t>
  </si>
  <si>
    <t>Bmt</t>
  </si>
  <si>
    <t>Sherin Reji</t>
  </si>
  <si>
    <t>Alphonsa Mathew</t>
  </si>
  <si>
    <t>Sameera Jose</t>
  </si>
  <si>
    <t>Athira Sajan</t>
  </si>
  <si>
    <t>Arathy S</t>
  </si>
  <si>
    <t>Bhagyalakshmi M O</t>
  </si>
  <si>
    <t>Sachitha K S</t>
  </si>
  <si>
    <t>Achu Roy</t>
  </si>
  <si>
    <t>Asha D</t>
  </si>
  <si>
    <t>Jasna J N</t>
  </si>
  <si>
    <t>Ip Coordinator</t>
  </si>
  <si>
    <t>Patient Care Ip</t>
  </si>
  <si>
    <t>Diya Antu</t>
  </si>
  <si>
    <t>Krishnapriya M S</t>
  </si>
  <si>
    <t>Sandra Elsa Varghese</t>
  </si>
  <si>
    <t>Anusha George</t>
  </si>
  <si>
    <t>Megha Nigi</t>
  </si>
  <si>
    <t>Jasna R</t>
  </si>
  <si>
    <t>Arunima I K</t>
  </si>
  <si>
    <t>Aparna C R</t>
  </si>
  <si>
    <t>Sruthi Nandan</t>
  </si>
  <si>
    <t>Sujitha Vasudevan</t>
  </si>
  <si>
    <t>Assistant Manager - Ip</t>
  </si>
  <si>
    <t>Neeraja Thankam Saji</t>
  </si>
  <si>
    <t>Jyothi Raj</t>
  </si>
  <si>
    <t>Resmi K</t>
  </si>
  <si>
    <t>Muhammed Ziyad C S</t>
  </si>
  <si>
    <t>Rahul Krishnan R</t>
  </si>
  <si>
    <t>Reema Prince</t>
  </si>
  <si>
    <t>Arunya Sabu</t>
  </si>
  <si>
    <t>Sarika L</t>
  </si>
  <si>
    <t>Varun K R</t>
  </si>
  <si>
    <t>Nimmy Varghese</t>
  </si>
  <si>
    <t>Ayana Harikumar</t>
  </si>
  <si>
    <t>Emergency Medical Technician</t>
  </si>
  <si>
    <t>Accident&amp;Emergency</t>
  </si>
  <si>
    <t>Emt</t>
  </si>
  <si>
    <t>Trisanka T S</t>
  </si>
  <si>
    <t>Harikrishnan M</t>
  </si>
  <si>
    <t>Reshmi S</t>
  </si>
  <si>
    <t>Parvathy S</t>
  </si>
  <si>
    <t>Arathi Praseedan</t>
  </si>
  <si>
    <t>Sandhya Piilai</t>
  </si>
  <si>
    <t>Vismaya Babu</t>
  </si>
  <si>
    <t>Ashish K Dileep</t>
  </si>
  <si>
    <t>Pooja Dath N S</t>
  </si>
  <si>
    <t>Sejil Sabu</t>
  </si>
  <si>
    <t>Jolsana K Joy</t>
  </si>
  <si>
    <t>Devi Chandana</t>
  </si>
  <si>
    <t>Maria Eldhose</t>
  </si>
  <si>
    <t>Ginu Sunny</t>
  </si>
  <si>
    <t>Nishad Rahman P.I</t>
  </si>
  <si>
    <t>Anusree M S</t>
  </si>
  <si>
    <t>Sherin P R</t>
  </si>
  <si>
    <t>Stores Assistant</t>
  </si>
  <si>
    <t>Krishnapriya G</t>
  </si>
  <si>
    <t>Rose Mary Thomas</t>
  </si>
  <si>
    <t>Bibina Mary George</t>
  </si>
  <si>
    <t>Christy George</t>
  </si>
  <si>
    <t>Jomini Joseph</t>
  </si>
  <si>
    <t>Reshma M</t>
  </si>
  <si>
    <t>Anna Martin</t>
  </si>
  <si>
    <t>Anju Paulose</t>
  </si>
  <si>
    <t>Anju Jose</t>
  </si>
  <si>
    <t>Anjaly Viju</t>
  </si>
  <si>
    <t>Jishar Babu T</t>
  </si>
  <si>
    <t>Chief Engineer</t>
  </si>
  <si>
    <t>Sajan T J</t>
  </si>
  <si>
    <t>Prince S</t>
  </si>
  <si>
    <t>Shyni S</t>
  </si>
  <si>
    <t>Smitha Priya Rodrigues</t>
  </si>
  <si>
    <t>Greeshma Kurian</t>
  </si>
  <si>
    <t>Vinitha V M</t>
  </si>
  <si>
    <t>Ayana Elsa Christy</t>
  </si>
  <si>
    <t>Dilshad V P</t>
  </si>
  <si>
    <t>Sarath Surendran</t>
  </si>
  <si>
    <t>Surya Mol K K</t>
  </si>
  <si>
    <t>Vishnu M Vijayan</t>
  </si>
  <si>
    <t>Jenipher Magdalin V F</t>
  </si>
  <si>
    <t>Jismi Abraham</t>
  </si>
  <si>
    <t>Jayasoorian Unni B S</t>
  </si>
  <si>
    <t>Shameem B</t>
  </si>
  <si>
    <t>Amitha Ajikumar</t>
  </si>
  <si>
    <t>Ashna Mariya</t>
  </si>
  <si>
    <t>Jomol Johny</t>
  </si>
  <si>
    <t>Sreddha P U</t>
  </si>
  <si>
    <t>Sajin T Sajeevan</t>
  </si>
  <si>
    <t>Faijas Yasir Khan M M</t>
  </si>
  <si>
    <t>Sukanya G</t>
  </si>
  <si>
    <t>Munavar Ali K</t>
  </si>
  <si>
    <t>Aswathy P R</t>
  </si>
  <si>
    <t>Ashika K M</t>
  </si>
  <si>
    <t>Sona James</t>
  </si>
  <si>
    <t>Manju Thankachan</t>
  </si>
  <si>
    <t>Aleena Sebastian</t>
  </si>
  <si>
    <t>Hassan Nizar</t>
  </si>
  <si>
    <t>Kavya Raviendran</t>
  </si>
  <si>
    <t>Yuktha Krishna</t>
  </si>
  <si>
    <t>Athulya K A</t>
  </si>
  <si>
    <t>Gigimol Reji</t>
  </si>
  <si>
    <t>Sreelakshmi K N</t>
  </si>
  <si>
    <t>Akhila Raghavan</t>
  </si>
  <si>
    <t>Rose Mariya Varghese</t>
  </si>
  <si>
    <t>Sulthana Thaha</t>
  </si>
  <si>
    <t>Rajimsha A</t>
  </si>
  <si>
    <t>Anju C N</t>
  </si>
  <si>
    <t>Jessy C K</t>
  </si>
  <si>
    <t>Amritha M M</t>
  </si>
  <si>
    <t>Aneesha Babu</t>
  </si>
  <si>
    <t>Muhammed Sahal P J</t>
  </si>
  <si>
    <t>Hasbiya G</t>
  </si>
  <si>
    <t>Raiba Roy</t>
  </si>
  <si>
    <t>Pravitha P</t>
  </si>
  <si>
    <t>Operations Manager</t>
  </si>
  <si>
    <t>Gopika N</t>
  </si>
  <si>
    <t>Bhagyalakshmi V J</t>
  </si>
  <si>
    <t>Abhijith Babu</t>
  </si>
  <si>
    <t>Aisha Nazeer</t>
  </si>
  <si>
    <t>Krishnendu S</t>
  </si>
  <si>
    <t>Jeff Mathew P</t>
  </si>
  <si>
    <t>Aysha Shajahan</t>
  </si>
  <si>
    <t>Anusree S</t>
  </si>
  <si>
    <t>Urmila Unni J</t>
  </si>
  <si>
    <t>Vishnu Priya B</t>
  </si>
  <si>
    <t>Anakha J</t>
  </si>
  <si>
    <t>Jomol P G</t>
  </si>
  <si>
    <t>Ramdev S Marangattil</t>
  </si>
  <si>
    <t>Ahammed Y</t>
  </si>
  <si>
    <t>Jobymon Thomas</t>
  </si>
  <si>
    <t>Treesa Poulose</t>
  </si>
  <si>
    <t>Ansa Mary Sam</t>
  </si>
  <si>
    <t>Arija Ajikumar</t>
  </si>
  <si>
    <t>Vismaya P</t>
  </si>
  <si>
    <t>Anu A B</t>
  </si>
  <si>
    <t>Megha Rose P R</t>
  </si>
  <si>
    <t>Betty M Benny</t>
  </si>
  <si>
    <t>Abdul Haseeb K A</t>
  </si>
  <si>
    <t>Muhammed Sharjin N</t>
  </si>
  <si>
    <t>Anjali Prathap P</t>
  </si>
  <si>
    <t>Sneha K</t>
  </si>
  <si>
    <t>Jipson P K</t>
  </si>
  <si>
    <t>Graphic Designer</t>
  </si>
  <si>
    <t>Rahul Mohan</t>
  </si>
  <si>
    <t>Muhammed Suhail M P</t>
  </si>
  <si>
    <t>Jesteena P J</t>
  </si>
  <si>
    <t>Assistant</t>
  </si>
  <si>
    <t>Abhishek Babu9226</t>
  </si>
  <si>
    <t>Meghamol Johny</t>
  </si>
  <si>
    <t>Athira S</t>
  </si>
  <si>
    <t>Sona P J</t>
  </si>
  <si>
    <t>Divya Cyriac</t>
  </si>
  <si>
    <t>Ancy S</t>
  </si>
  <si>
    <t>Melissa Rajesh</t>
  </si>
  <si>
    <t>Disna Jacob Chirattoliyil</t>
  </si>
  <si>
    <t>Sona Shaji</t>
  </si>
  <si>
    <t>Antoney Keeyaly</t>
  </si>
  <si>
    <t>Jincy Mathew</t>
  </si>
  <si>
    <t>Rehana Devadas</t>
  </si>
  <si>
    <t>Anviya Shaju</t>
  </si>
  <si>
    <t>Anjana Retheepan</t>
  </si>
  <si>
    <t>Lakshmi Babu</t>
  </si>
  <si>
    <t>Thameem K N</t>
  </si>
  <si>
    <t>Neethu P N</t>
  </si>
  <si>
    <t>Remyamol R</t>
  </si>
  <si>
    <t>Chinju Poulose</t>
  </si>
  <si>
    <t>Neethu K Baburaj</t>
  </si>
  <si>
    <t>Data Entry Operator</t>
  </si>
  <si>
    <t>Malavika T M</t>
  </si>
  <si>
    <t>Deepthi M D</t>
  </si>
  <si>
    <t>Anjana Prakasan</t>
  </si>
  <si>
    <t>Anjana V B</t>
  </si>
  <si>
    <t>Jasmi Jose</t>
  </si>
  <si>
    <t>Suja C J</t>
  </si>
  <si>
    <t>Sanithakumari P S</t>
  </si>
  <si>
    <t>Rincy Michael</t>
  </si>
  <si>
    <t>Angel E V</t>
  </si>
  <si>
    <t>Nimmy Aleyamma John</t>
  </si>
  <si>
    <t>Akash Reji</t>
  </si>
  <si>
    <t>Rosmi Roy</t>
  </si>
  <si>
    <t>Sandra Mariya Anil</t>
  </si>
  <si>
    <t>Joicy K Joy</t>
  </si>
  <si>
    <t>Shyama V V</t>
  </si>
  <si>
    <t>Jacklin M S</t>
  </si>
  <si>
    <t>Vishnupriya C M</t>
  </si>
  <si>
    <t>Revathi P Nair</t>
  </si>
  <si>
    <t>Noel Jose</t>
  </si>
  <si>
    <t>Noorfathma Jabbar</t>
  </si>
  <si>
    <t>Abhishek Babu</t>
  </si>
  <si>
    <t>Dr. Sankeerthana C R</t>
  </si>
  <si>
    <t>Anjumol Mathew</t>
  </si>
  <si>
    <t>Muhamad Ameen</t>
  </si>
  <si>
    <t>Radiotheraphy Technologist</t>
  </si>
  <si>
    <t>Aryananda Arun</t>
  </si>
  <si>
    <t>Chinnu Siby</t>
  </si>
  <si>
    <t>Nandana N L</t>
  </si>
  <si>
    <t>Vishnu Mohan</t>
  </si>
  <si>
    <t>Assistant General Manager</t>
  </si>
  <si>
    <t>Lini Mariyam Varughese</t>
  </si>
  <si>
    <t>Athira R</t>
  </si>
  <si>
    <t>Preema Joji</t>
  </si>
  <si>
    <t>Liya Johnson</t>
  </si>
  <si>
    <t>Amrutha Vijayan</t>
  </si>
  <si>
    <t>Aldo Peter</t>
  </si>
  <si>
    <t>Sivani Purushothaman</t>
  </si>
  <si>
    <t>Nethra Sheeja</t>
  </si>
  <si>
    <t>Haritha K G</t>
  </si>
  <si>
    <t>Anjana P S</t>
  </si>
  <si>
    <t>Bincy K Baby</t>
  </si>
  <si>
    <t>Shinu Elizabath</t>
  </si>
  <si>
    <t>Fathima Muhzina A V</t>
  </si>
  <si>
    <t>Sruthy V S</t>
  </si>
  <si>
    <t>Ayisha V Y</t>
  </si>
  <si>
    <t>Pulmonology</t>
  </si>
  <si>
    <t>Doc Pulmanology</t>
  </si>
  <si>
    <t>Mary Lince V J</t>
  </si>
  <si>
    <t>Malavika S</t>
  </si>
  <si>
    <t>Arya Krishnan S</t>
  </si>
  <si>
    <t>Reshma T R</t>
  </si>
  <si>
    <t>Meera Mohan</t>
  </si>
  <si>
    <t>Deepu S S</t>
  </si>
  <si>
    <t>Keerthana R B</t>
  </si>
  <si>
    <t>Audiologist-Speech Pathologist</t>
  </si>
  <si>
    <t>Head &amp; Neck Oncology</t>
  </si>
  <si>
    <t>Head And Neck Doctors</t>
  </si>
  <si>
    <t>Shameer P S</t>
  </si>
  <si>
    <t>Diet Coordinator</t>
  </si>
  <si>
    <t>Treasa Sajishma Ks</t>
  </si>
  <si>
    <t>Dr Ananya S Prasad</t>
  </si>
  <si>
    <t>Anie Merlin</t>
  </si>
  <si>
    <t>Aneesh A</t>
  </si>
  <si>
    <t>Sr. Nuclear Medicine Technologist&amp;Incharge Cum Rso</t>
  </si>
  <si>
    <t>Sanker Venugopal</t>
  </si>
  <si>
    <t>Jinsa V Thomas</t>
  </si>
  <si>
    <t>Sanil Kumar K</t>
  </si>
  <si>
    <t>Aneesh N</t>
  </si>
  <si>
    <t>Navya M S</t>
  </si>
  <si>
    <t>Ardra K Aji</t>
  </si>
  <si>
    <t>Akshay Kumar A</t>
  </si>
  <si>
    <t>Noufila T N</t>
  </si>
  <si>
    <t>Jinsmol Benny</t>
  </si>
  <si>
    <t>Sini Merin Chacko</t>
  </si>
  <si>
    <t>Mettilda Damiyan</t>
  </si>
  <si>
    <t>Irin Eldhose</t>
  </si>
  <si>
    <t>Ajay Sabu</t>
  </si>
  <si>
    <t>Anakha Aji</t>
  </si>
  <si>
    <t>Krishnaja Saji</t>
  </si>
  <si>
    <t>Aleena Maria</t>
  </si>
  <si>
    <t>Jaidumol K J</t>
  </si>
  <si>
    <t>Febamol P Loveson</t>
  </si>
  <si>
    <t>Ashna Fathima</t>
  </si>
  <si>
    <t>Jetteena Joy</t>
  </si>
  <si>
    <t>Angel Mariya Francis</t>
  </si>
  <si>
    <t>Safna Salim</t>
  </si>
  <si>
    <t>Alifna P S</t>
  </si>
  <si>
    <t>Research Coordinator</t>
  </si>
  <si>
    <t>Anjana N S</t>
  </si>
  <si>
    <t>Subi Mol Biju</t>
  </si>
  <si>
    <t>Ansula James</t>
  </si>
  <si>
    <t>Kessiya Mariyam Shaji</t>
  </si>
  <si>
    <t>Ziya Sunny</t>
  </si>
  <si>
    <t>Sangeetha Santhosh</t>
  </si>
  <si>
    <t>Aadil Mathew</t>
  </si>
  <si>
    <t>Anisha Joseph</t>
  </si>
  <si>
    <t>Adheena Shijo</t>
  </si>
  <si>
    <t>Anakha Anilkumar</t>
  </si>
  <si>
    <t>Archana Somasekharan</t>
  </si>
  <si>
    <t>Navya P B</t>
  </si>
  <si>
    <t>Hijas Hassan</t>
  </si>
  <si>
    <t>Silpamol K S</t>
  </si>
  <si>
    <t>Sneha E V</t>
  </si>
  <si>
    <t>Abhaya Martin</t>
  </si>
  <si>
    <t>Vidhya R B</t>
  </si>
  <si>
    <t>Devikrishna P</t>
  </si>
  <si>
    <t>Sreelakshmi P U</t>
  </si>
  <si>
    <t>Sophiya</t>
  </si>
  <si>
    <t>Pinky Xavier</t>
  </si>
  <si>
    <t>Poojamol S</t>
  </si>
  <si>
    <t>Bharathi Mohan R</t>
  </si>
  <si>
    <t>Hr Executive</t>
  </si>
  <si>
    <t>Aysha V K</t>
  </si>
  <si>
    <t>Sneha Jose</t>
  </si>
  <si>
    <t>Muhammed Safeer S</t>
  </si>
  <si>
    <t>Aleena Antony</t>
  </si>
  <si>
    <t>Kiran Babu</t>
  </si>
  <si>
    <t>Mohammed Fijas</t>
  </si>
  <si>
    <t>Librarian</t>
  </si>
  <si>
    <t>Library</t>
  </si>
  <si>
    <t>Mariyamol M J</t>
  </si>
  <si>
    <t>Nayana Gopi</t>
  </si>
  <si>
    <t>Company Secretary</t>
  </si>
  <si>
    <t>Keerthy Prakash</t>
  </si>
  <si>
    <t>Arathi Mohanan</t>
  </si>
  <si>
    <t>Divyasree Bhaskaran</t>
  </si>
  <si>
    <t>Solaman Thomas</t>
  </si>
  <si>
    <t>Sandra C J</t>
  </si>
  <si>
    <t>Chilsiya Martin</t>
  </si>
  <si>
    <t>Mohammed Haseeb K</t>
  </si>
  <si>
    <t>Amal Saju</t>
  </si>
  <si>
    <t>Anjala K K</t>
  </si>
  <si>
    <t>Anusha Santhosh</t>
  </si>
  <si>
    <t>Sona Mathew</t>
  </si>
  <si>
    <t>Deglutologist &amp; Speech Language Pathologist</t>
  </si>
  <si>
    <t>Niyamol Joy</t>
  </si>
  <si>
    <t>Shamnas Ks</t>
  </si>
  <si>
    <t>Vishnupriya K B</t>
  </si>
  <si>
    <t>Milsy Joseph</t>
  </si>
  <si>
    <t>Assistant Chief Nursing Officer</t>
  </si>
  <si>
    <t>Reshmi N R</t>
  </si>
  <si>
    <t>Saran S S</t>
  </si>
  <si>
    <t>Ashmi Rahim</t>
  </si>
  <si>
    <t>Alfiya Nassar</t>
  </si>
  <si>
    <t>Mohammed Sadhiq V P</t>
  </si>
  <si>
    <t>Dani Jose Praveen</t>
  </si>
  <si>
    <t>Anna Rose Paul</t>
  </si>
  <si>
    <t>Neena Sajan</t>
  </si>
  <si>
    <t>Respiratory Therapist</t>
  </si>
  <si>
    <t>Singaravel B</t>
  </si>
  <si>
    <t>Keerthi Rajan</t>
  </si>
  <si>
    <t>Dayana Rose Sebastian</t>
  </si>
  <si>
    <t>Remya Murukan</t>
  </si>
  <si>
    <t>Devika K</t>
  </si>
  <si>
    <t>Muhammed Nasif M S</t>
  </si>
  <si>
    <t>Anila K Thankachan</t>
  </si>
  <si>
    <t>Maria Raju</t>
  </si>
  <si>
    <t>Safiya P A</t>
  </si>
  <si>
    <t>Elisa Paul</t>
  </si>
  <si>
    <t>Bessy K Saju</t>
  </si>
  <si>
    <t>Aiswarya C H</t>
  </si>
  <si>
    <t>Anndriya Luiz</t>
  </si>
  <si>
    <t>Ananthu Rajendran</t>
  </si>
  <si>
    <t>A.C Amlika</t>
  </si>
  <si>
    <t>Namitha B Krishnan</t>
  </si>
  <si>
    <t>Amalu Biju</t>
  </si>
  <si>
    <t>Adithya Krishna E M</t>
  </si>
  <si>
    <t>Devalekshmi B</t>
  </si>
  <si>
    <t>Anju V P</t>
  </si>
  <si>
    <t>Abhishek P P</t>
  </si>
  <si>
    <t>Gopika G Nair</t>
  </si>
  <si>
    <t>Shilparaj P R</t>
  </si>
  <si>
    <t>Aishwarya A Nair</t>
  </si>
  <si>
    <t>Hefsiba Mathew</t>
  </si>
  <si>
    <t>Sreeshma V M</t>
  </si>
  <si>
    <t>Athira P George</t>
  </si>
  <si>
    <t>Dhakir</t>
  </si>
  <si>
    <t>Mariya Rose Thomas</t>
  </si>
  <si>
    <t>Susha Revathy</t>
  </si>
  <si>
    <t>Sandra Rajan</t>
  </si>
  <si>
    <t>Chinju P M</t>
  </si>
  <si>
    <t>Christya Mary Joseph</t>
  </si>
  <si>
    <t>Sruthi P P</t>
  </si>
  <si>
    <t>Internal Auditor</t>
  </si>
  <si>
    <t>Internal Audit</t>
  </si>
  <si>
    <t>Sneha Michael</t>
  </si>
  <si>
    <t>Jishamol Shins</t>
  </si>
  <si>
    <t>Abhirami V Anil</t>
  </si>
  <si>
    <t>Amil George</t>
  </si>
  <si>
    <t>Abhinanth S Vinod</t>
  </si>
  <si>
    <t>Aravinth S Vinod</t>
  </si>
  <si>
    <t>Swaliha S</t>
  </si>
  <si>
    <t>Swathi Suresh</t>
  </si>
  <si>
    <t>Suresh N</t>
  </si>
  <si>
    <t>General Manager-Hr</t>
  </si>
  <si>
    <t>Asif Mohammed Azim</t>
  </si>
  <si>
    <t>Jithin Pallikandy</t>
  </si>
  <si>
    <t>Chief Financial Officer</t>
  </si>
  <si>
    <t>Adithyan S</t>
  </si>
  <si>
    <t>Neuro Technician</t>
  </si>
  <si>
    <t>Sreya Mary Vargheese</t>
  </si>
  <si>
    <t>Nandhinikutty S</t>
  </si>
  <si>
    <t>Aswathy T S</t>
  </si>
  <si>
    <t>Silppy S</t>
  </si>
  <si>
    <t>Sandra N T</t>
  </si>
  <si>
    <t>Sr.Accountant</t>
  </si>
  <si>
    <t>Fawaz K B</t>
  </si>
  <si>
    <t>Arun Sam Thomas</t>
  </si>
  <si>
    <t>Medical Transcriptionist Cum Secretary</t>
  </si>
  <si>
    <t>Anuja V Anjalose</t>
  </si>
  <si>
    <t>Saly B</t>
  </si>
  <si>
    <t>Plastic Surgery</t>
  </si>
  <si>
    <t>Doc Plastic Surgery</t>
  </si>
  <si>
    <t>Anvar Sadique P P</t>
  </si>
  <si>
    <t>Azhar M M</t>
  </si>
  <si>
    <t>Praveen Kumar D</t>
  </si>
  <si>
    <t>Dr Bayana H</t>
  </si>
  <si>
    <t>Aiona Raju</t>
  </si>
  <si>
    <t>Executive- Community Health</t>
  </si>
  <si>
    <t>Sreelakshmi Mohanan</t>
  </si>
  <si>
    <t>Adila N</t>
  </si>
  <si>
    <t>Aleena K Santhosh</t>
  </si>
  <si>
    <t>Ashly Grace Sumoth</t>
  </si>
  <si>
    <t>Shilpa K S</t>
  </si>
  <si>
    <t>Anjana S</t>
  </si>
  <si>
    <t>Akshitha Shaji</t>
  </si>
  <si>
    <t>Sandra Johnson</t>
  </si>
  <si>
    <t>Mariya Lukose</t>
  </si>
  <si>
    <t>Anupama A</t>
  </si>
  <si>
    <t>Ashna Hashim</t>
  </si>
  <si>
    <t>Abhishek Poduri</t>
  </si>
  <si>
    <t>Group Chief Executive Officer</t>
  </si>
  <si>
    <t>Lakshman Sethuraman</t>
  </si>
  <si>
    <t>Group Chief Operating Officer</t>
  </si>
  <si>
    <t>Diamond J Paul</t>
  </si>
  <si>
    <t>Sr. System Engineer</t>
  </si>
  <si>
    <t>Anjumol Antony</t>
  </si>
  <si>
    <t>Anagha Anil Kumar</t>
  </si>
  <si>
    <t>Luniya Mol Thomas Kutty</t>
  </si>
  <si>
    <t>Ancy Jose</t>
  </si>
  <si>
    <t>Varna M Vamanan</t>
  </si>
  <si>
    <t>Sneha Sibychan</t>
  </si>
  <si>
    <t>Syamily Sasi</t>
  </si>
  <si>
    <t>Molecular Biologist</t>
  </si>
  <si>
    <t>Shiji Jose</t>
  </si>
  <si>
    <t>Sowbhagea Suresh</t>
  </si>
  <si>
    <t>Ayana Anil</t>
  </si>
  <si>
    <t>Amratha Sasi</t>
  </si>
  <si>
    <t>Riyas S Ramsan</t>
  </si>
  <si>
    <t>Jobin Johny</t>
  </si>
  <si>
    <t>Jismy K J</t>
  </si>
  <si>
    <t>Chithra T S</t>
  </si>
  <si>
    <t>Mohammed Faizal</t>
  </si>
  <si>
    <t>Dilsha Majeed</t>
  </si>
  <si>
    <t>Sreelakshmi Chandrabose</t>
  </si>
  <si>
    <t>Krishna Priya K</t>
  </si>
  <si>
    <t>Badriya Saju</t>
  </si>
  <si>
    <t>Liya Mariam Varghese</t>
  </si>
  <si>
    <t>Mary Aleesha Benny</t>
  </si>
  <si>
    <t>Agnes Nimmy K J</t>
  </si>
  <si>
    <t>Sandra P</t>
  </si>
  <si>
    <t>Priyanka Biju</t>
  </si>
  <si>
    <t>Ajnu Ismail</t>
  </si>
  <si>
    <t>Monisha M</t>
  </si>
  <si>
    <t>Dona Mariya Varghese</t>
  </si>
  <si>
    <t>P M Naijil Sherish</t>
  </si>
  <si>
    <t>Naveen Jacob George</t>
  </si>
  <si>
    <t>Ancy Selvaraj</t>
  </si>
  <si>
    <t>Ancy Treesa C T</t>
  </si>
  <si>
    <t>Navaneeth K S</t>
  </si>
  <si>
    <t>Surya Babu</t>
  </si>
  <si>
    <t>Nanditha</t>
  </si>
  <si>
    <t>Raji A</t>
  </si>
  <si>
    <t>Devooty A N</t>
  </si>
  <si>
    <t>Jayalekshmi J</t>
  </si>
  <si>
    <t>Alphonsa Thomas</t>
  </si>
  <si>
    <t>Amala A M</t>
  </si>
  <si>
    <t>Surgical Gynaec Oncology</t>
  </si>
  <si>
    <t>Doc Surgical And Gynaec Oncology</t>
  </si>
  <si>
    <t>Sabinsathyan M S</t>
  </si>
  <si>
    <t>Nuha Faisal</t>
  </si>
  <si>
    <t>Sreejith S S</t>
  </si>
  <si>
    <t>Soumya Rajan</t>
  </si>
  <si>
    <t>Maria Jyothika V J</t>
  </si>
  <si>
    <t>Sreelakshmi P K</t>
  </si>
  <si>
    <t>Sirin Joy</t>
  </si>
  <si>
    <t>Adhithiya Aji</t>
  </si>
  <si>
    <t>Muzafir Mujeeburahman</t>
  </si>
  <si>
    <t>Aleena Skaria</t>
  </si>
  <si>
    <t>Aleema A</t>
  </si>
  <si>
    <t>Sudhimol M S</t>
  </si>
  <si>
    <t>Vandana S</t>
  </si>
  <si>
    <t>Riya Raju Raju</t>
  </si>
  <si>
    <t>Archa Raj</t>
  </si>
  <si>
    <t>Mohamed Aflah</t>
  </si>
  <si>
    <t>Abilash U</t>
  </si>
  <si>
    <t>Honey Devasia</t>
  </si>
  <si>
    <t>D1425</t>
  </si>
  <si>
    <t>Dr Surta Ram Vishnoi</t>
  </si>
  <si>
    <t>Medical Superintendent</t>
  </si>
  <si>
    <t>Medical Administration</t>
  </si>
  <si>
    <t>Lakeshore Exp</t>
  </si>
  <si>
    <t>less than 1</t>
  </si>
  <si>
    <t>1 to 3 yrs</t>
  </si>
  <si>
    <t>3-5 yrs</t>
  </si>
  <si>
    <t>5 to 10 yrs</t>
  </si>
  <si>
    <t>Above 10</t>
  </si>
  <si>
    <t>ADMIN &amp; PARA</t>
  </si>
  <si>
    <t>Count</t>
  </si>
  <si>
    <t>Total Impact</t>
  </si>
  <si>
    <t>Proposed Amt</t>
  </si>
  <si>
    <t>NURSING ASSISTANT</t>
  </si>
  <si>
    <t xml:space="preserve">SUMMARY </t>
  </si>
  <si>
    <t>INCREMENT IMPACT</t>
  </si>
  <si>
    <t>Gross Salary</t>
  </si>
  <si>
    <t>Increment Amt</t>
  </si>
  <si>
    <t>% of Increment</t>
  </si>
  <si>
    <t>NURSING Inclu.Managers &amp; excl.NA</t>
  </si>
  <si>
    <t>%</t>
  </si>
  <si>
    <t>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</si>
</sst>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00080"/>
      <name val="Aptos Narrow"/>
      <family val="2"/>
      <scheme val="minor"/>
    </font>
    <font>
      <b/>
      <sz val="11"/>
      <color rgb="FF800080"/>
      <name val="Aptos Narrow"/>
      <family val="2"/>
      <scheme val="minor"/>
    </font>
    <font>
      <b/>
      <sz val="11"/>
      <color rgb="FF8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10" xfId="0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20" fillId="0" borderId="10" xfId="0" applyFont="1" applyBorder="1" applyAlignment="1">
      <alignment wrapText="1"/>
    </xf>
    <xf numFmtId="15" fontId="0" fillId="0" borderId="10" xfId="0" applyNumberFormat="1" applyBorder="1" applyAlignment="1">
      <alignment wrapText="1"/>
    </xf>
    <xf numFmtId="0" fontId="0" fillId="0" borderId="12" xfId="0" applyBorder="1" applyAlignment="1">
      <alignment wrapText="1"/>
    </xf>
    <xf numFmtId="0" fontId="20" fillId="0" borderId="13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164" fontId="0" fillId="0" borderId="10" xfId="0" applyNumberFormat="1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16" fillId="0" borderId="0" xfId="0" applyFont="1"/>
    <xf numFmtId="0" fontId="0" fillId="0" borderId="11" xfId="0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164" fontId="0" fillId="0" borderId="10" xfId="0" applyNumberForma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33" borderId="12" xfId="0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0" fillId="0" borderId="10" xfId="0" applyBorder="1"/>
    <xf numFmtId="1" fontId="0" fillId="0" borderId="10" xfId="0" applyNumberFormat="1" applyBorder="1" applyAlignment="1">
      <alignment wrapText="1"/>
    </xf>
    <xf numFmtId="1" fontId="0" fillId="0" borderId="0" xfId="0" applyNumberFormat="1"/>
    <xf numFmtId="0" fontId="20" fillId="0" borderId="19" xfId="0" applyFont="1" applyBorder="1" applyAlignment="1">
      <alignment wrapText="1"/>
    </xf>
    <xf numFmtId="0" fontId="0" fillId="0" borderId="19" xfId="0" applyBorder="1" applyAlignment="1">
      <alignment wrapText="1"/>
    </xf>
    <xf numFmtId="0" fontId="20" fillId="0" borderId="11" xfId="0" applyFont="1" applyBorder="1" applyAlignment="1">
      <alignment wrapText="1"/>
    </xf>
    <xf numFmtId="1" fontId="0" fillId="0" borderId="11" xfId="0" applyNumberFormat="1" applyBorder="1"/>
    <xf numFmtId="2" fontId="0" fillId="0" borderId="10" xfId="0" applyNumberFormat="1" applyBorder="1" applyAlignment="1">
      <alignment horizontal="center" wrapText="1"/>
    </xf>
    <xf numFmtId="165" fontId="0" fillId="0" borderId="11" xfId="42" applyNumberFormat="1" applyFont="1" applyBorder="1"/>
    <xf numFmtId="10" fontId="0" fillId="0" borderId="11" xfId="42" applyNumberFormat="1" applyFont="1" applyBorder="1"/>
    <xf numFmtId="10" fontId="0" fillId="0" borderId="10" xfId="42" applyNumberFormat="1" applyFont="1" applyBorder="1" applyAlignment="1">
      <alignment wrapText="1"/>
    </xf>
    <xf numFmtId="9" fontId="16" fillId="0" borderId="11" xfId="42" applyFont="1" applyBorder="1"/>
    <xf numFmtId="1" fontId="16" fillId="0" borderId="11" xfId="0" applyNumberFormat="1" applyFont="1" applyBorder="1"/>
    <xf numFmtId="0" fontId="0" fillId="0" borderId="17" xfId="0" applyBorder="1" applyAlignment="1">
      <alignment horizontal="right"/>
    </xf>
    <xf numFmtId="0" fontId="16" fillId="0" borderId="20" xfId="0" applyFont="1" applyBorder="1"/>
    <xf numFmtId="0" fontId="21" fillId="0" borderId="21" xfId="0" applyFont="1" applyBorder="1"/>
    <xf numFmtId="0" fontId="21" fillId="0" borderId="18" xfId="0" applyFont="1" applyBorder="1"/>
    <xf numFmtId="10" fontId="16" fillId="0" borderId="11" xfId="0" applyNumberFormat="1" applyFont="1" applyBorder="1"/>
    <xf numFmtId="10" fontId="0" fillId="0" borderId="13" xfId="42" applyNumberFormat="1" applyFont="1" applyBorder="1" applyAlignment="1">
      <alignment wrapText="1"/>
    </xf>
    <xf numFmtId="0" fontId="16" fillId="0" borderId="11" xfId="42" applyNumberFormat="1" applyFont="1" applyFill="1" applyBorder="1" applyAlignment="1">
      <alignment wrapText="1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0" fillId="0" borderId="0" xfId="0"/>
    <xf numFmtId="0" fontId="18" fillId="0" borderId="0" xfId="0" applyFont="1" applyAlignment="1">
      <alignment horizontal="center" wrapText="1"/>
    </xf>
    <xf numFmtId="9" fontId="16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F2CEEF"/>
          <bgColor rgb="FF000000"/>
        </patternFill>
      </fill>
    </dxf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3DB6-599E-4DB5-BF62-5463DF137D74}">
  <dimension ref="B1:G36"/>
  <sheetViews>
    <sheetView tabSelected="1" workbookViewId="0">
      <selection activeCell="B2" sqref="B2:G2"/>
    </sheetView>
  </sheetViews>
  <sheetFormatPr defaultRowHeight="14.5" x14ac:dyDescent="0.35"/>
  <cols>
    <col min="2" max="2" width="12.81640625" customWidth="1"/>
    <col min="3" max="3" width="10" customWidth="1"/>
    <col min="4" max="4" width="14.26953125" customWidth="1"/>
    <col min="5" max="5" width="13.7265625" customWidth="1"/>
    <col min="6" max="6" width="13.7265625" bestFit="1" customWidth="1"/>
    <col min="14" max="14" width="13.7265625" bestFit="1" customWidth="1"/>
  </cols>
  <sheetData>
    <row r="1" spans="2:7" ht="15" thickBot="1" x14ac:dyDescent="0.4">
      <c r="B1" s="42" t="s">
        <v>1903</v>
      </c>
      <c r="C1" s="43"/>
      <c r="D1" s="43"/>
      <c r="E1" s="43"/>
      <c r="F1" s="43"/>
      <c r="G1" s="44"/>
    </row>
    <row r="2" spans="2:7" ht="15" thickBot="1" x14ac:dyDescent="0.4">
      <c r="B2" s="42" t="s">
        <v>1904</v>
      </c>
      <c r="C2" s="43"/>
      <c r="D2" s="43"/>
      <c r="E2" s="43"/>
      <c r="F2" s="43"/>
      <c r="G2" s="44"/>
    </row>
    <row r="3" spans="2:7" ht="15" thickBot="1" x14ac:dyDescent="0.4"/>
    <row r="4" spans="2:7" ht="15" thickBot="1" x14ac:dyDescent="0.4">
      <c r="B4" s="42" t="s">
        <v>1898</v>
      </c>
      <c r="C4" s="43"/>
      <c r="D4" s="43"/>
      <c r="E4" s="43"/>
      <c r="F4" s="43"/>
      <c r="G4" s="44"/>
    </row>
    <row r="5" spans="2:7" ht="6" customHeight="1" x14ac:dyDescent="0.35">
      <c r="B5" s="14"/>
    </row>
    <row r="6" spans="2:7" x14ac:dyDescent="0.35">
      <c r="B6" s="15"/>
      <c r="C6" s="17" t="s">
        <v>1899</v>
      </c>
      <c r="D6" s="17" t="s">
        <v>1901</v>
      </c>
      <c r="E6" s="17" t="s">
        <v>1900</v>
      </c>
      <c r="F6" s="16" t="s">
        <v>1905</v>
      </c>
      <c r="G6" s="16" t="s">
        <v>1909</v>
      </c>
    </row>
    <row r="7" spans="2:7" x14ac:dyDescent="0.35">
      <c r="B7" s="15" t="s">
        <v>1893</v>
      </c>
      <c r="C7" s="15">
        <v>135</v>
      </c>
      <c r="D7" s="15">
        <v>0</v>
      </c>
      <c r="E7" s="15">
        <f>+C7*D7</f>
        <v>0</v>
      </c>
      <c r="F7" s="28">
        <v>3587400.75</v>
      </c>
      <c r="G7" s="15">
        <f>+E7/F7</f>
        <v>0</v>
      </c>
    </row>
    <row r="8" spans="2:7" x14ac:dyDescent="0.35">
      <c r="B8" s="15" t="s">
        <v>1894</v>
      </c>
      <c r="C8" s="15">
        <v>130</v>
      </c>
      <c r="D8" s="16">
        <v>2500</v>
      </c>
      <c r="E8" s="15">
        <f>+C8*D8</f>
        <v>325000</v>
      </c>
      <c r="F8" s="15">
        <v>3435704</v>
      </c>
      <c r="G8" s="30">
        <f>+E8/F8</f>
        <v>9.4594877789239126E-2</v>
      </c>
    </row>
    <row r="9" spans="2:7" x14ac:dyDescent="0.35">
      <c r="B9" s="15" t="s">
        <v>1895</v>
      </c>
      <c r="C9" s="15">
        <v>70</v>
      </c>
      <c r="D9" s="16">
        <v>3000</v>
      </c>
      <c r="E9" s="15">
        <f t="shared" ref="E9:E11" si="0">+C9*D9</f>
        <v>210000</v>
      </c>
      <c r="F9" s="15">
        <v>1857088</v>
      </c>
      <c r="G9" s="30">
        <f t="shared" ref="G9:G11" si="1">+E9/F9</f>
        <v>0.11308026329393114</v>
      </c>
    </row>
    <row r="10" spans="2:7" x14ac:dyDescent="0.35">
      <c r="B10" s="15" t="s">
        <v>1896</v>
      </c>
      <c r="C10" s="15">
        <v>100</v>
      </c>
      <c r="D10" s="16">
        <v>3500</v>
      </c>
      <c r="E10" s="15">
        <f t="shared" si="0"/>
        <v>350000</v>
      </c>
      <c r="F10" s="15">
        <v>3045381</v>
      </c>
      <c r="G10" s="30">
        <f t="shared" si="1"/>
        <v>0.11492814856334889</v>
      </c>
    </row>
    <row r="11" spans="2:7" x14ac:dyDescent="0.35">
      <c r="B11" s="15" t="s">
        <v>1897</v>
      </c>
      <c r="C11" s="15">
        <v>299</v>
      </c>
      <c r="D11" s="16">
        <v>4000</v>
      </c>
      <c r="E11" s="15">
        <f t="shared" si="0"/>
        <v>1196000</v>
      </c>
      <c r="F11" s="15">
        <v>10205947</v>
      </c>
      <c r="G11" s="30">
        <f t="shared" si="1"/>
        <v>0.11718657759049698</v>
      </c>
    </row>
    <row r="12" spans="2:7" x14ac:dyDescent="0.35">
      <c r="B12" s="15"/>
      <c r="C12" s="16">
        <f>SUM(C7:C11)</f>
        <v>734</v>
      </c>
      <c r="D12" s="16"/>
      <c r="E12" s="16">
        <f>SUM(E7:E11)</f>
        <v>2081000</v>
      </c>
      <c r="F12" s="16">
        <f>SUM(F7:F11)</f>
        <v>22131520.75</v>
      </c>
      <c r="G12" s="33">
        <f>E12/F12</f>
        <v>9.4028784714218064E-2</v>
      </c>
    </row>
    <row r="13" spans="2:7" ht="15" thickBot="1" x14ac:dyDescent="0.4"/>
    <row r="14" spans="2:7" ht="15" thickBot="1" x14ac:dyDescent="0.4">
      <c r="B14" s="42" t="s">
        <v>1908</v>
      </c>
      <c r="C14" s="43"/>
      <c r="D14" s="43"/>
      <c r="E14" s="43"/>
      <c r="F14" s="43"/>
      <c r="G14" s="44"/>
    </row>
    <row r="15" spans="2:7" ht="3.75" customHeight="1" x14ac:dyDescent="0.35">
      <c r="B15" s="14"/>
    </row>
    <row r="16" spans="2:7" x14ac:dyDescent="0.35">
      <c r="B16" s="15"/>
      <c r="C16" s="17" t="s">
        <v>1899</v>
      </c>
      <c r="D16" s="17" t="s">
        <v>1901</v>
      </c>
      <c r="E16" s="17" t="s">
        <v>1900</v>
      </c>
      <c r="F16" s="16" t="s">
        <v>1905</v>
      </c>
      <c r="G16" s="16" t="s">
        <v>1909</v>
      </c>
    </row>
    <row r="17" spans="2:7" x14ac:dyDescent="0.35">
      <c r="B17" s="15" t="s">
        <v>1893</v>
      </c>
      <c r="C17" s="15">
        <v>201</v>
      </c>
      <c r="D17" s="15">
        <v>0</v>
      </c>
      <c r="E17" s="15">
        <v>0</v>
      </c>
      <c r="F17" s="15">
        <v>4812999</v>
      </c>
      <c r="G17" s="15">
        <v>0</v>
      </c>
    </row>
    <row r="18" spans="2:7" x14ac:dyDescent="0.35">
      <c r="B18" s="15" t="s">
        <v>1894</v>
      </c>
      <c r="C18" s="15">
        <v>133</v>
      </c>
      <c r="D18" s="16">
        <v>3000</v>
      </c>
      <c r="E18" s="15">
        <f>+D18*C18</f>
        <v>399000</v>
      </c>
      <c r="F18" s="15">
        <v>3808776</v>
      </c>
      <c r="G18" s="30">
        <f>+E18/F18</f>
        <v>0.10475806400796477</v>
      </c>
    </row>
    <row r="19" spans="2:7" x14ac:dyDescent="0.35">
      <c r="B19" s="15" t="s">
        <v>1895</v>
      </c>
      <c r="C19" s="15">
        <v>88</v>
      </c>
      <c r="D19" s="16">
        <v>3500</v>
      </c>
      <c r="E19" s="15">
        <f t="shared" ref="E19:E21" si="2">+D19*C19</f>
        <v>308000</v>
      </c>
      <c r="F19" s="15">
        <v>2674588</v>
      </c>
      <c r="G19" s="30">
        <f t="shared" ref="G19:G21" si="3">+E19/F19</f>
        <v>0.11515792338857424</v>
      </c>
    </row>
    <row r="20" spans="2:7" x14ac:dyDescent="0.35">
      <c r="B20" s="15" t="s">
        <v>1896</v>
      </c>
      <c r="C20" s="15">
        <v>53</v>
      </c>
      <c r="D20" s="16">
        <v>4000</v>
      </c>
      <c r="E20" s="15">
        <f t="shared" si="2"/>
        <v>212000</v>
      </c>
      <c r="F20" s="15">
        <v>1845126</v>
      </c>
      <c r="G20" s="30">
        <f t="shared" si="3"/>
        <v>0.11489730240644812</v>
      </c>
    </row>
    <row r="21" spans="2:7" x14ac:dyDescent="0.35">
      <c r="B21" s="15" t="s">
        <v>1897</v>
      </c>
      <c r="C21" s="15">
        <v>122</v>
      </c>
      <c r="D21" s="16">
        <v>4500</v>
      </c>
      <c r="E21" s="15">
        <f t="shared" si="2"/>
        <v>549000</v>
      </c>
      <c r="F21" s="15">
        <v>5159492</v>
      </c>
      <c r="G21" s="30">
        <f t="shared" si="3"/>
        <v>0.10640582444938378</v>
      </c>
    </row>
    <row r="22" spans="2:7" x14ac:dyDescent="0.35">
      <c r="B22" s="15"/>
      <c r="C22" s="16">
        <v>597</v>
      </c>
      <c r="D22" s="16"/>
      <c r="E22" s="16">
        <v>1468000</v>
      </c>
      <c r="F22" s="16">
        <f>SUM(F17:F21)</f>
        <v>18300981</v>
      </c>
      <c r="G22" s="33">
        <f>E22/F22</f>
        <v>8.0214279223611018E-2</v>
      </c>
    </row>
    <row r="24" spans="2:7" ht="15" thickBot="1" x14ac:dyDescent="0.4"/>
    <row r="25" spans="2:7" ht="15" thickBot="1" x14ac:dyDescent="0.4">
      <c r="B25" s="42" t="s">
        <v>1902</v>
      </c>
      <c r="C25" s="43"/>
      <c r="D25" s="43"/>
      <c r="E25" s="43"/>
      <c r="F25" s="43"/>
      <c r="G25" s="44"/>
    </row>
    <row r="26" spans="2:7" ht="3" customHeight="1" x14ac:dyDescent="0.35">
      <c r="B26" s="14"/>
    </row>
    <row r="27" spans="2:7" x14ac:dyDescent="0.35">
      <c r="B27" s="15"/>
      <c r="C27" s="17" t="s">
        <v>1899</v>
      </c>
      <c r="D27" s="17" t="s">
        <v>1901</v>
      </c>
      <c r="E27" s="17" t="s">
        <v>1900</v>
      </c>
      <c r="F27" s="16" t="s">
        <v>1905</v>
      </c>
      <c r="G27" s="16" t="s">
        <v>1909</v>
      </c>
    </row>
    <row r="28" spans="2:7" x14ac:dyDescent="0.35">
      <c r="B28" s="15" t="s">
        <v>1893</v>
      </c>
      <c r="C28" s="15">
        <v>0</v>
      </c>
      <c r="D28" s="15">
        <v>0</v>
      </c>
      <c r="E28" s="15">
        <f>+C28*D28</f>
        <v>0</v>
      </c>
      <c r="F28" s="15">
        <v>0</v>
      </c>
      <c r="G28" s="15">
        <v>0</v>
      </c>
    </row>
    <row r="29" spans="2:7" x14ac:dyDescent="0.35">
      <c r="B29" s="15" t="s">
        <v>1894</v>
      </c>
      <c r="C29" s="15">
        <v>6</v>
      </c>
      <c r="D29" s="16">
        <v>2500</v>
      </c>
      <c r="E29" s="15">
        <f>+C29*D29</f>
        <v>15000</v>
      </c>
      <c r="F29" s="15">
        <v>133744</v>
      </c>
      <c r="G29" s="30">
        <f>+E29/F29</f>
        <v>0.11215456394305538</v>
      </c>
    </row>
    <row r="30" spans="2:7" x14ac:dyDescent="0.35">
      <c r="B30" s="15" t="s">
        <v>1895</v>
      </c>
      <c r="C30" s="15">
        <v>3</v>
      </c>
      <c r="D30" s="16">
        <v>3000</v>
      </c>
      <c r="E30" s="15">
        <f t="shared" ref="E30:E32" si="4">+C30*D30</f>
        <v>9000</v>
      </c>
      <c r="F30" s="15">
        <v>67732</v>
      </c>
      <c r="G30" s="30">
        <f t="shared" ref="G30:G32" si="5">+E30/F30</f>
        <v>0.13287663142975256</v>
      </c>
    </row>
    <row r="31" spans="2:7" x14ac:dyDescent="0.35">
      <c r="B31" s="15" t="s">
        <v>1896</v>
      </c>
      <c r="C31" s="15">
        <v>6</v>
      </c>
      <c r="D31" s="16">
        <v>3500</v>
      </c>
      <c r="E31" s="15">
        <f t="shared" si="4"/>
        <v>21000</v>
      </c>
      <c r="F31" s="15">
        <v>163557</v>
      </c>
      <c r="G31" s="30">
        <f t="shared" si="5"/>
        <v>0.12839560520185622</v>
      </c>
    </row>
    <row r="32" spans="2:7" x14ac:dyDescent="0.35">
      <c r="B32" s="15" t="s">
        <v>1897</v>
      </c>
      <c r="C32" s="15">
        <v>59</v>
      </c>
      <c r="D32" s="16">
        <v>4000</v>
      </c>
      <c r="E32" s="15">
        <f t="shared" si="4"/>
        <v>236000</v>
      </c>
      <c r="F32" s="15">
        <v>1919476</v>
      </c>
      <c r="G32" s="30">
        <f t="shared" si="5"/>
        <v>0.12295022183137481</v>
      </c>
    </row>
    <row r="33" spans="2:7" x14ac:dyDescent="0.35">
      <c r="B33" s="15"/>
      <c r="C33" s="16">
        <f>SUM(C28:C32)</f>
        <v>74</v>
      </c>
      <c r="D33" s="16"/>
      <c r="E33" s="16">
        <f>SUM(E28:E32)</f>
        <v>281000</v>
      </c>
      <c r="F33" s="34">
        <f>SUM(F28:F32)</f>
        <v>2284509</v>
      </c>
      <c r="G33" s="33">
        <f>E33/F33</f>
        <v>0.12300236068231729</v>
      </c>
    </row>
    <row r="34" spans="2:7" ht="15" thickBot="1" x14ac:dyDescent="0.4"/>
    <row r="35" spans="2:7" ht="16" x14ac:dyDescent="0.4">
      <c r="D35" s="36" t="s">
        <v>1900</v>
      </c>
      <c r="E35" s="37">
        <f>+E12+E22+E33</f>
        <v>3830000</v>
      </c>
      <c r="F35" s="48">
        <f>E35/(F33+F22+F12)</f>
        <v>8.9659831827066688E-2</v>
      </c>
    </row>
    <row r="36" spans="2:7" ht="16.5" thickBot="1" x14ac:dyDescent="0.45">
      <c r="D36" s="35" t="s">
        <v>1910</v>
      </c>
      <c r="E36" s="38">
        <f>+E35*12</f>
        <v>45960000</v>
      </c>
    </row>
  </sheetData>
  <mergeCells count="5">
    <mergeCell ref="B1:G1"/>
    <mergeCell ref="B2:G2"/>
    <mergeCell ref="B4:G4"/>
    <mergeCell ref="B14:G14"/>
    <mergeCell ref="B25:G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9FA4-03BB-402E-8E28-C78E9B186A87}">
  <dimension ref="A1:L740"/>
  <sheetViews>
    <sheetView showGridLines="0" topLeftCell="B1" workbookViewId="0">
      <selection activeCell="J563" sqref="J563:J738"/>
    </sheetView>
  </sheetViews>
  <sheetFormatPr defaultRowHeight="14.5" x14ac:dyDescent="0.35"/>
  <cols>
    <col min="1" max="1" width="5" bestFit="1" customWidth="1"/>
    <col min="2" max="2" width="7.81640625" style="1" bestFit="1" customWidth="1"/>
    <col min="3" max="3" width="23.453125" customWidth="1"/>
    <col min="4" max="4" width="36.54296875" bestFit="1" customWidth="1"/>
    <col min="5" max="5" width="36.54296875" customWidth="1"/>
    <col min="6" max="6" width="16.1796875" hidden="1" customWidth="1"/>
    <col min="7" max="7" width="12" bestFit="1" customWidth="1"/>
    <col min="8" max="8" width="12" style="1" customWidth="1"/>
    <col min="9" max="9" width="20.81640625" bestFit="1" customWidth="1"/>
    <col min="11" max="11" width="11.1796875" customWidth="1"/>
  </cols>
  <sheetData>
    <row r="1" spans="1:12" ht="15" customHeight="1" x14ac:dyDescent="0.35">
      <c r="A1" s="45" t="s">
        <v>0</v>
      </c>
      <c r="B1" s="46"/>
      <c r="C1" s="46"/>
      <c r="D1" s="46"/>
      <c r="E1" s="46"/>
      <c r="F1" s="46"/>
      <c r="G1" s="46"/>
      <c r="H1" s="46"/>
      <c r="I1" s="46"/>
    </row>
    <row r="2" spans="1:12" ht="15" customHeight="1" x14ac:dyDescent="0.35">
      <c r="A2" s="47" t="s">
        <v>1</v>
      </c>
      <c r="B2" s="46"/>
      <c r="C2" s="46"/>
      <c r="D2" s="46"/>
      <c r="E2" s="46"/>
      <c r="F2" s="46"/>
      <c r="G2" s="46"/>
      <c r="H2" s="46"/>
      <c r="I2" s="46"/>
    </row>
    <row r="3" spans="1:12" x14ac:dyDescent="0.35">
      <c r="A3" s="2"/>
      <c r="H3" s="19">
        <v>46112</v>
      </c>
      <c r="J3" s="27"/>
      <c r="K3" s="27"/>
      <c r="L3" s="27"/>
    </row>
    <row r="4" spans="1:12" ht="43.5" x14ac:dyDescent="0.35">
      <c r="A4" s="9" t="s">
        <v>2</v>
      </c>
      <c r="B4" s="4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4" t="s">
        <v>1892</v>
      </c>
      <c r="I4" s="6" t="s">
        <v>9</v>
      </c>
      <c r="J4" s="6" t="s">
        <v>1905</v>
      </c>
      <c r="K4" s="6" t="s">
        <v>1906</v>
      </c>
      <c r="L4" s="6" t="s">
        <v>1907</v>
      </c>
    </row>
    <row r="5" spans="1:12" x14ac:dyDescent="0.35">
      <c r="A5" s="10">
        <v>1</v>
      </c>
      <c r="B5" s="12">
        <v>3</v>
      </c>
      <c r="C5" s="5" t="s">
        <v>10</v>
      </c>
      <c r="D5" s="5" t="s">
        <v>11</v>
      </c>
      <c r="E5" s="5" t="s">
        <v>12</v>
      </c>
      <c r="F5" s="5" t="s">
        <v>12</v>
      </c>
      <c r="G5" s="7">
        <v>36678</v>
      </c>
      <c r="H5" s="18">
        <f t="shared" ref="H5:H68" si="0">($H$3-G5)/365</f>
        <v>25.846575342465755</v>
      </c>
      <c r="I5" s="5" t="s">
        <v>13</v>
      </c>
      <c r="J5" s="28">
        <v>40335.434999999998</v>
      </c>
      <c r="K5" s="28">
        <v>4000</v>
      </c>
      <c r="L5" s="31">
        <f>+K5/J5</f>
        <v>9.91683863084655E-2</v>
      </c>
    </row>
    <row r="6" spans="1:12" ht="15" customHeight="1" x14ac:dyDescent="0.35">
      <c r="A6" s="10">
        <f t="shared" ref="A6:A69" si="1">+A5+1</f>
        <v>2</v>
      </c>
      <c r="B6" s="12">
        <v>19</v>
      </c>
      <c r="C6" s="5" t="s">
        <v>14</v>
      </c>
      <c r="D6" s="5" t="s">
        <v>15</v>
      </c>
      <c r="E6" s="5" t="s">
        <v>16</v>
      </c>
      <c r="F6" s="5" t="s">
        <v>17</v>
      </c>
      <c r="G6" s="7">
        <v>37591</v>
      </c>
      <c r="H6" s="18">
        <f t="shared" si="0"/>
        <v>23.345205479452055</v>
      </c>
      <c r="I6" s="5" t="s">
        <v>13</v>
      </c>
      <c r="J6" s="28">
        <v>29547.60053</v>
      </c>
      <c r="K6" s="28">
        <v>4000</v>
      </c>
      <c r="L6" s="31">
        <f t="shared" ref="L6:L69" si="2">+K6/J6</f>
        <v>0.13537478266428965</v>
      </c>
    </row>
    <row r="7" spans="1:12" ht="15" customHeight="1" x14ac:dyDescent="0.35">
      <c r="A7" s="10">
        <f t="shared" si="1"/>
        <v>3</v>
      </c>
      <c r="B7" s="12">
        <v>38</v>
      </c>
      <c r="C7" s="5" t="s">
        <v>26</v>
      </c>
      <c r="D7" s="5" t="s">
        <v>27</v>
      </c>
      <c r="E7" s="5" t="s">
        <v>28</v>
      </c>
      <c r="F7" s="5" t="s">
        <v>29</v>
      </c>
      <c r="G7" s="7">
        <v>37509</v>
      </c>
      <c r="H7" s="18">
        <f t="shared" si="0"/>
        <v>23.56986301369863</v>
      </c>
      <c r="I7" s="5" t="s">
        <v>13</v>
      </c>
      <c r="J7" s="28">
        <v>40950.400000000001</v>
      </c>
      <c r="K7" s="28">
        <v>4000</v>
      </c>
      <c r="L7" s="31">
        <f t="shared" si="2"/>
        <v>9.7679143549269362E-2</v>
      </c>
    </row>
    <row r="8" spans="1:12" ht="15" customHeight="1" x14ac:dyDescent="0.35">
      <c r="A8" s="10">
        <f t="shared" si="1"/>
        <v>4</v>
      </c>
      <c r="B8" s="12">
        <v>62</v>
      </c>
      <c r="C8" s="5" t="s">
        <v>33</v>
      </c>
      <c r="D8" s="5" t="s">
        <v>34</v>
      </c>
      <c r="E8" s="5" t="s">
        <v>35</v>
      </c>
      <c r="F8" s="5" t="s">
        <v>36</v>
      </c>
      <c r="G8" s="7">
        <v>37567</v>
      </c>
      <c r="H8" s="18">
        <f t="shared" si="0"/>
        <v>23.410958904109588</v>
      </c>
      <c r="I8" s="5" t="s">
        <v>13</v>
      </c>
      <c r="J8" s="28">
        <v>35910.199500000002</v>
      </c>
      <c r="K8" s="28">
        <v>4000</v>
      </c>
      <c r="L8" s="31">
        <f t="shared" si="2"/>
        <v>0.11138896624620534</v>
      </c>
    </row>
    <row r="9" spans="1:12" ht="15" customHeight="1" x14ac:dyDescent="0.35">
      <c r="A9" s="10">
        <f t="shared" si="1"/>
        <v>5</v>
      </c>
      <c r="B9" s="3">
        <v>70</v>
      </c>
      <c r="C9" s="5" t="s">
        <v>42</v>
      </c>
      <c r="D9" s="5" t="s">
        <v>43</v>
      </c>
      <c r="E9" s="5" t="s">
        <v>44</v>
      </c>
      <c r="F9" s="5" t="s">
        <v>45</v>
      </c>
      <c r="G9" s="7">
        <v>37572</v>
      </c>
      <c r="H9" s="18">
        <f t="shared" si="0"/>
        <v>23.397260273972602</v>
      </c>
      <c r="I9" s="5" t="s">
        <v>13</v>
      </c>
      <c r="J9" s="28">
        <v>37070.194499999998</v>
      </c>
      <c r="K9" s="28">
        <v>4000</v>
      </c>
      <c r="L9" s="31">
        <f t="shared" si="2"/>
        <v>0.10790339931990377</v>
      </c>
    </row>
    <row r="10" spans="1:12" ht="15" customHeight="1" x14ac:dyDescent="0.35">
      <c r="A10" s="10">
        <f t="shared" si="1"/>
        <v>6</v>
      </c>
      <c r="B10" s="3">
        <v>117</v>
      </c>
      <c r="C10" s="5" t="s">
        <v>49</v>
      </c>
      <c r="D10" s="5" t="s">
        <v>50</v>
      </c>
      <c r="E10" s="5" t="s">
        <v>51</v>
      </c>
      <c r="F10" s="5" t="s">
        <v>51</v>
      </c>
      <c r="G10" s="7">
        <v>40497</v>
      </c>
      <c r="H10" s="18">
        <f t="shared" si="0"/>
        <v>15.383561643835616</v>
      </c>
      <c r="I10" s="5" t="s">
        <v>13</v>
      </c>
      <c r="J10" s="28">
        <v>40246.377500000002</v>
      </c>
      <c r="K10" s="28">
        <v>4000</v>
      </c>
      <c r="L10" s="31">
        <f t="shared" si="2"/>
        <v>9.9387826891997919E-2</v>
      </c>
    </row>
    <row r="11" spans="1:12" ht="15" customHeight="1" x14ac:dyDescent="0.35">
      <c r="A11" s="10">
        <f t="shared" si="1"/>
        <v>7</v>
      </c>
      <c r="B11" s="3">
        <v>144</v>
      </c>
      <c r="C11" s="5" t="s">
        <v>52</v>
      </c>
      <c r="D11" s="5" t="s">
        <v>53</v>
      </c>
      <c r="E11" s="5" t="s">
        <v>54</v>
      </c>
      <c r="F11" s="5" t="s">
        <v>54</v>
      </c>
      <c r="G11" s="7">
        <v>37610</v>
      </c>
      <c r="H11" s="18">
        <f t="shared" si="0"/>
        <v>23.293150684931508</v>
      </c>
      <c r="I11" s="5" t="s">
        <v>13</v>
      </c>
      <c r="J11" s="28">
        <v>30374.9905</v>
      </c>
      <c r="K11" s="28">
        <v>4000</v>
      </c>
      <c r="L11" s="31">
        <f t="shared" si="2"/>
        <v>0.13168728398450033</v>
      </c>
    </row>
    <row r="12" spans="1:12" ht="15" customHeight="1" x14ac:dyDescent="0.35">
      <c r="A12" s="10">
        <f t="shared" si="1"/>
        <v>8</v>
      </c>
      <c r="B12" s="3">
        <v>165</v>
      </c>
      <c r="C12" s="5" t="s">
        <v>59</v>
      </c>
      <c r="D12" s="5" t="s">
        <v>60</v>
      </c>
      <c r="E12" s="5" t="s">
        <v>61</v>
      </c>
      <c r="F12" s="5" t="s">
        <v>61</v>
      </c>
      <c r="G12" s="7">
        <v>37621</v>
      </c>
      <c r="H12" s="18">
        <f t="shared" si="0"/>
        <v>23.263013698630136</v>
      </c>
      <c r="I12" s="5" t="s">
        <v>13</v>
      </c>
      <c r="J12" s="28">
        <v>37024.826499999996</v>
      </c>
      <c r="K12" s="28">
        <v>4000</v>
      </c>
      <c r="L12" s="31">
        <f t="shared" si="2"/>
        <v>0.10803561766859328</v>
      </c>
    </row>
    <row r="13" spans="1:12" ht="15" customHeight="1" x14ac:dyDescent="0.35">
      <c r="A13" s="10">
        <f t="shared" si="1"/>
        <v>9</v>
      </c>
      <c r="B13" s="3">
        <v>169</v>
      </c>
      <c r="C13" s="5" t="s">
        <v>62</v>
      </c>
      <c r="D13" s="5" t="s">
        <v>63</v>
      </c>
      <c r="E13" s="5" t="s">
        <v>64</v>
      </c>
      <c r="F13" s="5" t="s">
        <v>64</v>
      </c>
      <c r="G13" s="7">
        <v>37622</v>
      </c>
      <c r="H13" s="18">
        <f t="shared" si="0"/>
        <v>23.260273972602739</v>
      </c>
      <c r="I13" s="5" t="s">
        <v>13</v>
      </c>
      <c r="J13" s="28">
        <v>46155.663499999995</v>
      </c>
      <c r="K13" s="28">
        <v>4000</v>
      </c>
      <c r="L13" s="31">
        <f t="shared" si="2"/>
        <v>8.6663254228812034E-2</v>
      </c>
    </row>
    <row r="14" spans="1:12" ht="15" customHeight="1" x14ac:dyDescent="0.35">
      <c r="A14" s="10">
        <f t="shared" si="1"/>
        <v>10</v>
      </c>
      <c r="B14" s="3">
        <v>170</v>
      </c>
      <c r="C14" s="5" t="s">
        <v>65</v>
      </c>
      <c r="D14" s="5" t="s">
        <v>15</v>
      </c>
      <c r="E14" s="5" t="s">
        <v>16</v>
      </c>
      <c r="F14" s="5" t="s">
        <v>17</v>
      </c>
      <c r="G14" s="7">
        <v>37622</v>
      </c>
      <c r="H14" s="18">
        <f t="shared" si="0"/>
        <v>23.260273972602739</v>
      </c>
      <c r="I14" s="5" t="s">
        <v>13</v>
      </c>
      <c r="J14" s="28">
        <v>28042.589</v>
      </c>
      <c r="K14" s="28">
        <v>4000</v>
      </c>
      <c r="L14" s="31">
        <f t="shared" si="2"/>
        <v>0.14264018204595874</v>
      </c>
    </row>
    <row r="15" spans="1:12" ht="15" customHeight="1" x14ac:dyDescent="0.35">
      <c r="A15" s="10">
        <f t="shared" si="1"/>
        <v>11</v>
      </c>
      <c r="B15" s="3">
        <v>174</v>
      </c>
      <c r="C15" s="5" t="s">
        <v>66</v>
      </c>
      <c r="D15" s="5" t="s">
        <v>63</v>
      </c>
      <c r="E15" s="5" t="s">
        <v>64</v>
      </c>
      <c r="F15" s="5" t="s">
        <v>64</v>
      </c>
      <c r="G15" s="7">
        <v>37622</v>
      </c>
      <c r="H15" s="18">
        <f t="shared" si="0"/>
        <v>23.260273972602739</v>
      </c>
      <c r="I15" s="5" t="s">
        <v>13</v>
      </c>
      <c r="J15" s="28">
        <v>45181.963499999998</v>
      </c>
      <c r="K15" s="28">
        <v>4000</v>
      </c>
      <c r="L15" s="31">
        <f t="shared" si="2"/>
        <v>8.8530902380991039E-2</v>
      </c>
    </row>
    <row r="16" spans="1:12" ht="15" customHeight="1" x14ac:dyDescent="0.35">
      <c r="A16" s="10">
        <f t="shared" si="1"/>
        <v>12</v>
      </c>
      <c r="B16" s="3">
        <v>193</v>
      </c>
      <c r="C16" s="5" t="s">
        <v>67</v>
      </c>
      <c r="D16" s="5" t="s">
        <v>21</v>
      </c>
      <c r="E16" s="5" t="s">
        <v>68</v>
      </c>
      <c r="F16" s="5" t="s">
        <v>69</v>
      </c>
      <c r="G16" s="7">
        <v>37690</v>
      </c>
      <c r="H16" s="18">
        <f t="shared" si="0"/>
        <v>23.073972602739726</v>
      </c>
      <c r="I16" s="5" t="s">
        <v>13</v>
      </c>
      <c r="J16" s="28">
        <v>34358.164499999999</v>
      </c>
      <c r="K16" s="28">
        <v>4000</v>
      </c>
      <c r="L16" s="31">
        <f t="shared" si="2"/>
        <v>0.11642065454340554</v>
      </c>
    </row>
    <row r="17" spans="1:12" ht="15" customHeight="1" x14ac:dyDescent="0.35">
      <c r="A17" s="10">
        <f t="shared" si="1"/>
        <v>13</v>
      </c>
      <c r="B17" s="3">
        <v>232</v>
      </c>
      <c r="C17" s="5" t="s">
        <v>73</v>
      </c>
      <c r="D17" s="5" t="s">
        <v>74</v>
      </c>
      <c r="E17" s="5" t="s">
        <v>64</v>
      </c>
      <c r="F17" s="5" t="s">
        <v>64</v>
      </c>
      <c r="G17" s="7">
        <v>37631</v>
      </c>
      <c r="H17" s="18">
        <f t="shared" si="0"/>
        <v>23.235616438356164</v>
      </c>
      <c r="I17" s="5" t="s">
        <v>13</v>
      </c>
      <c r="J17" s="28">
        <v>36597.674500000001</v>
      </c>
      <c r="K17" s="28">
        <v>4000</v>
      </c>
      <c r="L17" s="31">
        <f t="shared" si="2"/>
        <v>0.10929656199876853</v>
      </c>
    </row>
    <row r="18" spans="1:12" ht="15" customHeight="1" x14ac:dyDescent="0.35">
      <c r="A18" s="10">
        <f t="shared" si="1"/>
        <v>14</v>
      </c>
      <c r="B18" s="3">
        <v>256</v>
      </c>
      <c r="C18" s="5" t="s">
        <v>76</v>
      </c>
      <c r="D18" s="5" t="s">
        <v>77</v>
      </c>
      <c r="E18" s="5" t="s">
        <v>61</v>
      </c>
      <c r="F18" s="5" t="s">
        <v>61</v>
      </c>
      <c r="G18" s="7">
        <v>37636</v>
      </c>
      <c r="H18" s="18">
        <f t="shared" si="0"/>
        <v>23.221917808219178</v>
      </c>
      <c r="I18" s="5" t="s">
        <v>13</v>
      </c>
      <c r="J18" s="28">
        <v>35244.1325</v>
      </c>
      <c r="K18" s="28">
        <v>4000</v>
      </c>
      <c r="L18" s="31">
        <f t="shared" si="2"/>
        <v>0.11349406883542956</v>
      </c>
    </row>
    <row r="19" spans="1:12" ht="15" customHeight="1" x14ac:dyDescent="0.35">
      <c r="A19" s="10">
        <f t="shared" si="1"/>
        <v>15</v>
      </c>
      <c r="B19" s="3">
        <v>265</v>
      </c>
      <c r="C19" s="5" t="s">
        <v>79</v>
      </c>
      <c r="D19" s="5" t="s">
        <v>80</v>
      </c>
      <c r="E19" s="5" t="s">
        <v>35</v>
      </c>
      <c r="F19" s="5" t="s">
        <v>36</v>
      </c>
      <c r="G19" s="7">
        <v>37642</v>
      </c>
      <c r="H19" s="18">
        <f t="shared" si="0"/>
        <v>23.205479452054796</v>
      </c>
      <c r="I19" s="5" t="s">
        <v>13</v>
      </c>
      <c r="J19" s="28">
        <v>33436.359499999999</v>
      </c>
      <c r="K19" s="28">
        <v>4000</v>
      </c>
      <c r="L19" s="31">
        <f t="shared" si="2"/>
        <v>0.11963024862201281</v>
      </c>
    </row>
    <row r="20" spans="1:12" ht="15" customHeight="1" x14ac:dyDescent="0.35">
      <c r="A20" s="10">
        <f t="shared" si="1"/>
        <v>16</v>
      </c>
      <c r="B20" s="3">
        <v>270</v>
      </c>
      <c r="C20" s="5" t="s">
        <v>82</v>
      </c>
      <c r="D20" s="5" t="s">
        <v>83</v>
      </c>
      <c r="E20" s="5" t="s">
        <v>35</v>
      </c>
      <c r="F20" s="5" t="s">
        <v>84</v>
      </c>
      <c r="G20" s="7">
        <v>37641</v>
      </c>
      <c r="H20" s="18">
        <f t="shared" si="0"/>
        <v>23.208219178082192</v>
      </c>
      <c r="I20" s="5" t="s">
        <v>13</v>
      </c>
      <c r="J20" s="28">
        <v>33068.157500000001</v>
      </c>
      <c r="K20" s="28">
        <v>4000</v>
      </c>
      <c r="L20" s="31">
        <f t="shared" si="2"/>
        <v>0.12096228826779962</v>
      </c>
    </row>
    <row r="21" spans="1:12" ht="15" customHeight="1" x14ac:dyDescent="0.35">
      <c r="A21" s="10">
        <f t="shared" si="1"/>
        <v>17</v>
      </c>
      <c r="B21" s="3">
        <v>274</v>
      </c>
      <c r="C21" s="5" t="s">
        <v>85</v>
      </c>
      <c r="D21" s="5" t="s">
        <v>86</v>
      </c>
      <c r="E21" s="5" t="s">
        <v>87</v>
      </c>
      <c r="F21" s="5" t="s">
        <v>88</v>
      </c>
      <c r="G21" s="7">
        <v>37643</v>
      </c>
      <c r="H21" s="18">
        <f t="shared" si="0"/>
        <v>23.202739726027396</v>
      </c>
      <c r="I21" s="5" t="s">
        <v>13</v>
      </c>
      <c r="J21" s="28">
        <v>43501.235000000001</v>
      </c>
      <c r="K21" s="28">
        <v>4000</v>
      </c>
      <c r="L21" s="31">
        <f t="shared" si="2"/>
        <v>9.195141241392342E-2</v>
      </c>
    </row>
    <row r="22" spans="1:12" ht="15" customHeight="1" x14ac:dyDescent="0.35">
      <c r="A22" s="10">
        <f t="shared" si="1"/>
        <v>18</v>
      </c>
      <c r="B22" s="3">
        <v>282</v>
      </c>
      <c r="C22" s="5" t="s">
        <v>89</v>
      </c>
      <c r="D22" s="5" t="s">
        <v>63</v>
      </c>
      <c r="E22" s="5" t="s">
        <v>64</v>
      </c>
      <c r="F22" s="5" t="s">
        <v>64</v>
      </c>
      <c r="G22" s="7">
        <v>37653</v>
      </c>
      <c r="H22" s="18">
        <f t="shared" si="0"/>
        <v>23.175342465753424</v>
      </c>
      <c r="I22" s="5" t="s">
        <v>13</v>
      </c>
      <c r="J22" s="28">
        <v>44818.163500000002</v>
      </c>
      <c r="K22" s="28">
        <v>4000</v>
      </c>
      <c r="L22" s="31">
        <f t="shared" si="2"/>
        <v>8.9249529378864434E-2</v>
      </c>
    </row>
    <row r="23" spans="1:12" ht="15" customHeight="1" x14ac:dyDescent="0.35">
      <c r="A23" s="10">
        <f t="shared" si="1"/>
        <v>19</v>
      </c>
      <c r="B23" s="3">
        <v>285</v>
      </c>
      <c r="C23" s="5" t="s">
        <v>90</v>
      </c>
      <c r="D23" s="5" t="s">
        <v>15</v>
      </c>
      <c r="E23" s="5" t="s">
        <v>16</v>
      </c>
      <c r="F23" s="5" t="s">
        <v>17</v>
      </c>
      <c r="G23" s="7">
        <v>37655</v>
      </c>
      <c r="H23" s="18">
        <f t="shared" si="0"/>
        <v>23.169863013698631</v>
      </c>
      <c r="I23" s="5" t="s">
        <v>13</v>
      </c>
      <c r="J23" s="28">
        <v>28042.589</v>
      </c>
      <c r="K23" s="28">
        <v>4000</v>
      </c>
      <c r="L23" s="31">
        <f t="shared" si="2"/>
        <v>0.14264018204595874</v>
      </c>
    </row>
    <row r="24" spans="1:12" ht="15" customHeight="1" x14ac:dyDescent="0.35">
      <c r="A24" s="10">
        <f t="shared" si="1"/>
        <v>20</v>
      </c>
      <c r="B24" s="3">
        <v>335</v>
      </c>
      <c r="C24" s="5" t="s">
        <v>93</v>
      </c>
      <c r="D24" s="5" t="s">
        <v>74</v>
      </c>
      <c r="E24" s="5" t="s">
        <v>94</v>
      </c>
      <c r="F24" s="5" t="s">
        <v>94</v>
      </c>
      <c r="G24" s="7">
        <v>37683</v>
      </c>
      <c r="H24" s="18">
        <f t="shared" si="0"/>
        <v>23.093150684931508</v>
      </c>
      <c r="I24" s="5" t="s">
        <v>13</v>
      </c>
      <c r="J24" s="28">
        <v>36334.184999999998</v>
      </c>
      <c r="K24" s="28">
        <v>4000</v>
      </c>
      <c r="L24" s="31">
        <f t="shared" si="2"/>
        <v>0.11008916258889528</v>
      </c>
    </row>
    <row r="25" spans="1:12" ht="15" customHeight="1" x14ac:dyDescent="0.35">
      <c r="A25" s="10">
        <f t="shared" si="1"/>
        <v>21</v>
      </c>
      <c r="B25" s="3">
        <v>353</v>
      </c>
      <c r="C25" s="5" t="s">
        <v>97</v>
      </c>
      <c r="D25" s="5" t="s">
        <v>98</v>
      </c>
      <c r="E25" s="5" t="s">
        <v>99</v>
      </c>
      <c r="F25" s="5" t="s">
        <v>100</v>
      </c>
      <c r="G25" s="7">
        <v>37699</v>
      </c>
      <c r="H25" s="18">
        <f t="shared" si="0"/>
        <v>23.049315068493151</v>
      </c>
      <c r="I25" s="5" t="s">
        <v>13</v>
      </c>
      <c r="J25" s="28">
        <v>34716.75</v>
      </c>
      <c r="K25" s="28">
        <v>4000</v>
      </c>
      <c r="L25" s="31">
        <f t="shared" si="2"/>
        <v>0.11521815838176097</v>
      </c>
    </row>
    <row r="26" spans="1:12" ht="15" customHeight="1" x14ac:dyDescent="0.35">
      <c r="A26" s="10">
        <f t="shared" si="1"/>
        <v>22</v>
      </c>
      <c r="B26" s="3">
        <v>355</v>
      </c>
      <c r="C26" s="5" t="s">
        <v>101</v>
      </c>
      <c r="D26" s="5" t="s">
        <v>102</v>
      </c>
      <c r="E26" s="5" t="s">
        <v>103</v>
      </c>
      <c r="F26" s="5" t="s">
        <v>103</v>
      </c>
      <c r="G26" s="7">
        <v>37700</v>
      </c>
      <c r="H26" s="18">
        <f t="shared" si="0"/>
        <v>23.046575342465754</v>
      </c>
      <c r="I26" s="5" t="s">
        <v>13</v>
      </c>
      <c r="J26" s="28">
        <v>28444.587499999998</v>
      </c>
      <c r="K26" s="28">
        <v>4000</v>
      </c>
      <c r="L26" s="31">
        <f t="shared" si="2"/>
        <v>0.14062429275868388</v>
      </c>
    </row>
    <row r="27" spans="1:12" ht="15" customHeight="1" x14ac:dyDescent="0.35">
      <c r="A27" s="10">
        <f t="shared" si="1"/>
        <v>23</v>
      </c>
      <c r="B27" s="3">
        <v>376</v>
      </c>
      <c r="C27" s="5" t="s">
        <v>105</v>
      </c>
      <c r="D27" s="5" t="s">
        <v>106</v>
      </c>
      <c r="E27" s="5" t="s">
        <v>35</v>
      </c>
      <c r="F27" s="5" t="s">
        <v>36</v>
      </c>
      <c r="G27" s="7">
        <v>37767</v>
      </c>
      <c r="H27" s="18">
        <f t="shared" si="0"/>
        <v>22.863013698630137</v>
      </c>
      <c r="I27" s="5" t="s">
        <v>13</v>
      </c>
      <c r="J27" s="28">
        <v>31949.3825</v>
      </c>
      <c r="K27" s="28">
        <v>4000</v>
      </c>
      <c r="L27" s="31">
        <f t="shared" si="2"/>
        <v>0.12519803786505107</v>
      </c>
    </row>
    <row r="28" spans="1:12" ht="15" customHeight="1" x14ac:dyDescent="0.35">
      <c r="A28" s="10">
        <f t="shared" si="1"/>
        <v>24</v>
      </c>
      <c r="B28" s="3">
        <v>467</v>
      </c>
      <c r="C28" s="5" t="s">
        <v>120</v>
      </c>
      <c r="D28" s="5" t="s">
        <v>80</v>
      </c>
      <c r="E28" s="5" t="s">
        <v>35</v>
      </c>
      <c r="F28" s="5" t="s">
        <v>36</v>
      </c>
      <c r="G28" s="7">
        <v>37804</v>
      </c>
      <c r="H28" s="18">
        <f t="shared" si="0"/>
        <v>22.761643835616439</v>
      </c>
      <c r="I28" s="5" t="s">
        <v>13</v>
      </c>
      <c r="J28" s="28">
        <v>32646.057499999999</v>
      </c>
      <c r="K28" s="28">
        <v>4000</v>
      </c>
      <c r="L28" s="31">
        <f t="shared" si="2"/>
        <v>0.12252628054704615</v>
      </c>
    </row>
    <row r="29" spans="1:12" ht="15" customHeight="1" x14ac:dyDescent="0.35">
      <c r="A29" s="10">
        <f t="shared" si="1"/>
        <v>25</v>
      </c>
      <c r="B29" s="3">
        <v>517</v>
      </c>
      <c r="C29" s="5" t="s">
        <v>128</v>
      </c>
      <c r="D29" s="5" t="s">
        <v>129</v>
      </c>
      <c r="E29" s="5" t="s">
        <v>35</v>
      </c>
      <c r="F29" s="5" t="s">
        <v>84</v>
      </c>
      <c r="G29" s="7">
        <v>36529</v>
      </c>
      <c r="H29" s="18">
        <f t="shared" si="0"/>
        <v>26.254794520547946</v>
      </c>
      <c r="I29" s="5" t="s">
        <v>21</v>
      </c>
      <c r="J29" s="28">
        <v>40074.195000000007</v>
      </c>
      <c r="K29" s="28">
        <v>4000</v>
      </c>
      <c r="L29" s="31">
        <f t="shared" si="2"/>
        <v>9.9814855919126991E-2</v>
      </c>
    </row>
    <row r="30" spans="1:12" ht="15" customHeight="1" x14ac:dyDescent="0.35">
      <c r="A30" s="10">
        <f t="shared" si="1"/>
        <v>26</v>
      </c>
      <c r="B30" s="3">
        <v>518</v>
      </c>
      <c r="C30" s="5" t="s">
        <v>130</v>
      </c>
      <c r="D30" s="5" t="s">
        <v>83</v>
      </c>
      <c r="E30" s="5" t="s">
        <v>35</v>
      </c>
      <c r="F30" s="5" t="s">
        <v>84</v>
      </c>
      <c r="G30" s="7">
        <v>37196</v>
      </c>
      <c r="H30" s="18">
        <f t="shared" si="0"/>
        <v>24.427397260273974</v>
      </c>
      <c r="I30" s="5" t="s">
        <v>13</v>
      </c>
      <c r="J30" s="28">
        <v>32841.357499999998</v>
      </c>
      <c r="K30" s="28">
        <v>4000</v>
      </c>
      <c r="L30" s="31">
        <f t="shared" si="2"/>
        <v>0.12179764493596223</v>
      </c>
    </row>
    <row r="31" spans="1:12" ht="15" customHeight="1" x14ac:dyDescent="0.35">
      <c r="A31" s="10">
        <f t="shared" si="1"/>
        <v>27</v>
      </c>
      <c r="B31" s="3">
        <v>531</v>
      </c>
      <c r="C31" s="5" t="s">
        <v>131</v>
      </c>
      <c r="D31" s="5" t="s">
        <v>15</v>
      </c>
      <c r="E31" s="5" t="s">
        <v>68</v>
      </c>
      <c r="F31" s="5" t="s">
        <v>132</v>
      </c>
      <c r="G31" s="7">
        <v>37851</v>
      </c>
      <c r="H31" s="18">
        <f t="shared" si="0"/>
        <v>22.632876712328766</v>
      </c>
      <c r="I31" s="5" t="s">
        <v>13</v>
      </c>
      <c r="J31" s="28">
        <v>28042.589</v>
      </c>
      <c r="K31" s="28">
        <v>4000</v>
      </c>
      <c r="L31" s="31">
        <f t="shared" si="2"/>
        <v>0.14264018204595874</v>
      </c>
    </row>
    <row r="32" spans="1:12" ht="15" customHeight="1" x14ac:dyDescent="0.35">
      <c r="A32" s="10">
        <f t="shared" si="1"/>
        <v>28</v>
      </c>
      <c r="B32" s="3">
        <v>568</v>
      </c>
      <c r="C32" s="5" t="s">
        <v>135</v>
      </c>
      <c r="D32" s="5" t="s">
        <v>136</v>
      </c>
      <c r="E32" s="5" t="s">
        <v>68</v>
      </c>
      <c r="F32" s="5" t="s">
        <v>137</v>
      </c>
      <c r="G32" s="7">
        <v>39142</v>
      </c>
      <c r="H32" s="18">
        <f t="shared" si="0"/>
        <v>19.095890410958905</v>
      </c>
      <c r="I32" s="5" t="s">
        <v>13</v>
      </c>
      <c r="J32" s="28">
        <v>40100.854500000001</v>
      </c>
      <c r="K32" s="28">
        <v>4000</v>
      </c>
      <c r="L32" s="31">
        <f t="shared" si="2"/>
        <v>9.9748497878019024E-2</v>
      </c>
    </row>
    <row r="33" spans="1:12" ht="15" customHeight="1" x14ac:dyDescent="0.35">
      <c r="A33" s="10">
        <f t="shared" si="1"/>
        <v>29</v>
      </c>
      <c r="B33" s="3">
        <v>633</v>
      </c>
      <c r="C33" s="5" t="s">
        <v>145</v>
      </c>
      <c r="D33" s="5" t="s">
        <v>146</v>
      </c>
      <c r="E33" s="5" t="s">
        <v>12</v>
      </c>
      <c r="F33" s="5" t="s">
        <v>12</v>
      </c>
      <c r="G33" s="7">
        <v>38048</v>
      </c>
      <c r="H33" s="18">
        <f t="shared" si="0"/>
        <v>22.093150684931508</v>
      </c>
      <c r="I33" s="5" t="s">
        <v>13</v>
      </c>
      <c r="J33" s="28">
        <v>37400.709499999997</v>
      </c>
      <c r="K33" s="28">
        <v>4000</v>
      </c>
      <c r="L33" s="31">
        <f t="shared" si="2"/>
        <v>0.10694984275632526</v>
      </c>
    </row>
    <row r="34" spans="1:12" ht="15" customHeight="1" x14ac:dyDescent="0.35">
      <c r="A34" s="10">
        <f t="shared" si="1"/>
        <v>30</v>
      </c>
      <c r="B34" s="3">
        <v>730</v>
      </c>
      <c r="C34" s="5" t="s">
        <v>150</v>
      </c>
      <c r="D34" s="5" t="s">
        <v>151</v>
      </c>
      <c r="E34" s="5" t="s">
        <v>24</v>
      </c>
      <c r="F34" s="5" t="s">
        <v>152</v>
      </c>
      <c r="G34" s="7">
        <v>38261</v>
      </c>
      <c r="H34" s="18">
        <f t="shared" si="0"/>
        <v>21.509589041095889</v>
      </c>
      <c r="I34" s="5" t="s">
        <v>13</v>
      </c>
      <c r="J34" s="28">
        <v>36317.869500000001</v>
      </c>
      <c r="K34" s="28">
        <v>4000</v>
      </c>
      <c r="L34" s="31">
        <f t="shared" si="2"/>
        <v>0.11013861922709976</v>
      </c>
    </row>
    <row r="35" spans="1:12" ht="15" customHeight="1" x14ac:dyDescent="0.35">
      <c r="A35" s="10">
        <f t="shared" si="1"/>
        <v>31</v>
      </c>
      <c r="B35" s="3">
        <v>733</v>
      </c>
      <c r="C35" s="5" t="s">
        <v>153</v>
      </c>
      <c r="D35" s="5" t="s">
        <v>80</v>
      </c>
      <c r="E35" s="5" t="s">
        <v>35</v>
      </c>
      <c r="F35" s="5" t="s">
        <v>84</v>
      </c>
      <c r="G35" s="7">
        <v>38261</v>
      </c>
      <c r="H35" s="18">
        <f t="shared" si="0"/>
        <v>21.509589041095889</v>
      </c>
      <c r="I35" s="5" t="s">
        <v>13</v>
      </c>
      <c r="J35" s="28">
        <v>34811.309500000003</v>
      </c>
      <c r="K35" s="28">
        <v>4000</v>
      </c>
      <c r="L35" s="31">
        <f t="shared" si="2"/>
        <v>0.11490518620105342</v>
      </c>
    </row>
    <row r="36" spans="1:12" ht="15" customHeight="1" x14ac:dyDescent="0.35">
      <c r="A36" s="10">
        <f t="shared" si="1"/>
        <v>32</v>
      </c>
      <c r="B36" s="3">
        <v>846</v>
      </c>
      <c r="C36" s="5" t="s">
        <v>163</v>
      </c>
      <c r="D36" s="5" t="s">
        <v>164</v>
      </c>
      <c r="E36" s="5" t="s">
        <v>165</v>
      </c>
      <c r="F36" s="5" t="s">
        <v>165</v>
      </c>
      <c r="G36" s="7">
        <v>38413</v>
      </c>
      <c r="H36" s="18">
        <f t="shared" si="0"/>
        <v>21.093150684931508</v>
      </c>
      <c r="I36" s="5" t="s">
        <v>13</v>
      </c>
      <c r="J36" s="28">
        <v>37052.172500000001</v>
      </c>
      <c r="K36" s="28">
        <v>4000</v>
      </c>
      <c r="L36" s="31">
        <f t="shared" si="2"/>
        <v>0.10795588301873527</v>
      </c>
    </row>
    <row r="37" spans="1:12" ht="15" customHeight="1" x14ac:dyDescent="0.35">
      <c r="A37" s="10">
        <f t="shared" si="1"/>
        <v>33</v>
      </c>
      <c r="B37" s="3">
        <v>979</v>
      </c>
      <c r="C37" s="5" t="s">
        <v>174</v>
      </c>
      <c r="D37" s="5" t="s">
        <v>15</v>
      </c>
      <c r="E37" s="5" t="s">
        <v>103</v>
      </c>
      <c r="F37" s="5" t="s">
        <v>103</v>
      </c>
      <c r="G37" s="7">
        <v>38571</v>
      </c>
      <c r="H37" s="18">
        <f t="shared" si="0"/>
        <v>20.660273972602738</v>
      </c>
      <c r="I37" s="5" t="s">
        <v>13</v>
      </c>
      <c r="J37" s="28">
        <v>28856.397499999999</v>
      </c>
      <c r="K37" s="28">
        <v>4000</v>
      </c>
      <c r="L37" s="31">
        <f t="shared" si="2"/>
        <v>0.1386174417648634</v>
      </c>
    </row>
    <row r="38" spans="1:12" ht="15" customHeight="1" x14ac:dyDescent="0.35">
      <c r="A38" s="10">
        <f t="shared" si="1"/>
        <v>34</v>
      </c>
      <c r="B38" s="3">
        <v>981</v>
      </c>
      <c r="C38" s="5" t="s">
        <v>175</v>
      </c>
      <c r="D38" s="5" t="s">
        <v>21</v>
      </c>
      <c r="E38" s="5" t="s">
        <v>117</v>
      </c>
      <c r="F38" s="5" t="s">
        <v>176</v>
      </c>
      <c r="G38" s="7">
        <v>39508</v>
      </c>
      <c r="H38" s="18">
        <f t="shared" si="0"/>
        <v>18.093150684931508</v>
      </c>
      <c r="I38" s="5" t="s">
        <v>13</v>
      </c>
      <c r="J38" s="28">
        <v>30475.7075</v>
      </c>
      <c r="K38" s="28">
        <v>4000</v>
      </c>
      <c r="L38" s="31">
        <f t="shared" si="2"/>
        <v>0.13125208003784652</v>
      </c>
    </row>
    <row r="39" spans="1:12" ht="15" customHeight="1" x14ac:dyDescent="0.35">
      <c r="A39" s="10">
        <f t="shared" si="1"/>
        <v>35</v>
      </c>
      <c r="B39" s="3">
        <v>989</v>
      </c>
      <c r="C39" s="5" t="s">
        <v>177</v>
      </c>
      <c r="D39" s="5" t="s">
        <v>178</v>
      </c>
      <c r="E39" s="5" t="s">
        <v>68</v>
      </c>
      <c r="F39" s="5" t="s">
        <v>179</v>
      </c>
      <c r="G39" s="7">
        <v>38596</v>
      </c>
      <c r="H39" s="18">
        <f t="shared" si="0"/>
        <v>20.591780821917808</v>
      </c>
      <c r="I39" s="5" t="s">
        <v>13</v>
      </c>
      <c r="J39" s="28">
        <v>34631.75</v>
      </c>
      <c r="K39" s="28">
        <v>4000</v>
      </c>
      <c r="L39" s="31">
        <f t="shared" si="2"/>
        <v>0.11550094927342684</v>
      </c>
    </row>
    <row r="40" spans="1:12" ht="15" customHeight="1" x14ac:dyDescent="0.35">
      <c r="A40" s="10">
        <f t="shared" si="1"/>
        <v>36</v>
      </c>
      <c r="B40" s="3">
        <v>1013</v>
      </c>
      <c r="C40" s="5" t="s">
        <v>180</v>
      </c>
      <c r="D40" s="5" t="s">
        <v>21</v>
      </c>
      <c r="E40" s="5" t="s">
        <v>181</v>
      </c>
      <c r="F40" s="5" t="s">
        <v>181</v>
      </c>
      <c r="G40" s="7">
        <v>38636</v>
      </c>
      <c r="H40" s="18">
        <f t="shared" si="0"/>
        <v>20.482191780821918</v>
      </c>
      <c r="I40" s="5" t="s">
        <v>13</v>
      </c>
      <c r="J40" s="28">
        <v>35338.801999999996</v>
      </c>
      <c r="K40" s="28">
        <v>4000</v>
      </c>
      <c r="L40" s="31">
        <f t="shared" si="2"/>
        <v>0.11319002834334906</v>
      </c>
    </row>
    <row r="41" spans="1:12" ht="15" customHeight="1" x14ac:dyDescent="0.35">
      <c r="A41" s="10">
        <f t="shared" si="1"/>
        <v>37</v>
      </c>
      <c r="B41" s="3">
        <v>1014</v>
      </c>
      <c r="C41" s="5" t="s">
        <v>182</v>
      </c>
      <c r="D41" s="5" t="s">
        <v>178</v>
      </c>
      <c r="E41" s="5" t="s">
        <v>68</v>
      </c>
      <c r="F41" s="5" t="s">
        <v>179</v>
      </c>
      <c r="G41" s="7">
        <v>38626</v>
      </c>
      <c r="H41" s="18">
        <f t="shared" si="0"/>
        <v>20.509589041095889</v>
      </c>
      <c r="I41" s="5" t="s">
        <v>13</v>
      </c>
      <c r="J41" s="28">
        <v>34631.75</v>
      </c>
      <c r="K41" s="28">
        <v>4000</v>
      </c>
      <c r="L41" s="31">
        <f t="shared" si="2"/>
        <v>0.11550094927342684</v>
      </c>
    </row>
    <row r="42" spans="1:12" ht="15" customHeight="1" x14ac:dyDescent="0.35">
      <c r="A42" s="10">
        <f t="shared" si="1"/>
        <v>38</v>
      </c>
      <c r="B42" s="3">
        <v>1022</v>
      </c>
      <c r="C42" s="5" t="s">
        <v>183</v>
      </c>
      <c r="D42" s="5" t="s">
        <v>15</v>
      </c>
      <c r="E42" s="5" t="s">
        <v>16</v>
      </c>
      <c r="F42" s="5" t="s">
        <v>17</v>
      </c>
      <c r="G42" s="7">
        <v>38659</v>
      </c>
      <c r="H42" s="18">
        <f t="shared" si="0"/>
        <v>20.419178082191781</v>
      </c>
      <c r="I42" s="5" t="s">
        <v>13</v>
      </c>
      <c r="J42" s="28">
        <v>28042.589</v>
      </c>
      <c r="K42" s="28">
        <v>4000</v>
      </c>
      <c r="L42" s="31">
        <f t="shared" si="2"/>
        <v>0.14264018204595874</v>
      </c>
    </row>
    <row r="43" spans="1:12" ht="15" customHeight="1" x14ac:dyDescent="0.35">
      <c r="A43" s="10">
        <f t="shared" si="1"/>
        <v>39</v>
      </c>
      <c r="B43" s="3">
        <v>1042</v>
      </c>
      <c r="C43" s="5" t="s">
        <v>185</v>
      </c>
      <c r="D43" s="5" t="s">
        <v>186</v>
      </c>
      <c r="E43" s="5" t="s">
        <v>68</v>
      </c>
      <c r="F43" s="5" t="s">
        <v>187</v>
      </c>
      <c r="G43" s="7">
        <v>38687</v>
      </c>
      <c r="H43" s="18">
        <f t="shared" si="0"/>
        <v>20.342465753424658</v>
      </c>
      <c r="I43" s="5" t="s">
        <v>13</v>
      </c>
      <c r="J43" s="28">
        <v>36280.9545</v>
      </c>
      <c r="K43" s="28">
        <v>4000</v>
      </c>
      <c r="L43" s="31">
        <f t="shared" si="2"/>
        <v>0.11025068262743749</v>
      </c>
    </row>
    <row r="44" spans="1:12" ht="15" customHeight="1" x14ac:dyDescent="0.35">
      <c r="A44" s="10">
        <f t="shared" si="1"/>
        <v>40</v>
      </c>
      <c r="B44" s="3">
        <v>1062</v>
      </c>
      <c r="C44" s="5" t="s">
        <v>188</v>
      </c>
      <c r="D44" s="5" t="s">
        <v>189</v>
      </c>
      <c r="E44" s="5" t="s">
        <v>190</v>
      </c>
      <c r="F44" s="5" t="s">
        <v>190</v>
      </c>
      <c r="G44" s="7">
        <v>38734</v>
      </c>
      <c r="H44" s="18">
        <f t="shared" si="0"/>
        <v>20.213698630136985</v>
      </c>
      <c r="I44" s="5" t="s">
        <v>13</v>
      </c>
      <c r="J44" s="28">
        <v>40073.898499999996</v>
      </c>
      <c r="K44" s="28">
        <v>4000</v>
      </c>
      <c r="L44" s="31">
        <f t="shared" si="2"/>
        <v>9.9815594432370994E-2</v>
      </c>
    </row>
    <row r="45" spans="1:12" ht="15" customHeight="1" x14ac:dyDescent="0.35">
      <c r="A45" s="10">
        <f t="shared" si="1"/>
        <v>41</v>
      </c>
      <c r="B45" s="3">
        <v>1092</v>
      </c>
      <c r="C45" s="5" t="s">
        <v>191</v>
      </c>
      <c r="D45" s="5" t="s">
        <v>80</v>
      </c>
      <c r="E45" s="5" t="s">
        <v>35</v>
      </c>
      <c r="F45" s="5" t="s">
        <v>36</v>
      </c>
      <c r="G45" s="7">
        <v>38777</v>
      </c>
      <c r="H45" s="18">
        <f t="shared" si="0"/>
        <v>20.095890410958905</v>
      </c>
      <c r="I45" s="5" t="s">
        <v>13</v>
      </c>
      <c r="J45" s="28">
        <v>32106.357499999998</v>
      </c>
      <c r="K45" s="28">
        <v>4000</v>
      </c>
      <c r="L45" s="31">
        <f t="shared" si="2"/>
        <v>0.1245859172906799</v>
      </c>
    </row>
    <row r="46" spans="1:12" ht="15" customHeight="1" x14ac:dyDescent="0.35">
      <c r="A46" s="10">
        <f t="shared" si="1"/>
        <v>42</v>
      </c>
      <c r="B46" s="3">
        <v>1097</v>
      </c>
      <c r="C46" s="5" t="s">
        <v>192</v>
      </c>
      <c r="D46" s="5" t="s">
        <v>193</v>
      </c>
      <c r="E46" s="5" t="s">
        <v>194</v>
      </c>
      <c r="F46" s="5" t="s">
        <v>194</v>
      </c>
      <c r="G46" s="7">
        <v>38777</v>
      </c>
      <c r="H46" s="18">
        <f t="shared" si="0"/>
        <v>20.095890410958905</v>
      </c>
      <c r="I46" s="5" t="s">
        <v>13</v>
      </c>
      <c r="J46" s="28">
        <v>31221.754499999999</v>
      </c>
      <c r="K46" s="28">
        <v>4000</v>
      </c>
      <c r="L46" s="31">
        <f t="shared" si="2"/>
        <v>0.12811579823292762</v>
      </c>
    </row>
    <row r="47" spans="1:12" ht="15" customHeight="1" x14ac:dyDescent="0.35">
      <c r="A47" s="10">
        <f t="shared" si="1"/>
        <v>43</v>
      </c>
      <c r="B47" s="3">
        <v>1118</v>
      </c>
      <c r="C47" s="5" t="s">
        <v>196</v>
      </c>
      <c r="D47" s="5" t="s">
        <v>197</v>
      </c>
      <c r="E47" s="5" t="s">
        <v>198</v>
      </c>
      <c r="F47" s="5" t="s">
        <v>198</v>
      </c>
      <c r="G47" s="7">
        <v>38777</v>
      </c>
      <c r="H47" s="18">
        <f t="shared" si="0"/>
        <v>20.095890410958905</v>
      </c>
      <c r="I47" s="5" t="s">
        <v>13</v>
      </c>
      <c r="J47" s="28">
        <v>36566.109499999999</v>
      </c>
      <c r="K47" s="28">
        <v>4000</v>
      </c>
      <c r="L47" s="31">
        <f t="shared" si="2"/>
        <v>0.10939091018146188</v>
      </c>
    </row>
    <row r="48" spans="1:12" ht="15" customHeight="1" x14ac:dyDescent="0.35">
      <c r="A48" s="10">
        <f t="shared" si="1"/>
        <v>44</v>
      </c>
      <c r="B48" s="3">
        <v>1119</v>
      </c>
      <c r="C48" s="5" t="s">
        <v>199</v>
      </c>
      <c r="D48" s="5" t="s">
        <v>146</v>
      </c>
      <c r="E48" s="5" t="s">
        <v>12</v>
      </c>
      <c r="F48" s="5" t="s">
        <v>12</v>
      </c>
      <c r="G48" s="7">
        <v>38777</v>
      </c>
      <c r="H48" s="18">
        <f t="shared" si="0"/>
        <v>20.095890410958905</v>
      </c>
      <c r="I48" s="5" t="s">
        <v>13</v>
      </c>
      <c r="J48" s="28">
        <v>36496.021999999997</v>
      </c>
      <c r="K48" s="28">
        <v>4000</v>
      </c>
      <c r="L48" s="31">
        <f t="shared" si="2"/>
        <v>0.10960098610199216</v>
      </c>
    </row>
    <row r="49" spans="1:12" ht="15" customHeight="1" x14ac:dyDescent="0.35">
      <c r="A49" s="10">
        <f t="shared" si="1"/>
        <v>45</v>
      </c>
      <c r="B49" s="3">
        <v>1134</v>
      </c>
      <c r="C49" s="5" t="s">
        <v>201</v>
      </c>
      <c r="D49" s="5" t="s">
        <v>202</v>
      </c>
      <c r="E49" s="5" t="s">
        <v>68</v>
      </c>
      <c r="F49" s="5" t="s">
        <v>179</v>
      </c>
      <c r="G49" s="7">
        <v>38808</v>
      </c>
      <c r="H49" s="18">
        <f t="shared" si="0"/>
        <v>20.010958904109589</v>
      </c>
      <c r="I49" s="5" t="s">
        <v>13</v>
      </c>
      <c r="J49" s="28">
        <v>31655.25</v>
      </c>
      <c r="K49" s="28">
        <v>4000</v>
      </c>
      <c r="L49" s="31">
        <f t="shared" si="2"/>
        <v>0.12636134606423896</v>
      </c>
    </row>
    <row r="50" spans="1:12" ht="15" customHeight="1" x14ac:dyDescent="0.35">
      <c r="A50" s="10">
        <f t="shared" si="1"/>
        <v>46</v>
      </c>
      <c r="B50" s="3">
        <v>1202</v>
      </c>
      <c r="C50" s="5" t="s">
        <v>206</v>
      </c>
      <c r="D50" s="5" t="s">
        <v>207</v>
      </c>
      <c r="E50" s="5" t="s">
        <v>61</v>
      </c>
      <c r="F50" s="5" t="s">
        <v>61</v>
      </c>
      <c r="G50" s="7">
        <v>38869</v>
      </c>
      <c r="H50" s="18">
        <f t="shared" si="0"/>
        <v>19.843835616438355</v>
      </c>
      <c r="I50" s="5" t="s">
        <v>13</v>
      </c>
      <c r="J50" s="28">
        <v>32719.261999999999</v>
      </c>
      <c r="K50" s="28">
        <v>4000</v>
      </c>
      <c r="L50" s="31">
        <f t="shared" si="2"/>
        <v>0.12225214615170722</v>
      </c>
    </row>
    <row r="51" spans="1:12" ht="15" customHeight="1" x14ac:dyDescent="0.35">
      <c r="A51" s="10">
        <f t="shared" si="1"/>
        <v>47</v>
      </c>
      <c r="B51" s="3">
        <v>1222</v>
      </c>
      <c r="C51" s="5" t="s">
        <v>208</v>
      </c>
      <c r="D51" s="5" t="s">
        <v>106</v>
      </c>
      <c r="E51" s="5" t="s">
        <v>35</v>
      </c>
      <c r="F51" s="5" t="s">
        <v>36</v>
      </c>
      <c r="G51" s="7">
        <v>40163</v>
      </c>
      <c r="H51" s="18">
        <f t="shared" si="0"/>
        <v>16.298630136986301</v>
      </c>
      <c r="I51" s="5" t="s">
        <v>13</v>
      </c>
      <c r="J51" s="28">
        <v>30883.6325</v>
      </c>
      <c r="K51" s="28">
        <v>4000</v>
      </c>
      <c r="L51" s="31">
        <f t="shared" si="2"/>
        <v>0.12951844314298197</v>
      </c>
    </row>
    <row r="52" spans="1:12" ht="15" customHeight="1" x14ac:dyDescent="0.35">
      <c r="A52" s="10">
        <f t="shared" si="1"/>
        <v>48</v>
      </c>
      <c r="B52" s="3">
        <v>1327</v>
      </c>
      <c r="C52" s="5" t="s">
        <v>210</v>
      </c>
      <c r="D52" s="5" t="s">
        <v>53</v>
      </c>
      <c r="E52" s="5" t="s">
        <v>112</v>
      </c>
      <c r="F52" s="5" t="s">
        <v>112</v>
      </c>
      <c r="G52" s="7">
        <v>39023</v>
      </c>
      <c r="H52" s="18">
        <f t="shared" si="0"/>
        <v>19.421917808219177</v>
      </c>
      <c r="I52" s="5" t="s">
        <v>13</v>
      </c>
      <c r="J52" s="28">
        <v>32564.157500000001</v>
      </c>
      <c r="K52" s="28">
        <v>4000</v>
      </c>
      <c r="L52" s="31">
        <f t="shared" si="2"/>
        <v>0.12283443844662648</v>
      </c>
    </row>
    <row r="53" spans="1:12" ht="15" customHeight="1" x14ac:dyDescent="0.35">
      <c r="A53" s="10">
        <f t="shared" si="1"/>
        <v>49</v>
      </c>
      <c r="B53" s="3">
        <v>1406</v>
      </c>
      <c r="C53" s="5" t="s">
        <v>212</v>
      </c>
      <c r="D53" s="5" t="s">
        <v>213</v>
      </c>
      <c r="E53" s="5" t="s">
        <v>94</v>
      </c>
      <c r="F53" s="5" t="s">
        <v>94</v>
      </c>
      <c r="G53" s="7">
        <v>39114</v>
      </c>
      <c r="H53" s="18">
        <f t="shared" si="0"/>
        <v>19.172602739726027</v>
      </c>
      <c r="I53" s="5" t="s">
        <v>13</v>
      </c>
      <c r="J53" s="28">
        <v>40854.415000000001</v>
      </c>
      <c r="K53" s="28">
        <v>4000</v>
      </c>
      <c r="L53" s="31">
        <f t="shared" si="2"/>
        <v>9.7908634843994216E-2</v>
      </c>
    </row>
    <row r="54" spans="1:12" ht="15" customHeight="1" x14ac:dyDescent="0.35">
      <c r="A54" s="10">
        <f t="shared" si="1"/>
        <v>50</v>
      </c>
      <c r="B54" s="3">
        <v>1433</v>
      </c>
      <c r="C54" s="5" t="s">
        <v>217</v>
      </c>
      <c r="D54" s="5" t="s">
        <v>146</v>
      </c>
      <c r="E54" s="5" t="s">
        <v>12</v>
      </c>
      <c r="F54" s="5" t="s">
        <v>12</v>
      </c>
      <c r="G54" s="7">
        <v>39120</v>
      </c>
      <c r="H54" s="18">
        <f t="shared" si="0"/>
        <v>19.156164383561645</v>
      </c>
      <c r="I54" s="5" t="s">
        <v>13</v>
      </c>
      <c r="J54" s="28">
        <v>33898.707500000004</v>
      </c>
      <c r="K54" s="28">
        <v>4000</v>
      </c>
      <c r="L54" s="31">
        <f t="shared" si="2"/>
        <v>0.11799859920912913</v>
      </c>
    </row>
    <row r="55" spans="1:12" ht="15" customHeight="1" x14ac:dyDescent="0.35">
      <c r="A55" s="10">
        <f t="shared" si="1"/>
        <v>51</v>
      </c>
      <c r="B55" s="3">
        <v>1460</v>
      </c>
      <c r="C55" s="5" t="s">
        <v>219</v>
      </c>
      <c r="D55" s="5" t="s">
        <v>21</v>
      </c>
      <c r="E55" s="5" t="s">
        <v>54</v>
      </c>
      <c r="F55" s="5" t="s">
        <v>54</v>
      </c>
      <c r="G55" s="7">
        <v>39142</v>
      </c>
      <c r="H55" s="18">
        <f t="shared" si="0"/>
        <v>19.095890410958905</v>
      </c>
      <c r="I55" s="5" t="s">
        <v>13</v>
      </c>
      <c r="J55" s="28">
        <v>33014.101999999999</v>
      </c>
      <c r="K55" s="28">
        <v>4000</v>
      </c>
      <c r="L55" s="31">
        <f t="shared" si="2"/>
        <v>0.12116034535787162</v>
      </c>
    </row>
    <row r="56" spans="1:12" ht="15" customHeight="1" x14ac:dyDescent="0.35">
      <c r="A56" s="10">
        <f t="shared" si="1"/>
        <v>52</v>
      </c>
      <c r="B56" s="3">
        <v>1467</v>
      </c>
      <c r="C56" s="5" t="s">
        <v>220</v>
      </c>
      <c r="D56" s="5" t="s">
        <v>136</v>
      </c>
      <c r="E56" s="5" t="s">
        <v>68</v>
      </c>
      <c r="F56" s="5" t="s">
        <v>69</v>
      </c>
      <c r="G56" s="7">
        <v>39142</v>
      </c>
      <c r="H56" s="18">
        <f t="shared" si="0"/>
        <v>19.095890410958905</v>
      </c>
      <c r="I56" s="5" t="s">
        <v>13</v>
      </c>
      <c r="J56" s="28">
        <v>34910.284500000002</v>
      </c>
      <c r="K56" s="28">
        <v>4000</v>
      </c>
      <c r="L56" s="31">
        <f t="shared" si="2"/>
        <v>0.11457941570198317</v>
      </c>
    </row>
    <row r="57" spans="1:12" ht="15" customHeight="1" x14ac:dyDescent="0.35">
      <c r="A57" s="10">
        <f t="shared" si="1"/>
        <v>53</v>
      </c>
      <c r="B57" s="3">
        <v>1479</v>
      </c>
      <c r="C57" s="5" t="s">
        <v>222</v>
      </c>
      <c r="D57" s="5" t="s">
        <v>15</v>
      </c>
      <c r="E57" s="5" t="s">
        <v>16</v>
      </c>
      <c r="F57" s="5" t="s">
        <v>17</v>
      </c>
      <c r="G57" s="7">
        <v>39142</v>
      </c>
      <c r="H57" s="18">
        <f t="shared" si="0"/>
        <v>19.095890410958905</v>
      </c>
      <c r="I57" s="5" t="s">
        <v>13</v>
      </c>
      <c r="J57" s="28">
        <v>29883.383000000002</v>
      </c>
      <c r="K57" s="28">
        <v>4000</v>
      </c>
      <c r="L57" s="31">
        <f t="shared" si="2"/>
        <v>0.13385365371785382</v>
      </c>
    </row>
    <row r="58" spans="1:12" ht="15" customHeight="1" x14ac:dyDescent="0.35">
      <c r="A58" s="10">
        <f t="shared" si="1"/>
        <v>54</v>
      </c>
      <c r="B58" s="3">
        <v>1543</v>
      </c>
      <c r="C58" s="5" t="s">
        <v>223</v>
      </c>
      <c r="D58" s="5" t="s">
        <v>15</v>
      </c>
      <c r="E58" s="5" t="s">
        <v>16</v>
      </c>
      <c r="F58" s="5" t="s">
        <v>194</v>
      </c>
      <c r="G58" s="7">
        <v>39173</v>
      </c>
      <c r="H58" s="18">
        <f t="shared" si="0"/>
        <v>19.010958904109589</v>
      </c>
      <c r="I58" s="5" t="s">
        <v>13</v>
      </c>
      <c r="J58" s="28">
        <v>29883.383000000002</v>
      </c>
      <c r="K58" s="28">
        <v>4000</v>
      </c>
      <c r="L58" s="31">
        <f t="shared" si="2"/>
        <v>0.13385365371785382</v>
      </c>
    </row>
    <row r="59" spans="1:12" ht="15" customHeight="1" x14ac:dyDescent="0.35">
      <c r="A59" s="10">
        <f t="shared" si="1"/>
        <v>55</v>
      </c>
      <c r="B59" s="3">
        <v>1544</v>
      </c>
      <c r="C59" s="5" t="s">
        <v>224</v>
      </c>
      <c r="D59" s="5" t="s">
        <v>15</v>
      </c>
      <c r="E59" s="5" t="s">
        <v>16</v>
      </c>
      <c r="F59" s="5" t="s">
        <v>17</v>
      </c>
      <c r="G59" s="7">
        <v>39173</v>
      </c>
      <c r="H59" s="18">
        <f t="shared" si="0"/>
        <v>19.010958904109589</v>
      </c>
      <c r="I59" s="5" t="s">
        <v>13</v>
      </c>
      <c r="J59" s="28">
        <v>29883.383000000002</v>
      </c>
      <c r="K59" s="28">
        <v>4000</v>
      </c>
      <c r="L59" s="31">
        <f t="shared" si="2"/>
        <v>0.13385365371785382</v>
      </c>
    </row>
    <row r="60" spans="1:12" ht="15" customHeight="1" x14ac:dyDescent="0.35">
      <c r="A60" s="10">
        <f t="shared" si="1"/>
        <v>56</v>
      </c>
      <c r="B60" s="3">
        <v>1548</v>
      </c>
      <c r="C60" s="5" t="s">
        <v>225</v>
      </c>
      <c r="D60" s="5" t="s">
        <v>151</v>
      </c>
      <c r="E60" s="5" t="s">
        <v>24</v>
      </c>
      <c r="F60" s="5" t="s">
        <v>152</v>
      </c>
      <c r="G60" s="7">
        <v>39173</v>
      </c>
      <c r="H60" s="18">
        <f t="shared" si="0"/>
        <v>19.010958904109589</v>
      </c>
      <c r="I60" s="5" t="s">
        <v>13</v>
      </c>
      <c r="J60" s="28">
        <v>37917.582500000004</v>
      </c>
      <c r="K60" s="28">
        <v>4000</v>
      </c>
      <c r="L60" s="31">
        <f t="shared" si="2"/>
        <v>0.10549195745799457</v>
      </c>
    </row>
    <row r="61" spans="1:12" ht="15" customHeight="1" x14ac:dyDescent="0.35">
      <c r="A61" s="10">
        <f t="shared" si="1"/>
        <v>57</v>
      </c>
      <c r="B61" s="3">
        <v>1550</v>
      </c>
      <c r="C61" s="5" t="s">
        <v>226</v>
      </c>
      <c r="D61" s="5" t="s">
        <v>227</v>
      </c>
      <c r="E61" s="5" t="s">
        <v>228</v>
      </c>
      <c r="F61" s="5" t="s">
        <v>228</v>
      </c>
      <c r="G61" s="7">
        <v>39188</v>
      </c>
      <c r="H61" s="18">
        <f t="shared" si="0"/>
        <v>18.969863013698632</v>
      </c>
      <c r="I61" s="5" t="s">
        <v>13</v>
      </c>
      <c r="J61" s="28">
        <v>50034.354999999996</v>
      </c>
      <c r="K61" s="28">
        <v>4000</v>
      </c>
      <c r="L61" s="31">
        <f t="shared" si="2"/>
        <v>7.994506974257988E-2</v>
      </c>
    </row>
    <row r="62" spans="1:12" ht="15" customHeight="1" x14ac:dyDescent="0.35">
      <c r="A62" s="10">
        <f t="shared" si="1"/>
        <v>58</v>
      </c>
      <c r="B62" s="3">
        <v>1605</v>
      </c>
      <c r="C62" s="5" t="s">
        <v>230</v>
      </c>
      <c r="D62" s="5" t="s">
        <v>151</v>
      </c>
      <c r="E62" s="5" t="s">
        <v>28</v>
      </c>
      <c r="F62" s="5" t="s">
        <v>29</v>
      </c>
      <c r="G62" s="7">
        <v>39203</v>
      </c>
      <c r="H62" s="18">
        <f t="shared" si="0"/>
        <v>18.92876712328767</v>
      </c>
      <c r="I62" s="5" t="s">
        <v>13</v>
      </c>
      <c r="J62" s="28">
        <v>35849.084999999999</v>
      </c>
      <c r="K62" s="28">
        <v>4000</v>
      </c>
      <c r="L62" s="31">
        <f t="shared" si="2"/>
        <v>0.1115788589862196</v>
      </c>
    </row>
    <row r="63" spans="1:12" ht="15" customHeight="1" x14ac:dyDescent="0.35">
      <c r="A63" s="10">
        <f t="shared" si="1"/>
        <v>59</v>
      </c>
      <c r="B63" s="3">
        <v>1607</v>
      </c>
      <c r="C63" s="5" t="s">
        <v>231</v>
      </c>
      <c r="D63" s="5" t="s">
        <v>232</v>
      </c>
      <c r="E63" s="5" t="s">
        <v>117</v>
      </c>
      <c r="F63" s="5" t="s">
        <v>176</v>
      </c>
      <c r="G63" s="7">
        <v>39203</v>
      </c>
      <c r="H63" s="18">
        <f t="shared" si="0"/>
        <v>18.92876712328767</v>
      </c>
      <c r="I63" s="5" t="s">
        <v>13</v>
      </c>
      <c r="J63" s="28">
        <v>34910.284500000002</v>
      </c>
      <c r="K63" s="28">
        <v>4000</v>
      </c>
      <c r="L63" s="31">
        <f t="shared" si="2"/>
        <v>0.11457941570198317</v>
      </c>
    </row>
    <row r="64" spans="1:12" ht="15" customHeight="1" x14ac:dyDescent="0.35">
      <c r="A64" s="10">
        <f t="shared" si="1"/>
        <v>60</v>
      </c>
      <c r="B64" s="3">
        <v>1611</v>
      </c>
      <c r="C64" s="5" t="s">
        <v>233</v>
      </c>
      <c r="D64" s="5" t="s">
        <v>146</v>
      </c>
      <c r="E64" s="5" t="s">
        <v>12</v>
      </c>
      <c r="F64" s="5" t="s">
        <v>12</v>
      </c>
      <c r="G64" s="7">
        <v>39203</v>
      </c>
      <c r="H64" s="18">
        <f t="shared" si="0"/>
        <v>18.92876712328767</v>
      </c>
      <c r="I64" s="5" t="s">
        <v>13</v>
      </c>
      <c r="J64" s="28">
        <v>34449.550499999998</v>
      </c>
      <c r="K64" s="28">
        <v>4000</v>
      </c>
      <c r="L64" s="31">
        <f t="shared" si="2"/>
        <v>0.11611181980444128</v>
      </c>
    </row>
    <row r="65" spans="1:12" ht="15" customHeight="1" x14ac:dyDescent="0.35">
      <c r="A65" s="10">
        <f t="shared" si="1"/>
        <v>61</v>
      </c>
      <c r="B65" s="3">
        <v>1626</v>
      </c>
      <c r="C65" s="5" t="s">
        <v>234</v>
      </c>
      <c r="D65" s="5" t="s">
        <v>235</v>
      </c>
      <c r="E65" s="5" t="s">
        <v>117</v>
      </c>
      <c r="F65" s="5" t="s">
        <v>176</v>
      </c>
      <c r="G65" s="7">
        <v>39234</v>
      </c>
      <c r="H65" s="18">
        <f t="shared" si="0"/>
        <v>18.843835616438355</v>
      </c>
      <c r="I65" s="5" t="s">
        <v>13</v>
      </c>
      <c r="J65" s="28">
        <v>34703.762000000002</v>
      </c>
      <c r="K65" s="28">
        <v>4000</v>
      </c>
      <c r="L65" s="31">
        <f t="shared" si="2"/>
        <v>0.11526127916621834</v>
      </c>
    </row>
    <row r="66" spans="1:12" ht="15" customHeight="1" x14ac:dyDescent="0.35">
      <c r="A66" s="10">
        <f t="shared" si="1"/>
        <v>62</v>
      </c>
      <c r="B66" s="3">
        <v>1677</v>
      </c>
      <c r="C66" s="5" t="s">
        <v>240</v>
      </c>
      <c r="D66" s="5" t="s">
        <v>151</v>
      </c>
      <c r="E66" s="5" t="s">
        <v>68</v>
      </c>
      <c r="F66" s="5" t="s">
        <v>69</v>
      </c>
      <c r="G66" s="7">
        <v>39234</v>
      </c>
      <c r="H66" s="18">
        <f t="shared" si="0"/>
        <v>18.843835616438355</v>
      </c>
      <c r="I66" s="5" t="s">
        <v>13</v>
      </c>
      <c r="J66" s="28">
        <v>35854.0245</v>
      </c>
      <c r="K66" s="28">
        <v>4000</v>
      </c>
      <c r="L66" s="31">
        <f t="shared" si="2"/>
        <v>0.11156348710588961</v>
      </c>
    </row>
    <row r="67" spans="1:12" ht="15" customHeight="1" x14ac:dyDescent="0.35">
      <c r="A67" s="10">
        <f t="shared" si="1"/>
        <v>63</v>
      </c>
      <c r="B67" s="3">
        <v>1704</v>
      </c>
      <c r="C67" s="5" t="s">
        <v>242</v>
      </c>
      <c r="D67" s="5" t="s">
        <v>243</v>
      </c>
      <c r="E67" s="5" t="s">
        <v>35</v>
      </c>
      <c r="F67" s="5" t="s">
        <v>84</v>
      </c>
      <c r="G67" s="7">
        <v>39265</v>
      </c>
      <c r="H67" s="18">
        <f t="shared" si="0"/>
        <v>18.758904109589039</v>
      </c>
      <c r="I67" s="5" t="s">
        <v>13</v>
      </c>
      <c r="J67" s="28">
        <v>29814.2075</v>
      </c>
      <c r="K67" s="28">
        <v>4000</v>
      </c>
      <c r="L67" s="31">
        <f t="shared" si="2"/>
        <v>0.13416422355013125</v>
      </c>
    </row>
    <row r="68" spans="1:12" ht="15" customHeight="1" x14ac:dyDescent="0.35">
      <c r="A68" s="10">
        <f t="shared" si="1"/>
        <v>64</v>
      </c>
      <c r="B68" s="3">
        <v>173</v>
      </c>
      <c r="C68" s="5" t="s">
        <v>245</v>
      </c>
      <c r="D68" s="5" t="s">
        <v>63</v>
      </c>
      <c r="E68" s="5" t="s">
        <v>64</v>
      </c>
      <c r="F68" s="5" t="s">
        <v>64</v>
      </c>
      <c r="G68" s="7">
        <v>37622</v>
      </c>
      <c r="H68" s="18">
        <f t="shared" si="0"/>
        <v>23.260273972602739</v>
      </c>
      <c r="I68" s="5" t="s">
        <v>13</v>
      </c>
      <c r="J68" s="28">
        <v>46553.703500000003</v>
      </c>
      <c r="K68" s="28">
        <v>4000</v>
      </c>
      <c r="L68" s="31">
        <f t="shared" si="2"/>
        <v>8.5922272542720474E-2</v>
      </c>
    </row>
    <row r="69" spans="1:12" ht="15" customHeight="1" x14ac:dyDescent="0.35">
      <c r="A69" s="10">
        <f t="shared" si="1"/>
        <v>65</v>
      </c>
      <c r="B69" s="3">
        <v>1732</v>
      </c>
      <c r="C69" s="5" t="s">
        <v>248</v>
      </c>
      <c r="D69" s="5" t="s">
        <v>151</v>
      </c>
      <c r="E69" s="5" t="s">
        <v>99</v>
      </c>
      <c r="F69" s="5" t="s">
        <v>249</v>
      </c>
      <c r="G69" s="7">
        <v>39264</v>
      </c>
      <c r="H69" s="18">
        <f t="shared" ref="H69:H132" si="3">($H$3-G69)/365</f>
        <v>18.761643835616439</v>
      </c>
      <c r="I69" s="5" t="s">
        <v>13</v>
      </c>
      <c r="J69" s="28">
        <v>34910.284500000002</v>
      </c>
      <c r="K69" s="28">
        <v>4000</v>
      </c>
      <c r="L69" s="31">
        <f t="shared" si="2"/>
        <v>0.11457941570198317</v>
      </c>
    </row>
    <row r="70" spans="1:12" ht="15" customHeight="1" x14ac:dyDescent="0.35">
      <c r="A70" s="10">
        <f t="shared" ref="A70:A133" si="4">+A69+1</f>
        <v>66</v>
      </c>
      <c r="B70" s="3">
        <v>1735</v>
      </c>
      <c r="C70" s="5" t="s">
        <v>250</v>
      </c>
      <c r="D70" s="5" t="s">
        <v>15</v>
      </c>
      <c r="E70" s="5" t="s">
        <v>16</v>
      </c>
      <c r="F70" s="5" t="s">
        <v>17</v>
      </c>
      <c r="G70" s="7">
        <v>39264</v>
      </c>
      <c r="H70" s="18">
        <f t="shared" si="3"/>
        <v>18.761643835616439</v>
      </c>
      <c r="I70" s="5" t="s">
        <v>13</v>
      </c>
      <c r="J70" s="28">
        <v>31945.297190000001</v>
      </c>
      <c r="K70" s="28">
        <v>4000</v>
      </c>
      <c r="L70" s="31">
        <f t="shared" ref="L70:L133" si="5">+K70/J70</f>
        <v>0.1252140487599577</v>
      </c>
    </row>
    <row r="71" spans="1:12" ht="15" customHeight="1" x14ac:dyDescent="0.35">
      <c r="A71" s="10">
        <f t="shared" si="4"/>
        <v>67</v>
      </c>
      <c r="B71" s="3">
        <v>1737</v>
      </c>
      <c r="C71" s="5" t="s">
        <v>251</v>
      </c>
      <c r="D71" s="5" t="s">
        <v>21</v>
      </c>
      <c r="E71" s="5" t="s">
        <v>117</v>
      </c>
      <c r="F71" s="5" t="s">
        <v>176</v>
      </c>
      <c r="G71" s="7">
        <v>39264</v>
      </c>
      <c r="H71" s="18">
        <f t="shared" si="3"/>
        <v>18.761643835616439</v>
      </c>
      <c r="I71" s="5" t="s">
        <v>13</v>
      </c>
      <c r="J71" s="28">
        <v>31595.959500000001</v>
      </c>
      <c r="K71" s="28">
        <v>4000</v>
      </c>
      <c r="L71" s="31">
        <f t="shared" si="5"/>
        <v>0.12659846585763601</v>
      </c>
    </row>
    <row r="72" spans="1:12" ht="15" customHeight="1" x14ac:dyDescent="0.35">
      <c r="A72" s="10">
        <f t="shared" si="4"/>
        <v>68</v>
      </c>
      <c r="B72" s="3">
        <v>1738</v>
      </c>
      <c r="C72" s="5" t="s">
        <v>252</v>
      </c>
      <c r="D72" s="5" t="s">
        <v>151</v>
      </c>
      <c r="E72" s="5" t="s">
        <v>28</v>
      </c>
      <c r="F72" s="5" t="s">
        <v>29</v>
      </c>
      <c r="G72" s="7">
        <v>39264</v>
      </c>
      <c r="H72" s="18">
        <f t="shared" si="3"/>
        <v>18.761643835616439</v>
      </c>
      <c r="I72" s="5" t="s">
        <v>13</v>
      </c>
      <c r="J72" s="28">
        <v>34227.482000000004</v>
      </c>
      <c r="K72" s="28">
        <v>4000</v>
      </c>
      <c r="L72" s="31">
        <f t="shared" si="5"/>
        <v>0.11686515531583654</v>
      </c>
    </row>
    <row r="73" spans="1:12" ht="15" customHeight="1" x14ac:dyDescent="0.35">
      <c r="A73" s="10">
        <f t="shared" si="4"/>
        <v>69</v>
      </c>
      <c r="B73" s="3">
        <v>1739</v>
      </c>
      <c r="C73" s="5" t="s">
        <v>253</v>
      </c>
      <c r="D73" s="5" t="s">
        <v>136</v>
      </c>
      <c r="E73" s="5" t="s">
        <v>68</v>
      </c>
      <c r="F73" s="5" t="s">
        <v>254</v>
      </c>
      <c r="G73" s="7">
        <v>39264</v>
      </c>
      <c r="H73" s="18">
        <f t="shared" si="3"/>
        <v>18.761643835616439</v>
      </c>
      <c r="I73" s="5" t="s">
        <v>13</v>
      </c>
      <c r="J73" s="28">
        <v>35382.154500000004</v>
      </c>
      <c r="K73" s="28">
        <v>4000</v>
      </c>
      <c r="L73" s="31">
        <f t="shared" si="5"/>
        <v>0.11305134061296351</v>
      </c>
    </row>
    <row r="74" spans="1:12" ht="15" customHeight="1" x14ac:dyDescent="0.35">
      <c r="A74" s="10">
        <f t="shared" si="4"/>
        <v>70</v>
      </c>
      <c r="B74" s="3">
        <v>1773</v>
      </c>
      <c r="C74" s="5" t="s">
        <v>255</v>
      </c>
      <c r="D74" s="5" t="s">
        <v>15</v>
      </c>
      <c r="E74" s="5" t="s">
        <v>16</v>
      </c>
      <c r="F74" s="5" t="s">
        <v>17</v>
      </c>
      <c r="G74" s="7">
        <v>39965</v>
      </c>
      <c r="H74" s="18">
        <f t="shared" si="3"/>
        <v>16.841095890410958</v>
      </c>
      <c r="I74" s="5" t="s">
        <v>13</v>
      </c>
      <c r="J74" s="28">
        <v>28042.589</v>
      </c>
      <c r="K74" s="28">
        <v>4000</v>
      </c>
      <c r="L74" s="31">
        <f t="shared" si="5"/>
        <v>0.14264018204595874</v>
      </c>
    </row>
    <row r="75" spans="1:12" ht="15" customHeight="1" x14ac:dyDescent="0.35">
      <c r="A75" s="10">
        <f t="shared" si="4"/>
        <v>71</v>
      </c>
      <c r="B75" s="3">
        <v>1790</v>
      </c>
      <c r="C75" s="5" t="s">
        <v>256</v>
      </c>
      <c r="D75" s="5" t="s">
        <v>257</v>
      </c>
      <c r="E75" s="5" t="s">
        <v>228</v>
      </c>
      <c r="F75" s="5" t="s">
        <v>228</v>
      </c>
      <c r="G75" s="7">
        <v>39331</v>
      </c>
      <c r="H75" s="18">
        <f t="shared" si="3"/>
        <v>18.578082191780823</v>
      </c>
      <c r="I75" s="5" t="s">
        <v>13</v>
      </c>
      <c r="J75" s="28">
        <v>39257.373500000002</v>
      </c>
      <c r="K75" s="28">
        <v>4000</v>
      </c>
      <c r="L75" s="31">
        <f t="shared" si="5"/>
        <v>0.10189168666620042</v>
      </c>
    </row>
    <row r="76" spans="1:12" ht="15" customHeight="1" x14ac:dyDescent="0.35">
      <c r="A76" s="10">
        <f t="shared" si="4"/>
        <v>72</v>
      </c>
      <c r="B76" s="3">
        <v>1794</v>
      </c>
      <c r="C76" s="5" t="s">
        <v>258</v>
      </c>
      <c r="D76" s="5" t="s">
        <v>60</v>
      </c>
      <c r="E76" s="5" t="s">
        <v>61</v>
      </c>
      <c r="F76" s="5" t="s">
        <v>61</v>
      </c>
      <c r="G76" s="7">
        <v>39326</v>
      </c>
      <c r="H76" s="18">
        <f t="shared" si="3"/>
        <v>18.591780821917808</v>
      </c>
      <c r="I76" s="5" t="s">
        <v>13</v>
      </c>
      <c r="J76" s="28">
        <v>38832.71</v>
      </c>
      <c r="K76" s="28">
        <v>4000</v>
      </c>
      <c r="L76" s="31">
        <f t="shared" si="5"/>
        <v>0.10300594524564471</v>
      </c>
    </row>
    <row r="77" spans="1:12" ht="15" customHeight="1" x14ac:dyDescent="0.35">
      <c r="A77" s="10">
        <f t="shared" si="4"/>
        <v>73</v>
      </c>
      <c r="B77" s="3">
        <v>1798</v>
      </c>
      <c r="C77" s="5" t="s">
        <v>260</v>
      </c>
      <c r="D77" s="5" t="s">
        <v>151</v>
      </c>
      <c r="E77" s="5" t="s">
        <v>99</v>
      </c>
      <c r="F77" s="5" t="s">
        <v>249</v>
      </c>
      <c r="G77" s="7">
        <v>39326</v>
      </c>
      <c r="H77" s="18">
        <f t="shared" si="3"/>
        <v>18.591780821917808</v>
      </c>
      <c r="I77" s="5" t="s">
        <v>13</v>
      </c>
      <c r="J77" s="28">
        <v>34910.284500000002</v>
      </c>
      <c r="K77" s="28">
        <v>4000</v>
      </c>
      <c r="L77" s="31">
        <f t="shared" si="5"/>
        <v>0.11457941570198317</v>
      </c>
    </row>
    <row r="78" spans="1:12" ht="15" customHeight="1" x14ac:dyDescent="0.35">
      <c r="A78" s="10">
        <f t="shared" si="4"/>
        <v>74</v>
      </c>
      <c r="B78" s="3">
        <v>1824</v>
      </c>
      <c r="C78" s="5" t="s">
        <v>261</v>
      </c>
      <c r="D78" s="5" t="s">
        <v>15</v>
      </c>
      <c r="E78" s="5" t="s">
        <v>64</v>
      </c>
      <c r="F78" s="5" t="s">
        <v>64</v>
      </c>
      <c r="G78" s="7">
        <v>39356</v>
      </c>
      <c r="H78" s="18">
        <f t="shared" si="3"/>
        <v>18.509589041095889</v>
      </c>
      <c r="I78" s="5" t="s">
        <v>13</v>
      </c>
      <c r="J78" s="28">
        <v>31619.281999999999</v>
      </c>
      <c r="K78" s="28">
        <v>4000</v>
      </c>
      <c r="L78" s="31">
        <f t="shared" si="5"/>
        <v>0.12650508635838095</v>
      </c>
    </row>
    <row r="79" spans="1:12" ht="15" customHeight="1" x14ac:dyDescent="0.35">
      <c r="A79" s="10">
        <f t="shared" si="4"/>
        <v>75</v>
      </c>
      <c r="B79" s="3">
        <v>1839</v>
      </c>
      <c r="C79" s="5" t="s">
        <v>262</v>
      </c>
      <c r="D79" s="5" t="s">
        <v>151</v>
      </c>
      <c r="E79" s="5" t="s">
        <v>263</v>
      </c>
      <c r="F79" s="5" t="s">
        <v>264</v>
      </c>
      <c r="G79" s="7">
        <v>39387</v>
      </c>
      <c r="H79" s="18">
        <f t="shared" si="3"/>
        <v>18.424657534246574</v>
      </c>
      <c r="I79" s="5" t="s">
        <v>13</v>
      </c>
      <c r="J79" s="28">
        <v>34703.762000000002</v>
      </c>
      <c r="K79" s="28">
        <v>4000</v>
      </c>
      <c r="L79" s="31">
        <f t="shared" si="5"/>
        <v>0.11526127916621834</v>
      </c>
    </row>
    <row r="80" spans="1:12" ht="15" customHeight="1" x14ac:dyDescent="0.35">
      <c r="A80" s="10">
        <f t="shared" si="4"/>
        <v>76</v>
      </c>
      <c r="B80" s="3">
        <v>1840</v>
      </c>
      <c r="C80" s="5" t="s">
        <v>265</v>
      </c>
      <c r="D80" s="5" t="s">
        <v>21</v>
      </c>
      <c r="E80" s="5" t="s">
        <v>54</v>
      </c>
      <c r="F80" s="5" t="s">
        <v>54</v>
      </c>
      <c r="G80" s="7">
        <v>39387</v>
      </c>
      <c r="H80" s="18">
        <f t="shared" si="3"/>
        <v>18.424657534246574</v>
      </c>
      <c r="I80" s="5" t="s">
        <v>13</v>
      </c>
      <c r="J80" s="28">
        <v>32329.880499999999</v>
      </c>
      <c r="K80" s="28">
        <v>4000</v>
      </c>
      <c r="L80" s="31">
        <f t="shared" si="5"/>
        <v>0.12372455258533975</v>
      </c>
    </row>
    <row r="81" spans="1:12" ht="15" customHeight="1" x14ac:dyDescent="0.35">
      <c r="A81" s="10">
        <f t="shared" si="4"/>
        <v>77</v>
      </c>
      <c r="B81" s="3">
        <v>1842</v>
      </c>
      <c r="C81" s="5" t="s">
        <v>266</v>
      </c>
      <c r="D81" s="5" t="s">
        <v>186</v>
      </c>
      <c r="E81" s="5" t="s">
        <v>68</v>
      </c>
      <c r="F81" s="5" t="s">
        <v>187</v>
      </c>
      <c r="G81" s="7">
        <v>39387</v>
      </c>
      <c r="H81" s="18">
        <f t="shared" si="3"/>
        <v>18.424657534246574</v>
      </c>
      <c r="I81" s="5" t="s">
        <v>13</v>
      </c>
      <c r="J81" s="28">
        <v>36325.894500000002</v>
      </c>
      <c r="K81" s="28">
        <v>4000</v>
      </c>
      <c r="L81" s="31">
        <f t="shared" si="5"/>
        <v>0.11011428775690575</v>
      </c>
    </row>
    <row r="82" spans="1:12" ht="15" customHeight="1" x14ac:dyDescent="0.35">
      <c r="A82" s="10">
        <f t="shared" si="4"/>
        <v>78</v>
      </c>
      <c r="B82" s="3">
        <v>1845</v>
      </c>
      <c r="C82" s="5" t="s">
        <v>267</v>
      </c>
      <c r="D82" s="5" t="s">
        <v>268</v>
      </c>
      <c r="E82" s="5" t="s">
        <v>24</v>
      </c>
      <c r="F82" s="5" t="s">
        <v>152</v>
      </c>
      <c r="G82" s="7">
        <v>39387</v>
      </c>
      <c r="H82" s="18">
        <f t="shared" si="3"/>
        <v>18.424657534246574</v>
      </c>
      <c r="I82" s="5" t="s">
        <v>13</v>
      </c>
      <c r="J82" s="28">
        <v>36013.989499999996</v>
      </c>
      <c r="K82" s="28">
        <v>4000</v>
      </c>
      <c r="L82" s="31">
        <f t="shared" si="5"/>
        <v>0.11106795041410229</v>
      </c>
    </row>
    <row r="83" spans="1:12" ht="15" customHeight="1" x14ac:dyDescent="0.35">
      <c r="A83" s="10">
        <f t="shared" si="4"/>
        <v>79</v>
      </c>
      <c r="B83" s="3">
        <v>1846</v>
      </c>
      <c r="C83" s="5" t="s">
        <v>269</v>
      </c>
      <c r="D83" s="5" t="s">
        <v>257</v>
      </c>
      <c r="E83" s="5" t="s">
        <v>94</v>
      </c>
      <c r="F83" s="5" t="s">
        <v>94</v>
      </c>
      <c r="G83" s="7">
        <v>39387</v>
      </c>
      <c r="H83" s="18">
        <f t="shared" si="3"/>
        <v>18.424657534246574</v>
      </c>
      <c r="I83" s="5" t="s">
        <v>13</v>
      </c>
      <c r="J83" s="28">
        <v>39141.805999999997</v>
      </c>
      <c r="K83" s="28">
        <v>4000</v>
      </c>
      <c r="L83" s="31">
        <f t="shared" si="5"/>
        <v>0.10219252530146412</v>
      </c>
    </row>
    <row r="84" spans="1:12" ht="15" customHeight="1" x14ac:dyDescent="0.35">
      <c r="A84" s="10">
        <f t="shared" si="4"/>
        <v>80</v>
      </c>
      <c r="B84" s="3">
        <v>1852</v>
      </c>
      <c r="C84" s="5" t="s">
        <v>270</v>
      </c>
      <c r="D84" s="5" t="s">
        <v>146</v>
      </c>
      <c r="E84" s="5" t="s">
        <v>12</v>
      </c>
      <c r="F84" s="5" t="s">
        <v>12</v>
      </c>
      <c r="G84" s="7">
        <v>39419</v>
      </c>
      <c r="H84" s="18">
        <f t="shared" si="3"/>
        <v>18.336986301369862</v>
      </c>
      <c r="I84" s="5" t="s">
        <v>13</v>
      </c>
      <c r="J84" s="28">
        <v>33130.107499999998</v>
      </c>
      <c r="K84" s="28">
        <v>4000</v>
      </c>
      <c r="L84" s="31">
        <f t="shared" si="5"/>
        <v>0.12073610084120615</v>
      </c>
    </row>
    <row r="85" spans="1:12" ht="15" customHeight="1" x14ac:dyDescent="0.35">
      <c r="A85" s="10">
        <f t="shared" si="4"/>
        <v>81</v>
      </c>
      <c r="B85" s="3">
        <v>1864</v>
      </c>
      <c r="C85" s="5" t="s">
        <v>271</v>
      </c>
      <c r="D85" s="5" t="s">
        <v>186</v>
      </c>
      <c r="E85" s="5" t="s">
        <v>68</v>
      </c>
      <c r="F85" s="5" t="s">
        <v>187</v>
      </c>
      <c r="G85" s="7">
        <v>39417</v>
      </c>
      <c r="H85" s="18">
        <f t="shared" si="3"/>
        <v>18.342465753424658</v>
      </c>
      <c r="I85" s="5" t="s">
        <v>13</v>
      </c>
      <c r="J85" s="28">
        <v>36325.894500000002</v>
      </c>
      <c r="K85" s="28">
        <v>4000</v>
      </c>
      <c r="L85" s="31">
        <f t="shared" si="5"/>
        <v>0.11011428775690575</v>
      </c>
    </row>
    <row r="86" spans="1:12" ht="15" customHeight="1" x14ac:dyDescent="0.35">
      <c r="A86" s="10">
        <f t="shared" si="4"/>
        <v>82</v>
      </c>
      <c r="B86" s="3">
        <v>1903</v>
      </c>
      <c r="C86" s="5" t="s">
        <v>274</v>
      </c>
      <c r="D86" s="5" t="s">
        <v>275</v>
      </c>
      <c r="E86" s="5" t="s">
        <v>263</v>
      </c>
      <c r="F86" s="5" t="s">
        <v>276</v>
      </c>
      <c r="G86" s="7">
        <v>37592</v>
      </c>
      <c r="H86" s="18">
        <f t="shared" si="3"/>
        <v>23.342465753424658</v>
      </c>
      <c r="I86" s="5" t="s">
        <v>13</v>
      </c>
      <c r="J86" s="28">
        <v>35605.167499999996</v>
      </c>
      <c r="K86" s="28">
        <v>4000</v>
      </c>
      <c r="L86" s="31">
        <f t="shared" si="5"/>
        <v>0.1123432434350997</v>
      </c>
    </row>
    <row r="87" spans="1:12" ht="15" customHeight="1" x14ac:dyDescent="0.35">
      <c r="A87" s="10">
        <f t="shared" si="4"/>
        <v>83</v>
      </c>
      <c r="B87" s="3">
        <v>1909</v>
      </c>
      <c r="C87" s="5" t="s">
        <v>277</v>
      </c>
      <c r="D87" s="5" t="s">
        <v>151</v>
      </c>
      <c r="E87" s="5" t="s">
        <v>68</v>
      </c>
      <c r="F87" s="5" t="s">
        <v>69</v>
      </c>
      <c r="G87" s="7">
        <v>39508</v>
      </c>
      <c r="H87" s="18">
        <f t="shared" si="3"/>
        <v>18.093150684931508</v>
      </c>
      <c r="I87" s="5" t="s">
        <v>13</v>
      </c>
      <c r="J87" s="28">
        <v>35656.322</v>
      </c>
      <c r="K87" s="28">
        <v>4000</v>
      </c>
      <c r="L87" s="31">
        <f t="shared" si="5"/>
        <v>0.11218206970421683</v>
      </c>
    </row>
    <row r="88" spans="1:12" ht="15" customHeight="1" x14ac:dyDescent="0.35">
      <c r="A88" s="10">
        <f t="shared" si="4"/>
        <v>84</v>
      </c>
      <c r="B88" s="3">
        <v>1915</v>
      </c>
      <c r="C88" s="5" t="s">
        <v>278</v>
      </c>
      <c r="D88" s="5" t="s">
        <v>186</v>
      </c>
      <c r="E88" s="5" t="s">
        <v>68</v>
      </c>
      <c r="F88" s="5" t="s">
        <v>187</v>
      </c>
      <c r="G88" s="7">
        <v>39508</v>
      </c>
      <c r="H88" s="18">
        <f t="shared" si="3"/>
        <v>18.093150684931508</v>
      </c>
      <c r="I88" s="5" t="s">
        <v>13</v>
      </c>
      <c r="J88" s="28">
        <v>36325.894500000002</v>
      </c>
      <c r="K88" s="28">
        <v>4000</v>
      </c>
      <c r="L88" s="31">
        <f t="shared" si="5"/>
        <v>0.11011428775690575</v>
      </c>
    </row>
    <row r="89" spans="1:12" ht="15" customHeight="1" x14ac:dyDescent="0.35">
      <c r="A89" s="10">
        <f t="shared" si="4"/>
        <v>85</v>
      </c>
      <c r="B89" s="3">
        <v>1922</v>
      </c>
      <c r="C89" s="5" t="s">
        <v>279</v>
      </c>
      <c r="D89" s="5" t="s">
        <v>280</v>
      </c>
      <c r="E89" s="5" t="s">
        <v>68</v>
      </c>
      <c r="F89" s="5" t="s">
        <v>187</v>
      </c>
      <c r="G89" s="7">
        <v>39508</v>
      </c>
      <c r="H89" s="18">
        <f t="shared" si="3"/>
        <v>18.093150684931508</v>
      </c>
      <c r="I89" s="5" t="s">
        <v>13</v>
      </c>
      <c r="J89" s="28">
        <v>35656.322</v>
      </c>
      <c r="K89" s="28">
        <v>4000</v>
      </c>
      <c r="L89" s="31">
        <f t="shared" si="5"/>
        <v>0.11218206970421683</v>
      </c>
    </row>
    <row r="90" spans="1:12" ht="15" customHeight="1" x14ac:dyDescent="0.35">
      <c r="A90" s="10">
        <f t="shared" si="4"/>
        <v>86</v>
      </c>
      <c r="B90" s="3">
        <v>1923</v>
      </c>
      <c r="C90" s="5" t="s">
        <v>281</v>
      </c>
      <c r="D90" s="5" t="s">
        <v>282</v>
      </c>
      <c r="E90" s="5" t="s">
        <v>116</v>
      </c>
      <c r="F90" s="5" t="s">
        <v>117</v>
      </c>
      <c r="G90" s="7">
        <v>39508</v>
      </c>
      <c r="H90" s="18">
        <f t="shared" si="3"/>
        <v>18.093150684931508</v>
      </c>
      <c r="I90" s="5" t="s">
        <v>13</v>
      </c>
      <c r="J90" s="28">
        <v>33819.241999999998</v>
      </c>
      <c r="K90" s="28">
        <v>4000</v>
      </c>
      <c r="L90" s="31">
        <f t="shared" si="5"/>
        <v>0.11827586200778835</v>
      </c>
    </row>
    <row r="91" spans="1:12" ht="15" customHeight="1" x14ac:dyDescent="0.35">
      <c r="A91" s="10">
        <f t="shared" si="4"/>
        <v>87</v>
      </c>
      <c r="B91" s="3">
        <v>197</v>
      </c>
      <c r="C91" s="5" t="s">
        <v>288</v>
      </c>
      <c r="D91" s="5" t="s">
        <v>282</v>
      </c>
      <c r="E91" s="5" t="s">
        <v>116</v>
      </c>
      <c r="F91" s="5" t="s">
        <v>117</v>
      </c>
      <c r="G91" s="7">
        <v>37627</v>
      </c>
      <c r="H91" s="18">
        <f t="shared" si="3"/>
        <v>23.246575342465754</v>
      </c>
      <c r="I91" s="5" t="s">
        <v>13</v>
      </c>
      <c r="J91" s="28">
        <v>39925.021999999997</v>
      </c>
      <c r="K91" s="28">
        <v>4000</v>
      </c>
      <c r="L91" s="31">
        <f t="shared" si="5"/>
        <v>0.10018779701611687</v>
      </c>
    </row>
    <row r="92" spans="1:12" ht="15" customHeight="1" x14ac:dyDescent="0.35">
      <c r="A92" s="10">
        <f t="shared" si="4"/>
        <v>88</v>
      </c>
      <c r="B92" s="3">
        <v>1980</v>
      </c>
      <c r="C92" s="5" t="s">
        <v>290</v>
      </c>
      <c r="D92" s="5" t="s">
        <v>280</v>
      </c>
      <c r="E92" s="5" t="s">
        <v>68</v>
      </c>
      <c r="F92" s="5" t="s">
        <v>187</v>
      </c>
      <c r="G92" s="7">
        <v>39539</v>
      </c>
      <c r="H92" s="18">
        <f t="shared" si="3"/>
        <v>18.008219178082193</v>
      </c>
      <c r="I92" s="5" t="s">
        <v>13</v>
      </c>
      <c r="J92" s="28">
        <v>35656.322</v>
      </c>
      <c r="K92" s="28">
        <v>4000</v>
      </c>
      <c r="L92" s="31">
        <f t="shared" si="5"/>
        <v>0.11218206970421683</v>
      </c>
    </row>
    <row r="93" spans="1:12" ht="15" customHeight="1" x14ac:dyDescent="0.35">
      <c r="A93" s="10">
        <f t="shared" si="4"/>
        <v>89</v>
      </c>
      <c r="B93" s="3">
        <v>1981</v>
      </c>
      <c r="C93" s="5" t="s">
        <v>291</v>
      </c>
      <c r="D93" s="5" t="s">
        <v>292</v>
      </c>
      <c r="E93" s="5" t="s">
        <v>87</v>
      </c>
      <c r="F93" s="5" t="s">
        <v>293</v>
      </c>
      <c r="G93" s="7">
        <v>39539</v>
      </c>
      <c r="H93" s="18">
        <f t="shared" si="3"/>
        <v>18.008219178082193</v>
      </c>
      <c r="I93" s="5" t="s">
        <v>13</v>
      </c>
      <c r="J93" s="28">
        <v>39979.915000000001</v>
      </c>
      <c r="K93" s="28">
        <v>4000</v>
      </c>
      <c r="L93" s="31">
        <f t="shared" si="5"/>
        <v>0.10005023772561797</v>
      </c>
    </row>
    <row r="94" spans="1:12" ht="15" customHeight="1" x14ac:dyDescent="0.35">
      <c r="A94" s="10">
        <f t="shared" si="4"/>
        <v>90</v>
      </c>
      <c r="B94" s="3">
        <v>2038</v>
      </c>
      <c r="C94" s="5" t="s">
        <v>297</v>
      </c>
      <c r="D94" s="5" t="s">
        <v>298</v>
      </c>
      <c r="E94" s="5" t="s">
        <v>99</v>
      </c>
      <c r="F94" s="5" t="s">
        <v>249</v>
      </c>
      <c r="G94" s="7">
        <v>39600</v>
      </c>
      <c r="H94" s="18">
        <f t="shared" si="3"/>
        <v>17.841095890410958</v>
      </c>
      <c r="I94" s="5" t="s">
        <v>13</v>
      </c>
      <c r="J94" s="28">
        <v>33048.122000000003</v>
      </c>
      <c r="K94" s="28">
        <v>4000</v>
      </c>
      <c r="L94" s="31">
        <f t="shared" si="5"/>
        <v>0.12103562193337339</v>
      </c>
    </row>
    <row r="95" spans="1:12" ht="15" customHeight="1" x14ac:dyDescent="0.35">
      <c r="A95" s="10">
        <f t="shared" si="4"/>
        <v>91</v>
      </c>
      <c r="B95" s="3">
        <v>2079</v>
      </c>
      <c r="C95" s="5" t="s">
        <v>303</v>
      </c>
      <c r="D95" s="5" t="s">
        <v>164</v>
      </c>
      <c r="E95" s="5" t="s">
        <v>165</v>
      </c>
      <c r="F95" s="5" t="s">
        <v>165</v>
      </c>
      <c r="G95" s="7">
        <v>39671</v>
      </c>
      <c r="H95" s="18">
        <f t="shared" si="3"/>
        <v>17.646575342465752</v>
      </c>
      <c r="I95" s="5" t="s">
        <v>13</v>
      </c>
      <c r="J95" s="28">
        <v>37532.5645</v>
      </c>
      <c r="K95" s="28">
        <v>4000</v>
      </c>
      <c r="L95" s="31">
        <f t="shared" si="5"/>
        <v>0.10657411912260885</v>
      </c>
    </row>
    <row r="96" spans="1:12" ht="15" customHeight="1" x14ac:dyDescent="0.35">
      <c r="A96" s="10">
        <f t="shared" si="4"/>
        <v>92</v>
      </c>
      <c r="B96" s="3">
        <v>2186</v>
      </c>
      <c r="C96" s="5" t="s">
        <v>307</v>
      </c>
      <c r="D96" s="5" t="s">
        <v>308</v>
      </c>
      <c r="E96" s="5" t="s">
        <v>103</v>
      </c>
      <c r="F96" s="5" t="s">
        <v>103</v>
      </c>
      <c r="G96" s="7">
        <v>39753</v>
      </c>
      <c r="H96" s="18">
        <f t="shared" si="3"/>
        <v>17.421917808219177</v>
      </c>
      <c r="I96" s="5" t="s">
        <v>13</v>
      </c>
      <c r="J96" s="28">
        <v>39088.857499999998</v>
      </c>
      <c r="K96" s="28">
        <v>4000</v>
      </c>
      <c r="L96" s="31">
        <f t="shared" si="5"/>
        <v>0.10233095198548589</v>
      </c>
    </row>
    <row r="97" spans="1:12" ht="15" customHeight="1" x14ac:dyDescent="0.35">
      <c r="A97" s="10">
        <f t="shared" si="4"/>
        <v>93</v>
      </c>
      <c r="B97" s="3">
        <v>2219</v>
      </c>
      <c r="C97" s="5" t="s">
        <v>310</v>
      </c>
      <c r="D97" s="5" t="s">
        <v>21</v>
      </c>
      <c r="E97" s="5" t="s">
        <v>198</v>
      </c>
      <c r="F97" s="5" t="s">
        <v>198</v>
      </c>
      <c r="G97" s="7">
        <v>39783</v>
      </c>
      <c r="H97" s="18">
        <f t="shared" si="3"/>
        <v>17.339726027397262</v>
      </c>
      <c r="I97" s="5" t="s">
        <v>13</v>
      </c>
      <c r="J97" s="28">
        <v>35598.8295</v>
      </c>
      <c r="K97" s="28">
        <v>4000</v>
      </c>
      <c r="L97" s="31">
        <f t="shared" si="5"/>
        <v>0.11236324497691701</v>
      </c>
    </row>
    <row r="98" spans="1:12" ht="15" customHeight="1" x14ac:dyDescent="0.35">
      <c r="A98" s="10">
        <f t="shared" si="4"/>
        <v>94</v>
      </c>
      <c r="B98" s="3">
        <v>2223</v>
      </c>
      <c r="C98" s="5" t="s">
        <v>311</v>
      </c>
      <c r="D98" s="5" t="s">
        <v>21</v>
      </c>
      <c r="E98" s="5" t="s">
        <v>28</v>
      </c>
      <c r="F98" s="5" t="s">
        <v>29</v>
      </c>
      <c r="G98" s="7">
        <v>40504</v>
      </c>
      <c r="H98" s="18">
        <f t="shared" si="3"/>
        <v>15.364383561643836</v>
      </c>
      <c r="I98" s="5" t="s">
        <v>13</v>
      </c>
      <c r="J98" s="28">
        <v>34606.9395</v>
      </c>
      <c r="K98" s="28">
        <v>4000</v>
      </c>
      <c r="L98" s="31">
        <f t="shared" si="5"/>
        <v>0.11558375452414681</v>
      </c>
    </row>
    <row r="99" spans="1:12" ht="15" customHeight="1" x14ac:dyDescent="0.35">
      <c r="A99" s="10">
        <f t="shared" si="4"/>
        <v>95</v>
      </c>
      <c r="B99" s="3">
        <v>2231</v>
      </c>
      <c r="C99" s="5" t="s">
        <v>312</v>
      </c>
      <c r="D99" s="5" t="s">
        <v>313</v>
      </c>
      <c r="E99" s="5" t="s">
        <v>314</v>
      </c>
      <c r="F99" s="5" t="s">
        <v>315</v>
      </c>
      <c r="G99" s="7">
        <v>39811</v>
      </c>
      <c r="H99" s="18">
        <f t="shared" si="3"/>
        <v>17.263013698630136</v>
      </c>
      <c r="I99" s="5" t="s">
        <v>13</v>
      </c>
      <c r="J99" s="28">
        <v>44113.91</v>
      </c>
      <c r="K99" s="28">
        <v>4000</v>
      </c>
      <c r="L99" s="31">
        <f t="shared" si="5"/>
        <v>9.0674347388386103E-2</v>
      </c>
    </row>
    <row r="100" spans="1:12" ht="15" customHeight="1" x14ac:dyDescent="0.35">
      <c r="A100" s="10">
        <f t="shared" si="4"/>
        <v>96</v>
      </c>
      <c r="B100" s="3">
        <v>2238</v>
      </c>
      <c r="C100" s="5" t="s">
        <v>318</v>
      </c>
      <c r="D100" s="5" t="s">
        <v>257</v>
      </c>
      <c r="E100" s="5" t="s">
        <v>228</v>
      </c>
      <c r="F100" s="5" t="s">
        <v>228</v>
      </c>
      <c r="G100" s="7">
        <v>39808</v>
      </c>
      <c r="H100" s="18">
        <f t="shared" si="3"/>
        <v>17.271232876712329</v>
      </c>
      <c r="I100" s="5" t="s">
        <v>13</v>
      </c>
      <c r="J100" s="28">
        <v>39779.105500000005</v>
      </c>
      <c r="K100" s="28">
        <v>4000</v>
      </c>
      <c r="L100" s="31">
        <f t="shared" si="5"/>
        <v>0.10055530283354409</v>
      </c>
    </row>
    <row r="101" spans="1:12" ht="15" customHeight="1" x14ac:dyDescent="0.35">
      <c r="A101" s="10">
        <f t="shared" si="4"/>
        <v>97</v>
      </c>
      <c r="B101" s="3">
        <v>2297</v>
      </c>
      <c r="C101" s="5" t="s">
        <v>328</v>
      </c>
      <c r="D101" s="5" t="s">
        <v>257</v>
      </c>
      <c r="E101" s="5" t="s">
        <v>94</v>
      </c>
      <c r="F101" s="5" t="s">
        <v>94</v>
      </c>
      <c r="G101" s="7">
        <v>39923</v>
      </c>
      <c r="H101" s="18">
        <f t="shared" si="3"/>
        <v>16.956164383561642</v>
      </c>
      <c r="I101" s="5" t="s">
        <v>13</v>
      </c>
      <c r="J101" s="28">
        <v>39141.805999999997</v>
      </c>
      <c r="K101" s="28">
        <v>4000</v>
      </c>
      <c r="L101" s="31">
        <f t="shared" si="5"/>
        <v>0.10219252530146412</v>
      </c>
    </row>
    <row r="102" spans="1:12" ht="15" customHeight="1" x14ac:dyDescent="0.35">
      <c r="A102" s="10">
        <f t="shared" si="4"/>
        <v>98</v>
      </c>
      <c r="B102" s="3">
        <v>2321</v>
      </c>
      <c r="C102" s="5" t="s">
        <v>329</v>
      </c>
      <c r="D102" s="5" t="s">
        <v>330</v>
      </c>
      <c r="E102" s="5" t="s">
        <v>54</v>
      </c>
      <c r="F102" s="5" t="s">
        <v>54</v>
      </c>
      <c r="G102" s="7">
        <v>39979</v>
      </c>
      <c r="H102" s="18">
        <f t="shared" si="3"/>
        <v>16.802739726027397</v>
      </c>
      <c r="I102" s="5" t="s">
        <v>13</v>
      </c>
      <c r="J102" s="28">
        <v>39304.568500000001</v>
      </c>
      <c r="K102" s="28">
        <v>4000</v>
      </c>
      <c r="L102" s="31">
        <f t="shared" si="5"/>
        <v>0.10176934012136528</v>
      </c>
    </row>
    <row r="103" spans="1:12" ht="15" customHeight="1" x14ac:dyDescent="0.35">
      <c r="A103" s="10">
        <f t="shared" si="4"/>
        <v>99</v>
      </c>
      <c r="B103" s="3">
        <v>2337</v>
      </c>
      <c r="C103" s="5" t="s">
        <v>331</v>
      </c>
      <c r="D103" s="5" t="s">
        <v>332</v>
      </c>
      <c r="E103" s="5" t="s">
        <v>181</v>
      </c>
      <c r="F103" s="5" t="s">
        <v>181</v>
      </c>
      <c r="G103" s="7">
        <v>39965</v>
      </c>
      <c r="H103" s="18">
        <f t="shared" si="3"/>
        <v>16.841095890410958</v>
      </c>
      <c r="I103" s="5" t="s">
        <v>13</v>
      </c>
      <c r="J103" s="28">
        <v>41958.053500000002</v>
      </c>
      <c r="K103" s="28">
        <v>4000</v>
      </c>
      <c r="L103" s="31">
        <f t="shared" si="5"/>
        <v>9.5333307108729434E-2</v>
      </c>
    </row>
    <row r="104" spans="1:12" ht="15" customHeight="1" x14ac:dyDescent="0.35">
      <c r="A104" s="10">
        <f t="shared" si="4"/>
        <v>100</v>
      </c>
      <c r="B104" s="3">
        <v>2341</v>
      </c>
      <c r="C104" s="5" t="s">
        <v>333</v>
      </c>
      <c r="D104" s="5" t="s">
        <v>80</v>
      </c>
      <c r="E104" s="5" t="s">
        <v>165</v>
      </c>
      <c r="F104" s="5" t="s">
        <v>165</v>
      </c>
      <c r="G104" s="7">
        <v>39965</v>
      </c>
      <c r="H104" s="18">
        <f t="shared" si="3"/>
        <v>16.841095890410958</v>
      </c>
      <c r="I104" s="5" t="s">
        <v>13</v>
      </c>
      <c r="J104" s="28">
        <v>37346.958500000001</v>
      </c>
      <c r="K104" s="28">
        <v>4000</v>
      </c>
      <c r="L104" s="31">
        <f t="shared" si="5"/>
        <v>0.10710376857060529</v>
      </c>
    </row>
    <row r="105" spans="1:12" ht="15" customHeight="1" x14ac:dyDescent="0.35">
      <c r="A105" s="10">
        <f t="shared" si="4"/>
        <v>101</v>
      </c>
      <c r="B105" s="3">
        <v>2358</v>
      </c>
      <c r="C105" s="5" t="s">
        <v>334</v>
      </c>
      <c r="D105" s="5" t="s">
        <v>21</v>
      </c>
      <c r="E105" s="5" t="s">
        <v>64</v>
      </c>
      <c r="F105" s="5" t="s">
        <v>64</v>
      </c>
      <c r="G105" s="7">
        <v>39753</v>
      </c>
      <c r="H105" s="18">
        <f t="shared" si="3"/>
        <v>17.421917808219177</v>
      </c>
      <c r="I105" s="5" t="s">
        <v>13</v>
      </c>
      <c r="J105" s="28">
        <v>33741.844499999999</v>
      </c>
      <c r="K105" s="28">
        <v>4000</v>
      </c>
      <c r="L105" s="31">
        <f t="shared" si="5"/>
        <v>0.1185471647822928</v>
      </c>
    </row>
    <row r="106" spans="1:12" ht="15" customHeight="1" x14ac:dyDescent="0.35">
      <c r="A106" s="10">
        <f t="shared" si="4"/>
        <v>102</v>
      </c>
      <c r="B106" s="3">
        <v>2382</v>
      </c>
      <c r="C106" s="5" t="s">
        <v>335</v>
      </c>
      <c r="D106" s="5" t="s">
        <v>151</v>
      </c>
      <c r="E106" s="5" t="s">
        <v>24</v>
      </c>
      <c r="F106" s="5" t="s">
        <v>152</v>
      </c>
      <c r="G106" s="7">
        <v>39995</v>
      </c>
      <c r="H106" s="18">
        <f t="shared" si="3"/>
        <v>16.758904109589039</v>
      </c>
      <c r="I106" s="5" t="s">
        <v>13</v>
      </c>
      <c r="J106" s="28">
        <v>35622.533974999998</v>
      </c>
      <c r="K106" s="28">
        <v>4000</v>
      </c>
      <c r="L106" s="31">
        <f t="shared" si="5"/>
        <v>0.1122884745595923</v>
      </c>
    </row>
    <row r="107" spans="1:12" ht="15" customHeight="1" x14ac:dyDescent="0.35">
      <c r="A107" s="10">
        <f t="shared" si="4"/>
        <v>103</v>
      </c>
      <c r="B107" s="3">
        <v>2389</v>
      </c>
      <c r="C107" s="5" t="s">
        <v>337</v>
      </c>
      <c r="D107" s="5" t="s">
        <v>80</v>
      </c>
      <c r="E107" s="5" t="s">
        <v>165</v>
      </c>
      <c r="F107" s="5" t="s">
        <v>165</v>
      </c>
      <c r="G107" s="7">
        <v>39995</v>
      </c>
      <c r="H107" s="18">
        <f t="shared" si="3"/>
        <v>16.758904109589039</v>
      </c>
      <c r="I107" s="5" t="s">
        <v>13</v>
      </c>
      <c r="J107" s="28">
        <v>37346.958500000001</v>
      </c>
      <c r="K107" s="28">
        <v>4000</v>
      </c>
      <c r="L107" s="31">
        <f t="shared" si="5"/>
        <v>0.10710376857060529</v>
      </c>
    </row>
    <row r="108" spans="1:12" ht="15" customHeight="1" x14ac:dyDescent="0.35">
      <c r="A108" s="10">
        <f t="shared" si="4"/>
        <v>104</v>
      </c>
      <c r="B108" s="3">
        <v>2392</v>
      </c>
      <c r="C108" s="5" t="s">
        <v>338</v>
      </c>
      <c r="D108" s="5" t="s">
        <v>186</v>
      </c>
      <c r="E108" s="5" t="s">
        <v>68</v>
      </c>
      <c r="F108" s="5" t="s">
        <v>187</v>
      </c>
      <c r="G108" s="7">
        <v>39995</v>
      </c>
      <c r="H108" s="18">
        <f t="shared" si="3"/>
        <v>16.758904109589039</v>
      </c>
      <c r="I108" s="5" t="s">
        <v>13</v>
      </c>
      <c r="J108" s="28">
        <v>36325.894500000002</v>
      </c>
      <c r="K108" s="28">
        <v>4000</v>
      </c>
      <c r="L108" s="31">
        <f t="shared" si="5"/>
        <v>0.11011428775690575</v>
      </c>
    </row>
    <row r="109" spans="1:12" ht="15" customHeight="1" x14ac:dyDescent="0.35">
      <c r="A109" s="10">
        <f t="shared" si="4"/>
        <v>105</v>
      </c>
      <c r="B109" s="3">
        <v>2403</v>
      </c>
      <c r="C109" s="5" t="s">
        <v>339</v>
      </c>
      <c r="D109" s="5" t="s">
        <v>340</v>
      </c>
      <c r="E109" s="5" t="s">
        <v>68</v>
      </c>
      <c r="F109" s="5" t="s">
        <v>69</v>
      </c>
      <c r="G109" s="7">
        <v>40026</v>
      </c>
      <c r="H109" s="18">
        <f t="shared" si="3"/>
        <v>16.673972602739727</v>
      </c>
      <c r="I109" s="5" t="s">
        <v>13</v>
      </c>
      <c r="J109" s="28">
        <v>33048.122000000003</v>
      </c>
      <c r="K109" s="28">
        <v>4000</v>
      </c>
      <c r="L109" s="31">
        <f t="shared" si="5"/>
        <v>0.12103562193337339</v>
      </c>
    </row>
    <row r="110" spans="1:12" ht="15" customHeight="1" x14ac:dyDescent="0.35">
      <c r="A110" s="10">
        <f t="shared" si="4"/>
        <v>106</v>
      </c>
      <c r="B110" s="3">
        <v>2415</v>
      </c>
      <c r="C110" s="5" t="s">
        <v>341</v>
      </c>
      <c r="D110" s="5" t="s">
        <v>63</v>
      </c>
      <c r="E110" s="5" t="s">
        <v>64</v>
      </c>
      <c r="F110" s="5" t="s">
        <v>64</v>
      </c>
      <c r="G110" s="7">
        <v>40087</v>
      </c>
      <c r="H110" s="18">
        <f t="shared" si="3"/>
        <v>16.506849315068493</v>
      </c>
      <c r="I110" s="5" t="s">
        <v>13</v>
      </c>
      <c r="J110" s="28">
        <v>40261.461499999998</v>
      </c>
      <c r="K110" s="28">
        <v>4000</v>
      </c>
      <c r="L110" s="31">
        <f t="shared" si="5"/>
        <v>9.9350591135396321E-2</v>
      </c>
    </row>
    <row r="111" spans="1:12" ht="15" customHeight="1" x14ac:dyDescent="0.35">
      <c r="A111" s="10">
        <f t="shared" si="4"/>
        <v>107</v>
      </c>
      <c r="B111" s="3">
        <v>2440</v>
      </c>
      <c r="C111" s="5" t="s">
        <v>345</v>
      </c>
      <c r="D111" s="5" t="s">
        <v>346</v>
      </c>
      <c r="E111" s="5" t="s">
        <v>68</v>
      </c>
      <c r="F111" s="5" t="s">
        <v>254</v>
      </c>
      <c r="G111" s="7">
        <v>40026</v>
      </c>
      <c r="H111" s="18">
        <f t="shared" si="3"/>
        <v>16.673972602739727</v>
      </c>
      <c r="I111" s="5" t="s">
        <v>13</v>
      </c>
      <c r="J111" s="28">
        <v>35853.75</v>
      </c>
      <c r="K111" s="28">
        <v>4000</v>
      </c>
      <c r="L111" s="31">
        <f t="shared" si="5"/>
        <v>0.1115643412474288</v>
      </c>
    </row>
    <row r="112" spans="1:12" ht="15" customHeight="1" x14ac:dyDescent="0.35">
      <c r="A112" s="10">
        <f t="shared" si="4"/>
        <v>108</v>
      </c>
      <c r="B112" s="3">
        <v>2468</v>
      </c>
      <c r="C112" s="5" t="s">
        <v>347</v>
      </c>
      <c r="D112" s="5" t="s">
        <v>332</v>
      </c>
      <c r="E112" s="5" t="s">
        <v>94</v>
      </c>
      <c r="F112" s="5" t="s">
        <v>94</v>
      </c>
      <c r="G112" s="7">
        <v>40126</v>
      </c>
      <c r="H112" s="18">
        <f t="shared" si="3"/>
        <v>16.399999999999999</v>
      </c>
      <c r="I112" s="5" t="s">
        <v>13</v>
      </c>
      <c r="J112" s="28">
        <v>41248.238000000005</v>
      </c>
      <c r="K112" s="28">
        <v>4000</v>
      </c>
      <c r="L112" s="31">
        <f t="shared" si="5"/>
        <v>9.6973839221932326E-2</v>
      </c>
    </row>
    <row r="113" spans="1:12" ht="15" customHeight="1" x14ac:dyDescent="0.35">
      <c r="A113" s="10">
        <f t="shared" si="4"/>
        <v>109</v>
      </c>
      <c r="B113" s="3">
        <v>2596</v>
      </c>
      <c r="C113" s="5" t="s">
        <v>354</v>
      </c>
      <c r="D113" s="5" t="s">
        <v>355</v>
      </c>
      <c r="E113" s="5" t="s">
        <v>35</v>
      </c>
      <c r="F113" s="5" t="s">
        <v>84</v>
      </c>
      <c r="G113" s="7">
        <v>40224</v>
      </c>
      <c r="H113" s="18">
        <f t="shared" si="3"/>
        <v>16.13150684931507</v>
      </c>
      <c r="I113" s="5" t="s">
        <v>13</v>
      </c>
      <c r="J113" s="28">
        <v>32989.099499999997</v>
      </c>
      <c r="K113" s="28">
        <v>4000</v>
      </c>
      <c r="L113" s="31">
        <f t="shared" si="5"/>
        <v>0.12125217300945121</v>
      </c>
    </row>
    <row r="114" spans="1:12" ht="15" customHeight="1" x14ac:dyDescent="0.35">
      <c r="A114" s="10">
        <f t="shared" si="4"/>
        <v>110</v>
      </c>
      <c r="B114" s="3">
        <v>2630</v>
      </c>
      <c r="C114" s="5" t="s">
        <v>360</v>
      </c>
      <c r="D114" s="5" t="s">
        <v>21</v>
      </c>
      <c r="E114" s="5" t="s">
        <v>24</v>
      </c>
      <c r="F114" s="5" t="s">
        <v>152</v>
      </c>
      <c r="G114" s="7">
        <v>40210</v>
      </c>
      <c r="H114" s="18">
        <f t="shared" si="3"/>
        <v>16.169863013698631</v>
      </c>
      <c r="I114" s="5" t="s">
        <v>13</v>
      </c>
      <c r="J114" s="28">
        <v>31699.482499999998</v>
      </c>
      <c r="K114" s="28">
        <v>4000</v>
      </c>
      <c r="L114" s="31">
        <f t="shared" si="5"/>
        <v>0.12618502526027042</v>
      </c>
    </row>
    <row r="115" spans="1:12" ht="15" customHeight="1" x14ac:dyDescent="0.35">
      <c r="A115" s="10">
        <f t="shared" si="4"/>
        <v>111</v>
      </c>
      <c r="B115" s="3">
        <v>2761</v>
      </c>
      <c r="C115" s="5" t="s">
        <v>374</v>
      </c>
      <c r="D115" s="5" t="s">
        <v>375</v>
      </c>
      <c r="E115" s="5" t="s">
        <v>376</v>
      </c>
      <c r="F115" s="5" t="s">
        <v>179</v>
      </c>
      <c r="G115" s="7">
        <v>39692</v>
      </c>
      <c r="H115" s="18">
        <f t="shared" si="3"/>
        <v>17.589041095890412</v>
      </c>
      <c r="I115" s="5" t="s">
        <v>13</v>
      </c>
      <c r="J115" s="28">
        <v>35329.75</v>
      </c>
      <c r="K115" s="28">
        <v>4000</v>
      </c>
      <c r="L115" s="31">
        <f t="shared" si="5"/>
        <v>0.11321902928834764</v>
      </c>
    </row>
    <row r="116" spans="1:12" ht="15" customHeight="1" x14ac:dyDescent="0.35">
      <c r="A116" s="10">
        <f t="shared" si="4"/>
        <v>112</v>
      </c>
      <c r="B116" s="3">
        <v>2765</v>
      </c>
      <c r="C116" s="5" t="s">
        <v>377</v>
      </c>
      <c r="D116" s="5" t="s">
        <v>151</v>
      </c>
      <c r="E116" s="5" t="s">
        <v>378</v>
      </c>
      <c r="F116" s="5" t="s">
        <v>198</v>
      </c>
      <c r="G116" s="7">
        <v>40233</v>
      </c>
      <c r="H116" s="18">
        <f t="shared" si="3"/>
        <v>16.106849315068494</v>
      </c>
      <c r="I116" s="5" t="s">
        <v>13</v>
      </c>
      <c r="J116" s="28">
        <v>34472.119500000001</v>
      </c>
      <c r="K116" s="28">
        <v>4000</v>
      </c>
      <c r="L116" s="31">
        <f t="shared" si="5"/>
        <v>0.11603580104785839</v>
      </c>
    </row>
    <row r="117" spans="1:12" ht="15" customHeight="1" x14ac:dyDescent="0.35">
      <c r="A117" s="10">
        <f t="shared" si="4"/>
        <v>113</v>
      </c>
      <c r="B117" s="3">
        <v>278</v>
      </c>
      <c r="C117" s="5" t="s">
        <v>379</v>
      </c>
      <c r="D117" s="5" t="s">
        <v>380</v>
      </c>
      <c r="E117" s="5" t="s">
        <v>24</v>
      </c>
      <c r="F117" s="5" t="s">
        <v>152</v>
      </c>
      <c r="G117" s="7">
        <v>37683</v>
      </c>
      <c r="H117" s="18">
        <f t="shared" si="3"/>
        <v>23.093150684931508</v>
      </c>
      <c r="I117" s="5" t="s">
        <v>13</v>
      </c>
      <c r="J117" s="28">
        <v>42548.082500000004</v>
      </c>
      <c r="K117" s="28">
        <v>4000</v>
      </c>
      <c r="L117" s="31">
        <f t="shared" si="5"/>
        <v>9.4011287112644851E-2</v>
      </c>
    </row>
    <row r="118" spans="1:12" ht="15" customHeight="1" x14ac:dyDescent="0.35">
      <c r="A118" s="10">
        <f t="shared" si="4"/>
        <v>114</v>
      </c>
      <c r="B118" s="3">
        <v>2798</v>
      </c>
      <c r="C118" s="5" t="s">
        <v>381</v>
      </c>
      <c r="D118" s="5" t="s">
        <v>280</v>
      </c>
      <c r="E118" s="5" t="s">
        <v>68</v>
      </c>
      <c r="F118" s="5" t="s">
        <v>187</v>
      </c>
      <c r="G118" s="7">
        <v>40269</v>
      </c>
      <c r="H118" s="18">
        <f t="shared" si="3"/>
        <v>16.008219178082193</v>
      </c>
      <c r="I118" s="5" t="s">
        <v>13</v>
      </c>
      <c r="J118" s="28">
        <v>35180.042000000001</v>
      </c>
      <c r="K118" s="28">
        <v>4000</v>
      </c>
      <c r="L118" s="31">
        <f t="shared" si="5"/>
        <v>0.11370083071532433</v>
      </c>
    </row>
    <row r="119" spans="1:12" ht="15" customHeight="1" x14ac:dyDescent="0.35">
      <c r="A119" s="10">
        <f t="shared" si="4"/>
        <v>115</v>
      </c>
      <c r="B119" s="3">
        <v>2815</v>
      </c>
      <c r="C119" s="5" t="s">
        <v>382</v>
      </c>
      <c r="D119" s="5" t="s">
        <v>151</v>
      </c>
      <c r="E119" s="5" t="s">
        <v>165</v>
      </c>
      <c r="F119" s="5" t="s">
        <v>165</v>
      </c>
      <c r="G119" s="7">
        <v>40057</v>
      </c>
      <c r="H119" s="18">
        <f t="shared" si="3"/>
        <v>16.589041095890412</v>
      </c>
      <c r="I119" s="5" t="s">
        <v>13</v>
      </c>
      <c r="J119" s="28">
        <v>34943.989499999996</v>
      </c>
      <c r="K119" s="28">
        <v>4000</v>
      </c>
      <c r="L119" s="31">
        <f t="shared" si="5"/>
        <v>0.11446889886456726</v>
      </c>
    </row>
    <row r="120" spans="1:12" ht="15" customHeight="1" x14ac:dyDescent="0.35">
      <c r="A120" s="10">
        <f t="shared" si="4"/>
        <v>116</v>
      </c>
      <c r="B120" s="3">
        <v>2835</v>
      </c>
      <c r="C120" s="5" t="s">
        <v>383</v>
      </c>
      <c r="D120" s="5" t="s">
        <v>21</v>
      </c>
      <c r="E120" s="5" t="s">
        <v>64</v>
      </c>
      <c r="F120" s="5" t="s">
        <v>64</v>
      </c>
      <c r="G120" s="7">
        <v>40422</v>
      </c>
      <c r="H120" s="18">
        <f t="shared" si="3"/>
        <v>15.58904109589041</v>
      </c>
      <c r="I120" s="5" t="s">
        <v>13</v>
      </c>
      <c r="J120" s="28">
        <v>33292.444499999998</v>
      </c>
      <c r="K120" s="28">
        <v>4000</v>
      </c>
      <c r="L120" s="31">
        <f t="shared" si="5"/>
        <v>0.12014738058660727</v>
      </c>
    </row>
    <row r="121" spans="1:12" ht="15" customHeight="1" x14ac:dyDescent="0.35">
      <c r="A121" s="10">
        <f t="shared" si="4"/>
        <v>117</v>
      </c>
      <c r="B121" s="3">
        <v>2927</v>
      </c>
      <c r="C121" s="5" t="s">
        <v>392</v>
      </c>
      <c r="D121" s="5" t="s">
        <v>15</v>
      </c>
      <c r="E121" s="5" t="s">
        <v>103</v>
      </c>
      <c r="F121" s="5" t="s">
        <v>103</v>
      </c>
      <c r="G121" s="7">
        <v>40118</v>
      </c>
      <c r="H121" s="18">
        <f t="shared" si="3"/>
        <v>16.421917808219177</v>
      </c>
      <c r="I121" s="5" t="s">
        <v>13</v>
      </c>
      <c r="J121" s="28">
        <v>27909.892500000002</v>
      </c>
      <c r="K121" s="28">
        <v>4000</v>
      </c>
      <c r="L121" s="31">
        <f t="shared" si="5"/>
        <v>0.14331835925201072</v>
      </c>
    </row>
    <row r="122" spans="1:12" ht="15" customHeight="1" x14ac:dyDescent="0.35">
      <c r="A122" s="10">
        <f t="shared" si="4"/>
        <v>118</v>
      </c>
      <c r="B122" s="3">
        <v>2933</v>
      </c>
      <c r="C122" s="5" t="s">
        <v>393</v>
      </c>
      <c r="D122" s="5" t="s">
        <v>15</v>
      </c>
      <c r="E122" s="5" t="s">
        <v>194</v>
      </c>
      <c r="F122" s="5" t="s">
        <v>194</v>
      </c>
      <c r="G122" s="7">
        <v>40276</v>
      </c>
      <c r="H122" s="18">
        <f t="shared" si="3"/>
        <v>15.989041095890411</v>
      </c>
      <c r="I122" s="5" t="s">
        <v>13</v>
      </c>
      <c r="J122" s="28">
        <v>27892.25</v>
      </c>
      <c r="K122" s="28">
        <v>4000</v>
      </c>
      <c r="L122" s="31">
        <f t="shared" si="5"/>
        <v>0.14340901146375784</v>
      </c>
    </row>
    <row r="123" spans="1:12" ht="15" customHeight="1" x14ac:dyDescent="0.35">
      <c r="A123" s="10">
        <f t="shared" si="4"/>
        <v>119</v>
      </c>
      <c r="B123" s="3">
        <v>2941</v>
      </c>
      <c r="C123" s="5" t="s">
        <v>394</v>
      </c>
      <c r="D123" s="5" t="s">
        <v>15</v>
      </c>
      <c r="E123" s="5" t="s">
        <v>61</v>
      </c>
      <c r="F123" s="5" t="s">
        <v>61</v>
      </c>
      <c r="G123" s="7">
        <v>40000</v>
      </c>
      <c r="H123" s="18">
        <f t="shared" si="3"/>
        <v>16.745205479452054</v>
      </c>
      <c r="I123" s="5" t="s">
        <v>13</v>
      </c>
      <c r="J123" s="28">
        <v>29670.205999999998</v>
      </c>
      <c r="K123" s="28">
        <v>4000</v>
      </c>
      <c r="L123" s="31">
        <f t="shared" si="5"/>
        <v>0.13481537674527774</v>
      </c>
    </row>
    <row r="124" spans="1:12" ht="15" customHeight="1" x14ac:dyDescent="0.35">
      <c r="A124" s="10">
        <f t="shared" si="4"/>
        <v>120</v>
      </c>
      <c r="B124" s="3">
        <v>2944</v>
      </c>
      <c r="C124" s="5" t="s">
        <v>395</v>
      </c>
      <c r="D124" s="5" t="s">
        <v>15</v>
      </c>
      <c r="E124" s="5" t="s">
        <v>16</v>
      </c>
      <c r="F124" s="5" t="s">
        <v>17</v>
      </c>
      <c r="G124" s="7">
        <v>39539</v>
      </c>
      <c r="H124" s="18">
        <f t="shared" si="3"/>
        <v>18.008219178082193</v>
      </c>
      <c r="I124" s="5" t="s">
        <v>13</v>
      </c>
      <c r="J124" s="28">
        <v>28042.589</v>
      </c>
      <c r="K124" s="28">
        <v>4000</v>
      </c>
      <c r="L124" s="31">
        <f t="shared" si="5"/>
        <v>0.14264018204595874</v>
      </c>
    </row>
    <row r="125" spans="1:12" ht="15" customHeight="1" x14ac:dyDescent="0.35">
      <c r="A125" s="10">
        <f t="shared" si="4"/>
        <v>121</v>
      </c>
      <c r="B125" s="3">
        <v>2946</v>
      </c>
      <c r="C125" s="5" t="s">
        <v>396</v>
      </c>
      <c r="D125" s="5" t="s">
        <v>15</v>
      </c>
      <c r="E125" s="5" t="s">
        <v>103</v>
      </c>
      <c r="F125" s="5" t="s">
        <v>103</v>
      </c>
      <c r="G125" s="7">
        <v>39968</v>
      </c>
      <c r="H125" s="18">
        <f t="shared" si="3"/>
        <v>16.832876712328765</v>
      </c>
      <c r="I125" s="5" t="s">
        <v>13</v>
      </c>
      <c r="J125" s="28">
        <v>28856.397499999999</v>
      </c>
      <c r="K125" s="28">
        <v>4000</v>
      </c>
      <c r="L125" s="31">
        <f t="shared" si="5"/>
        <v>0.1386174417648634</v>
      </c>
    </row>
    <row r="126" spans="1:12" ht="15" customHeight="1" x14ac:dyDescent="0.35">
      <c r="A126" s="10">
        <f t="shared" si="4"/>
        <v>122</v>
      </c>
      <c r="B126" s="3">
        <v>2948</v>
      </c>
      <c r="C126" s="5" t="s">
        <v>397</v>
      </c>
      <c r="D126" s="5" t="s">
        <v>21</v>
      </c>
      <c r="E126" s="5" t="s">
        <v>117</v>
      </c>
      <c r="F126" s="5" t="s">
        <v>176</v>
      </c>
      <c r="G126" s="7">
        <v>39937</v>
      </c>
      <c r="H126" s="18">
        <f t="shared" si="3"/>
        <v>16.917808219178081</v>
      </c>
      <c r="I126" s="5" t="s">
        <v>13</v>
      </c>
      <c r="J126" s="28">
        <v>31015.3855</v>
      </c>
      <c r="K126" s="28">
        <v>4000</v>
      </c>
      <c r="L126" s="31">
        <f t="shared" si="5"/>
        <v>0.12896825028984404</v>
      </c>
    </row>
    <row r="127" spans="1:12" ht="15" customHeight="1" x14ac:dyDescent="0.35">
      <c r="A127" s="10">
        <f t="shared" si="4"/>
        <v>123</v>
      </c>
      <c r="B127" s="3">
        <v>2959</v>
      </c>
      <c r="C127" s="5" t="s">
        <v>398</v>
      </c>
      <c r="D127" s="5" t="s">
        <v>399</v>
      </c>
      <c r="E127" s="5" t="s">
        <v>194</v>
      </c>
      <c r="F127" s="5" t="s">
        <v>194</v>
      </c>
      <c r="G127" s="7">
        <v>40291</v>
      </c>
      <c r="H127" s="18">
        <f t="shared" si="3"/>
        <v>15.947945205479453</v>
      </c>
      <c r="I127" s="5" t="s">
        <v>13</v>
      </c>
      <c r="J127" s="28">
        <v>30133.75</v>
      </c>
      <c r="K127" s="28">
        <v>4000</v>
      </c>
      <c r="L127" s="31">
        <f t="shared" si="5"/>
        <v>0.13274152735719916</v>
      </c>
    </row>
    <row r="128" spans="1:12" ht="15" customHeight="1" x14ac:dyDescent="0.35">
      <c r="A128" s="10">
        <f t="shared" si="4"/>
        <v>124</v>
      </c>
      <c r="B128" s="3">
        <v>2966</v>
      </c>
      <c r="C128" s="5" t="s">
        <v>400</v>
      </c>
      <c r="D128" s="5" t="s">
        <v>15</v>
      </c>
      <c r="E128" s="5" t="s">
        <v>16</v>
      </c>
      <c r="F128" s="5" t="s">
        <v>17</v>
      </c>
      <c r="G128" s="7">
        <v>39448</v>
      </c>
      <c r="H128" s="18">
        <f t="shared" si="3"/>
        <v>18.257534246575343</v>
      </c>
      <c r="I128" s="5" t="s">
        <v>13</v>
      </c>
      <c r="J128" s="28">
        <v>28042.589</v>
      </c>
      <c r="K128" s="28">
        <v>4000</v>
      </c>
      <c r="L128" s="31">
        <f t="shared" si="5"/>
        <v>0.14264018204595874</v>
      </c>
    </row>
    <row r="129" spans="1:12" ht="15" customHeight="1" x14ac:dyDescent="0.35">
      <c r="A129" s="10">
        <f t="shared" si="4"/>
        <v>125</v>
      </c>
      <c r="B129" s="3">
        <v>2968</v>
      </c>
      <c r="C129" s="5" t="s">
        <v>401</v>
      </c>
      <c r="D129" s="5" t="s">
        <v>15</v>
      </c>
      <c r="E129" s="5" t="s">
        <v>16</v>
      </c>
      <c r="F129" s="5" t="s">
        <v>17</v>
      </c>
      <c r="G129" s="7">
        <v>40007</v>
      </c>
      <c r="H129" s="18">
        <f t="shared" si="3"/>
        <v>16.726027397260275</v>
      </c>
      <c r="I129" s="5" t="s">
        <v>13</v>
      </c>
      <c r="J129" s="28">
        <v>28042.589</v>
      </c>
      <c r="K129" s="28">
        <v>4000</v>
      </c>
      <c r="L129" s="31">
        <f t="shared" si="5"/>
        <v>0.14264018204595874</v>
      </c>
    </row>
    <row r="130" spans="1:12" ht="15" customHeight="1" x14ac:dyDescent="0.35">
      <c r="A130" s="10">
        <f t="shared" si="4"/>
        <v>126</v>
      </c>
      <c r="B130" s="3">
        <v>2970</v>
      </c>
      <c r="C130" s="5" t="s">
        <v>402</v>
      </c>
      <c r="D130" s="5" t="s">
        <v>21</v>
      </c>
      <c r="E130" s="5" t="s">
        <v>117</v>
      </c>
      <c r="F130" s="5" t="s">
        <v>176</v>
      </c>
      <c r="G130" s="7">
        <v>40105</v>
      </c>
      <c r="H130" s="18">
        <f t="shared" si="3"/>
        <v>16.457534246575342</v>
      </c>
      <c r="I130" s="5" t="s">
        <v>13</v>
      </c>
      <c r="J130" s="28">
        <v>30442.6325</v>
      </c>
      <c r="K130" s="28">
        <v>4000</v>
      </c>
      <c r="L130" s="31">
        <f t="shared" si="5"/>
        <v>0.13139468145535704</v>
      </c>
    </row>
    <row r="131" spans="1:12" ht="15" customHeight="1" x14ac:dyDescent="0.35">
      <c r="A131" s="10">
        <f t="shared" si="4"/>
        <v>127</v>
      </c>
      <c r="B131" s="3">
        <v>2973</v>
      </c>
      <c r="C131" s="5" t="s">
        <v>403</v>
      </c>
      <c r="D131" s="5" t="s">
        <v>15</v>
      </c>
      <c r="E131" s="5" t="s">
        <v>16</v>
      </c>
      <c r="F131" s="5" t="s">
        <v>17</v>
      </c>
      <c r="G131" s="7">
        <v>40164</v>
      </c>
      <c r="H131" s="18">
        <f t="shared" si="3"/>
        <v>16.295890410958904</v>
      </c>
      <c r="I131" s="5" t="s">
        <v>13</v>
      </c>
      <c r="J131" s="28">
        <v>27892.25</v>
      </c>
      <c r="K131" s="28">
        <v>4000</v>
      </c>
      <c r="L131" s="31">
        <f t="shared" si="5"/>
        <v>0.14340901146375784</v>
      </c>
    </row>
    <row r="132" spans="1:12" ht="15" customHeight="1" x14ac:dyDescent="0.35">
      <c r="A132" s="10">
        <f t="shared" si="4"/>
        <v>128</v>
      </c>
      <c r="B132" s="3">
        <v>2977</v>
      </c>
      <c r="C132" s="5" t="s">
        <v>404</v>
      </c>
      <c r="D132" s="5" t="s">
        <v>21</v>
      </c>
      <c r="E132" s="5" t="s">
        <v>35</v>
      </c>
      <c r="F132" s="5" t="s">
        <v>405</v>
      </c>
      <c r="G132" s="7">
        <v>40161</v>
      </c>
      <c r="H132" s="18">
        <f t="shared" si="3"/>
        <v>16.304109589041097</v>
      </c>
      <c r="I132" s="5" t="s">
        <v>13</v>
      </c>
      <c r="J132" s="28">
        <v>33292.444499999998</v>
      </c>
      <c r="K132" s="28">
        <v>4000</v>
      </c>
      <c r="L132" s="31">
        <f t="shared" si="5"/>
        <v>0.12014738058660727</v>
      </c>
    </row>
    <row r="133" spans="1:12" ht="15" customHeight="1" x14ac:dyDescent="0.35">
      <c r="A133" s="10">
        <f t="shared" si="4"/>
        <v>129</v>
      </c>
      <c r="B133" s="3">
        <v>2982</v>
      </c>
      <c r="C133" s="5" t="s">
        <v>406</v>
      </c>
      <c r="D133" s="5" t="s">
        <v>15</v>
      </c>
      <c r="E133" s="5" t="s">
        <v>407</v>
      </c>
      <c r="F133" s="5" t="s">
        <v>408</v>
      </c>
      <c r="G133" s="7">
        <v>40135</v>
      </c>
      <c r="H133" s="18">
        <f t="shared" ref="H133:H196" si="6">($H$3-G133)/365</f>
        <v>16.375342465753423</v>
      </c>
      <c r="I133" s="5" t="s">
        <v>13</v>
      </c>
      <c r="J133" s="28">
        <v>29759.951499999999</v>
      </c>
      <c r="K133" s="28">
        <v>4000</v>
      </c>
      <c r="L133" s="31">
        <f t="shared" si="5"/>
        <v>0.13440882119717165</v>
      </c>
    </row>
    <row r="134" spans="1:12" ht="15" customHeight="1" x14ac:dyDescent="0.35">
      <c r="A134" s="10">
        <f t="shared" ref="A134:A197" si="7">+A133+1</f>
        <v>130</v>
      </c>
      <c r="B134" s="3">
        <v>2984</v>
      </c>
      <c r="C134" s="5" t="s">
        <v>409</v>
      </c>
      <c r="D134" s="5" t="s">
        <v>15</v>
      </c>
      <c r="E134" s="5" t="s">
        <v>61</v>
      </c>
      <c r="F134" s="5" t="s">
        <v>61</v>
      </c>
      <c r="G134" s="7">
        <v>39508</v>
      </c>
      <c r="H134" s="18">
        <f t="shared" si="6"/>
        <v>18.093150684931508</v>
      </c>
      <c r="I134" s="5" t="s">
        <v>13</v>
      </c>
      <c r="J134" s="28">
        <v>29670.205999999998</v>
      </c>
      <c r="K134" s="28">
        <v>4000</v>
      </c>
      <c r="L134" s="31">
        <f t="shared" ref="L134:L197" si="8">+K134/J134</f>
        <v>0.13481537674527774</v>
      </c>
    </row>
    <row r="135" spans="1:12" ht="15" customHeight="1" x14ac:dyDescent="0.35">
      <c r="A135" s="10">
        <f t="shared" si="7"/>
        <v>131</v>
      </c>
      <c r="B135" s="3">
        <v>2985</v>
      </c>
      <c r="C135" s="5" t="s">
        <v>410</v>
      </c>
      <c r="D135" s="5" t="s">
        <v>15</v>
      </c>
      <c r="E135" s="5" t="s">
        <v>16</v>
      </c>
      <c r="F135" s="5" t="s">
        <v>17</v>
      </c>
      <c r="G135" s="7">
        <v>39722</v>
      </c>
      <c r="H135" s="18">
        <f t="shared" si="6"/>
        <v>17.506849315068493</v>
      </c>
      <c r="I135" s="5" t="s">
        <v>13</v>
      </c>
      <c r="J135" s="28">
        <v>29975.64761</v>
      </c>
      <c r="K135" s="28">
        <v>4000</v>
      </c>
      <c r="L135" s="31">
        <f t="shared" si="8"/>
        <v>0.13344165410676845</v>
      </c>
    </row>
    <row r="136" spans="1:12" ht="15" customHeight="1" x14ac:dyDescent="0.35">
      <c r="A136" s="10">
        <f t="shared" si="7"/>
        <v>132</v>
      </c>
      <c r="B136" s="3">
        <v>2990</v>
      </c>
      <c r="C136" s="5" t="s">
        <v>411</v>
      </c>
      <c r="D136" s="5" t="s">
        <v>15</v>
      </c>
      <c r="E136" s="5" t="s">
        <v>68</v>
      </c>
      <c r="F136" s="5" t="s">
        <v>132</v>
      </c>
      <c r="G136" s="7">
        <v>40000</v>
      </c>
      <c r="H136" s="18">
        <f t="shared" si="6"/>
        <v>16.745205479452054</v>
      </c>
      <c r="I136" s="5" t="s">
        <v>13</v>
      </c>
      <c r="J136" s="28">
        <v>28042.589</v>
      </c>
      <c r="K136" s="28">
        <v>4000</v>
      </c>
      <c r="L136" s="31">
        <f t="shared" si="8"/>
        <v>0.14264018204595874</v>
      </c>
    </row>
    <row r="137" spans="1:12" ht="15" customHeight="1" x14ac:dyDescent="0.35">
      <c r="A137" s="10">
        <f t="shared" si="7"/>
        <v>133</v>
      </c>
      <c r="B137" s="3">
        <v>2991</v>
      </c>
      <c r="C137" s="5" t="s">
        <v>412</v>
      </c>
      <c r="D137" s="5" t="s">
        <v>15</v>
      </c>
      <c r="E137" s="5" t="s">
        <v>16</v>
      </c>
      <c r="F137" s="5" t="s">
        <v>17</v>
      </c>
      <c r="G137" s="7">
        <v>40190</v>
      </c>
      <c r="H137" s="18">
        <f t="shared" si="6"/>
        <v>16.224657534246575</v>
      </c>
      <c r="I137" s="5" t="s">
        <v>13</v>
      </c>
      <c r="J137" s="28">
        <v>27892.25</v>
      </c>
      <c r="K137" s="28">
        <v>4000</v>
      </c>
      <c r="L137" s="31">
        <f t="shared" si="8"/>
        <v>0.14340901146375784</v>
      </c>
    </row>
    <row r="138" spans="1:12" ht="15" customHeight="1" x14ac:dyDescent="0.35">
      <c r="A138" s="10">
        <f t="shared" si="7"/>
        <v>134</v>
      </c>
      <c r="B138" s="3">
        <v>2992</v>
      </c>
      <c r="C138" s="5" t="s">
        <v>413</v>
      </c>
      <c r="D138" s="5" t="s">
        <v>15</v>
      </c>
      <c r="E138" s="5" t="s">
        <v>16</v>
      </c>
      <c r="F138" s="5" t="s">
        <v>17</v>
      </c>
      <c r="G138" s="7">
        <v>40087</v>
      </c>
      <c r="H138" s="18">
        <f t="shared" si="6"/>
        <v>16.506849315068493</v>
      </c>
      <c r="I138" s="5" t="s">
        <v>13</v>
      </c>
      <c r="J138" s="28">
        <v>28042.589</v>
      </c>
      <c r="K138" s="28">
        <v>4000</v>
      </c>
      <c r="L138" s="31">
        <f t="shared" si="8"/>
        <v>0.14264018204595874</v>
      </c>
    </row>
    <row r="139" spans="1:12" ht="15" customHeight="1" x14ac:dyDescent="0.35">
      <c r="A139" s="10">
        <f t="shared" si="7"/>
        <v>135</v>
      </c>
      <c r="B139" s="3">
        <v>2995</v>
      </c>
      <c r="C139" s="5" t="s">
        <v>414</v>
      </c>
      <c r="D139" s="5" t="s">
        <v>15</v>
      </c>
      <c r="E139" s="5" t="s">
        <v>68</v>
      </c>
      <c r="F139" s="5" t="s">
        <v>132</v>
      </c>
      <c r="G139" s="7">
        <v>39508</v>
      </c>
      <c r="H139" s="18">
        <f t="shared" si="6"/>
        <v>18.093150684931508</v>
      </c>
      <c r="I139" s="5" t="s">
        <v>13</v>
      </c>
      <c r="J139" s="28">
        <v>28042.589</v>
      </c>
      <c r="K139" s="28">
        <v>4000</v>
      </c>
      <c r="L139" s="31">
        <f t="shared" si="8"/>
        <v>0.14264018204595874</v>
      </c>
    </row>
    <row r="140" spans="1:12" ht="15" customHeight="1" x14ac:dyDescent="0.35">
      <c r="A140" s="10">
        <f t="shared" si="7"/>
        <v>136</v>
      </c>
      <c r="B140" s="3">
        <v>2998</v>
      </c>
      <c r="C140" s="5" t="s">
        <v>415</v>
      </c>
      <c r="D140" s="5" t="s">
        <v>21</v>
      </c>
      <c r="E140" s="5" t="s">
        <v>112</v>
      </c>
      <c r="F140" s="5" t="s">
        <v>112</v>
      </c>
      <c r="G140" s="7">
        <v>40232</v>
      </c>
      <c r="H140" s="18">
        <f t="shared" si="6"/>
        <v>16.109589041095891</v>
      </c>
      <c r="I140" s="5" t="s">
        <v>13</v>
      </c>
      <c r="J140" s="28">
        <v>32617.809499999999</v>
      </c>
      <c r="K140" s="28">
        <v>4000</v>
      </c>
      <c r="L140" s="31">
        <f t="shared" si="8"/>
        <v>0.12263239197592346</v>
      </c>
    </row>
    <row r="141" spans="1:12" ht="15" customHeight="1" x14ac:dyDescent="0.35">
      <c r="A141" s="10">
        <f t="shared" si="7"/>
        <v>137</v>
      </c>
      <c r="B141" s="3">
        <v>2999</v>
      </c>
      <c r="C141" s="5" t="s">
        <v>416</v>
      </c>
      <c r="D141" s="5" t="s">
        <v>15</v>
      </c>
      <c r="E141" s="5" t="s">
        <v>16</v>
      </c>
      <c r="F141" s="5" t="s">
        <v>17</v>
      </c>
      <c r="G141" s="7">
        <v>40000</v>
      </c>
      <c r="H141" s="18">
        <f t="shared" si="6"/>
        <v>16.745205479452054</v>
      </c>
      <c r="I141" s="5" t="s">
        <v>13</v>
      </c>
      <c r="J141" s="28">
        <v>28042.589</v>
      </c>
      <c r="K141" s="28">
        <v>4000</v>
      </c>
      <c r="L141" s="31">
        <f t="shared" si="8"/>
        <v>0.14264018204595874</v>
      </c>
    </row>
    <row r="142" spans="1:12" ht="15" customHeight="1" x14ac:dyDescent="0.35">
      <c r="A142" s="10">
        <f t="shared" si="7"/>
        <v>138</v>
      </c>
      <c r="B142" s="3">
        <v>3000</v>
      </c>
      <c r="C142" s="5" t="s">
        <v>417</v>
      </c>
      <c r="D142" s="5" t="s">
        <v>60</v>
      </c>
      <c r="E142" s="5" t="s">
        <v>61</v>
      </c>
      <c r="F142" s="5" t="s">
        <v>61</v>
      </c>
      <c r="G142" s="7">
        <v>40148</v>
      </c>
      <c r="H142" s="18">
        <f t="shared" si="6"/>
        <v>16.339726027397262</v>
      </c>
      <c r="I142" s="5" t="s">
        <v>13</v>
      </c>
      <c r="J142" s="28">
        <v>38328.998</v>
      </c>
      <c r="K142" s="28">
        <v>4000</v>
      </c>
      <c r="L142" s="31">
        <f t="shared" si="8"/>
        <v>0.10435962870722579</v>
      </c>
    </row>
    <row r="143" spans="1:12" ht="15" customHeight="1" x14ac:dyDescent="0.35">
      <c r="A143" s="10">
        <f t="shared" si="7"/>
        <v>139</v>
      </c>
      <c r="B143" s="3">
        <v>3001</v>
      </c>
      <c r="C143" s="5" t="s">
        <v>418</v>
      </c>
      <c r="D143" s="5" t="s">
        <v>15</v>
      </c>
      <c r="E143" s="5" t="s">
        <v>16</v>
      </c>
      <c r="F143" s="5" t="s">
        <v>17</v>
      </c>
      <c r="G143" s="7">
        <v>40238</v>
      </c>
      <c r="H143" s="18">
        <f t="shared" si="6"/>
        <v>16.093150684931508</v>
      </c>
      <c r="I143" s="5" t="s">
        <v>13</v>
      </c>
      <c r="J143" s="28">
        <v>29833.625045000001</v>
      </c>
      <c r="K143" s="28">
        <v>4000</v>
      </c>
      <c r="L143" s="31">
        <f t="shared" si="8"/>
        <v>0.13407690128056982</v>
      </c>
    </row>
    <row r="144" spans="1:12" ht="15" customHeight="1" x14ac:dyDescent="0.35">
      <c r="A144" s="10">
        <f t="shared" si="7"/>
        <v>140</v>
      </c>
      <c r="B144" s="3">
        <v>3014</v>
      </c>
      <c r="C144" s="5" t="s">
        <v>420</v>
      </c>
      <c r="D144" s="5" t="s">
        <v>421</v>
      </c>
      <c r="E144" s="5" t="s">
        <v>61</v>
      </c>
      <c r="F144" s="5" t="s">
        <v>61</v>
      </c>
      <c r="G144" s="7">
        <v>39448</v>
      </c>
      <c r="H144" s="18">
        <f t="shared" si="6"/>
        <v>18.257534246575343</v>
      </c>
      <c r="I144" s="5" t="s">
        <v>13</v>
      </c>
      <c r="J144" s="28">
        <v>35048.667499999996</v>
      </c>
      <c r="K144" s="28">
        <v>4000</v>
      </c>
      <c r="L144" s="31">
        <f t="shared" si="8"/>
        <v>0.11412702066348172</v>
      </c>
    </row>
    <row r="145" spans="1:12" ht="15" customHeight="1" x14ac:dyDescent="0.35">
      <c r="A145" s="10">
        <f t="shared" si="7"/>
        <v>141</v>
      </c>
      <c r="B145" s="3">
        <v>3015</v>
      </c>
      <c r="C145" s="5" t="s">
        <v>422</v>
      </c>
      <c r="D145" s="5" t="s">
        <v>151</v>
      </c>
      <c r="E145" s="5" t="s">
        <v>198</v>
      </c>
      <c r="F145" s="5" t="s">
        <v>198</v>
      </c>
      <c r="G145" s="7">
        <v>39448</v>
      </c>
      <c r="H145" s="18">
        <f t="shared" si="6"/>
        <v>18.257534246575343</v>
      </c>
      <c r="I145" s="5" t="s">
        <v>13</v>
      </c>
      <c r="J145" s="28">
        <v>34606.9395</v>
      </c>
      <c r="K145" s="28">
        <v>4000</v>
      </c>
      <c r="L145" s="31">
        <f t="shared" si="8"/>
        <v>0.11558375452414681</v>
      </c>
    </row>
    <row r="146" spans="1:12" ht="15" customHeight="1" x14ac:dyDescent="0.35">
      <c r="A146" s="10">
        <f t="shared" si="7"/>
        <v>142</v>
      </c>
      <c r="B146" s="3">
        <v>3016</v>
      </c>
      <c r="C146" s="5" t="s">
        <v>423</v>
      </c>
      <c r="D146" s="5" t="s">
        <v>15</v>
      </c>
      <c r="E146" s="5" t="s">
        <v>424</v>
      </c>
      <c r="F146" s="5" t="s">
        <v>424</v>
      </c>
      <c r="G146" s="7">
        <v>39600</v>
      </c>
      <c r="H146" s="18">
        <f t="shared" si="6"/>
        <v>17.841095890410958</v>
      </c>
      <c r="I146" s="5" t="s">
        <v>13</v>
      </c>
      <c r="J146" s="28">
        <v>29975.64761</v>
      </c>
      <c r="K146" s="28">
        <v>4000</v>
      </c>
      <c r="L146" s="31">
        <f t="shared" si="8"/>
        <v>0.13344165410676845</v>
      </c>
    </row>
    <row r="147" spans="1:12" ht="15" customHeight="1" x14ac:dyDescent="0.35">
      <c r="A147" s="10">
        <f t="shared" si="7"/>
        <v>143</v>
      </c>
      <c r="B147" s="3">
        <v>3023</v>
      </c>
      <c r="C147" s="5" t="s">
        <v>425</v>
      </c>
      <c r="D147" s="5" t="s">
        <v>15</v>
      </c>
      <c r="E147" s="5" t="s">
        <v>16</v>
      </c>
      <c r="F147" s="5" t="s">
        <v>17</v>
      </c>
      <c r="G147" s="7">
        <v>40042</v>
      </c>
      <c r="H147" s="18">
        <f t="shared" si="6"/>
        <v>16.63013698630137</v>
      </c>
      <c r="I147" s="5" t="s">
        <v>13</v>
      </c>
      <c r="J147" s="28">
        <v>28042.589</v>
      </c>
      <c r="K147" s="28">
        <v>4000</v>
      </c>
      <c r="L147" s="31">
        <f t="shared" si="8"/>
        <v>0.14264018204595874</v>
      </c>
    </row>
    <row r="148" spans="1:12" ht="15" customHeight="1" x14ac:dyDescent="0.35">
      <c r="A148" s="10">
        <f t="shared" si="7"/>
        <v>144</v>
      </c>
      <c r="B148" s="3">
        <v>3031</v>
      </c>
      <c r="C148" s="5" t="s">
        <v>426</v>
      </c>
      <c r="D148" s="5" t="s">
        <v>427</v>
      </c>
      <c r="E148" s="5" t="s">
        <v>68</v>
      </c>
      <c r="F148" s="5" t="s">
        <v>69</v>
      </c>
      <c r="G148" s="7">
        <v>40427</v>
      </c>
      <c r="H148" s="18">
        <f t="shared" si="6"/>
        <v>15.575342465753424</v>
      </c>
      <c r="I148" s="5" t="s">
        <v>13</v>
      </c>
      <c r="J148" s="28">
        <v>39744</v>
      </c>
      <c r="K148" s="28">
        <v>4000</v>
      </c>
      <c r="L148" s="31">
        <f t="shared" si="8"/>
        <v>0.10064412238325282</v>
      </c>
    </row>
    <row r="149" spans="1:12" ht="15" customHeight="1" x14ac:dyDescent="0.35">
      <c r="A149" s="10">
        <f t="shared" si="7"/>
        <v>145</v>
      </c>
      <c r="B149" s="3">
        <v>3032</v>
      </c>
      <c r="C149" s="5" t="s">
        <v>428</v>
      </c>
      <c r="D149" s="5" t="s">
        <v>146</v>
      </c>
      <c r="E149" s="5" t="s">
        <v>12</v>
      </c>
      <c r="F149" s="5" t="s">
        <v>12</v>
      </c>
      <c r="G149" s="7">
        <v>40436</v>
      </c>
      <c r="H149" s="18">
        <f t="shared" si="6"/>
        <v>15.550684931506849</v>
      </c>
      <c r="I149" s="5" t="s">
        <v>13</v>
      </c>
      <c r="J149" s="28">
        <v>32288.342000000001</v>
      </c>
      <c r="K149" s="28">
        <v>4000</v>
      </c>
      <c r="L149" s="31">
        <f t="shared" si="8"/>
        <v>0.12388372249030316</v>
      </c>
    </row>
    <row r="150" spans="1:12" ht="15" customHeight="1" x14ac:dyDescent="0.35">
      <c r="A150" s="10">
        <f t="shared" si="7"/>
        <v>146</v>
      </c>
      <c r="B150" s="3">
        <v>3043</v>
      </c>
      <c r="C150" s="5" t="s">
        <v>429</v>
      </c>
      <c r="D150" s="5" t="s">
        <v>430</v>
      </c>
      <c r="E150" s="5" t="s">
        <v>35</v>
      </c>
      <c r="F150" s="5" t="s">
        <v>36</v>
      </c>
      <c r="G150" s="7">
        <v>40422</v>
      </c>
      <c r="H150" s="18">
        <f t="shared" si="6"/>
        <v>15.58904109589041</v>
      </c>
      <c r="I150" s="5" t="s">
        <v>13</v>
      </c>
      <c r="J150" s="28">
        <v>32239.7075</v>
      </c>
      <c r="K150" s="28">
        <v>4000</v>
      </c>
      <c r="L150" s="31">
        <f t="shared" si="8"/>
        <v>0.12407060454875404</v>
      </c>
    </row>
    <row r="151" spans="1:12" ht="15" customHeight="1" x14ac:dyDescent="0.35">
      <c r="A151" s="10">
        <f t="shared" si="7"/>
        <v>147</v>
      </c>
      <c r="B151" s="3">
        <v>3047</v>
      </c>
      <c r="C151" s="5" t="s">
        <v>431</v>
      </c>
      <c r="D151" s="5" t="s">
        <v>151</v>
      </c>
      <c r="E151" s="5" t="s">
        <v>24</v>
      </c>
      <c r="F151" s="5" t="s">
        <v>152</v>
      </c>
      <c r="G151" s="7">
        <v>40391</v>
      </c>
      <c r="H151" s="18">
        <f t="shared" si="6"/>
        <v>15.673972602739726</v>
      </c>
      <c r="I151" s="5" t="s">
        <v>13</v>
      </c>
      <c r="J151" s="28">
        <v>34472.119500000001</v>
      </c>
      <c r="K151" s="28">
        <v>4000</v>
      </c>
      <c r="L151" s="31">
        <f t="shared" si="8"/>
        <v>0.11603580104785839</v>
      </c>
    </row>
    <row r="152" spans="1:12" ht="15" customHeight="1" x14ac:dyDescent="0.35">
      <c r="A152" s="10">
        <f t="shared" si="7"/>
        <v>148</v>
      </c>
      <c r="B152" s="3">
        <v>3048</v>
      </c>
      <c r="C152" s="5" t="s">
        <v>432</v>
      </c>
      <c r="D152" s="5" t="s">
        <v>186</v>
      </c>
      <c r="E152" s="5" t="s">
        <v>68</v>
      </c>
      <c r="F152" s="5" t="s">
        <v>187</v>
      </c>
      <c r="G152" s="7">
        <v>40452</v>
      </c>
      <c r="H152" s="18">
        <f t="shared" si="6"/>
        <v>15.506849315068493</v>
      </c>
      <c r="I152" s="5" t="s">
        <v>13</v>
      </c>
      <c r="J152" s="28">
        <v>35854.0245</v>
      </c>
      <c r="K152" s="28">
        <v>4000</v>
      </c>
      <c r="L152" s="31">
        <f t="shared" si="8"/>
        <v>0.11156348710588961</v>
      </c>
    </row>
    <row r="153" spans="1:12" ht="15" customHeight="1" x14ac:dyDescent="0.35">
      <c r="A153" s="10">
        <f t="shared" si="7"/>
        <v>149</v>
      </c>
      <c r="B153" s="3">
        <v>3140</v>
      </c>
      <c r="C153" s="5" t="s">
        <v>441</v>
      </c>
      <c r="D153" s="5" t="s">
        <v>442</v>
      </c>
      <c r="E153" s="5" t="s">
        <v>103</v>
      </c>
      <c r="F153" s="5" t="s">
        <v>103</v>
      </c>
      <c r="G153" s="7">
        <v>40513</v>
      </c>
      <c r="H153" s="18">
        <f t="shared" si="6"/>
        <v>15.33972602739726</v>
      </c>
      <c r="I153" s="5" t="s">
        <v>13</v>
      </c>
      <c r="J153" s="28">
        <v>37552.917499999996</v>
      </c>
      <c r="K153" s="28">
        <v>4000</v>
      </c>
      <c r="L153" s="31">
        <f t="shared" si="8"/>
        <v>0.10651635788351199</v>
      </c>
    </row>
    <row r="154" spans="1:12" ht="15" customHeight="1" x14ac:dyDescent="0.35">
      <c r="A154" s="10">
        <f t="shared" si="7"/>
        <v>150</v>
      </c>
      <c r="B154" s="3">
        <v>3164</v>
      </c>
      <c r="C154" s="5" t="s">
        <v>444</v>
      </c>
      <c r="D154" s="5" t="s">
        <v>15</v>
      </c>
      <c r="E154" s="5" t="s">
        <v>16</v>
      </c>
      <c r="F154" s="5" t="s">
        <v>17</v>
      </c>
      <c r="G154" s="7">
        <v>40330</v>
      </c>
      <c r="H154" s="18">
        <f t="shared" si="6"/>
        <v>15.841095890410958</v>
      </c>
      <c r="I154" s="5" t="s">
        <v>13</v>
      </c>
      <c r="J154" s="28">
        <v>29759.951499999999</v>
      </c>
      <c r="K154" s="28">
        <v>4000</v>
      </c>
      <c r="L154" s="31">
        <f t="shared" si="8"/>
        <v>0.13440882119717165</v>
      </c>
    </row>
    <row r="155" spans="1:12" ht="15" customHeight="1" x14ac:dyDescent="0.35">
      <c r="A155" s="10">
        <f t="shared" si="7"/>
        <v>151</v>
      </c>
      <c r="B155" s="3">
        <v>3179</v>
      </c>
      <c r="C155" s="5" t="s">
        <v>445</v>
      </c>
      <c r="D155" s="5" t="s">
        <v>15</v>
      </c>
      <c r="E155" s="5" t="s">
        <v>16</v>
      </c>
      <c r="F155" s="5" t="s">
        <v>17</v>
      </c>
      <c r="G155" s="7">
        <v>40513</v>
      </c>
      <c r="H155" s="18">
        <f t="shared" si="6"/>
        <v>15.33972602739726</v>
      </c>
      <c r="I155" s="5" t="s">
        <v>13</v>
      </c>
      <c r="J155" s="28">
        <v>27642.544999999998</v>
      </c>
      <c r="K155" s="28">
        <v>4000</v>
      </c>
      <c r="L155" s="31">
        <f t="shared" si="8"/>
        <v>0.14470447637871262</v>
      </c>
    </row>
    <row r="156" spans="1:12" ht="15" customHeight="1" x14ac:dyDescent="0.35">
      <c r="A156" s="10">
        <f t="shared" si="7"/>
        <v>152</v>
      </c>
      <c r="B156" s="3">
        <v>3194</v>
      </c>
      <c r="C156" s="5" t="s">
        <v>447</v>
      </c>
      <c r="D156" s="5" t="s">
        <v>308</v>
      </c>
      <c r="E156" s="5" t="s">
        <v>103</v>
      </c>
      <c r="F156" s="5" t="s">
        <v>103</v>
      </c>
      <c r="G156" s="7">
        <v>40513</v>
      </c>
      <c r="H156" s="18">
        <f t="shared" si="6"/>
        <v>15.33972602739726</v>
      </c>
      <c r="I156" s="5" t="s">
        <v>13</v>
      </c>
      <c r="J156" s="28">
        <v>37552.917499999996</v>
      </c>
      <c r="K156" s="28">
        <v>4000</v>
      </c>
      <c r="L156" s="31">
        <f t="shared" si="8"/>
        <v>0.10651635788351199</v>
      </c>
    </row>
    <row r="157" spans="1:12" ht="15" customHeight="1" x14ac:dyDescent="0.35">
      <c r="A157" s="10">
        <f t="shared" si="7"/>
        <v>153</v>
      </c>
      <c r="B157" s="3">
        <v>3195</v>
      </c>
      <c r="C157" s="5" t="s">
        <v>448</v>
      </c>
      <c r="D157" s="5" t="s">
        <v>60</v>
      </c>
      <c r="E157" s="5" t="s">
        <v>61</v>
      </c>
      <c r="F157" s="5" t="s">
        <v>61</v>
      </c>
      <c r="G157" s="7">
        <v>40525</v>
      </c>
      <c r="H157" s="18">
        <f t="shared" si="6"/>
        <v>15.306849315068494</v>
      </c>
      <c r="I157" s="5" t="s">
        <v>13</v>
      </c>
      <c r="J157" s="28">
        <v>35489.894</v>
      </c>
      <c r="K157" s="28">
        <v>4000</v>
      </c>
      <c r="L157" s="31">
        <f t="shared" si="8"/>
        <v>0.11270814164730951</v>
      </c>
    </row>
    <row r="158" spans="1:12" ht="15" customHeight="1" x14ac:dyDescent="0.35">
      <c r="A158" s="10">
        <f t="shared" si="7"/>
        <v>154</v>
      </c>
      <c r="B158" s="3">
        <v>3204</v>
      </c>
      <c r="C158" s="5" t="s">
        <v>449</v>
      </c>
      <c r="D158" s="5" t="s">
        <v>151</v>
      </c>
      <c r="E158" s="5" t="s">
        <v>24</v>
      </c>
      <c r="F158" s="5" t="s">
        <v>152</v>
      </c>
      <c r="G158" s="7">
        <v>40513</v>
      </c>
      <c r="H158" s="18">
        <f t="shared" si="6"/>
        <v>15.33972602739726</v>
      </c>
      <c r="I158" s="5" t="s">
        <v>13</v>
      </c>
      <c r="J158" s="28">
        <v>34472.119500000001</v>
      </c>
      <c r="K158" s="28">
        <v>4000</v>
      </c>
      <c r="L158" s="31">
        <f t="shared" si="8"/>
        <v>0.11603580104785839</v>
      </c>
    </row>
    <row r="159" spans="1:12" ht="15" customHeight="1" x14ac:dyDescent="0.35">
      <c r="A159" s="10">
        <f t="shared" si="7"/>
        <v>155</v>
      </c>
      <c r="B159" s="3">
        <v>323</v>
      </c>
      <c r="C159" s="5" t="s">
        <v>452</v>
      </c>
      <c r="D159" s="5" t="s">
        <v>453</v>
      </c>
      <c r="E159" s="5" t="s">
        <v>194</v>
      </c>
      <c r="F159" s="5" t="s">
        <v>344</v>
      </c>
      <c r="G159" s="7">
        <v>37673</v>
      </c>
      <c r="H159" s="18">
        <f t="shared" si="6"/>
        <v>23.12054794520548</v>
      </c>
      <c r="I159" s="5" t="s">
        <v>13</v>
      </c>
      <c r="J159" s="28">
        <v>36254.334499999997</v>
      </c>
      <c r="K159" s="28">
        <v>4000</v>
      </c>
      <c r="L159" s="31">
        <f t="shared" si="8"/>
        <v>0.11033163496629625</v>
      </c>
    </row>
    <row r="160" spans="1:12" ht="15" customHeight="1" x14ac:dyDescent="0.35">
      <c r="A160" s="10">
        <f t="shared" si="7"/>
        <v>156</v>
      </c>
      <c r="B160" s="3">
        <v>3234</v>
      </c>
      <c r="C160" s="5" t="s">
        <v>454</v>
      </c>
      <c r="D160" s="5" t="s">
        <v>455</v>
      </c>
      <c r="E160" s="5" t="s">
        <v>112</v>
      </c>
      <c r="F160" s="5" t="s">
        <v>112</v>
      </c>
      <c r="G160" s="7">
        <v>40575</v>
      </c>
      <c r="H160" s="18">
        <f t="shared" si="6"/>
        <v>15.169863013698631</v>
      </c>
      <c r="I160" s="5" t="s">
        <v>13</v>
      </c>
      <c r="J160" s="28">
        <v>31037.4575</v>
      </c>
      <c r="K160" s="28">
        <v>4000</v>
      </c>
      <c r="L160" s="31">
        <f t="shared" si="8"/>
        <v>0.12887653571495022</v>
      </c>
    </row>
    <row r="161" spans="1:12" ht="15" customHeight="1" x14ac:dyDescent="0.35">
      <c r="A161" s="10">
        <f t="shared" si="7"/>
        <v>157</v>
      </c>
      <c r="B161" s="3">
        <v>3282</v>
      </c>
      <c r="C161" s="5" t="s">
        <v>457</v>
      </c>
      <c r="D161" s="5" t="s">
        <v>442</v>
      </c>
      <c r="E161" s="5" t="s">
        <v>103</v>
      </c>
      <c r="F161" s="5" t="s">
        <v>103</v>
      </c>
      <c r="G161" s="7">
        <v>40595</v>
      </c>
      <c r="H161" s="18">
        <f t="shared" si="6"/>
        <v>15.115068493150686</v>
      </c>
      <c r="I161" s="5" t="s">
        <v>13</v>
      </c>
      <c r="J161" s="28">
        <v>37552.917499999996</v>
      </c>
      <c r="K161" s="28">
        <v>4000</v>
      </c>
      <c r="L161" s="31">
        <f t="shared" si="8"/>
        <v>0.10651635788351199</v>
      </c>
    </row>
    <row r="162" spans="1:12" ht="15" customHeight="1" x14ac:dyDescent="0.35">
      <c r="A162" s="10">
        <f t="shared" si="7"/>
        <v>158</v>
      </c>
      <c r="B162" s="3">
        <v>3284</v>
      </c>
      <c r="C162" s="5" t="s">
        <v>458</v>
      </c>
      <c r="D162" s="5" t="s">
        <v>15</v>
      </c>
      <c r="E162" s="5" t="s">
        <v>16</v>
      </c>
      <c r="F162" s="5" t="s">
        <v>17</v>
      </c>
      <c r="G162" s="7">
        <v>40595</v>
      </c>
      <c r="H162" s="18">
        <f t="shared" si="6"/>
        <v>15.115068493150686</v>
      </c>
      <c r="I162" s="5" t="s">
        <v>13</v>
      </c>
      <c r="J162" s="28">
        <v>29547.60053</v>
      </c>
      <c r="K162" s="28">
        <v>4000</v>
      </c>
      <c r="L162" s="31">
        <f t="shared" si="8"/>
        <v>0.13537478266428965</v>
      </c>
    </row>
    <row r="163" spans="1:12" ht="15" customHeight="1" x14ac:dyDescent="0.35">
      <c r="A163" s="10">
        <f t="shared" si="7"/>
        <v>159</v>
      </c>
      <c r="B163" s="3">
        <v>3285</v>
      </c>
      <c r="C163" s="5" t="s">
        <v>459</v>
      </c>
      <c r="D163" s="5" t="s">
        <v>15</v>
      </c>
      <c r="E163" s="5" t="s">
        <v>16</v>
      </c>
      <c r="F163" s="5" t="s">
        <v>17</v>
      </c>
      <c r="G163" s="7">
        <v>40596</v>
      </c>
      <c r="H163" s="18">
        <f t="shared" si="6"/>
        <v>15.112328767123287</v>
      </c>
      <c r="I163" s="5" t="s">
        <v>13</v>
      </c>
      <c r="J163" s="28">
        <v>27642.544999999998</v>
      </c>
      <c r="K163" s="28">
        <v>4000</v>
      </c>
      <c r="L163" s="31">
        <f t="shared" si="8"/>
        <v>0.14470447637871262</v>
      </c>
    </row>
    <row r="164" spans="1:12" ht="15" customHeight="1" x14ac:dyDescent="0.35">
      <c r="A164" s="10">
        <f t="shared" si="7"/>
        <v>160</v>
      </c>
      <c r="B164" s="3">
        <v>3309</v>
      </c>
      <c r="C164" s="5" t="s">
        <v>463</v>
      </c>
      <c r="D164" s="5" t="s">
        <v>330</v>
      </c>
      <c r="E164" s="5" t="s">
        <v>54</v>
      </c>
      <c r="F164" s="5" t="s">
        <v>54</v>
      </c>
      <c r="G164" s="7">
        <v>40603</v>
      </c>
      <c r="H164" s="18">
        <f t="shared" si="6"/>
        <v>15.093150684931507</v>
      </c>
      <c r="I164" s="5" t="s">
        <v>13</v>
      </c>
      <c r="J164" s="28">
        <v>39141.805999999997</v>
      </c>
      <c r="K164" s="28">
        <v>4000</v>
      </c>
      <c r="L164" s="31">
        <f t="shared" si="8"/>
        <v>0.10219252530146412</v>
      </c>
    </row>
    <row r="165" spans="1:12" ht="15" customHeight="1" x14ac:dyDescent="0.35">
      <c r="A165" s="10">
        <f t="shared" si="7"/>
        <v>161</v>
      </c>
      <c r="B165" s="3">
        <v>3365</v>
      </c>
      <c r="C165" s="5" t="s">
        <v>465</v>
      </c>
      <c r="D165" s="5" t="s">
        <v>151</v>
      </c>
      <c r="E165" s="5" t="s">
        <v>376</v>
      </c>
      <c r="F165" s="5" t="s">
        <v>466</v>
      </c>
      <c r="G165" s="7">
        <v>40575</v>
      </c>
      <c r="H165" s="18">
        <f t="shared" si="6"/>
        <v>15.169863013698631</v>
      </c>
      <c r="I165" s="5" t="s">
        <v>13</v>
      </c>
      <c r="J165" s="28">
        <v>33123.919500000004</v>
      </c>
      <c r="K165" s="28">
        <v>4000</v>
      </c>
      <c r="L165" s="31">
        <f t="shared" si="8"/>
        <v>0.12075865599178261</v>
      </c>
    </row>
    <row r="166" spans="1:12" ht="15" customHeight="1" x14ac:dyDescent="0.35">
      <c r="A166" s="10">
        <f t="shared" si="7"/>
        <v>162</v>
      </c>
      <c r="B166" s="3">
        <v>3381</v>
      </c>
      <c r="C166" s="5" t="s">
        <v>468</v>
      </c>
      <c r="D166" s="5" t="s">
        <v>469</v>
      </c>
      <c r="E166" s="5" t="s">
        <v>161</v>
      </c>
      <c r="F166" s="5" t="s">
        <v>161</v>
      </c>
      <c r="G166" s="7">
        <v>40624</v>
      </c>
      <c r="H166" s="18">
        <f t="shared" si="6"/>
        <v>15.035616438356165</v>
      </c>
      <c r="I166" s="5" t="s">
        <v>13</v>
      </c>
      <c r="J166" s="28">
        <v>33291.75</v>
      </c>
      <c r="K166" s="28">
        <v>4000</v>
      </c>
      <c r="L166" s="31">
        <f t="shared" si="8"/>
        <v>0.12014988698401255</v>
      </c>
    </row>
    <row r="167" spans="1:12" ht="15" customHeight="1" x14ac:dyDescent="0.35">
      <c r="A167" s="10">
        <f t="shared" si="7"/>
        <v>163</v>
      </c>
      <c r="B167" s="3">
        <v>3393</v>
      </c>
      <c r="C167" s="5" t="s">
        <v>413</v>
      </c>
      <c r="D167" s="5" t="s">
        <v>151</v>
      </c>
      <c r="E167" s="5" t="s">
        <v>376</v>
      </c>
      <c r="F167" s="5" t="s">
        <v>466</v>
      </c>
      <c r="G167" s="7">
        <v>40639</v>
      </c>
      <c r="H167" s="18">
        <f t="shared" si="6"/>
        <v>14.994520547945205</v>
      </c>
      <c r="I167" s="5" t="s">
        <v>13</v>
      </c>
      <c r="J167" s="28">
        <v>34012.635000000002</v>
      </c>
      <c r="K167" s="28">
        <v>4000</v>
      </c>
      <c r="L167" s="31">
        <f t="shared" si="8"/>
        <v>0.11760335534133123</v>
      </c>
    </row>
    <row r="168" spans="1:12" ht="15" customHeight="1" x14ac:dyDescent="0.35">
      <c r="A168" s="10">
        <f t="shared" si="7"/>
        <v>164</v>
      </c>
      <c r="B168" s="3">
        <v>3402</v>
      </c>
      <c r="C168" s="5" t="s">
        <v>470</v>
      </c>
      <c r="D168" s="5" t="s">
        <v>21</v>
      </c>
      <c r="E168" s="5" t="s">
        <v>99</v>
      </c>
      <c r="F168" s="5" t="s">
        <v>249</v>
      </c>
      <c r="G168" s="7">
        <v>40664</v>
      </c>
      <c r="H168" s="18">
        <f t="shared" si="6"/>
        <v>14.926027397260274</v>
      </c>
      <c r="I168" s="5" t="s">
        <v>13</v>
      </c>
      <c r="J168" s="28">
        <v>34606.9395</v>
      </c>
      <c r="K168" s="28">
        <v>4000</v>
      </c>
      <c r="L168" s="31">
        <f t="shared" si="8"/>
        <v>0.11558375452414681</v>
      </c>
    </row>
    <row r="169" spans="1:12" ht="15" customHeight="1" x14ac:dyDescent="0.35">
      <c r="A169" s="10">
        <f t="shared" si="7"/>
        <v>165</v>
      </c>
      <c r="B169" s="3">
        <v>3426</v>
      </c>
      <c r="C169" s="5" t="s">
        <v>471</v>
      </c>
      <c r="D169" s="5" t="s">
        <v>340</v>
      </c>
      <c r="E169" s="5" t="s">
        <v>68</v>
      </c>
      <c r="F169" s="5" t="s">
        <v>69</v>
      </c>
      <c r="G169" s="7">
        <v>40664</v>
      </c>
      <c r="H169" s="18">
        <f t="shared" si="6"/>
        <v>14.926027397260274</v>
      </c>
      <c r="I169" s="5" t="s">
        <v>13</v>
      </c>
      <c r="J169" s="28">
        <v>33292.444499999998</v>
      </c>
      <c r="K169" s="28">
        <v>4000</v>
      </c>
      <c r="L169" s="31">
        <f t="shared" si="8"/>
        <v>0.12014738058660727</v>
      </c>
    </row>
    <row r="170" spans="1:12" ht="15" customHeight="1" x14ac:dyDescent="0.35">
      <c r="A170" s="10">
        <f t="shared" si="7"/>
        <v>166</v>
      </c>
      <c r="B170" s="3">
        <v>3427</v>
      </c>
      <c r="C170" s="5" t="s">
        <v>472</v>
      </c>
      <c r="D170" s="5" t="s">
        <v>15</v>
      </c>
      <c r="E170" s="5" t="s">
        <v>16</v>
      </c>
      <c r="F170" s="5" t="s">
        <v>17</v>
      </c>
      <c r="G170" s="7">
        <v>40664</v>
      </c>
      <c r="H170" s="18">
        <f t="shared" si="6"/>
        <v>14.926027397260274</v>
      </c>
      <c r="I170" s="5" t="s">
        <v>13</v>
      </c>
      <c r="J170" s="28">
        <v>27642.544999999998</v>
      </c>
      <c r="K170" s="28">
        <v>4000</v>
      </c>
      <c r="L170" s="31">
        <f t="shared" si="8"/>
        <v>0.14470447637871262</v>
      </c>
    </row>
    <row r="171" spans="1:12" ht="15" customHeight="1" x14ac:dyDescent="0.35">
      <c r="A171" s="10">
        <f t="shared" si="7"/>
        <v>167</v>
      </c>
      <c r="B171" s="3">
        <v>3428</v>
      </c>
      <c r="C171" s="5" t="s">
        <v>473</v>
      </c>
      <c r="D171" s="5" t="s">
        <v>308</v>
      </c>
      <c r="E171" s="5" t="s">
        <v>103</v>
      </c>
      <c r="F171" s="5" t="s">
        <v>103</v>
      </c>
      <c r="G171" s="7">
        <v>40664</v>
      </c>
      <c r="H171" s="18">
        <f t="shared" si="6"/>
        <v>14.926027397260274</v>
      </c>
      <c r="I171" s="5" t="s">
        <v>13</v>
      </c>
      <c r="J171" s="28">
        <v>37552.917499999996</v>
      </c>
      <c r="K171" s="28">
        <v>4000</v>
      </c>
      <c r="L171" s="31">
        <f t="shared" si="8"/>
        <v>0.10651635788351199</v>
      </c>
    </row>
    <row r="172" spans="1:12" ht="15" customHeight="1" x14ac:dyDescent="0.35">
      <c r="A172" s="10">
        <f t="shared" si="7"/>
        <v>168</v>
      </c>
      <c r="B172" s="3">
        <v>3451</v>
      </c>
      <c r="C172" s="5" t="s">
        <v>476</v>
      </c>
      <c r="D172" s="5" t="s">
        <v>129</v>
      </c>
      <c r="E172" s="5" t="s">
        <v>112</v>
      </c>
      <c r="F172" s="5" t="s">
        <v>112</v>
      </c>
      <c r="G172" s="7">
        <v>40695</v>
      </c>
      <c r="H172" s="18">
        <f t="shared" si="6"/>
        <v>14.841095890410958</v>
      </c>
      <c r="I172" s="5" t="s">
        <v>13</v>
      </c>
      <c r="J172" s="28">
        <v>42332.981500000002</v>
      </c>
      <c r="K172" s="28">
        <v>4000</v>
      </c>
      <c r="L172" s="31">
        <f t="shared" si="8"/>
        <v>9.4488974276475179E-2</v>
      </c>
    </row>
    <row r="173" spans="1:12" ht="15" customHeight="1" x14ac:dyDescent="0.35">
      <c r="A173" s="10">
        <f t="shared" si="7"/>
        <v>169</v>
      </c>
      <c r="B173" s="3">
        <v>3452</v>
      </c>
      <c r="C173" s="5" t="s">
        <v>477</v>
      </c>
      <c r="D173" s="5" t="s">
        <v>15</v>
      </c>
      <c r="E173" s="5" t="s">
        <v>181</v>
      </c>
      <c r="F173" s="5" t="s">
        <v>181</v>
      </c>
      <c r="G173" s="7">
        <v>40695</v>
      </c>
      <c r="H173" s="18">
        <f t="shared" si="6"/>
        <v>14.841095890410958</v>
      </c>
      <c r="I173" s="5" t="s">
        <v>13</v>
      </c>
      <c r="J173" s="28">
        <v>29547.60053</v>
      </c>
      <c r="K173" s="28">
        <v>4000</v>
      </c>
      <c r="L173" s="31">
        <f t="shared" si="8"/>
        <v>0.13537478266428965</v>
      </c>
    </row>
    <row r="174" spans="1:12" ht="15" customHeight="1" x14ac:dyDescent="0.35">
      <c r="A174" s="10">
        <f t="shared" si="7"/>
        <v>170</v>
      </c>
      <c r="B174" s="3">
        <v>3474</v>
      </c>
      <c r="C174" s="5" t="s">
        <v>478</v>
      </c>
      <c r="D174" s="5" t="s">
        <v>21</v>
      </c>
      <c r="E174" s="5" t="s">
        <v>24</v>
      </c>
      <c r="F174" s="5" t="s">
        <v>152</v>
      </c>
      <c r="G174" s="7">
        <v>40695</v>
      </c>
      <c r="H174" s="18">
        <f t="shared" si="6"/>
        <v>14.841095890410958</v>
      </c>
      <c r="I174" s="5" t="s">
        <v>13</v>
      </c>
      <c r="J174" s="28">
        <v>34157.539499999999</v>
      </c>
      <c r="K174" s="28">
        <v>4000</v>
      </c>
      <c r="L174" s="31">
        <f t="shared" si="8"/>
        <v>0.11710445361557732</v>
      </c>
    </row>
    <row r="175" spans="1:12" ht="15" customHeight="1" x14ac:dyDescent="0.35">
      <c r="A175" s="10">
        <f t="shared" si="7"/>
        <v>171</v>
      </c>
      <c r="B175" s="3">
        <v>3536</v>
      </c>
      <c r="C175" s="5" t="s">
        <v>484</v>
      </c>
      <c r="D175" s="5" t="s">
        <v>308</v>
      </c>
      <c r="E175" s="5" t="s">
        <v>103</v>
      </c>
      <c r="F175" s="5" t="s">
        <v>103</v>
      </c>
      <c r="G175" s="7">
        <v>40756</v>
      </c>
      <c r="H175" s="18">
        <f t="shared" si="6"/>
        <v>14.673972602739726</v>
      </c>
      <c r="I175" s="5" t="s">
        <v>13</v>
      </c>
      <c r="J175" s="28">
        <v>37552.917499999996</v>
      </c>
      <c r="K175" s="28">
        <v>4000</v>
      </c>
      <c r="L175" s="31">
        <f t="shared" si="8"/>
        <v>0.10651635788351199</v>
      </c>
    </row>
    <row r="176" spans="1:12" ht="15" customHeight="1" x14ac:dyDescent="0.35">
      <c r="A176" s="10">
        <f t="shared" si="7"/>
        <v>172</v>
      </c>
      <c r="B176" s="3">
        <v>356</v>
      </c>
      <c r="C176" s="5" t="s">
        <v>485</v>
      </c>
      <c r="D176" s="5" t="s">
        <v>486</v>
      </c>
      <c r="E176" s="5" t="s">
        <v>24</v>
      </c>
      <c r="F176" s="5" t="s">
        <v>152</v>
      </c>
      <c r="G176" s="7">
        <v>37697</v>
      </c>
      <c r="H176" s="18">
        <f t="shared" si="6"/>
        <v>23.054794520547944</v>
      </c>
      <c r="I176" s="5" t="s">
        <v>13</v>
      </c>
      <c r="J176" s="28">
        <v>44132.515500000001</v>
      </c>
      <c r="K176" s="28">
        <v>4000</v>
      </c>
      <c r="L176" s="31">
        <f t="shared" si="8"/>
        <v>9.0636120662553207E-2</v>
      </c>
    </row>
    <row r="177" spans="1:12" ht="15" customHeight="1" x14ac:dyDescent="0.35">
      <c r="A177" s="10">
        <f t="shared" si="7"/>
        <v>173</v>
      </c>
      <c r="B177" s="3">
        <v>3573</v>
      </c>
      <c r="C177" s="5" t="s">
        <v>487</v>
      </c>
      <c r="D177" s="5" t="s">
        <v>488</v>
      </c>
      <c r="E177" s="5" t="s">
        <v>64</v>
      </c>
      <c r="F177" s="5" t="s">
        <v>64</v>
      </c>
      <c r="G177" s="7">
        <v>40817</v>
      </c>
      <c r="H177" s="18">
        <f t="shared" si="6"/>
        <v>14.506849315068493</v>
      </c>
      <c r="I177" s="5" t="s">
        <v>13</v>
      </c>
      <c r="J177" s="28">
        <v>39762.413499999995</v>
      </c>
      <c r="K177" s="28">
        <v>4000</v>
      </c>
      <c r="L177" s="31">
        <f t="shared" si="8"/>
        <v>0.10059751528915618</v>
      </c>
    </row>
    <row r="178" spans="1:12" ht="15" customHeight="1" x14ac:dyDescent="0.35">
      <c r="A178" s="10">
        <f t="shared" si="7"/>
        <v>174</v>
      </c>
      <c r="B178" s="3">
        <v>3582</v>
      </c>
      <c r="C178" s="5" t="s">
        <v>489</v>
      </c>
      <c r="D178" s="5" t="s">
        <v>399</v>
      </c>
      <c r="E178" s="5" t="s">
        <v>194</v>
      </c>
      <c r="F178" s="5" t="s">
        <v>194</v>
      </c>
      <c r="G178" s="7">
        <v>40817</v>
      </c>
      <c r="H178" s="18">
        <f t="shared" si="6"/>
        <v>14.506849315068493</v>
      </c>
      <c r="I178" s="5" t="s">
        <v>13</v>
      </c>
      <c r="J178" s="28">
        <v>30515.273000000001</v>
      </c>
      <c r="K178" s="28">
        <v>4000</v>
      </c>
      <c r="L178" s="31">
        <f t="shared" si="8"/>
        <v>0.13108190118436758</v>
      </c>
    </row>
    <row r="179" spans="1:12" ht="15" customHeight="1" x14ac:dyDescent="0.35">
      <c r="A179" s="10">
        <f t="shared" si="7"/>
        <v>175</v>
      </c>
      <c r="B179" s="3">
        <v>3592</v>
      </c>
      <c r="C179" s="5" t="s">
        <v>490</v>
      </c>
      <c r="D179" s="5" t="s">
        <v>15</v>
      </c>
      <c r="E179" s="5" t="s">
        <v>181</v>
      </c>
      <c r="F179" s="5" t="s">
        <v>181</v>
      </c>
      <c r="G179" s="7">
        <v>40637</v>
      </c>
      <c r="H179" s="18">
        <f t="shared" si="6"/>
        <v>15</v>
      </c>
      <c r="I179" s="5" t="s">
        <v>13</v>
      </c>
      <c r="J179" s="28">
        <v>27642.544999999998</v>
      </c>
      <c r="K179" s="28">
        <v>4000</v>
      </c>
      <c r="L179" s="31">
        <f t="shared" si="8"/>
        <v>0.14470447637871262</v>
      </c>
    </row>
    <row r="180" spans="1:12" ht="15" customHeight="1" x14ac:dyDescent="0.35">
      <c r="A180" s="10">
        <f t="shared" si="7"/>
        <v>176</v>
      </c>
      <c r="B180" s="3">
        <v>3594</v>
      </c>
      <c r="C180" s="5" t="s">
        <v>491</v>
      </c>
      <c r="D180" s="5" t="s">
        <v>492</v>
      </c>
      <c r="E180" s="5" t="s">
        <v>493</v>
      </c>
      <c r="F180" s="5" t="s">
        <v>494</v>
      </c>
      <c r="G180" s="7">
        <v>40828</v>
      </c>
      <c r="H180" s="18">
        <f t="shared" si="6"/>
        <v>14.476712328767123</v>
      </c>
      <c r="I180" s="5" t="s">
        <v>13</v>
      </c>
      <c r="J180" s="28">
        <v>45144</v>
      </c>
      <c r="K180" s="28">
        <v>4000</v>
      </c>
      <c r="L180" s="31">
        <f t="shared" si="8"/>
        <v>8.8605351763246507E-2</v>
      </c>
    </row>
    <row r="181" spans="1:12" ht="15" customHeight="1" x14ac:dyDescent="0.35">
      <c r="A181" s="10">
        <f t="shared" si="7"/>
        <v>177</v>
      </c>
      <c r="B181" s="3">
        <v>3610</v>
      </c>
      <c r="C181" s="5" t="s">
        <v>495</v>
      </c>
      <c r="D181" s="5" t="s">
        <v>340</v>
      </c>
      <c r="E181" s="5" t="s">
        <v>68</v>
      </c>
      <c r="F181" s="5" t="s">
        <v>69</v>
      </c>
      <c r="G181" s="7">
        <v>40848</v>
      </c>
      <c r="H181" s="18">
        <f t="shared" si="6"/>
        <v>14.421917808219177</v>
      </c>
      <c r="I181" s="5" t="s">
        <v>13</v>
      </c>
      <c r="J181" s="28">
        <v>32594.522000000001</v>
      </c>
      <c r="K181" s="28">
        <v>4000</v>
      </c>
      <c r="L181" s="31">
        <f t="shared" si="8"/>
        <v>0.12272000798170932</v>
      </c>
    </row>
    <row r="182" spans="1:12" ht="15" customHeight="1" x14ac:dyDescent="0.35">
      <c r="A182" s="10">
        <f t="shared" si="7"/>
        <v>178</v>
      </c>
      <c r="B182" s="3">
        <v>3629</v>
      </c>
      <c r="C182" s="5" t="s">
        <v>499</v>
      </c>
      <c r="D182" s="5" t="s">
        <v>15</v>
      </c>
      <c r="E182" s="5" t="s">
        <v>16</v>
      </c>
      <c r="F182" s="5" t="s">
        <v>17</v>
      </c>
      <c r="G182" s="7">
        <v>40854</v>
      </c>
      <c r="H182" s="18">
        <f t="shared" si="6"/>
        <v>14.405479452054795</v>
      </c>
      <c r="I182" s="5" t="s">
        <v>13</v>
      </c>
      <c r="J182" s="28">
        <v>27642.544999999998</v>
      </c>
      <c r="K182" s="28">
        <v>4000</v>
      </c>
      <c r="L182" s="31">
        <f t="shared" si="8"/>
        <v>0.14470447637871262</v>
      </c>
    </row>
    <row r="183" spans="1:12" ht="15" customHeight="1" x14ac:dyDescent="0.35">
      <c r="A183" s="10">
        <f t="shared" si="7"/>
        <v>179</v>
      </c>
      <c r="B183" s="3">
        <v>3630</v>
      </c>
      <c r="C183" s="5" t="s">
        <v>500</v>
      </c>
      <c r="D183" s="5" t="s">
        <v>15</v>
      </c>
      <c r="E183" s="5" t="s">
        <v>16</v>
      </c>
      <c r="F183" s="5" t="s">
        <v>17</v>
      </c>
      <c r="G183" s="7">
        <v>40850</v>
      </c>
      <c r="H183" s="18">
        <f t="shared" si="6"/>
        <v>14.416438356164383</v>
      </c>
      <c r="I183" s="5" t="s">
        <v>13</v>
      </c>
      <c r="J183" s="28">
        <v>29547.60053</v>
      </c>
      <c r="K183" s="28">
        <v>4000</v>
      </c>
      <c r="L183" s="31">
        <f t="shared" si="8"/>
        <v>0.13537478266428965</v>
      </c>
    </row>
    <row r="184" spans="1:12" ht="15" customHeight="1" x14ac:dyDescent="0.35">
      <c r="A184" s="10">
        <f t="shared" si="7"/>
        <v>180</v>
      </c>
      <c r="B184" s="3">
        <v>3631</v>
      </c>
      <c r="C184" s="5" t="s">
        <v>501</v>
      </c>
      <c r="D184" s="5" t="s">
        <v>15</v>
      </c>
      <c r="E184" s="5" t="s">
        <v>16</v>
      </c>
      <c r="F184" s="5" t="s">
        <v>17</v>
      </c>
      <c r="G184" s="7">
        <v>40854</v>
      </c>
      <c r="H184" s="18">
        <f t="shared" si="6"/>
        <v>14.405479452054795</v>
      </c>
      <c r="I184" s="5" t="s">
        <v>13</v>
      </c>
      <c r="J184" s="28">
        <v>27642.544999999998</v>
      </c>
      <c r="K184" s="28">
        <v>4000</v>
      </c>
      <c r="L184" s="31">
        <f t="shared" si="8"/>
        <v>0.14470447637871262</v>
      </c>
    </row>
    <row r="185" spans="1:12" ht="15" customHeight="1" x14ac:dyDescent="0.35">
      <c r="A185" s="10">
        <f t="shared" si="7"/>
        <v>181</v>
      </c>
      <c r="B185" s="3">
        <v>3635</v>
      </c>
      <c r="C185" s="5" t="s">
        <v>502</v>
      </c>
      <c r="D185" s="5" t="s">
        <v>15</v>
      </c>
      <c r="E185" s="5" t="s">
        <v>61</v>
      </c>
      <c r="F185" s="5" t="s">
        <v>61</v>
      </c>
      <c r="G185" s="7">
        <v>40848</v>
      </c>
      <c r="H185" s="18">
        <f t="shared" si="6"/>
        <v>14.421917808219177</v>
      </c>
      <c r="I185" s="5" t="s">
        <v>13</v>
      </c>
      <c r="J185" s="28">
        <v>29246.63</v>
      </c>
      <c r="K185" s="28">
        <v>4000</v>
      </c>
      <c r="L185" s="31">
        <f t="shared" si="8"/>
        <v>0.13676789428388844</v>
      </c>
    </row>
    <row r="186" spans="1:12" ht="15" customHeight="1" x14ac:dyDescent="0.35">
      <c r="A186" s="10">
        <f t="shared" si="7"/>
        <v>182</v>
      </c>
      <c r="B186" s="3">
        <v>3637</v>
      </c>
      <c r="C186" s="5" t="s">
        <v>503</v>
      </c>
      <c r="D186" s="5" t="s">
        <v>488</v>
      </c>
      <c r="E186" s="5" t="s">
        <v>64</v>
      </c>
      <c r="F186" s="5" t="s">
        <v>64</v>
      </c>
      <c r="G186" s="7">
        <v>40848</v>
      </c>
      <c r="H186" s="18">
        <f t="shared" si="6"/>
        <v>14.421917808219177</v>
      </c>
      <c r="I186" s="5" t="s">
        <v>13</v>
      </c>
      <c r="J186" s="28">
        <v>42839.733500000002</v>
      </c>
      <c r="K186" s="28">
        <v>4000</v>
      </c>
      <c r="L186" s="31">
        <f t="shared" si="8"/>
        <v>9.3371262451947795E-2</v>
      </c>
    </row>
    <row r="187" spans="1:12" ht="15" customHeight="1" x14ac:dyDescent="0.35">
      <c r="A187" s="10">
        <f t="shared" si="7"/>
        <v>183</v>
      </c>
      <c r="B187" s="3">
        <v>3642</v>
      </c>
      <c r="C187" s="5" t="s">
        <v>504</v>
      </c>
      <c r="D187" s="5" t="s">
        <v>151</v>
      </c>
      <c r="E187" s="5" t="s">
        <v>505</v>
      </c>
      <c r="F187" s="5" t="s">
        <v>505</v>
      </c>
      <c r="G187" s="7">
        <v>40848</v>
      </c>
      <c r="H187" s="18">
        <f t="shared" si="6"/>
        <v>14.421917808219177</v>
      </c>
      <c r="I187" s="5" t="s">
        <v>13</v>
      </c>
      <c r="J187" s="28">
        <v>32908.801999999996</v>
      </c>
      <c r="K187" s="28">
        <v>4000</v>
      </c>
      <c r="L187" s="31">
        <f t="shared" si="8"/>
        <v>0.12154802839677969</v>
      </c>
    </row>
    <row r="188" spans="1:12" ht="15" customHeight="1" x14ac:dyDescent="0.35">
      <c r="A188" s="10">
        <f t="shared" si="7"/>
        <v>184</v>
      </c>
      <c r="B188" s="3">
        <v>3643</v>
      </c>
      <c r="C188" s="5" t="s">
        <v>506</v>
      </c>
      <c r="D188" s="5" t="s">
        <v>15</v>
      </c>
      <c r="E188" s="5" t="s">
        <v>16</v>
      </c>
      <c r="F188" s="5" t="s">
        <v>17</v>
      </c>
      <c r="G188" s="7">
        <v>40878</v>
      </c>
      <c r="H188" s="18">
        <f t="shared" si="6"/>
        <v>14.33972602739726</v>
      </c>
      <c r="I188" s="5" t="s">
        <v>13</v>
      </c>
      <c r="J188" s="28">
        <v>27909.892499999998</v>
      </c>
      <c r="K188" s="28">
        <v>4000</v>
      </c>
      <c r="L188" s="31">
        <f t="shared" si="8"/>
        <v>0.14331835925201075</v>
      </c>
    </row>
    <row r="189" spans="1:12" ht="15" customHeight="1" x14ac:dyDescent="0.35">
      <c r="A189" s="10">
        <f t="shared" si="7"/>
        <v>185</v>
      </c>
      <c r="B189" s="3">
        <v>3658</v>
      </c>
      <c r="C189" s="5" t="s">
        <v>507</v>
      </c>
      <c r="D189" s="5" t="s">
        <v>340</v>
      </c>
      <c r="E189" s="5" t="s">
        <v>68</v>
      </c>
      <c r="F189" s="5" t="s">
        <v>69</v>
      </c>
      <c r="G189" s="7">
        <v>40848</v>
      </c>
      <c r="H189" s="18">
        <f t="shared" si="6"/>
        <v>14.421917808219177</v>
      </c>
      <c r="I189" s="5" t="s">
        <v>13</v>
      </c>
      <c r="J189" s="28">
        <v>33250.024835000004</v>
      </c>
      <c r="K189" s="28">
        <v>4000</v>
      </c>
      <c r="L189" s="31">
        <f t="shared" si="8"/>
        <v>0.12030066202505438</v>
      </c>
    </row>
    <row r="190" spans="1:12" ht="15" customHeight="1" x14ac:dyDescent="0.35">
      <c r="A190" s="10">
        <f t="shared" si="7"/>
        <v>186</v>
      </c>
      <c r="B190" s="3">
        <v>3671</v>
      </c>
      <c r="C190" s="5" t="s">
        <v>508</v>
      </c>
      <c r="D190" s="5" t="s">
        <v>151</v>
      </c>
      <c r="E190" s="5" t="s">
        <v>68</v>
      </c>
      <c r="F190" s="5" t="s">
        <v>137</v>
      </c>
      <c r="G190" s="7">
        <v>40889</v>
      </c>
      <c r="H190" s="18">
        <f t="shared" si="6"/>
        <v>14.30958904109589</v>
      </c>
      <c r="I190" s="5" t="s">
        <v>13</v>
      </c>
      <c r="J190" s="28">
        <v>34465.090085000003</v>
      </c>
      <c r="K190" s="28">
        <v>4000</v>
      </c>
      <c r="L190" s="31">
        <f t="shared" si="8"/>
        <v>0.11605946742442701</v>
      </c>
    </row>
    <row r="191" spans="1:12" ht="15" customHeight="1" x14ac:dyDescent="0.35">
      <c r="A191" s="10">
        <f t="shared" si="7"/>
        <v>187</v>
      </c>
      <c r="B191" s="3">
        <v>3675</v>
      </c>
      <c r="C191" s="5" t="s">
        <v>509</v>
      </c>
      <c r="D191" s="5" t="s">
        <v>77</v>
      </c>
      <c r="E191" s="5" t="s">
        <v>61</v>
      </c>
      <c r="F191" s="5" t="s">
        <v>61</v>
      </c>
      <c r="G191" s="7">
        <v>40878</v>
      </c>
      <c r="H191" s="18">
        <f t="shared" si="6"/>
        <v>14.33972602739726</v>
      </c>
      <c r="I191" s="5" t="s">
        <v>13</v>
      </c>
      <c r="J191" s="28">
        <v>35244.1325</v>
      </c>
      <c r="K191" s="28">
        <v>4000</v>
      </c>
      <c r="L191" s="31">
        <f t="shared" si="8"/>
        <v>0.11349406883542956</v>
      </c>
    </row>
    <row r="192" spans="1:12" ht="15" customHeight="1" x14ac:dyDescent="0.35">
      <c r="A192" s="10">
        <f t="shared" si="7"/>
        <v>188</v>
      </c>
      <c r="B192" s="3">
        <v>3834</v>
      </c>
      <c r="C192" s="5" t="s">
        <v>518</v>
      </c>
      <c r="D192" s="5" t="s">
        <v>519</v>
      </c>
      <c r="E192" s="5" t="s">
        <v>24</v>
      </c>
      <c r="F192" s="5" t="s">
        <v>24</v>
      </c>
      <c r="G192" s="7">
        <v>40940</v>
      </c>
      <c r="H192" s="18">
        <f t="shared" si="6"/>
        <v>14.169863013698631</v>
      </c>
      <c r="I192" s="5" t="s">
        <v>13</v>
      </c>
      <c r="J192" s="28">
        <v>33467.702000000005</v>
      </c>
      <c r="K192" s="28">
        <v>4000</v>
      </c>
      <c r="L192" s="31">
        <f t="shared" si="8"/>
        <v>0.11951821490462654</v>
      </c>
    </row>
    <row r="193" spans="1:12" ht="15" customHeight="1" x14ac:dyDescent="0.35">
      <c r="A193" s="10">
        <f t="shared" si="7"/>
        <v>189</v>
      </c>
      <c r="B193" s="3">
        <v>3835</v>
      </c>
      <c r="C193" s="5" t="s">
        <v>520</v>
      </c>
      <c r="D193" s="5" t="s">
        <v>15</v>
      </c>
      <c r="E193" s="5" t="s">
        <v>16</v>
      </c>
      <c r="F193" s="5" t="s">
        <v>17</v>
      </c>
      <c r="G193" s="7">
        <v>40931</v>
      </c>
      <c r="H193" s="18">
        <f t="shared" si="6"/>
        <v>14.194520547945206</v>
      </c>
      <c r="I193" s="5" t="s">
        <v>13</v>
      </c>
      <c r="J193" s="28">
        <v>27642.544999999998</v>
      </c>
      <c r="K193" s="28">
        <v>4000</v>
      </c>
      <c r="L193" s="31">
        <f t="shared" si="8"/>
        <v>0.14470447637871262</v>
      </c>
    </row>
    <row r="194" spans="1:12" ht="15" customHeight="1" x14ac:dyDescent="0.35">
      <c r="A194" s="10">
        <f t="shared" si="7"/>
        <v>190</v>
      </c>
      <c r="B194" s="3">
        <v>3844</v>
      </c>
      <c r="C194" s="5" t="s">
        <v>521</v>
      </c>
      <c r="D194" s="5" t="s">
        <v>340</v>
      </c>
      <c r="E194" s="5" t="s">
        <v>68</v>
      </c>
      <c r="F194" s="5" t="s">
        <v>69</v>
      </c>
      <c r="G194" s="7">
        <v>40969</v>
      </c>
      <c r="H194" s="18">
        <f t="shared" si="6"/>
        <v>14.09041095890411</v>
      </c>
      <c r="I194" s="5" t="s">
        <v>13</v>
      </c>
      <c r="J194" s="28">
        <v>32594.522000000001</v>
      </c>
      <c r="K194" s="28">
        <v>4000</v>
      </c>
      <c r="L194" s="31">
        <f t="shared" si="8"/>
        <v>0.12272000798170932</v>
      </c>
    </row>
    <row r="195" spans="1:12" ht="15" customHeight="1" x14ac:dyDescent="0.35">
      <c r="A195" s="10">
        <f t="shared" si="7"/>
        <v>191</v>
      </c>
      <c r="B195" s="3">
        <v>3845</v>
      </c>
      <c r="C195" s="5" t="s">
        <v>522</v>
      </c>
      <c r="D195" s="5" t="s">
        <v>280</v>
      </c>
      <c r="E195" s="5" t="s">
        <v>68</v>
      </c>
      <c r="F195" s="5" t="s">
        <v>187</v>
      </c>
      <c r="G195" s="7">
        <v>40969</v>
      </c>
      <c r="H195" s="18">
        <f t="shared" si="6"/>
        <v>14.09041095890411</v>
      </c>
      <c r="I195" s="5" t="s">
        <v>13</v>
      </c>
      <c r="J195" s="28">
        <v>35854.0245</v>
      </c>
      <c r="K195" s="28">
        <v>4000</v>
      </c>
      <c r="L195" s="31">
        <f t="shared" si="8"/>
        <v>0.11156348710588961</v>
      </c>
    </row>
    <row r="196" spans="1:12" ht="15" customHeight="1" x14ac:dyDescent="0.35">
      <c r="A196" s="10">
        <f t="shared" si="7"/>
        <v>192</v>
      </c>
      <c r="B196" s="3">
        <v>3852</v>
      </c>
      <c r="C196" s="5" t="s">
        <v>523</v>
      </c>
      <c r="D196" s="5" t="s">
        <v>340</v>
      </c>
      <c r="E196" s="5" t="s">
        <v>68</v>
      </c>
      <c r="F196" s="5" t="s">
        <v>69</v>
      </c>
      <c r="G196" s="7">
        <v>40961</v>
      </c>
      <c r="H196" s="18">
        <f t="shared" si="6"/>
        <v>14.112328767123287</v>
      </c>
      <c r="I196" s="5" t="s">
        <v>13</v>
      </c>
      <c r="J196" s="28">
        <v>33292.444499999998</v>
      </c>
      <c r="K196" s="28">
        <v>4000</v>
      </c>
      <c r="L196" s="31">
        <f t="shared" si="8"/>
        <v>0.12014738058660727</v>
      </c>
    </row>
    <row r="197" spans="1:12" ht="15" customHeight="1" x14ac:dyDescent="0.35">
      <c r="A197" s="10">
        <f t="shared" si="7"/>
        <v>193</v>
      </c>
      <c r="B197" s="3">
        <v>3855</v>
      </c>
      <c r="C197" s="5" t="s">
        <v>524</v>
      </c>
      <c r="D197" s="5" t="s">
        <v>340</v>
      </c>
      <c r="E197" s="5" t="s">
        <v>68</v>
      </c>
      <c r="F197" s="5" t="s">
        <v>69</v>
      </c>
      <c r="G197" s="7">
        <v>40961</v>
      </c>
      <c r="H197" s="18">
        <f t="shared" ref="H197:H260" si="9">($H$3-G197)/365</f>
        <v>14.112328767123287</v>
      </c>
      <c r="I197" s="5" t="s">
        <v>13</v>
      </c>
      <c r="J197" s="28">
        <v>33292.444499999998</v>
      </c>
      <c r="K197" s="28">
        <v>4000</v>
      </c>
      <c r="L197" s="31">
        <f t="shared" si="8"/>
        <v>0.12014738058660727</v>
      </c>
    </row>
    <row r="198" spans="1:12" ht="15" customHeight="1" x14ac:dyDescent="0.35">
      <c r="A198" s="10">
        <f t="shared" ref="A198:A261" si="10">+A197+1</f>
        <v>194</v>
      </c>
      <c r="B198" s="3">
        <v>3857</v>
      </c>
      <c r="C198" s="5" t="s">
        <v>525</v>
      </c>
      <c r="D198" s="5" t="s">
        <v>136</v>
      </c>
      <c r="E198" s="5" t="s">
        <v>68</v>
      </c>
      <c r="F198" s="5" t="s">
        <v>254</v>
      </c>
      <c r="G198" s="7">
        <v>41016</v>
      </c>
      <c r="H198" s="18">
        <f t="shared" si="9"/>
        <v>13.961643835616439</v>
      </c>
      <c r="I198" s="5" t="s">
        <v>13</v>
      </c>
      <c r="J198" s="28">
        <v>34472.119500000001</v>
      </c>
      <c r="K198" s="28">
        <v>4000</v>
      </c>
      <c r="L198" s="31">
        <f t="shared" ref="L198:L261" si="11">+K198/J198</f>
        <v>0.11603580104785839</v>
      </c>
    </row>
    <row r="199" spans="1:12" ht="15" customHeight="1" x14ac:dyDescent="0.35">
      <c r="A199" s="10">
        <f t="shared" si="10"/>
        <v>195</v>
      </c>
      <c r="B199" s="3">
        <v>3863</v>
      </c>
      <c r="C199" s="5" t="s">
        <v>526</v>
      </c>
      <c r="D199" s="5" t="s">
        <v>60</v>
      </c>
      <c r="E199" s="5" t="s">
        <v>61</v>
      </c>
      <c r="F199" s="5" t="s">
        <v>61</v>
      </c>
      <c r="G199" s="7">
        <v>41016</v>
      </c>
      <c r="H199" s="18">
        <f t="shared" si="9"/>
        <v>13.961643835616439</v>
      </c>
      <c r="I199" s="5" t="s">
        <v>13</v>
      </c>
      <c r="J199" s="28">
        <v>37977.554499999998</v>
      </c>
      <c r="K199" s="28">
        <v>4000</v>
      </c>
      <c r="L199" s="31">
        <f t="shared" si="11"/>
        <v>0.10532537054222384</v>
      </c>
    </row>
    <row r="200" spans="1:12" ht="15" customHeight="1" x14ac:dyDescent="0.35">
      <c r="A200" s="10">
        <f t="shared" si="10"/>
        <v>196</v>
      </c>
      <c r="B200" s="3">
        <v>3864</v>
      </c>
      <c r="C200" s="5" t="s">
        <v>527</v>
      </c>
      <c r="D200" s="5" t="s">
        <v>80</v>
      </c>
      <c r="E200" s="5" t="s">
        <v>181</v>
      </c>
      <c r="F200" s="5" t="s">
        <v>181</v>
      </c>
      <c r="G200" s="7">
        <v>41021</v>
      </c>
      <c r="H200" s="18">
        <f t="shared" si="9"/>
        <v>13.947945205479453</v>
      </c>
      <c r="I200" s="5" t="s">
        <v>13</v>
      </c>
      <c r="J200" s="28">
        <v>39257.373500000002</v>
      </c>
      <c r="K200" s="28">
        <v>4000</v>
      </c>
      <c r="L200" s="31">
        <f t="shared" si="11"/>
        <v>0.10189168666620042</v>
      </c>
    </row>
    <row r="201" spans="1:12" ht="15" customHeight="1" x14ac:dyDescent="0.35">
      <c r="A201" s="10">
        <f t="shared" si="10"/>
        <v>197</v>
      </c>
      <c r="B201" s="3">
        <v>3920</v>
      </c>
      <c r="C201" s="5" t="s">
        <v>531</v>
      </c>
      <c r="D201" s="5" t="s">
        <v>77</v>
      </c>
      <c r="E201" s="5" t="s">
        <v>61</v>
      </c>
      <c r="F201" s="5" t="s">
        <v>61</v>
      </c>
      <c r="G201" s="7">
        <v>41037</v>
      </c>
      <c r="H201" s="18">
        <f t="shared" si="9"/>
        <v>13.904109589041095</v>
      </c>
      <c r="I201" s="5" t="s">
        <v>13</v>
      </c>
      <c r="J201" s="28">
        <v>34779.110499999995</v>
      </c>
      <c r="K201" s="28">
        <v>4000</v>
      </c>
      <c r="L201" s="31">
        <f t="shared" si="11"/>
        <v>0.11501156707271167</v>
      </c>
    </row>
    <row r="202" spans="1:12" ht="15" customHeight="1" x14ac:dyDescent="0.35">
      <c r="A202" s="10">
        <f t="shared" si="10"/>
        <v>198</v>
      </c>
      <c r="B202" s="3">
        <v>3926</v>
      </c>
      <c r="C202" s="5" t="s">
        <v>532</v>
      </c>
      <c r="D202" s="5" t="s">
        <v>15</v>
      </c>
      <c r="E202" s="5" t="s">
        <v>16</v>
      </c>
      <c r="F202" s="5" t="s">
        <v>17</v>
      </c>
      <c r="G202" s="7">
        <v>41051</v>
      </c>
      <c r="H202" s="18">
        <f t="shared" si="9"/>
        <v>13.865753424657534</v>
      </c>
      <c r="I202" s="5" t="s">
        <v>13</v>
      </c>
      <c r="J202" s="28">
        <v>27642.544999999998</v>
      </c>
      <c r="K202" s="28">
        <v>4000</v>
      </c>
      <c r="L202" s="31">
        <f t="shared" si="11"/>
        <v>0.14470447637871262</v>
      </c>
    </row>
    <row r="203" spans="1:12" ht="15" customHeight="1" x14ac:dyDescent="0.35">
      <c r="A203" s="10">
        <f t="shared" si="10"/>
        <v>199</v>
      </c>
      <c r="B203" s="3">
        <v>3930</v>
      </c>
      <c r="C203" s="5" t="s">
        <v>533</v>
      </c>
      <c r="D203" s="5" t="s">
        <v>15</v>
      </c>
      <c r="E203" s="5" t="s">
        <v>16</v>
      </c>
      <c r="F203" s="5" t="s">
        <v>17</v>
      </c>
      <c r="G203" s="7">
        <v>41061</v>
      </c>
      <c r="H203" s="18">
        <f t="shared" si="9"/>
        <v>13.838356164383562</v>
      </c>
      <c r="I203" s="5" t="s">
        <v>13</v>
      </c>
      <c r="J203" s="28">
        <v>25602.544999999998</v>
      </c>
      <c r="K203" s="28">
        <v>4000</v>
      </c>
      <c r="L203" s="31">
        <f t="shared" si="11"/>
        <v>0.15623446809682398</v>
      </c>
    </row>
    <row r="204" spans="1:12" ht="15" customHeight="1" x14ac:dyDescent="0.35">
      <c r="A204" s="10">
        <f t="shared" si="10"/>
        <v>200</v>
      </c>
      <c r="B204" s="3">
        <v>3937</v>
      </c>
      <c r="C204" s="5" t="s">
        <v>534</v>
      </c>
      <c r="D204" s="5" t="s">
        <v>535</v>
      </c>
      <c r="E204" s="5" t="s">
        <v>376</v>
      </c>
      <c r="F204" s="5" t="s">
        <v>466</v>
      </c>
      <c r="G204" s="7">
        <v>41091</v>
      </c>
      <c r="H204" s="18">
        <f t="shared" si="9"/>
        <v>13.756164383561643</v>
      </c>
      <c r="I204" s="5" t="s">
        <v>13</v>
      </c>
      <c r="J204" s="28">
        <v>31773.0445</v>
      </c>
      <c r="K204" s="28">
        <v>4000</v>
      </c>
      <c r="L204" s="31">
        <f t="shared" si="11"/>
        <v>0.12589287753019701</v>
      </c>
    </row>
    <row r="205" spans="1:12" ht="15" customHeight="1" x14ac:dyDescent="0.35">
      <c r="A205" s="10">
        <f t="shared" si="10"/>
        <v>201</v>
      </c>
      <c r="B205" s="3">
        <v>3946</v>
      </c>
      <c r="C205" s="5" t="s">
        <v>536</v>
      </c>
      <c r="D205" s="5" t="s">
        <v>537</v>
      </c>
      <c r="E205" s="5" t="s">
        <v>538</v>
      </c>
      <c r="F205" s="5" t="s">
        <v>538</v>
      </c>
      <c r="G205" s="7">
        <v>41106</v>
      </c>
      <c r="H205" s="18">
        <f t="shared" si="9"/>
        <v>13.715068493150685</v>
      </c>
      <c r="I205" s="5" t="s">
        <v>13</v>
      </c>
      <c r="J205" s="28">
        <v>36121.104500000001</v>
      </c>
      <c r="K205" s="28">
        <v>4000</v>
      </c>
      <c r="L205" s="31">
        <f t="shared" si="11"/>
        <v>0.11073858497322528</v>
      </c>
    </row>
    <row r="206" spans="1:12" ht="15" customHeight="1" x14ac:dyDescent="0.35">
      <c r="A206" s="10">
        <f t="shared" si="10"/>
        <v>202</v>
      </c>
      <c r="B206" s="3">
        <v>3964</v>
      </c>
      <c r="C206" s="5" t="s">
        <v>539</v>
      </c>
      <c r="D206" s="5" t="s">
        <v>15</v>
      </c>
      <c r="E206" s="5" t="s">
        <v>16</v>
      </c>
      <c r="F206" s="5" t="s">
        <v>17</v>
      </c>
      <c r="G206" s="7">
        <v>41122</v>
      </c>
      <c r="H206" s="18">
        <f t="shared" si="9"/>
        <v>13.671232876712329</v>
      </c>
      <c r="I206" s="5" t="s">
        <v>13</v>
      </c>
      <c r="J206" s="28">
        <v>25602.544999999998</v>
      </c>
      <c r="K206" s="28">
        <v>4000</v>
      </c>
      <c r="L206" s="31">
        <f t="shared" si="11"/>
        <v>0.15623446809682398</v>
      </c>
    </row>
    <row r="207" spans="1:12" ht="15" customHeight="1" x14ac:dyDescent="0.35">
      <c r="A207" s="10">
        <f t="shared" si="10"/>
        <v>203</v>
      </c>
      <c r="B207" s="3">
        <v>3971</v>
      </c>
      <c r="C207" s="5" t="s">
        <v>540</v>
      </c>
      <c r="D207" s="5" t="s">
        <v>21</v>
      </c>
      <c r="E207" s="5" t="s">
        <v>28</v>
      </c>
      <c r="F207" s="5" t="s">
        <v>29</v>
      </c>
      <c r="G207" s="7">
        <v>41039</v>
      </c>
      <c r="H207" s="18">
        <f t="shared" si="9"/>
        <v>13.898630136986302</v>
      </c>
      <c r="I207" s="5" t="s">
        <v>13</v>
      </c>
      <c r="J207" s="28">
        <v>33161.270499999999</v>
      </c>
      <c r="K207" s="28">
        <v>4000</v>
      </c>
      <c r="L207" s="31">
        <f t="shared" si="11"/>
        <v>0.12062264019709378</v>
      </c>
    </row>
    <row r="208" spans="1:12" ht="15" customHeight="1" x14ac:dyDescent="0.35">
      <c r="A208" s="10">
        <f t="shared" si="10"/>
        <v>204</v>
      </c>
      <c r="B208" s="3">
        <v>3972</v>
      </c>
      <c r="C208" s="5" t="s">
        <v>541</v>
      </c>
      <c r="D208" s="5" t="s">
        <v>186</v>
      </c>
      <c r="E208" s="5" t="s">
        <v>68</v>
      </c>
      <c r="F208" s="5" t="s">
        <v>187</v>
      </c>
      <c r="G208" s="7">
        <v>41039</v>
      </c>
      <c r="H208" s="18">
        <f t="shared" si="9"/>
        <v>13.898630136986302</v>
      </c>
      <c r="I208" s="5" t="s">
        <v>13</v>
      </c>
      <c r="J208" s="28">
        <v>34703.762000000002</v>
      </c>
      <c r="K208" s="28">
        <v>4000</v>
      </c>
      <c r="L208" s="31">
        <f t="shared" si="11"/>
        <v>0.11526127916621834</v>
      </c>
    </row>
    <row r="209" spans="1:12" ht="15" customHeight="1" x14ac:dyDescent="0.35">
      <c r="A209" s="10">
        <f t="shared" si="10"/>
        <v>205</v>
      </c>
      <c r="B209" s="3">
        <v>3973</v>
      </c>
      <c r="C209" s="5" t="s">
        <v>542</v>
      </c>
      <c r="D209" s="5" t="s">
        <v>186</v>
      </c>
      <c r="E209" s="5" t="s">
        <v>68</v>
      </c>
      <c r="F209" s="5" t="s">
        <v>187</v>
      </c>
      <c r="G209" s="7">
        <v>41037</v>
      </c>
      <c r="H209" s="18">
        <f t="shared" si="9"/>
        <v>13.904109589041095</v>
      </c>
      <c r="I209" s="5" t="s">
        <v>13</v>
      </c>
      <c r="J209" s="28">
        <v>34703.762000000002</v>
      </c>
      <c r="K209" s="28">
        <v>4000</v>
      </c>
      <c r="L209" s="31">
        <f t="shared" si="11"/>
        <v>0.11526127916621834</v>
      </c>
    </row>
    <row r="210" spans="1:12" ht="15" customHeight="1" x14ac:dyDescent="0.35">
      <c r="A210" s="10">
        <f t="shared" si="10"/>
        <v>206</v>
      </c>
      <c r="B210" s="3">
        <v>3982</v>
      </c>
      <c r="C210" s="5" t="s">
        <v>543</v>
      </c>
      <c r="D210" s="5" t="s">
        <v>268</v>
      </c>
      <c r="E210" s="5" t="s">
        <v>24</v>
      </c>
      <c r="F210" s="5" t="s">
        <v>152</v>
      </c>
      <c r="G210" s="7">
        <v>41043</v>
      </c>
      <c r="H210" s="18">
        <f t="shared" si="9"/>
        <v>13.887671232876713</v>
      </c>
      <c r="I210" s="5" t="s">
        <v>13</v>
      </c>
      <c r="J210" s="28">
        <v>34910.284500000002</v>
      </c>
      <c r="K210" s="28">
        <v>4000</v>
      </c>
      <c r="L210" s="31">
        <f t="shared" si="11"/>
        <v>0.11457941570198317</v>
      </c>
    </row>
    <row r="211" spans="1:12" ht="15" customHeight="1" x14ac:dyDescent="0.35">
      <c r="A211" s="10">
        <f t="shared" si="10"/>
        <v>207</v>
      </c>
      <c r="B211" s="3">
        <v>3983</v>
      </c>
      <c r="C211" s="5" t="s">
        <v>544</v>
      </c>
      <c r="D211" s="5" t="s">
        <v>545</v>
      </c>
      <c r="E211" s="5" t="s">
        <v>263</v>
      </c>
      <c r="F211" s="5" t="s">
        <v>546</v>
      </c>
      <c r="G211" s="7">
        <v>41137</v>
      </c>
      <c r="H211" s="18">
        <f t="shared" si="9"/>
        <v>13.63013698630137</v>
      </c>
      <c r="I211" s="5" t="s">
        <v>21</v>
      </c>
      <c r="J211" s="28">
        <v>38906.400000000001</v>
      </c>
      <c r="K211" s="28">
        <v>4000</v>
      </c>
      <c r="L211" s="31">
        <f t="shared" si="11"/>
        <v>0.10281084860074435</v>
      </c>
    </row>
    <row r="212" spans="1:12" ht="15" customHeight="1" x14ac:dyDescent="0.35">
      <c r="A212" s="10">
        <f t="shared" si="10"/>
        <v>208</v>
      </c>
      <c r="B212" s="3">
        <v>4004</v>
      </c>
      <c r="C212" s="5" t="s">
        <v>548</v>
      </c>
      <c r="D212" s="5" t="s">
        <v>549</v>
      </c>
      <c r="E212" s="5" t="s">
        <v>68</v>
      </c>
      <c r="F212" s="5" t="s">
        <v>187</v>
      </c>
      <c r="G212" s="7">
        <v>41057</v>
      </c>
      <c r="H212" s="18">
        <f t="shared" si="9"/>
        <v>13.849315068493151</v>
      </c>
      <c r="I212" s="5" t="s">
        <v>13</v>
      </c>
      <c r="J212" s="28">
        <v>35382.154500000004</v>
      </c>
      <c r="K212" s="28">
        <v>4000</v>
      </c>
      <c r="L212" s="31">
        <f t="shared" si="11"/>
        <v>0.11305134061296351</v>
      </c>
    </row>
    <row r="213" spans="1:12" ht="15" customHeight="1" x14ac:dyDescent="0.35">
      <c r="A213" s="10">
        <f t="shared" si="10"/>
        <v>209</v>
      </c>
      <c r="B213" s="3">
        <v>4005</v>
      </c>
      <c r="C213" s="5" t="s">
        <v>550</v>
      </c>
      <c r="D213" s="5" t="s">
        <v>21</v>
      </c>
      <c r="E213" s="5" t="s">
        <v>68</v>
      </c>
      <c r="F213" s="5" t="s">
        <v>69</v>
      </c>
      <c r="G213" s="7">
        <v>41173</v>
      </c>
      <c r="H213" s="18">
        <f t="shared" si="9"/>
        <v>13.531506849315068</v>
      </c>
      <c r="I213" s="5" t="s">
        <v>13</v>
      </c>
      <c r="J213" s="28">
        <v>31060.921999999999</v>
      </c>
      <c r="K213" s="28">
        <v>4000</v>
      </c>
      <c r="L213" s="31">
        <f t="shared" si="11"/>
        <v>0.12877917790077192</v>
      </c>
    </row>
    <row r="214" spans="1:12" ht="15" customHeight="1" x14ac:dyDescent="0.35">
      <c r="A214" s="10">
        <f t="shared" si="10"/>
        <v>210</v>
      </c>
      <c r="B214" s="3">
        <v>4041</v>
      </c>
      <c r="C214" s="5" t="s">
        <v>552</v>
      </c>
      <c r="D214" s="5" t="s">
        <v>21</v>
      </c>
      <c r="E214" s="5" t="s">
        <v>68</v>
      </c>
      <c r="F214" s="5" t="s">
        <v>69</v>
      </c>
      <c r="G214" s="7">
        <v>41183</v>
      </c>
      <c r="H214" s="18">
        <f t="shared" si="9"/>
        <v>13.504109589041096</v>
      </c>
      <c r="I214" s="5" t="s">
        <v>13</v>
      </c>
      <c r="J214" s="28">
        <v>31773.0445</v>
      </c>
      <c r="K214" s="28">
        <v>4000</v>
      </c>
      <c r="L214" s="31">
        <f t="shared" si="11"/>
        <v>0.12589287753019701</v>
      </c>
    </row>
    <row r="215" spans="1:12" ht="15" customHeight="1" x14ac:dyDescent="0.35">
      <c r="A215" s="10">
        <f t="shared" si="10"/>
        <v>211</v>
      </c>
      <c r="B215" s="3">
        <v>4044</v>
      </c>
      <c r="C215" s="5" t="s">
        <v>553</v>
      </c>
      <c r="D215" s="5" t="s">
        <v>151</v>
      </c>
      <c r="E215" s="5" t="s">
        <v>68</v>
      </c>
      <c r="F215" s="5" t="s">
        <v>69</v>
      </c>
      <c r="G215" s="7">
        <v>41183</v>
      </c>
      <c r="H215" s="18">
        <f t="shared" si="9"/>
        <v>13.504109589041096</v>
      </c>
      <c r="I215" s="5" t="s">
        <v>13</v>
      </c>
      <c r="J215" s="28">
        <v>33623.762000000002</v>
      </c>
      <c r="K215" s="28">
        <v>4000</v>
      </c>
      <c r="L215" s="31">
        <f t="shared" si="11"/>
        <v>0.11896348778581052</v>
      </c>
    </row>
    <row r="216" spans="1:12" ht="15" customHeight="1" x14ac:dyDescent="0.35">
      <c r="A216" s="10">
        <f t="shared" si="10"/>
        <v>212</v>
      </c>
      <c r="B216" s="3">
        <v>4047</v>
      </c>
      <c r="C216" s="5" t="s">
        <v>554</v>
      </c>
      <c r="D216" s="5" t="s">
        <v>21</v>
      </c>
      <c r="E216" s="5" t="s">
        <v>68</v>
      </c>
      <c r="F216" s="5" t="s">
        <v>69</v>
      </c>
      <c r="G216" s="7">
        <v>41183</v>
      </c>
      <c r="H216" s="18">
        <f t="shared" si="9"/>
        <v>13.504109589041096</v>
      </c>
      <c r="I216" s="5" t="s">
        <v>13</v>
      </c>
      <c r="J216" s="28">
        <v>31060.921999999999</v>
      </c>
      <c r="K216" s="28">
        <v>4000</v>
      </c>
      <c r="L216" s="31">
        <f t="shared" si="11"/>
        <v>0.12877917790077192</v>
      </c>
    </row>
    <row r="217" spans="1:12" ht="15" customHeight="1" x14ac:dyDescent="0.35">
      <c r="A217" s="10">
        <f t="shared" si="10"/>
        <v>213</v>
      </c>
      <c r="B217" s="3">
        <v>4050</v>
      </c>
      <c r="C217" s="5" t="s">
        <v>555</v>
      </c>
      <c r="D217" s="5" t="s">
        <v>455</v>
      </c>
      <c r="E217" s="5" t="s">
        <v>112</v>
      </c>
      <c r="F217" s="5" t="s">
        <v>112</v>
      </c>
      <c r="G217" s="7">
        <v>41183</v>
      </c>
      <c r="H217" s="18">
        <f t="shared" si="9"/>
        <v>13.504109589041096</v>
      </c>
      <c r="I217" s="5" t="s">
        <v>13</v>
      </c>
      <c r="J217" s="28">
        <v>31492.1695</v>
      </c>
      <c r="K217" s="28">
        <v>4000</v>
      </c>
      <c r="L217" s="31">
        <f t="shared" si="11"/>
        <v>0.12701570147461577</v>
      </c>
    </row>
    <row r="218" spans="1:12" ht="15" customHeight="1" x14ac:dyDescent="0.35">
      <c r="A218" s="10">
        <f t="shared" si="10"/>
        <v>214</v>
      </c>
      <c r="B218" s="3">
        <v>4051</v>
      </c>
      <c r="C218" s="5" t="s">
        <v>556</v>
      </c>
      <c r="D218" s="5" t="s">
        <v>557</v>
      </c>
      <c r="E218" s="5" t="s">
        <v>16</v>
      </c>
      <c r="F218" s="5" t="s">
        <v>17</v>
      </c>
      <c r="G218" s="7">
        <v>41183</v>
      </c>
      <c r="H218" s="18">
        <f t="shared" si="9"/>
        <v>13.504109589041096</v>
      </c>
      <c r="I218" s="5" t="s">
        <v>13</v>
      </c>
      <c r="J218" s="28">
        <v>25602.544999999998</v>
      </c>
      <c r="K218" s="28">
        <v>4000</v>
      </c>
      <c r="L218" s="31">
        <f t="shared" si="11"/>
        <v>0.15623446809682398</v>
      </c>
    </row>
    <row r="219" spans="1:12" ht="15" customHeight="1" x14ac:dyDescent="0.35">
      <c r="A219" s="10">
        <f t="shared" si="10"/>
        <v>215</v>
      </c>
      <c r="B219" s="3">
        <v>4058</v>
      </c>
      <c r="C219" s="5" t="s">
        <v>558</v>
      </c>
      <c r="D219" s="5" t="s">
        <v>340</v>
      </c>
      <c r="E219" s="5" t="s">
        <v>68</v>
      </c>
      <c r="F219" s="5" t="s">
        <v>69</v>
      </c>
      <c r="G219" s="7">
        <v>41183</v>
      </c>
      <c r="H219" s="18">
        <f t="shared" si="9"/>
        <v>13.504109589041096</v>
      </c>
      <c r="I219" s="5" t="s">
        <v>13</v>
      </c>
      <c r="J219" s="28">
        <v>31773.0445</v>
      </c>
      <c r="K219" s="28">
        <v>4000</v>
      </c>
      <c r="L219" s="31">
        <f t="shared" si="11"/>
        <v>0.12589287753019701</v>
      </c>
    </row>
    <row r="220" spans="1:12" ht="15" customHeight="1" x14ac:dyDescent="0.35">
      <c r="A220" s="10">
        <f t="shared" si="10"/>
        <v>216</v>
      </c>
      <c r="B220" s="3">
        <v>4061</v>
      </c>
      <c r="C220" s="5" t="s">
        <v>559</v>
      </c>
      <c r="D220" s="5" t="s">
        <v>560</v>
      </c>
      <c r="E220" s="5" t="s">
        <v>561</v>
      </c>
      <c r="F220" s="5" t="s">
        <v>561</v>
      </c>
      <c r="G220" s="7">
        <v>41183</v>
      </c>
      <c r="H220" s="18">
        <f t="shared" si="9"/>
        <v>13.504109589041096</v>
      </c>
      <c r="I220" s="5" t="s">
        <v>13</v>
      </c>
      <c r="J220" s="28">
        <v>33975.235000000001</v>
      </c>
      <c r="K220" s="28">
        <v>4000</v>
      </c>
      <c r="L220" s="31">
        <f t="shared" si="11"/>
        <v>0.117732813327119</v>
      </c>
    </row>
    <row r="221" spans="1:12" ht="15" customHeight="1" x14ac:dyDescent="0.35">
      <c r="A221" s="10">
        <f t="shared" si="10"/>
        <v>217</v>
      </c>
      <c r="B221" s="3">
        <v>4160</v>
      </c>
      <c r="C221" s="5" t="s">
        <v>565</v>
      </c>
      <c r="D221" s="5" t="s">
        <v>235</v>
      </c>
      <c r="E221" s="5" t="s">
        <v>117</v>
      </c>
      <c r="F221" s="5" t="s">
        <v>176</v>
      </c>
      <c r="G221" s="7">
        <v>41300</v>
      </c>
      <c r="H221" s="18">
        <f t="shared" si="9"/>
        <v>13.183561643835617</v>
      </c>
      <c r="I221" s="5" t="s">
        <v>13</v>
      </c>
      <c r="J221" s="28">
        <v>38599.322</v>
      </c>
      <c r="K221" s="28">
        <v>4000</v>
      </c>
      <c r="L221" s="31">
        <f t="shared" si="11"/>
        <v>0.10362876322024517</v>
      </c>
    </row>
    <row r="222" spans="1:12" ht="15" customHeight="1" x14ac:dyDescent="0.35">
      <c r="A222" s="10">
        <f t="shared" si="10"/>
        <v>218</v>
      </c>
      <c r="B222" s="3">
        <v>4201</v>
      </c>
      <c r="C222" s="5" t="s">
        <v>570</v>
      </c>
      <c r="D222" s="5" t="s">
        <v>571</v>
      </c>
      <c r="E222" s="5" t="s">
        <v>117</v>
      </c>
      <c r="F222" s="5" t="s">
        <v>176</v>
      </c>
      <c r="G222" s="7">
        <v>41334</v>
      </c>
      <c r="H222" s="18">
        <f t="shared" si="9"/>
        <v>13.09041095890411</v>
      </c>
      <c r="I222" s="5" t="s">
        <v>13</v>
      </c>
      <c r="J222" s="28">
        <v>29161.107499999998</v>
      </c>
      <c r="K222" s="28">
        <v>4000</v>
      </c>
      <c r="L222" s="31">
        <f t="shared" si="11"/>
        <v>0.13716900155455344</v>
      </c>
    </row>
    <row r="223" spans="1:12" ht="15" customHeight="1" x14ac:dyDescent="0.35">
      <c r="A223" s="10">
        <f t="shared" si="10"/>
        <v>219</v>
      </c>
      <c r="B223" s="3">
        <v>4277</v>
      </c>
      <c r="C223" s="5" t="s">
        <v>575</v>
      </c>
      <c r="D223" s="5" t="s">
        <v>576</v>
      </c>
      <c r="E223" s="5" t="s">
        <v>24</v>
      </c>
      <c r="F223" s="5" t="s">
        <v>24</v>
      </c>
      <c r="G223" s="7">
        <v>41386</v>
      </c>
      <c r="H223" s="18">
        <f t="shared" si="9"/>
        <v>12.947945205479453</v>
      </c>
      <c r="I223" s="5" t="s">
        <v>21</v>
      </c>
      <c r="J223" s="28">
        <v>37835.490654000008</v>
      </c>
      <c r="K223" s="28">
        <v>4000</v>
      </c>
      <c r="L223" s="31">
        <f t="shared" si="11"/>
        <v>0.10572084386533827</v>
      </c>
    </row>
    <row r="224" spans="1:12" ht="15" customHeight="1" x14ac:dyDescent="0.35">
      <c r="A224" s="10">
        <f t="shared" si="10"/>
        <v>220</v>
      </c>
      <c r="B224" s="3">
        <v>4361</v>
      </c>
      <c r="C224" s="5" t="s">
        <v>585</v>
      </c>
      <c r="D224" s="5" t="s">
        <v>586</v>
      </c>
      <c r="E224" s="5" t="s">
        <v>112</v>
      </c>
      <c r="F224" s="5" t="s">
        <v>112</v>
      </c>
      <c r="G224" s="7">
        <v>41439</v>
      </c>
      <c r="H224" s="18">
        <f t="shared" si="9"/>
        <v>12.802739726027397</v>
      </c>
      <c r="I224" s="5" t="s">
        <v>13</v>
      </c>
      <c r="J224" s="28">
        <v>37620.915500000003</v>
      </c>
      <c r="K224" s="28">
        <v>4000</v>
      </c>
      <c r="L224" s="31">
        <f t="shared" si="11"/>
        <v>0.10632383467648467</v>
      </c>
    </row>
    <row r="225" spans="1:12" ht="15" customHeight="1" x14ac:dyDescent="0.35">
      <c r="A225" s="10">
        <f t="shared" si="10"/>
        <v>221</v>
      </c>
      <c r="B225" s="3">
        <v>4404</v>
      </c>
      <c r="C225" s="5" t="s">
        <v>593</v>
      </c>
      <c r="D225" s="5" t="s">
        <v>594</v>
      </c>
      <c r="E225" s="5" t="s">
        <v>54</v>
      </c>
      <c r="F225" s="5" t="s">
        <v>54</v>
      </c>
      <c r="G225" s="7">
        <v>41183</v>
      </c>
      <c r="H225" s="18">
        <f t="shared" si="9"/>
        <v>13.504109589041096</v>
      </c>
      <c r="I225" s="5" t="s">
        <v>13</v>
      </c>
      <c r="J225" s="28">
        <v>32155.898499999999</v>
      </c>
      <c r="K225" s="28">
        <v>4000</v>
      </c>
      <c r="L225" s="31">
        <f t="shared" si="11"/>
        <v>0.12439397393918257</v>
      </c>
    </row>
    <row r="226" spans="1:12" ht="15" customHeight="1" x14ac:dyDescent="0.35">
      <c r="A226" s="10">
        <f t="shared" si="10"/>
        <v>222</v>
      </c>
      <c r="B226" s="3">
        <v>4460</v>
      </c>
      <c r="C226" s="5" t="s">
        <v>598</v>
      </c>
      <c r="D226" s="5" t="s">
        <v>599</v>
      </c>
      <c r="E226" s="5" t="s">
        <v>54</v>
      </c>
      <c r="F226" s="5" t="s">
        <v>54</v>
      </c>
      <c r="G226" s="7">
        <v>41526</v>
      </c>
      <c r="H226" s="18">
        <f t="shared" si="9"/>
        <v>12.564383561643835</v>
      </c>
      <c r="I226" s="5" t="s">
        <v>13</v>
      </c>
      <c r="J226" s="28">
        <v>35479.587500000001</v>
      </c>
      <c r="K226" s="28">
        <v>4000</v>
      </c>
      <c r="L226" s="31">
        <f t="shared" si="11"/>
        <v>0.11274088234537676</v>
      </c>
    </row>
    <row r="227" spans="1:12" ht="15" customHeight="1" x14ac:dyDescent="0.35">
      <c r="A227" s="10">
        <f t="shared" si="10"/>
        <v>223</v>
      </c>
      <c r="B227" s="3">
        <v>4461</v>
      </c>
      <c r="C227" s="5" t="s">
        <v>600</v>
      </c>
      <c r="D227" s="5" t="s">
        <v>599</v>
      </c>
      <c r="E227" s="5" t="s">
        <v>54</v>
      </c>
      <c r="F227" s="5" t="s">
        <v>54</v>
      </c>
      <c r="G227" s="7">
        <v>41526</v>
      </c>
      <c r="H227" s="18">
        <f t="shared" si="9"/>
        <v>12.564383561643835</v>
      </c>
      <c r="I227" s="5" t="s">
        <v>13</v>
      </c>
      <c r="J227" s="28">
        <v>36482.630000000005</v>
      </c>
      <c r="K227" s="28">
        <v>4000</v>
      </c>
      <c r="L227" s="31">
        <f t="shared" si="11"/>
        <v>0.10964121830032537</v>
      </c>
    </row>
    <row r="228" spans="1:12" ht="15" customHeight="1" x14ac:dyDescent="0.35">
      <c r="A228" s="10">
        <f t="shared" si="10"/>
        <v>224</v>
      </c>
      <c r="B228" s="3">
        <v>4511</v>
      </c>
      <c r="C228" s="5" t="s">
        <v>602</v>
      </c>
      <c r="D228" s="5" t="s">
        <v>21</v>
      </c>
      <c r="E228" s="5" t="s">
        <v>103</v>
      </c>
      <c r="F228" s="5" t="s">
        <v>103</v>
      </c>
      <c r="G228" s="7">
        <v>41190</v>
      </c>
      <c r="H228" s="18">
        <f t="shared" si="9"/>
        <v>13.484931506849316</v>
      </c>
      <c r="I228" s="5" t="s">
        <v>13</v>
      </c>
      <c r="J228" s="28">
        <v>28769.9905</v>
      </c>
      <c r="K228" s="28">
        <v>4000</v>
      </c>
      <c r="L228" s="31">
        <f t="shared" si="11"/>
        <v>0.13903376158570507</v>
      </c>
    </row>
    <row r="229" spans="1:12" ht="15" customHeight="1" x14ac:dyDescent="0.35">
      <c r="A229" s="10">
        <f t="shared" si="10"/>
        <v>225</v>
      </c>
      <c r="B229" s="3">
        <v>4512</v>
      </c>
      <c r="C229" s="5" t="s">
        <v>603</v>
      </c>
      <c r="D229" s="5" t="s">
        <v>535</v>
      </c>
      <c r="E229" s="5" t="s">
        <v>376</v>
      </c>
      <c r="F229" s="5" t="s">
        <v>466</v>
      </c>
      <c r="G229" s="7">
        <v>41374</v>
      </c>
      <c r="H229" s="18">
        <f t="shared" si="9"/>
        <v>12.980821917808219</v>
      </c>
      <c r="I229" s="5" t="s">
        <v>13</v>
      </c>
      <c r="J229" s="28">
        <v>31721.1495</v>
      </c>
      <c r="K229" s="28">
        <v>4000</v>
      </c>
      <c r="L229" s="31">
        <f t="shared" si="11"/>
        <v>0.12609883510053757</v>
      </c>
    </row>
    <row r="230" spans="1:12" ht="15" customHeight="1" x14ac:dyDescent="0.35">
      <c r="A230" s="10">
        <f t="shared" si="10"/>
        <v>226</v>
      </c>
      <c r="B230" s="3">
        <v>4515</v>
      </c>
      <c r="C230" s="5" t="s">
        <v>604</v>
      </c>
      <c r="D230" s="5" t="s">
        <v>21</v>
      </c>
      <c r="E230" s="5" t="s">
        <v>64</v>
      </c>
      <c r="F230" s="5" t="s">
        <v>64</v>
      </c>
      <c r="G230" s="7">
        <v>41555</v>
      </c>
      <c r="H230" s="18">
        <f t="shared" si="9"/>
        <v>12.484931506849316</v>
      </c>
      <c r="I230" s="5" t="s">
        <v>13</v>
      </c>
      <c r="J230" s="28">
        <v>33451.339500000002</v>
      </c>
      <c r="K230" s="28">
        <v>4000</v>
      </c>
      <c r="L230" s="31">
        <f t="shared" si="11"/>
        <v>0.11957667644370414</v>
      </c>
    </row>
    <row r="231" spans="1:12" ht="15" customHeight="1" x14ac:dyDescent="0.35">
      <c r="A231" s="10">
        <f t="shared" si="10"/>
        <v>227</v>
      </c>
      <c r="B231" s="3">
        <v>4567</v>
      </c>
      <c r="C231" s="5" t="s">
        <v>607</v>
      </c>
      <c r="D231" s="5" t="s">
        <v>594</v>
      </c>
      <c r="E231" s="5" t="s">
        <v>54</v>
      </c>
      <c r="F231" s="5" t="s">
        <v>54</v>
      </c>
      <c r="G231" s="7">
        <v>41254</v>
      </c>
      <c r="H231" s="18">
        <f t="shared" si="9"/>
        <v>13.30958904109589</v>
      </c>
      <c r="I231" s="5" t="s">
        <v>13</v>
      </c>
      <c r="J231" s="28">
        <v>32155.898499999999</v>
      </c>
      <c r="K231" s="28">
        <v>4000</v>
      </c>
      <c r="L231" s="31">
        <f t="shared" si="11"/>
        <v>0.12439397393918257</v>
      </c>
    </row>
    <row r="232" spans="1:12" ht="15" customHeight="1" x14ac:dyDescent="0.35">
      <c r="A232" s="10">
        <f t="shared" si="10"/>
        <v>228</v>
      </c>
      <c r="B232" s="3">
        <v>4637</v>
      </c>
      <c r="C232" s="5" t="s">
        <v>610</v>
      </c>
      <c r="D232" s="5" t="s">
        <v>455</v>
      </c>
      <c r="E232" s="5" t="s">
        <v>54</v>
      </c>
      <c r="F232" s="5" t="s">
        <v>54</v>
      </c>
      <c r="G232" s="7">
        <v>41534</v>
      </c>
      <c r="H232" s="18">
        <f t="shared" si="9"/>
        <v>12.542465753424658</v>
      </c>
      <c r="I232" s="5" t="s">
        <v>13</v>
      </c>
      <c r="J232" s="28">
        <v>30387.8305</v>
      </c>
      <c r="K232" s="28">
        <v>4000</v>
      </c>
      <c r="L232" s="31">
        <f t="shared" si="11"/>
        <v>0.13163164115977283</v>
      </c>
    </row>
    <row r="233" spans="1:12" ht="15" customHeight="1" x14ac:dyDescent="0.35">
      <c r="A233" s="10">
        <f t="shared" si="10"/>
        <v>229</v>
      </c>
      <c r="B233" s="3">
        <v>4645</v>
      </c>
      <c r="C233" s="5" t="s">
        <v>611</v>
      </c>
      <c r="D233" s="5" t="s">
        <v>257</v>
      </c>
      <c r="E233" s="5" t="s">
        <v>94</v>
      </c>
      <c r="F233" s="5" t="s">
        <v>94</v>
      </c>
      <c r="G233" s="7">
        <v>41701</v>
      </c>
      <c r="H233" s="18">
        <f t="shared" si="9"/>
        <v>12.084931506849315</v>
      </c>
      <c r="I233" s="5" t="s">
        <v>13</v>
      </c>
      <c r="J233" s="28">
        <v>36520.741500000004</v>
      </c>
      <c r="K233" s="28">
        <v>4000</v>
      </c>
      <c r="L233" s="31">
        <f t="shared" si="11"/>
        <v>0.10952680136573896</v>
      </c>
    </row>
    <row r="234" spans="1:12" ht="15" customHeight="1" x14ac:dyDescent="0.35">
      <c r="A234" s="10">
        <f t="shared" si="10"/>
        <v>230</v>
      </c>
      <c r="B234" s="3">
        <v>4653</v>
      </c>
      <c r="C234" s="5" t="s">
        <v>612</v>
      </c>
      <c r="D234" s="5" t="s">
        <v>455</v>
      </c>
      <c r="E234" s="5" t="s">
        <v>68</v>
      </c>
      <c r="F234" s="5" t="s">
        <v>69</v>
      </c>
      <c r="G234" s="7">
        <v>41715</v>
      </c>
      <c r="H234" s="18">
        <f t="shared" si="9"/>
        <v>12.046575342465754</v>
      </c>
      <c r="I234" s="5" t="s">
        <v>13</v>
      </c>
      <c r="J234" s="28">
        <v>31811.029500000001</v>
      </c>
      <c r="K234" s="28">
        <v>4000</v>
      </c>
      <c r="L234" s="31">
        <f t="shared" si="11"/>
        <v>0.12574255102306575</v>
      </c>
    </row>
    <row r="235" spans="1:12" ht="15" customHeight="1" x14ac:dyDescent="0.35">
      <c r="A235" s="10">
        <f t="shared" si="10"/>
        <v>231</v>
      </c>
      <c r="B235" s="3">
        <v>4656</v>
      </c>
      <c r="C235" s="5" t="s">
        <v>613</v>
      </c>
      <c r="D235" s="5" t="s">
        <v>557</v>
      </c>
      <c r="E235" s="5" t="s">
        <v>68</v>
      </c>
      <c r="F235" s="5" t="s">
        <v>132</v>
      </c>
      <c r="G235" s="7">
        <v>41334</v>
      </c>
      <c r="H235" s="18">
        <f t="shared" si="9"/>
        <v>13.09041095890411</v>
      </c>
      <c r="I235" s="5" t="s">
        <v>13</v>
      </c>
      <c r="J235" s="28">
        <v>25798.589</v>
      </c>
      <c r="K235" s="28">
        <v>4000</v>
      </c>
      <c r="L235" s="31">
        <f t="shared" si="11"/>
        <v>0.15504723921141578</v>
      </c>
    </row>
    <row r="236" spans="1:12" ht="15" customHeight="1" x14ac:dyDescent="0.35">
      <c r="A236" s="10">
        <f t="shared" si="10"/>
        <v>232</v>
      </c>
      <c r="B236" s="3">
        <v>4658</v>
      </c>
      <c r="C236" s="5" t="s">
        <v>614</v>
      </c>
      <c r="D236" s="5" t="s">
        <v>557</v>
      </c>
      <c r="E236" s="5" t="s">
        <v>16</v>
      </c>
      <c r="F236" s="5" t="s">
        <v>17</v>
      </c>
      <c r="G236" s="7">
        <v>41548</v>
      </c>
      <c r="H236" s="18">
        <f t="shared" si="9"/>
        <v>12.504109589041096</v>
      </c>
      <c r="I236" s="5" t="s">
        <v>13</v>
      </c>
      <c r="J236" s="28">
        <v>25798.589</v>
      </c>
      <c r="K236" s="28">
        <v>4000</v>
      </c>
      <c r="L236" s="31">
        <f t="shared" si="11"/>
        <v>0.15504723921141578</v>
      </c>
    </row>
    <row r="237" spans="1:12" ht="15" customHeight="1" x14ac:dyDescent="0.35">
      <c r="A237" s="10">
        <f t="shared" si="10"/>
        <v>233</v>
      </c>
      <c r="B237" s="3">
        <v>4746</v>
      </c>
      <c r="C237" s="5" t="s">
        <v>618</v>
      </c>
      <c r="D237" s="5" t="s">
        <v>340</v>
      </c>
      <c r="E237" s="5" t="s">
        <v>68</v>
      </c>
      <c r="F237" s="5" t="s">
        <v>254</v>
      </c>
      <c r="G237" s="7">
        <v>41610</v>
      </c>
      <c r="H237" s="18">
        <f t="shared" si="9"/>
        <v>12.334246575342465</v>
      </c>
      <c r="I237" s="5" t="s">
        <v>13</v>
      </c>
      <c r="J237" s="28">
        <v>31470.6705</v>
      </c>
      <c r="K237" s="28">
        <v>4000</v>
      </c>
      <c r="L237" s="31">
        <f t="shared" si="11"/>
        <v>0.12710247149008153</v>
      </c>
    </row>
    <row r="238" spans="1:12" ht="15" customHeight="1" x14ac:dyDescent="0.35">
      <c r="A238" s="10">
        <f t="shared" si="10"/>
        <v>234</v>
      </c>
      <c r="B238" s="3">
        <v>4781</v>
      </c>
      <c r="C238" s="5" t="s">
        <v>621</v>
      </c>
      <c r="D238" s="5" t="s">
        <v>340</v>
      </c>
      <c r="E238" s="5" t="s">
        <v>68</v>
      </c>
      <c r="F238" s="5" t="s">
        <v>137</v>
      </c>
      <c r="G238" s="7">
        <v>41806</v>
      </c>
      <c r="H238" s="18">
        <f t="shared" si="9"/>
        <v>11.797260273972602</v>
      </c>
      <c r="I238" s="5" t="s">
        <v>13</v>
      </c>
      <c r="J238" s="28">
        <v>31011.789000000001</v>
      </c>
      <c r="K238" s="28">
        <v>4000</v>
      </c>
      <c r="L238" s="31">
        <f t="shared" si="11"/>
        <v>0.12898320699911894</v>
      </c>
    </row>
    <row r="239" spans="1:12" ht="15" customHeight="1" x14ac:dyDescent="0.35">
      <c r="A239" s="10">
        <f t="shared" si="10"/>
        <v>235</v>
      </c>
      <c r="B239" s="3">
        <v>4787</v>
      </c>
      <c r="C239" s="5" t="s">
        <v>622</v>
      </c>
      <c r="D239" s="5" t="s">
        <v>623</v>
      </c>
      <c r="E239" s="5" t="s">
        <v>263</v>
      </c>
      <c r="F239" s="5" t="s">
        <v>264</v>
      </c>
      <c r="G239" s="7">
        <v>41654</v>
      </c>
      <c r="H239" s="18">
        <f t="shared" si="9"/>
        <v>12.213698630136987</v>
      </c>
      <c r="I239" s="5" t="s">
        <v>13</v>
      </c>
      <c r="J239" s="28">
        <v>32751.716499999999</v>
      </c>
      <c r="K239" s="28">
        <v>4000</v>
      </c>
      <c r="L239" s="31">
        <f t="shared" si="11"/>
        <v>0.12213100342389689</v>
      </c>
    </row>
    <row r="240" spans="1:12" ht="15" customHeight="1" x14ac:dyDescent="0.35">
      <c r="A240" s="10">
        <f t="shared" si="10"/>
        <v>236</v>
      </c>
      <c r="B240" s="3">
        <v>4822</v>
      </c>
      <c r="C240" s="5" t="s">
        <v>627</v>
      </c>
      <c r="D240" s="5" t="s">
        <v>628</v>
      </c>
      <c r="E240" s="5" t="s">
        <v>35</v>
      </c>
      <c r="F240" s="5" t="s">
        <v>84</v>
      </c>
      <c r="G240" s="7">
        <v>41834</v>
      </c>
      <c r="H240" s="18">
        <f t="shared" si="9"/>
        <v>11.72054794520548</v>
      </c>
      <c r="I240" s="5" t="s">
        <v>13</v>
      </c>
      <c r="J240" s="28">
        <v>30369.1325</v>
      </c>
      <c r="K240" s="28">
        <v>4000</v>
      </c>
      <c r="L240" s="31">
        <f t="shared" si="11"/>
        <v>0.1317126855697969</v>
      </c>
    </row>
    <row r="241" spans="1:12" ht="15" customHeight="1" x14ac:dyDescent="0.35">
      <c r="A241" s="10">
        <f t="shared" si="10"/>
        <v>237</v>
      </c>
      <c r="B241" s="3">
        <v>4825</v>
      </c>
      <c r="C241" s="5" t="s">
        <v>629</v>
      </c>
      <c r="D241" s="5" t="s">
        <v>630</v>
      </c>
      <c r="E241" s="5" t="s">
        <v>631</v>
      </c>
      <c r="F241" s="5" t="s">
        <v>632</v>
      </c>
      <c r="G241" s="7">
        <v>41835</v>
      </c>
      <c r="H241" s="18">
        <f t="shared" si="9"/>
        <v>11.717808219178082</v>
      </c>
      <c r="I241" s="5" t="s">
        <v>13</v>
      </c>
      <c r="J241" s="28">
        <v>36601.646000000001</v>
      </c>
      <c r="K241" s="28">
        <v>4000</v>
      </c>
      <c r="L241" s="31">
        <f t="shared" si="11"/>
        <v>0.1092847026606399</v>
      </c>
    </row>
    <row r="242" spans="1:12" ht="15" customHeight="1" x14ac:dyDescent="0.35">
      <c r="A242" s="10">
        <f t="shared" si="10"/>
        <v>238</v>
      </c>
      <c r="B242" s="3">
        <v>4836</v>
      </c>
      <c r="C242" s="5" t="s">
        <v>634</v>
      </c>
      <c r="D242" s="5" t="s">
        <v>557</v>
      </c>
      <c r="E242" s="5" t="s">
        <v>103</v>
      </c>
      <c r="F242" s="5" t="s">
        <v>103</v>
      </c>
      <c r="G242" s="7">
        <v>41687</v>
      </c>
      <c r="H242" s="18">
        <f t="shared" si="9"/>
        <v>12.123287671232877</v>
      </c>
      <c r="I242" s="5" t="s">
        <v>13</v>
      </c>
      <c r="J242" s="28">
        <v>26336.397499999999</v>
      </c>
      <c r="K242" s="28">
        <v>4000</v>
      </c>
      <c r="L242" s="31">
        <f t="shared" si="11"/>
        <v>0.1518810611815834</v>
      </c>
    </row>
    <row r="243" spans="1:12" ht="15" customHeight="1" x14ac:dyDescent="0.35">
      <c r="A243" s="10">
        <f t="shared" si="10"/>
        <v>239</v>
      </c>
      <c r="B243" s="3">
        <v>4849</v>
      </c>
      <c r="C243" s="5" t="s">
        <v>635</v>
      </c>
      <c r="D243" s="5" t="s">
        <v>268</v>
      </c>
      <c r="E243" s="5" t="s">
        <v>24</v>
      </c>
      <c r="F243" s="5" t="s">
        <v>152</v>
      </c>
      <c r="G243" s="7">
        <v>41869</v>
      </c>
      <c r="H243" s="18">
        <f t="shared" si="9"/>
        <v>11.624657534246575</v>
      </c>
      <c r="I243" s="5" t="s">
        <v>13</v>
      </c>
      <c r="J243" s="28">
        <v>32875.235000000001</v>
      </c>
      <c r="K243" s="28">
        <v>4000</v>
      </c>
      <c r="L243" s="31">
        <f t="shared" si="11"/>
        <v>0.12167213405470713</v>
      </c>
    </row>
    <row r="244" spans="1:12" ht="15" customHeight="1" x14ac:dyDescent="0.35">
      <c r="A244" s="10">
        <f t="shared" si="10"/>
        <v>240</v>
      </c>
      <c r="B244" s="3">
        <v>4882</v>
      </c>
      <c r="C244" s="5" t="s">
        <v>636</v>
      </c>
      <c r="D244" s="5" t="s">
        <v>637</v>
      </c>
      <c r="E244" s="5" t="s">
        <v>538</v>
      </c>
      <c r="F244" s="5" t="s">
        <v>583</v>
      </c>
      <c r="G244" s="7">
        <v>41871</v>
      </c>
      <c r="H244" s="18">
        <f t="shared" si="9"/>
        <v>11.61917808219178</v>
      </c>
      <c r="I244" s="5" t="s">
        <v>13</v>
      </c>
      <c r="J244" s="28">
        <v>36340.050000000003</v>
      </c>
      <c r="K244" s="28">
        <v>4000</v>
      </c>
      <c r="L244" s="31">
        <f t="shared" si="11"/>
        <v>0.11007139505861989</v>
      </c>
    </row>
    <row r="245" spans="1:12" ht="15" customHeight="1" x14ac:dyDescent="0.35">
      <c r="A245" s="10">
        <f t="shared" si="10"/>
        <v>241</v>
      </c>
      <c r="B245" s="3">
        <v>4904</v>
      </c>
      <c r="C245" s="5" t="s">
        <v>638</v>
      </c>
      <c r="D245" s="5" t="s">
        <v>639</v>
      </c>
      <c r="E245" s="5" t="s">
        <v>640</v>
      </c>
      <c r="F245" s="5" t="s">
        <v>641</v>
      </c>
      <c r="G245" s="7">
        <v>41897</v>
      </c>
      <c r="H245" s="18">
        <f t="shared" si="9"/>
        <v>11.547945205479452</v>
      </c>
      <c r="I245" s="5" t="s">
        <v>13</v>
      </c>
      <c r="J245" s="28">
        <v>30448.407500000001</v>
      </c>
      <c r="K245" s="28">
        <v>4000</v>
      </c>
      <c r="L245" s="31">
        <f t="shared" si="11"/>
        <v>0.13136976047105253</v>
      </c>
    </row>
    <row r="246" spans="1:12" ht="15" customHeight="1" x14ac:dyDescent="0.35">
      <c r="A246" s="10">
        <f t="shared" si="10"/>
        <v>242</v>
      </c>
      <c r="B246" s="3">
        <v>4917</v>
      </c>
      <c r="C246" s="5" t="s">
        <v>642</v>
      </c>
      <c r="D246" s="5" t="s">
        <v>488</v>
      </c>
      <c r="E246" s="5" t="s">
        <v>94</v>
      </c>
      <c r="F246" s="5" t="s">
        <v>94</v>
      </c>
      <c r="G246" s="7">
        <v>41920</v>
      </c>
      <c r="H246" s="18">
        <f t="shared" si="9"/>
        <v>11.484931506849316</v>
      </c>
      <c r="I246" s="5" t="s">
        <v>13</v>
      </c>
      <c r="J246" s="28">
        <v>34872.998</v>
      </c>
      <c r="K246" s="28">
        <v>4000</v>
      </c>
      <c r="L246" s="31">
        <f t="shared" si="11"/>
        <v>0.11470192496785049</v>
      </c>
    </row>
    <row r="247" spans="1:12" ht="15" customHeight="1" x14ac:dyDescent="0.35">
      <c r="A247" s="10">
        <f t="shared" si="10"/>
        <v>243</v>
      </c>
      <c r="B247" s="3">
        <v>4956</v>
      </c>
      <c r="C247" s="5" t="s">
        <v>646</v>
      </c>
      <c r="D247" s="5" t="s">
        <v>647</v>
      </c>
      <c r="E247" s="5" t="s">
        <v>94</v>
      </c>
      <c r="F247" s="5" t="s">
        <v>94</v>
      </c>
      <c r="G247" s="7">
        <v>41918</v>
      </c>
      <c r="H247" s="18">
        <f t="shared" si="9"/>
        <v>11.490410958904109</v>
      </c>
      <c r="I247" s="5" t="s">
        <v>13</v>
      </c>
      <c r="J247" s="28">
        <v>34872.998</v>
      </c>
      <c r="K247" s="28">
        <v>4000</v>
      </c>
      <c r="L247" s="31">
        <f t="shared" si="11"/>
        <v>0.11470192496785049</v>
      </c>
    </row>
    <row r="248" spans="1:12" ht="15" customHeight="1" x14ac:dyDescent="0.35">
      <c r="A248" s="10">
        <f t="shared" si="10"/>
        <v>244</v>
      </c>
      <c r="B248" s="3">
        <v>4961</v>
      </c>
      <c r="C248" s="5" t="s">
        <v>648</v>
      </c>
      <c r="D248" s="5" t="s">
        <v>649</v>
      </c>
      <c r="E248" s="5" t="s">
        <v>322</v>
      </c>
      <c r="F248" s="5" t="s">
        <v>322</v>
      </c>
      <c r="G248" s="7">
        <v>41918</v>
      </c>
      <c r="H248" s="18">
        <f t="shared" si="9"/>
        <v>11.490410958904109</v>
      </c>
      <c r="I248" s="5" t="s">
        <v>13</v>
      </c>
      <c r="J248" s="28">
        <v>29566.407500000001</v>
      </c>
      <c r="K248" s="28">
        <v>4000</v>
      </c>
      <c r="L248" s="31">
        <f t="shared" si="11"/>
        <v>0.13528867178063483</v>
      </c>
    </row>
    <row r="249" spans="1:12" ht="15" customHeight="1" x14ac:dyDescent="0.35">
      <c r="A249" s="10">
        <f t="shared" si="10"/>
        <v>245</v>
      </c>
      <c r="B249" s="3">
        <v>5004</v>
      </c>
      <c r="C249" s="5" t="s">
        <v>653</v>
      </c>
      <c r="D249" s="5" t="s">
        <v>557</v>
      </c>
      <c r="E249" s="5" t="s">
        <v>16</v>
      </c>
      <c r="F249" s="5" t="s">
        <v>17</v>
      </c>
      <c r="G249" s="7">
        <v>41956</v>
      </c>
      <c r="H249" s="18">
        <f t="shared" si="9"/>
        <v>11.386301369863014</v>
      </c>
      <c r="I249" s="5" t="s">
        <v>13</v>
      </c>
      <c r="J249" s="28">
        <v>27920.395</v>
      </c>
      <c r="K249" s="28">
        <v>4000</v>
      </c>
      <c r="L249" s="31">
        <f t="shared" si="11"/>
        <v>0.14326444880167347</v>
      </c>
    </row>
    <row r="250" spans="1:12" ht="15" customHeight="1" x14ac:dyDescent="0.35">
      <c r="A250" s="10">
        <f t="shared" si="10"/>
        <v>246</v>
      </c>
      <c r="B250" s="3">
        <v>5020</v>
      </c>
      <c r="C250" s="5" t="s">
        <v>654</v>
      </c>
      <c r="D250" s="5" t="s">
        <v>21</v>
      </c>
      <c r="E250" s="5" t="s">
        <v>103</v>
      </c>
      <c r="F250" s="5" t="s">
        <v>103</v>
      </c>
      <c r="G250" s="7">
        <v>41960</v>
      </c>
      <c r="H250" s="18">
        <f t="shared" si="9"/>
        <v>11.375342465753425</v>
      </c>
      <c r="I250" s="5" t="s">
        <v>13</v>
      </c>
      <c r="J250" s="28">
        <v>27317.307499999999</v>
      </c>
      <c r="K250" s="28">
        <v>4000</v>
      </c>
      <c r="L250" s="31">
        <f t="shared" si="11"/>
        <v>0.14642731535675688</v>
      </c>
    </row>
    <row r="251" spans="1:12" ht="15" customHeight="1" x14ac:dyDescent="0.35">
      <c r="A251" s="10">
        <f t="shared" si="10"/>
        <v>247</v>
      </c>
      <c r="B251" s="3">
        <v>5049</v>
      </c>
      <c r="C251" s="5" t="s">
        <v>659</v>
      </c>
      <c r="D251" s="5" t="s">
        <v>649</v>
      </c>
      <c r="E251" s="5" t="s">
        <v>322</v>
      </c>
      <c r="F251" s="5" t="s">
        <v>322</v>
      </c>
      <c r="G251" s="7">
        <v>41974</v>
      </c>
      <c r="H251" s="18">
        <f t="shared" si="9"/>
        <v>11.336986301369864</v>
      </c>
      <c r="I251" s="5" t="s">
        <v>13</v>
      </c>
      <c r="J251" s="28">
        <v>30703.0445</v>
      </c>
      <c r="K251" s="28">
        <v>4000</v>
      </c>
      <c r="L251" s="31">
        <f t="shared" si="11"/>
        <v>0.13028023979836917</v>
      </c>
    </row>
    <row r="252" spans="1:12" ht="15" customHeight="1" x14ac:dyDescent="0.35">
      <c r="A252" s="10">
        <f t="shared" si="10"/>
        <v>248</v>
      </c>
      <c r="B252" s="3">
        <v>5053</v>
      </c>
      <c r="C252" s="5" t="s">
        <v>660</v>
      </c>
      <c r="D252" s="5" t="s">
        <v>661</v>
      </c>
      <c r="E252" s="5" t="s">
        <v>662</v>
      </c>
      <c r="F252" s="5" t="s">
        <v>662</v>
      </c>
      <c r="G252" s="7">
        <v>41975</v>
      </c>
      <c r="H252" s="18">
        <f t="shared" si="9"/>
        <v>11.334246575342465</v>
      </c>
      <c r="I252" s="5" t="s">
        <v>13</v>
      </c>
      <c r="J252" s="28">
        <v>37136.050000000003</v>
      </c>
      <c r="K252" s="28">
        <v>4000</v>
      </c>
      <c r="L252" s="31">
        <f t="shared" si="11"/>
        <v>0.10771204799648858</v>
      </c>
    </row>
    <row r="253" spans="1:12" ht="15" customHeight="1" x14ac:dyDescent="0.35">
      <c r="A253" s="10">
        <f t="shared" si="10"/>
        <v>249</v>
      </c>
      <c r="B253" s="3">
        <v>5064</v>
      </c>
      <c r="C253" s="5" t="s">
        <v>663</v>
      </c>
      <c r="D253" s="5" t="s">
        <v>488</v>
      </c>
      <c r="E253" s="5" t="s">
        <v>64</v>
      </c>
      <c r="F253" s="5" t="s">
        <v>64</v>
      </c>
      <c r="G253" s="7">
        <v>41992</v>
      </c>
      <c r="H253" s="18">
        <f t="shared" si="9"/>
        <v>11.287671232876713</v>
      </c>
      <c r="I253" s="5" t="s">
        <v>13</v>
      </c>
      <c r="J253" s="28">
        <v>34879.049999999996</v>
      </c>
      <c r="K253" s="28">
        <v>4000</v>
      </c>
      <c r="L253" s="31">
        <f t="shared" si="11"/>
        <v>0.11468202258949141</v>
      </c>
    </row>
    <row r="254" spans="1:12" ht="15" customHeight="1" x14ac:dyDescent="0.35">
      <c r="A254" s="10">
        <f t="shared" si="10"/>
        <v>250</v>
      </c>
      <c r="B254" s="3">
        <v>5069</v>
      </c>
      <c r="C254" s="5" t="s">
        <v>664</v>
      </c>
      <c r="D254" s="5" t="s">
        <v>455</v>
      </c>
      <c r="E254" s="5" t="s">
        <v>165</v>
      </c>
      <c r="F254" s="5" t="s">
        <v>165</v>
      </c>
      <c r="G254" s="7">
        <v>41799</v>
      </c>
      <c r="H254" s="18">
        <f t="shared" si="9"/>
        <v>11.816438356164383</v>
      </c>
      <c r="I254" s="5" t="s">
        <v>13</v>
      </c>
      <c r="J254" s="28">
        <v>29722.735000000001</v>
      </c>
      <c r="K254" s="28">
        <v>4000</v>
      </c>
      <c r="L254" s="31">
        <f t="shared" si="11"/>
        <v>0.13457711748262735</v>
      </c>
    </row>
    <row r="255" spans="1:12" ht="15" customHeight="1" x14ac:dyDescent="0.35">
      <c r="A255" s="10">
        <f t="shared" si="10"/>
        <v>251</v>
      </c>
      <c r="B255" s="3">
        <v>5072</v>
      </c>
      <c r="C255" s="5" t="s">
        <v>665</v>
      </c>
      <c r="D255" s="5" t="s">
        <v>488</v>
      </c>
      <c r="E255" s="5" t="s">
        <v>228</v>
      </c>
      <c r="F255" s="5" t="s">
        <v>228</v>
      </c>
      <c r="G255" s="7">
        <v>41990</v>
      </c>
      <c r="H255" s="18">
        <f t="shared" si="9"/>
        <v>11.293150684931506</v>
      </c>
      <c r="I255" s="5" t="s">
        <v>13</v>
      </c>
      <c r="J255" s="28">
        <v>35970.195</v>
      </c>
      <c r="K255" s="28">
        <v>4000</v>
      </c>
      <c r="L255" s="31">
        <f t="shared" si="11"/>
        <v>0.11120317807562623</v>
      </c>
    </row>
    <row r="256" spans="1:12" ht="15" customHeight="1" x14ac:dyDescent="0.35">
      <c r="A256" s="10">
        <f t="shared" si="10"/>
        <v>252</v>
      </c>
      <c r="B256" s="3">
        <v>5103</v>
      </c>
      <c r="C256" s="5" t="s">
        <v>668</v>
      </c>
      <c r="D256" s="5" t="s">
        <v>669</v>
      </c>
      <c r="E256" s="5" t="s">
        <v>103</v>
      </c>
      <c r="F256" s="5" t="s">
        <v>103</v>
      </c>
      <c r="G256" s="7">
        <v>42016</v>
      </c>
      <c r="H256" s="18">
        <f t="shared" si="9"/>
        <v>11.221917808219178</v>
      </c>
      <c r="I256" s="5" t="s">
        <v>13</v>
      </c>
      <c r="J256" s="28">
        <v>34704.897499999999</v>
      </c>
      <c r="K256" s="28">
        <v>4000</v>
      </c>
      <c r="L256" s="31">
        <f t="shared" si="11"/>
        <v>0.11525750796411371</v>
      </c>
    </row>
    <row r="257" spans="1:12" ht="15" customHeight="1" x14ac:dyDescent="0.35">
      <c r="A257" s="10">
        <f t="shared" si="10"/>
        <v>253</v>
      </c>
      <c r="B257" s="3">
        <v>5109</v>
      </c>
      <c r="C257" s="5" t="s">
        <v>670</v>
      </c>
      <c r="D257" s="5" t="s">
        <v>557</v>
      </c>
      <c r="E257" s="5" t="s">
        <v>16</v>
      </c>
      <c r="F257" s="5" t="s">
        <v>17</v>
      </c>
      <c r="G257" s="7">
        <v>42006</v>
      </c>
      <c r="H257" s="18">
        <f t="shared" si="9"/>
        <v>11.24931506849315</v>
      </c>
      <c r="I257" s="5" t="s">
        <v>13</v>
      </c>
      <c r="J257" s="28">
        <v>25492.25</v>
      </c>
      <c r="K257" s="28">
        <v>4000</v>
      </c>
      <c r="L257" s="31">
        <f t="shared" si="11"/>
        <v>0.15691043356314174</v>
      </c>
    </row>
    <row r="258" spans="1:12" ht="15" customHeight="1" x14ac:dyDescent="0.35">
      <c r="A258" s="10">
        <f t="shared" si="10"/>
        <v>254</v>
      </c>
      <c r="B258" s="3">
        <v>5110</v>
      </c>
      <c r="C258" s="5" t="s">
        <v>671</v>
      </c>
      <c r="D258" s="5" t="s">
        <v>455</v>
      </c>
      <c r="E258" s="5" t="s">
        <v>68</v>
      </c>
      <c r="F258" s="5" t="s">
        <v>69</v>
      </c>
      <c r="G258" s="7">
        <v>41822</v>
      </c>
      <c r="H258" s="18">
        <f t="shared" si="9"/>
        <v>11.753424657534246</v>
      </c>
      <c r="I258" s="5" t="s">
        <v>13</v>
      </c>
      <c r="J258" s="28">
        <v>30849.0995</v>
      </c>
      <c r="K258" s="28">
        <v>4000</v>
      </c>
      <c r="L258" s="31">
        <f t="shared" si="11"/>
        <v>0.12966342826311672</v>
      </c>
    </row>
    <row r="259" spans="1:12" ht="15" customHeight="1" x14ac:dyDescent="0.35">
      <c r="A259" s="10">
        <f t="shared" si="10"/>
        <v>255</v>
      </c>
      <c r="B259" s="3">
        <v>5115</v>
      </c>
      <c r="C259" s="5" t="s">
        <v>672</v>
      </c>
      <c r="D259" s="5" t="s">
        <v>557</v>
      </c>
      <c r="E259" s="5" t="s">
        <v>61</v>
      </c>
      <c r="F259" s="5" t="s">
        <v>61</v>
      </c>
      <c r="G259" s="7">
        <v>42020</v>
      </c>
      <c r="H259" s="18">
        <f t="shared" si="9"/>
        <v>11.210958904109589</v>
      </c>
      <c r="I259" s="5" t="s">
        <v>13</v>
      </c>
      <c r="J259" s="28">
        <v>26654.63</v>
      </c>
      <c r="K259" s="28">
        <v>4000</v>
      </c>
      <c r="L259" s="31">
        <f t="shared" si="11"/>
        <v>0.15006773682470925</v>
      </c>
    </row>
    <row r="260" spans="1:12" ht="15" customHeight="1" x14ac:dyDescent="0.35">
      <c r="A260" s="10">
        <f t="shared" si="10"/>
        <v>256</v>
      </c>
      <c r="B260" s="3">
        <v>5121</v>
      </c>
      <c r="C260" s="5" t="s">
        <v>673</v>
      </c>
      <c r="D260" s="5" t="s">
        <v>21</v>
      </c>
      <c r="E260" s="5" t="s">
        <v>103</v>
      </c>
      <c r="F260" s="5" t="s">
        <v>103</v>
      </c>
      <c r="G260" s="7">
        <v>42020</v>
      </c>
      <c r="H260" s="18">
        <f t="shared" si="9"/>
        <v>11.210958904109589</v>
      </c>
      <c r="I260" s="5" t="s">
        <v>13</v>
      </c>
      <c r="J260" s="28">
        <v>27830.530500000001</v>
      </c>
      <c r="K260" s="28">
        <v>4000</v>
      </c>
      <c r="L260" s="31">
        <f t="shared" si="11"/>
        <v>0.14372704825012228</v>
      </c>
    </row>
    <row r="261" spans="1:12" ht="15" customHeight="1" x14ac:dyDescent="0.35">
      <c r="A261" s="10">
        <f t="shared" si="10"/>
        <v>257</v>
      </c>
      <c r="B261" s="3">
        <v>5125</v>
      </c>
      <c r="C261" s="5" t="s">
        <v>674</v>
      </c>
      <c r="D261" s="5" t="s">
        <v>488</v>
      </c>
      <c r="E261" s="5" t="s">
        <v>64</v>
      </c>
      <c r="F261" s="5" t="s">
        <v>64</v>
      </c>
      <c r="G261" s="7">
        <v>42037</v>
      </c>
      <c r="H261" s="18">
        <f t="shared" ref="H261:H324" si="12">($H$3-G261)/365</f>
        <v>11.164383561643836</v>
      </c>
      <c r="I261" s="5" t="s">
        <v>13</v>
      </c>
      <c r="J261" s="28">
        <v>35050.775500000003</v>
      </c>
      <c r="K261" s="28">
        <v>4000</v>
      </c>
      <c r="L261" s="31">
        <f t="shared" si="11"/>
        <v>0.11412015691350394</v>
      </c>
    </row>
    <row r="262" spans="1:12" ht="15" customHeight="1" x14ac:dyDescent="0.35">
      <c r="A262" s="10">
        <f t="shared" ref="A262:A325" si="13">+A261+1</f>
        <v>258</v>
      </c>
      <c r="B262" s="3">
        <v>5137</v>
      </c>
      <c r="C262" s="5" t="s">
        <v>675</v>
      </c>
      <c r="D262" s="5" t="s">
        <v>21</v>
      </c>
      <c r="E262" s="5" t="s">
        <v>24</v>
      </c>
      <c r="F262" s="5" t="s">
        <v>152</v>
      </c>
      <c r="G262" s="7">
        <v>42051</v>
      </c>
      <c r="H262" s="18">
        <f t="shared" si="12"/>
        <v>11.126027397260273</v>
      </c>
      <c r="I262" s="5" t="s">
        <v>13</v>
      </c>
      <c r="J262" s="28">
        <v>31568.139500000001</v>
      </c>
      <c r="K262" s="28">
        <v>4000</v>
      </c>
      <c r="L262" s="31">
        <f t="shared" ref="L262:L325" si="14">+K262/J262</f>
        <v>0.12671003306989315</v>
      </c>
    </row>
    <row r="263" spans="1:12" ht="15" customHeight="1" x14ac:dyDescent="0.35">
      <c r="A263" s="10">
        <f t="shared" si="13"/>
        <v>259</v>
      </c>
      <c r="B263" s="3">
        <v>5153</v>
      </c>
      <c r="C263" s="5" t="s">
        <v>676</v>
      </c>
      <c r="D263" s="5" t="s">
        <v>557</v>
      </c>
      <c r="E263" s="5" t="s">
        <v>16</v>
      </c>
      <c r="F263" s="5" t="s">
        <v>17</v>
      </c>
      <c r="G263" s="7">
        <v>41906</v>
      </c>
      <c r="H263" s="18">
        <f t="shared" si="12"/>
        <v>11.523287671232877</v>
      </c>
      <c r="I263" s="5" t="s">
        <v>13</v>
      </c>
      <c r="J263" s="28">
        <v>25492.25</v>
      </c>
      <c r="K263" s="28">
        <v>4000</v>
      </c>
      <c r="L263" s="31">
        <f t="shared" si="14"/>
        <v>0.15691043356314174</v>
      </c>
    </row>
    <row r="264" spans="1:12" ht="15" customHeight="1" x14ac:dyDescent="0.35">
      <c r="A264" s="10">
        <f t="shared" si="13"/>
        <v>260</v>
      </c>
      <c r="B264" s="3">
        <v>5165</v>
      </c>
      <c r="C264" s="5" t="s">
        <v>677</v>
      </c>
      <c r="D264" s="5" t="s">
        <v>678</v>
      </c>
      <c r="E264" s="5" t="s">
        <v>87</v>
      </c>
      <c r="F264" s="5" t="s">
        <v>678</v>
      </c>
      <c r="G264" s="7">
        <v>42065</v>
      </c>
      <c r="H264" s="18">
        <f t="shared" si="12"/>
        <v>11.087671232876712</v>
      </c>
      <c r="I264" s="5" t="s">
        <v>13</v>
      </c>
      <c r="J264" s="28">
        <v>35433.834999999999</v>
      </c>
      <c r="K264" s="28">
        <v>4000</v>
      </c>
      <c r="L264" s="31">
        <f t="shared" si="14"/>
        <v>0.11288645442978441</v>
      </c>
    </row>
    <row r="265" spans="1:12" ht="15" customHeight="1" x14ac:dyDescent="0.35">
      <c r="A265" s="10">
        <f t="shared" si="13"/>
        <v>261</v>
      </c>
      <c r="B265" s="3">
        <v>5316</v>
      </c>
      <c r="C265" s="5" t="s">
        <v>690</v>
      </c>
      <c r="D265" s="5" t="s">
        <v>557</v>
      </c>
      <c r="E265" s="5" t="s">
        <v>16</v>
      </c>
      <c r="F265" s="5" t="s">
        <v>17</v>
      </c>
      <c r="G265" s="7">
        <v>41792</v>
      </c>
      <c r="H265" s="18">
        <f t="shared" si="12"/>
        <v>11.835616438356164</v>
      </c>
      <c r="I265" s="5" t="s">
        <v>13</v>
      </c>
      <c r="J265" s="28">
        <v>25292.25</v>
      </c>
      <c r="K265" s="28">
        <v>4000</v>
      </c>
      <c r="L265" s="31">
        <f t="shared" si="14"/>
        <v>0.15815121232788701</v>
      </c>
    </row>
    <row r="266" spans="1:12" ht="15" customHeight="1" x14ac:dyDescent="0.35">
      <c r="A266" s="10">
        <f t="shared" si="13"/>
        <v>262</v>
      </c>
      <c r="B266" s="3">
        <v>5317</v>
      </c>
      <c r="C266" s="5" t="s">
        <v>691</v>
      </c>
      <c r="D266" s="5" t="s">
        <v>557</v>
      </c>
      <c r="E266" s="5" t="s">
        <v>16</v>
      </c>
      <c r="F266" s="5" t="s">
        <v>17</v>
      </c>
      <c r="G266" s="7">
        <v>42166</v>
      </c>
      <c r="H266" s="18">
        <f t="shared" si="12"/>
        <v>10.810958904109588</v>
      </c>
      <c r="I266" s="5" t="s">
        <v>13</v>
      </c>
      <c r="J266" s="28">
        <v>25292.25</v>
      </c>
      <c r="K266" s="28">
        <v>4000</v>
      </c>
      <c r="L266" s="31">
        <f t="shared" si="14"/>
        <v>0.15815121232788701</v>
      </c>
    </row>
    <row r="267" spans="1:12" ht="15" customHeight="1" x14ac:dyDescent="0.35">
      <c r="A267" s="10">
        <f t="shared" si="13"/>
        <v>263</v>
      </c>
      <c r="B267" s="3">
        <v>5320</v>
      </c>
      <c r="C267" s="5" t="s">
        <v>692</v>
      </c>
      <c r="D267" s="5" t="s">
        <v>693</v>
      </c>
      <c r="E267" s="5" t="s">
        <v>181</v>
      </c>
      <c r="F267" s="5" t="s">
        <v>181</v>
      </c>
      <c r="G267" s="7">
        <v>42156</v>
      </c>
      <c r="H267" s="18">
        <f t="shared" si="12"/>
        <v>10.838356164383562</v>
      </c>
      <c r="I267" s="5" t="s">
        <v>13</v>
      </c>
      <c r="J267" s="28">
        <v>33412.506500000003</v>
      </c>
      <c r="K267" s="28">
        <v>4000</v>
      </c>
      <c r="L267" s="31">
        <f t="shared" si="14"/>
        <v>0.11971565198199062</v>
      </c>
    </row>
    <row r="268" spans="1:12" ht="15" customHeight="1" x14ac:dyDescent="0.35">
      <c r="A268" s="10">
        <f t="shared" si="13"/>
        <v>264</v>
      </c>
      <c r="B268" s="3">
        <v>5530</v>
      </c>
      <c r="C268" s="5" t="s">
        <v>694</v>
      </c>
      <c r="D268" s="5" t="s">
        <v>21</v>
      </c>
      <c r="E268" s="5" t="s">
        <v>103</v>
      </c>
      <c r="F268" s="5" t="s">
        <v>103</v>
      </c>
      <c r="G268" s="7">
        <v>42170</v>
      </c>
      <c r="H268" s="18">
        <f t="shared" si="12"/>
        <v>10.8</v>
      </c>
      <c r="I268" s="5" t="s">
        <v>13</v>
      </c>
      <c r="J268" s="28">
        <v>26792.307499999999</v>
      </c>
      <c r="K268" s="28">
        <v>4000</v>
      </c>
      <c r="L268" s="31">
        <f t="shared" si="14"/>
        <v>0.14929658447671967</v>
      </c>
    </row>
    <row r="269" spans="1:12" ht="15" customHeight="1" x14ac:dyDescent="0.35">
      <c r="A269" s="10">
        <f t="shared" si="13"/>
        <v>265</v>
      </c>
      <c r="B269" s="3">
        <v>5544</v>
      </c>
      <c r="C269" s="5" t="s">
        <v>699</v>
      </c>
      <c r="D269" s="5" t="s">
        <v>151</v>
      </c>
      <c r="E269" s="5" t="s">
        <v>493</v>
      </c>
      <c r="F269" s="5" t="s">
        <v>494</v>
      </c>
      <c r="G269" s="7">
        <v>42170</v>
      </c>
      <c r="H269" s="18">
        <f t="shared" si="12"/>
        <v>10.8</v>
      </c>
      <c r="I269" s="5" t="s">
        <v>13</v>
      </c>
      <c r="J269" s="28">
        <v>31239.015500000001</v>
      </c>
      <c r="K269" s="28">
        <v>4000</v>
      </c>
      <c r="L269" s="31">
        <f t="shared" si="14"/>
        <v>0.12804500833260893</v>
      </c>
    </row>
    <row r="270" spans="1:12" ht="15" customHeight="1" x14ac:dyDescent="0.35">
      <c r="A270" s="10">
        <f t="shared" si="13"/>
        <v>266</v>
      </c>
      <c r="B270" s="3">
        <v>5546</v>
      </c>
      <c r="C270" s="5" t="s">
        <v>700</v>
      </c>
      <c r="D270" s="5" t="s">
        <v>488</v>
      </c>
      <c r="E270" s="5" t="s">
        <v>228</v>
      </c>
      <c r="F270" s="5" t="s">
        <v>228</v>
      </c>
      <c r="G270" s="7">
        <v>42170</v>
      </c>
      <c r="H270" s="18">
        <f t="shared" si="12"/>
        <v>10.8</v>
      </c>
      <c r="I270" s="5" t="s">
        <v>13</v>
      </c>
      <c r="J270" s="28">
        <v>35333.514999999999</v>
      </c>
      <c r="K270" s="28">
        <v>4000</v>
      </c>
      <c r="L270" s="31">
        <f t="shared" si="14"/>
        <v>0.11320696511513219</v>
      </c>
    </row>
    <row r="271" spans="1:12" ht="15" customHeight="1" x14ac:dyDescent="0.35">
      <c r="A271" s="10">
        <f t="shared" si="13"/>
        <v>267</v>
      </c>
      <c r="B271" s="3">
        <v>5573</v>
      </c>
      <c r="C271" s="5" t="s">
        <v>702</v>
      </c>
      <c r="D271" s="5" t="s">
        <v>455</v>
      </c>
      <c r="E271" s="5" t="s">
        <v>94</v>
      </c>
      <c r="F271" s="5" t="s">
        <v>94</v>
      </c>
      <c r="G271" s="7">
        <v>42170</v>
      </c>
      <c r="H271" s="18">
        <f t="shared" si="12"/>
        <v>10.8</v>
      </c>
      <c r="I271" s="5" t="s">
        <v>13</v>
      </c>
      <c r="J271" s="28">
        <v>30685.135000000002</v>
      </c>
      <c r="K271" s="28">
        <v>4000</v>
      </c>
      <c r="L271" s="31">
        <f t="shared" si="14"/>
        <v>0.13035627837387712</v>
      </c>
    </row>
    <row r="272" spans="1:12" ht="15" customHeight="1" x14ac:dyDescent="0.35">
      <c r="A272" s="10">
        <f t="shared" si="13"/>
        <v>268</v>
      </c>
      <c r="B272" s="3">
        <v>5577</v>
      </c>
      <c r="C272" s="5" t="s">
        <v>703</v>
      </c>
      <c r="D272" s="5" t="s">
        <v>77</v>
      </c>
      <c r="E272" s="5" t="s">
        <v>61</v>
      </c>
      <c r="F272" s="5" t="s">
        <v>61</v>
      </c>
      <c r="G272" s="7">
        <v>42191</v>
      </c>
      <c r="H272" s="18">
        <f t="shared" si="12"/>
        <v>10.742465753424657</v>
      </c>
      <c r="I272" s="5" t="s">
        <v>13</v>
      </c>
      <c r="J272" s="28">
        <v>30996.662</v>
      </c>
      <c r="K272" s="28">
        <v>4000</v>
      </c>
      <c r="L272" s="31">
        <f t="shared" si="14"/>
        <v>0.12904615342129419</v>
      </c>
    </row>
    <row r="273" spans="1:12" ht="15" customHeight="1" x14ac:dyDescent="0.35">
      <c r="A273" s="10">
        <f t="shared" si="13"/>
        <v>269</v>
      </c>
      <c r="B273" s="3">
        <v>5581</v>
      </c>
      <c r="C273" s="5" t="s">
        <v>704</v>
      </c>
      <c r="D273" s="5" t="s">
        <v>557</v>
      </c>
      <c r="E273" s="5" t="s">
        <v>16</v>
      </c>
      <c r="F273" s="5" t="s">
        <v>194</v>
      </c>
      <c r="G273" s="7">
        <v>42194</v>
      </c>
      <c r="H273" s="18">
        <f t="shared" si="12"/>
        <v>10.734246575342466</v>
      </c>
      <c r="I273" s="5" t="s">
        <v>13</v>
      </c>
      <c r="J273" s="28">
        <v>25292.25</v>
      </c>
      <c r="K273" s="28">
        <v>4000</v>
      </c>
      <c r="L273" s="31">
        <f t="shared" si="14"/>
        <v>0.15815121232788701</v>
      </c>
    </row>
    <row r="274" spans="1:12" ht="15" customHeight="1" x14ac:dyDescent="0.35">
      <c r="A274" s="10">
        <f t="shared" si="13"/>
        <v>270</v>
      </c>
      <c r="B274" s="3">
        <v>5582</v>
      </c>
      <c r="C274" s="5" t="s">
        <v>705</v>
      </c>
      <c r="D274" s="5" t="s">
        <v>557</v>
      </c>
      <c r="E274" s="5" t="s">
        <v>16</v>
      </c>
      <c r="F274" s="5" t="s">
        <v>17</v>
      </c>
      <c r="G274" s="7">
        <v>42194</v>
      </c>
      <c r="H274" s="18">
        <f t="shared" si="12"/>
        <v>10.734246575342466</v>
      </c>
      <c r="I274" s="5" t="s">
        <v>13</v>
      </c>
      <c r="J274" s="28">
        <v>25292.25</v>
      </c>
      <c r="K274" s="28">
        <v>4000</v>
      </c>
      <c r="L274" s="31">
        <f t="shared" si="14"/>
        <v>0.15815121232788701</v>
      </c>
    </row>
    <row r="275" spans="1:12" ht="15" customHeight="1" x14ac:dyDescent="0.35">
      <c r="A275" s="10">
        <f t="shared" si="13"/>
        <v>271</v>
      </c>
      <c r="B275" s="3">
        <v>5584</v>
      </c>
      <c r="C275" s="5" t="s">
        <v>706</v>
      </c>
      <c r="D275" s="5" t="s">
        <v>488</v>
      </c>
      <c r="E275" s="5" t="s">
        <v>64</v>
      </c>
      <c r="F275" s="5" t="s">
        <v>64</v>
      </c>
      <c r="G275" s="7">
        <v>42200</v>
      </c>
      <c r="H275" s="18">
        <f t="shared" si="12"/>
        <v>10.717808219178082</v>
      </c>
      <c r="I275" s="5" t="s">
        <v>13</v>
      </c>
      <c r="J275" s="28">
        <v>34408.775499999996</v>
      </c>
      <c r="K275" s="28">
        <v>4000</v>
      </c>
      <c r="L275" s="31">
        <f t="shared" si="14"/>
        <v>0.11624941433908337</v>
      </c>
    </row>
    <row r="276" spans="1:12" ht="15" customHeight="1" x14ac:dyDescent="0.35">
      <c r="A276" s="10">
        <f t="shared" si="13"/>
        <v>272</v>
      </c>
      <c r="B276" s="3">
        <v>5586</v>
      </c>
      <c r="C276" s="5" t="s">
        <v>707</v>
      </c>
      <c r="D276" s="5" t="s">
        <v>535</v>
      </c>
      <c r="E276" s="5" t="s">
        <v>376</v>
      </c>
      <c r="F276" s="5" t="s">
        <v>466</v>
      </c>
      <c r="G276" s="7">
        <v>42201</v>
      </c>
      <c r="H276" s="18">
        <f t="shared" si="12"/>
        <v>10.715068493150685</v>
      </c>
      <c r="I276" s="5" t="s">
        <v>13</v>
      </c>
      <c r="J276" s="28">
        <v>29171.7755</v>
      </c>
      <c r="K276" s="28">
        <v>4000</v>
      </c>
      <c r="L276" s="31">
        <f t="shared" si="14"/>
        <v>0.13711883940694664</v>
      </c>
    </row>
    <row r="277" spans="1:12" ht="15" customHeight="1" x14ac:dyDescent="0.35">
      <c r="A277" s="10">
        <f t="shared" si="13"/>
        <v>273</v>
      </c>
      <c r="B277" s="3">
        <v>5588</v>
      </c>
      <c r="C277" s="5" t="s">
        <v>708</v>
      </c>
      <c r="D277" s="5" t="s">
        <v>669</v>
      </c>
      <c r="E277" s="5" t="s">
        <v>103</v>
      </c>
      <c r="F277" s="5" t="s">
        <v>103</v>
      </c>
      <c r="G277" s="7">
        <v>42207</v>
      </c>
      <c r="H277" s="18">
        <f t="shared" si="12"/>
        <v>10.698630136986301</v>
      </c>
      <c r="I277" s="5" t="s">
        <v>13</v>
      </c>
      <c r="J277" s="28">
        <v>32794.947499999995</v>
      </c>
      <c r="K277" s="28">
        <v>4000</v>
      </c>
      <c r="L277" s="31">
        <f t="shared" si="14"/>
        <v>0.12197000772756232</v>
      </c>
    </row>
    <row r="278" spans="1:12" ht="15" customHeight="1" x14ac:dyDescent="0.35">
      <c r="A278" s="10">
        <f t="shared" si="13"/>
        <v>274</v>
      </c>
      <c r="B278" s="3">
        <v>5636</v>
      </c>
      <c r="C278" s="5" t="s">
        <v>715</v>
      </c>
      <c r="D278" s="5" t="s">
        <v>716</v>
      </c>
      <c r="E278" s="5" t="s">
        <v>35</v>
      </c>
      <c r="F278" s="5" t="s">
        <v>405</v>
      </c>
      <c r="G278" s="7">
        <v>42248</v>
      </c>
      <c r="H278" s="18">
        <f t="shared" si="12"/>
        <v>10.586301369863014</v>
      </c>
      <c r="I278" s="5" t="s">
        <v>13</v>
      </c>
      <c r="J278" s="28">
        <v>28776.807499999999</v>
      </c>
      <c r="K278" s="28">
        <v>4000</v>
      </c>
      <c r="L278" s="31">
        <f t="shared" si="14"/>
        <v>0.13900082557802843</v>
      </c>
    </row>
    <row r="279" spans="1:12" ht="15" customHeight="1" x14ac:dyDescent="0.35">
      <c r="A279" s="10">
        <f t="shared" si="13"/>
        <v>275</v>
      </c>
      <c r="B279" s="3">
        <v>5673</v>
      </c>
      <c r="C279" s="5" t="s">
        <v>719</v>
      </c>
      <c r="D279" s="5" t="s">
        <v>720</v>
      </c>
      <c r="E279" s="5" t="s">
        <v>424</v>
      </c>
      <c r="F279" s="5" t="s">
        <v>424</v>
      </c>
      <c r="G279" s="7">
        <v>42278</v>
      </c>
      <c r="H279" s="18">
        <f t="shared" si="12"/>
        <v>10.504109589041096</v>
      </c>
      <c r="I279" s="5" t="s">
        <v>21</v>
      </c>
      <c r="J279" s="28">
        <v>73181.5</v>
      </c>
      <c r="K279" s="28">
        <v>4000</v>
      </c>
      <c r="L279" s="31">
        <f t="shared" si="14"/>
        <v>5.4658622739353527E-2</v>
      </c>
    </row>
    <row r="280" spans="1:12" ht="15" customHeight="1" x14ac:dyDescent="0.35">
      <c r="A280" s="10">
        <f t="shared" si="13"/>
        <v>276</v>
      </c>
      <c r="B280" s="3">
        <v>5674</v>
      </c>
      <c r="C280" s="5" t="s">
        <v>721</v>
      </c>
      <c r="D280" s="5" t="s">
        <v>722</v>
      </c>
      <c r="E280" s="5" t="s">
        <v>424</v>
      </c>
      <c r="F280" s="5" t="s">
        <v>424</v>
      </c>
      <c r="G280" s="7">
        <v>42278</v>
      </c>
      <c r="H280" s="18">
        <f t="shared" si="12"/>
        <v>10.504109589041096</v>
      </c>
      <c r="I280" s="5" t="s">
        <v>21</v>
      </c>
      <c r="J280" s="28">
        <v>175714.5</v>
      </c>
      <c r="K280" s="28">
        <v>4000</v>
      </c>
      <c r="L280" s="31">
        <f t="shared" si="14"/>
        <v>2.2764199881057056E-2</v>
      </c>
    </row>
    <row r="281" spans="1:12" ht="15" customHeight="1" x14ac:dyDescent="0.35">
      <c r="A281" s="10">
        <f t="shared" si="13"/>
        <v>277</v>
      </c>
      <c r="B281" s="3">
        <v>5679</v>
      </c>
      <c r="C281" s="5" t="s">
        <v>723</v>
      </c>
      <c r="D281" s="5" t="s">
        <v>535</v>
      </c>
      <c r="E281" s="5" t="s">
        <v>376</v>
      </c>
      <c r="F281" s="5" t="s">
        <v>466</v>
      </c>
      <c r="G281" s="7">
        <v>42282</v>
      </c>
      <c r="H281" s="18">
        <f t="shared" si="12"/>
        <v>10.493150684931507</v>
      </c>
      <c r="I281" s="5" t="s">
        <v>13</v>
      </c>
      <c r="J281" s="28">
        <v>30168.0445</v>
      </c>
      <c r="K281" s="28">
        <v>4000</v>
      </c>
      <c r="L281" s="31">
        <f t="shared" si="14"/>
        <v>0.13259062913408259</v>
      </c>
    </row>
    <row r="282" spans="1:12" ht="15" customHeight="1" x14ac:dyDescent="0.35">
      <c r="A282" s="10">
        <f t="shared" si="13"/>
        <v>278</v>
      </c>
      <c r="B282" s="3">
        <v>5680</v>
      </c>
      <c r="C282" s="5" t="s">
        <v>724</v>
      </c>
      <c r="D282" s="5" t="s">
        <v>725</v>
      </c>
      <c r="E282" s="5" t="s">
        <v>94</v>
      </c>
      <c r="F282" s="5" t="s">
        <v>94</v>
      </c>
      <c r="G282" s="7">
        <v>42282</v>
      </c>
      <c r="H282" s="18">
        <f t="shared" si="12"/>
        <v>10.493150684931507</v>
      </c>
      <c r="I282" s="5" t="s">
        <v>13</v>
      </c>
      <c r="J282" s="28">
        <v>33721.286</v>
      </c>
      <c r="K282" s="28">
        <v>4000</v>
      </c>
      <c r="L282" s="31">
        <f t="shared" si="14"/>
        <v>0.11861943817919637</v>
      </c>
    </row>
    <row r="283" spans="1:12" ht="15" customHeight="1" x14ac:dyDescent="0.35">
      <c r="A283" s="10">
        <f t="shared" si="13"/>
        <v>279</v>
      </c>
      <c r="B283" s="3">
        <v>5716</v>
      </c>
      <c r="C283" s="5" t="s">
        <v>732</v>
      </c>
      <c r="D283" s="5" t="s">
        <v>733</v>
      </c>
      <c r="E283" s="5" t="s">
        <v>165</v>
      </c>
      <c r="F283" s="5" t="s">
        <v>165</v>
      </c>
      <c r="G283" s="7">
        <v>42072</v>
      </c>
      <c r="H283" s="18">
        <f t="shared" si="12"/>
        <v>11.068493150684931</v>
      </c>
      <c r="I283" s="5" t="s">
        <v>13</v>
      </c>
      <c r="J283" s="28">
        <v>44895.815000000002</v>
      </c>
      <c r="K283" s="28">
        <v>4000</v>
      </c>
      <c r="L283" s="31">
        <f t="shared" si="14"/>
        <v>8.9095163992456747E-2</v>
      </c>
    </row>
    <row r="284" spans="1:12" ht="15" customHeight="1" x14ac:dyDescent="0.35">
      <c r="A284" s="10">
        <f t="shared" si="13"/>
        <v>280</v>
      </c>
      <c r="B284" s="3">
        <v>5723</v>
      </c>
      <c r="C284" s="5" t="s">
        <v>736</v>
      </c>
      <c r="D284" s="5" t="s">
        <v>21</v>
      </c>
      <c r="E284" s="5" t="s">
        <v>24</v>
      </c>
      <c r="F284" s="5" t="s">
        <v>152</v>
      </c>
      <c r="G284" s="7">
        <v>42303</v>
      </c>
      <c r="H284" s="18">
        <f t="shared" si="12"/>
        <v>10.435616438356165</v>
      </c>
      <c r="I284" s="5" t="s">
        <v>13</v>
      </c>
      <c r="J284" s="28">
        <v>29482.407500000001</v>
      </c>
      <c r="K284" s="28">
        <v>4000</v>
      </c>
      <c r="L284" s="31">
        <f t="shared" si="14"/>
        <v>0.13567413041150048</v>
      </c>
    </row>
    <row r="285" spans="1:12" ht="15" customHeight="1" x14ac:dyDescent="0.35">
      <c r="A285" s="10">
        <f t="shared" si="13"/>
        <v>281</v>
      </c>
      <c r="B285" s="3">
        <v>5758</v>
      </c>
      <c r="C285" s="5" t="s">
        <v>740</v>
      </c>
      <c r="D285" s="5" t="s">
        <v>21</v>
      </c>
      <c r="E285" s="5" t="s">
        <v>103</v>
      </c>
      <c r="F285" s="5" t="s">
        <v>103</v>
      </c>
      <c r="G285" s="7">
        <v>42326</v>
      </c>
      <c r="H285" s="18">
        <f t="shared" si="12"/>
        <v>10.372602739726027</v>
      </c>
      <c r="I285" s="5" t="s">
        <v>13</v>
      </c>
      <c r="J285" s="28">
        <v>27295.530500000001</v>
      </c>
      <c r="K285" s="28">
        <v>4000</v>
      </c>
      <c r="L285" s="31">
        <f t="shared" si="14"/>
        <v>0.14654413842588623</v>
      </c>
    </row>
    <row r="286" spans="1:12" ht="15" customHeight="1" x14ac:dyDescent="0.35">
      <c r="A286" s="10">
        <f t="shared" si="13"/>
        <v>282</v>
      </c>
      <c r="B286" s="3">
        <v>5760</v>
      </c>
      <c r="C286" s="5" t="s">
        <v>741</v>
      </c>
      <c r="D286" s="5" t="s">
        <v>249</v>
      </c>
      <c r="E286" s="5" t="s">
        <v>165</v>
      </c>
      <c r="F286" s="5" t="s">
        <v>165</v>
      </c>
      <c r="G286" s="7">
        <v>42142</v>
      </c>
      <c r="H286" s="18">
        <f t="shared" si="12"/>
        <v>10.876712328767123</v>
      </c>
      <c r="I286" s="5" t="s">
        <v>13</v>
      </c>
      <c r="J286" s="28">
        <v>31777.939050000001</v>
      </c>
      <c r="K286" s="28">
        <v>4000</v>
      </c>
      <c r="L286" s="31">
        <f t="shared" si="14"/>
        <v>0.12587348706617901</v>
      </c>
    </row>
    <row r="287" spans="1:12" ht="15" customHeight="1" x14ac:dyDescent="0.35">
      <c r="A287" s="10">
        <f t="shared" si="13"/>
        <v>283</v>
      </c>
      <c r="B287" s="3">
        <v>5812</v>
      </c>
      <c r="C287" s="5" t="s">
        <v>746</v>
      </c>
      <c r="D287" s="5" t="s">
        <v>332</v>
      </c>
      <c r="E287" s="5" t="s">
        <v>407</v>
      </c>
      <c r="F287" s="5" t="s">
        <v>408</v>
      </c>
      <c r="G287" s="7">
        <v>42380</v>
      </c>
      <c r="H287" s="18">
        <f t="shared" si="12"/>
        <v>10.224657534246575</v>
      </c>
      <c r="I287" s="5" t="s">
        <v>21</v>
      </c>
      <c r="J287" s="28">
        <v>74499.5</v>
      </c>
      <c r="K287" s="28">
        <v>4000</v>
      </c>
      <c r="L287" s="31">
        <f t="shared" si="14"/>
        <v>5.3691635514332314E-2</v>
      </c>
    </row>
    <row r="288" spans="1:12" ht="15" customHeight="1" x14ac:dyDescent="0.35">
      <c r="A288" s="10">
        <f t="shared" si="13"/>
        <v>284</v>
      </c>
      <c r="B288" s="3">
        <v>5817</v>
      </c>
      <c r="C288" s="5" t="s">
        <v>747</v>
      </c>
      <c r="D288" s="5" t="s">
        <v>748</v>
      </c>
      <c r="E288" s="5" t="s">
        <v>181</v>
      </c>
      <c r="F288" s="5" t="s">
        <v>181</v>
      </c>
      <c r="G288" s="7">
        <v>42389</v>
      </c>
      <c r="H288" s="18">
        <f t="shared" si="12"/>
        <v>10.199999999999999</v>
      </c>
      <c r="I288" s="5" t="s">
        <v>21</v>
      </c>
      <c r="J288" s="28">
        <v>50490.090000000004</v>
      </c>
      <c r="K288" s="28">
        <v>4000</v>
      </c>
      <c r="L288" s="31">
        <f t="shared" si="14"/>
        <v>7.9223467417071342E-2</v>
      </c>
    </row>
    <row r="289" spans="1:12" ht="15" customHeight="1" x14ac:dyDescent="0.35">
      <c r="A289" s="10">
        <f t="shared" si="13"/>
        <v>285</v>
      </c>
      <c r="B289" s="3">
        <v>5823</v>
      </c>
      <c r="C289" s="5" t="s">
        <v>749</v>
      </c>
      <c r="D289" s="5" t="s">
        <v>21</v>
      </c>
      <c r="E289" s="5" t="s">
        <v>24</v>
      </c>
      <c r="F289" s="5" t="s">
        <v>152</v>
      </c>
      <c r="G289" s="7">
        <v>42394</v>
      </c>
      <c r="H289" s="18">
        <f t="shared" si="12"/>
        <v>10.186301369863013</v>
      </c>
      <c r="I289" s="5" t="s">
        <v>13</v>
      </c>
      <c r="J289" s="28">
        <v>31033.139500000001</v>
      </c>
      <c r="K289" s="28">
        <v>4000</v>
      </c>
      <c r="L289" s="31">
        <f t="shared" si="14"/>
        <v>0.12889446779949543</v>
      </c>
    </row>
    <row r="290" spans="1:12" ht="15" customHeight="1" x14ac:dyDescent="0.35">
      <c r="A290" s="10">
        <f t="shared" si="13"/>
        <v>286</v>
      </c>
      <c r="B290" s="3">
        <v>5824</v>
      </c>
      <c r="C290" s="5" t="s">
        <v>750</v>
      </c>
      <c r="D290" s="5" t="s">
        <v>21</v>
      </c>
      <c r="E290" s="5" t="s">
        <v>103</v>
      </c>
      <c r="F290" s="5" t="s">
        <v>103</v>
      </c>
      <c r="G290" s="7">
        <v>42408</v>
      </c>
      <c r="H290" s="18">
        <f t="shared" si="12"/>
        <v>10.147945205479452</v>
      </c>
      <c r="I290" s="5" t="s">
        <v>13</v>
      </c>
      <c r="J290" s="28">
        <v>27295.530500000001</v>
      </c>
      <c r="K290" s="28">
        <v>4000</v>
      </c>
      <c r="L290" s="31">
        <f t="shared" si="14"/>
        <v>0.14654413842588623</v>
      </c>
    </row>
    <row r="291" spans="1:12" ht="15" customHeight="1" x14ac:dyDescent="0.35">
      <c r="A291" s="10">
        <f t="shared" si="13"/>
        <v>287</v>
      </c>
      <c r="B291" s="3">
        <v>5857</v>
      </c>
      <c r="C291" s="5" t="s">
        <v>753</v>
      </c>
      <c r="D291" s="5" t="s">
        <v>557</v>
      </c>
      <c r="E291" s="5" t="s">
        <v>16</v>
      </c>
      <c r="F291" s="5" t="s">
        <v>17</v>
      </c>
      <c r="G291" s="7">
        <v>41862</v>
      </c>
      <c r="H291" s="18">
        <f t="shared" si="12"/>
        <v>11.643835616438356</v>
      </c>
      <c r="I291" s="5" t="s">
        <v>13</v>
      </c>
      <c r="J291" s="28">
        <v>24990.544999999998</v>
      </c>
      <c r="K291" s="28">
        <v>4000</v>
      </c>
      <c r="L291" s="31">
        <f t="shared" si="14"/>
        <v>0.16006053489429703</v>
      </c>
    </row>
    <row r="292" spans="1:12" ht="15" customHeight="1" x14ac:dyDescent="0.35">
      <c r="A292" s="10">
        <f t="shared" si="13"/>
        <v>288</v>
      </c>
      <c r="B292" s="3">
        <v>5862</v>
      </c>
      <c r="C292" s="5" t="s">
        <v>754</v>
      </c>
      <c r="D292" s="5" t="s">
        <v>755</v>
      </c>
      <c r="E292" s="5" t="s">
        <v>51</v>
      </c>
      <c r="F292" s="5" t="s">
        <v>51</v>
      </c>
      <c r="G292" s="7">
        <v>42445</v>
      </c>
      <c r="H292" s="18">
        <f t="shared" si="12"/>
        <v>10.046575342465754</v>
      </c>
      <c r="I292" s="5" t="s">
        <v>13</v>
      </c>
      <c r="J292" s="28">
        <v>34464.447500000002</v>
      </c>
      <c r="K292" s="28">
        <v>4000</v>
      </c>
      <c r="L292" s="31">
        <f t="shared" si="14"/>
        <v>0.11606163133762698</v>
      </c>
    </row>
    <row r="293" spans="1:12" ht="15" customHeight="1" x14ac:dyDescent="0.35">
      <c r="A293" s="10">
        <f t="shared" si="13"/>
        <v>289</v>
      </c>
      <c r="B293" s="3">
        <v>5863</v>
      </c>
      <c r="C293" s="5" t="s">
        <v>756</v>
      </c>
      <c r="D293" s="5" t="s">
        <v>50</v>
      </c>
      <c r="E293" s="5" t="s">
        <v>51</v>
      </c>
      <c r="F293" s="5" t="s">
        <v>51</v>
      </c>
      <c r="G293" s="7">
        <v>42445</v>
      </c>
      <c r="H293" s="18">
        <f t="shared" si="12"/>
        <v>10.046575342465754</v>
      </c>
      <c r="I293" s="5" t="s">
        <v>13</v>
      </c>
      <c r="J293" s="28">
        <v>37082.514999999999</v>
      </c>
      <c r="K293" s="28">
        <v>4000</v>
      </c>
      <c r="L293" s="31">
        <f t="shared" si="14"/>
        <v>0.10786754889737117</v>
      </c>
    </row>
    <row r="294" spans="1:12" ht="15" customHeight="1" x14ac:dyDescent="0.35">
      <c r="A294" s="10">
        <f t="shared" si="13"/>
        <v>290</v>
      </c>
      <c r="B294" s="3">
        <v>5864</v>
      </c>
      <c r="C294" s="5" t="s">
        <v>757</v>
      </c>
      <c r="D294" s="5" t="s">
        <v>733</v>
      </c>
      <c r="E294" s="5" t="s">
        <v>165</v>
      </c>
      <c r="F294" s="5" t="s">
        <v>165</v>
      </c>
      <c r="G294" s="7">
        <v>42450</v>
      </c>
      <c r="H294" s="18">
        <f t="shared" si="12"/>
        <v>10.032876712328767</v>
      </c>
      <c r="I294" s="5" t="s">
        <v>13</v>
      </c>
      <c r="J294" s="28">
        <v>32177.388500000001</v>
      </c>
      <c r="K294" s="28">
        <v>4000</v>
      </c>
      <c r="L294" s="31">
        <f t="shared" si="14"/>
        <v>0.12431089614373149</v>
      </c>
    </row>
    <row r="295" spans="1:12" ht="15" customHeight="1" x14ac:dyDescent="0.35">
      <c r="A295" s="10">
        <f t="shared" si="13"/>
        <v>291</v>
      </c>
      <c r="B295" s="3">
        <v>5890</v>
      </c>
      <c r="C295" s="5" t="s">
        <v>759</v>
      </c>
      <c r="D295" s="5" t="s">
        <v>557</v>
      </c>
      <c r="E295" s="5" t="s">
        <v>424</v>
      </c>
      <c r="F295" s="5" t="s">
        <v>424</v>
      </c>
      <c r="G295" s="7">
        <v>42310</v>
      </c>
      <c r="H295" s="18">
        <f t="shared" si="12"/>
        <v>10.416438356164383</v>
      </c>
      <c r="I295" s="5" t="s">
        <v>13</v>
      </c>
      <c r="J295" s="28">
        <v>24590.501</v>
      </c>
      <c r="K295" s="28">
        <v>4000</v>
      </c>
      <c r="L295" s="31">
        <f t="shared" si="14"/>
        <v>0.16266443697100763</v>
      </c>
    </row>
    <row r="296" spans="1:12" ht="15" customHeight="1" x14ac:dyDescent="0.35">
      <c r="A296" s="10">
        <f t="shared" si="13"/>
        <v>292</v>
      </c>
      <c r="B296" s="3">
        <v>5911</v>
      </c>
      <c r="C296" s="5" t="s">
        <v>764</v>
      </c>
      <c r="D296" s="5" t="s">
        <v>557</v>
      </c>
      <c r="E296" s="5" t="s">
        <v>16</v>
      </c>
      <c r="F296" s="5" t="s">
        <v>344</v>
      </c>
      <c r="G296" s="7">
        <v>42359</v>
      </c>
      <c r="H296" s="18">
        <f t="shared" si="12"/>
        <v>10.282191780821918</v>
      </c>
      <c r="I296" s="5" t="s">
        <v>13</v>
      </c>
      <c r="J296" s="28">
        <v>25984.871424999998</v>
      </c>
      <c r="K296" s="28">
        <v>4000</v>
      </c>
      <c r="L296" s="31">
        <f t="shared" si="14"/>
        <v>0.15393572415954335</v>
      </c>
    </row>
    <row r="297" spans="1:12" ht="15" customHeight="1" x14ac:dyDescent="0.35">
      <c r="A297" s="10">
        <f t="shared" si="13"/>
        <v>293</v>
      </c>
      <c r="B297" s="3">
        <v>5920</v>
      </c>
      <c r="C297" s="5" t="s">
        <v>765</v>
      </c>
      <c r="D297" s="5" t="s">
        <v>77</v>
      </c>
      <c r="E297" s="5" t="s">
        <v>61</v>
      </c>
      <c r="F297" s="5" t="s">
        <v>61</v>
      </c>
      <c r="G297" s="7">
        <v>42552</v>
      </c>
      <c r="H297" s="18">
        <f t="shared" si="12"/>
        <v>9.7534246575342465</v>
      </c>
      <c r="I297" s="5" t="s">
        <v>13</v>
      </c>
      <c r="J297" s="28">
        <v>29108.110499999999</v>
      </c>
      <c r="K297" s="28">
        <v>3500</v>
      </c>
      <c r="L297" s="31">
        <f t="shared" si="14"/>
        <v>0.12024140144720147</v>
      </c>
    </row>
    <row r="298" spans="1:12" ht="15" customHeight="1" x14ac:dyDescent="0.35">
      <c r="A298" s="10">
        <f t="shared" si="13"/>
        <v>294</v>
      </c>
      <c r="B298" s="3">
        <v>5922</v>
      </c>
      <c r="C298" s="5" t="s">
        <v>766</v>
      </c>
      <c r="D298" s="5" t="s">
        <v>557</v>
      </c>
      <c r="E298" s="5" t="s">
        <v>16</v>
      </c>
      <c r="F298" s="5" t="s">
        <v>17</v>
      </c>
      <c r="G298" s="7">
        <v>42380</v>
      </c>
      <c r="H298" s="18">
        <f t="shared" si="12"/>
        <v>10.224657534246575</v>
      </c>
      <c r="I298" s="5" t="s">
        <v>13</v>
      </c>
      <c r="J298" s="28">
        <v>25736.213449999999</v>
      </c>
      <c r="K298" s="28">
        <v>4000</v>
      </c>
      <c r="L298" s="31">
        <f t="shared" si="14"/>
        <v>0.15542301930978117</v>
      </c>
    </row>
    <row r="299" spans="1:12" ht="15" customHeight="1" x14ac:dyDescent="0.35">
      <c r="A299" s="10">
        <f t="shared" si="13"/>
        <v>295</v>
      </c>
      <c r="B299" s="3">
        <v>5932</v>
      </c>
      <c r="C299" s="5" t="s">
        <v>767</v>
      </c>
      <c r="D299" s="5" t="s">
        <v>768</v>
      </c>
      <c r="E299" s="5" t="s">
        <v>769</v>
      </c>
      <c r="F299" s="5" t="s">
        <v>769</v>
      </c>
      <c r="G299" s="7">
        <v>42565</v>
      </c>
      <c r="H299" s="18">
        <f t="shared" si="12"/>
        <v>9.7178082191780817</v>
      </c>
      <c r="I299" s="5" t="s">
        <v>13</v>
      </c>
      <c r="J299" s="28">
        <v>35432.514999999999</v>
      </c>
      <c r="K299" s="28">
        <v>3500</v>
      </c>
      <c r="L299" s="31">
        <f t="shared" si="14"/>
        <v>9.8779327405915163E-2</v>
      </c>
    </row>
    <row r="300" spans="1:12" ht="15" customHeight="1" x14ac:dyDescent="0.35">
      <c r="A300" s="10">
        <f t="shared" si="13"/>
        <v>296</v>
      </c>
      <c r="B300" s="3">
        <v>5943</v>
      </c>
      <c r="C300" s="5" t="s">
        <v>770</v>
      </c>
      <c r="D300" s="5" t="s">
        <v>151</v>
      </c>
      <c r="E300" s="5" t="s">
        <v>68</v>
      </c>
      <c r="F300" s="5" t="s">
        <v>69</v>
      </c>
      <c r="G300" s="7">
        <v>42391</v>
      </c>
      <c r="H300" s="18">
        <f t="shared" si="12"/>
        <v>10.194520547945206</v>
      </c>
      <c r="I300" s="5" t="s">
        <v>13</v>
      </c>
      <c r="J300" s="28">
        <v>27960.75</v>
      </c>
      <c r="K300" s="28">
        <v>4000</v>
      </c>
      <c r="L300" s="31">
        <f t="shared" si="14"/>
        <v>0.14305767906797923</v>
      </c>
    </row>
    <row r="301" spans="1:12" ht="15" customHeight="1" x14ac:dyDescent="0.35">
      <c r="A301" s="10">
        <f t="shared" si="13"/>
        <v>297</v>
      </c>
      <c r="B301" s="3">
        <v>5959</v>
      </c>
      <c r="C301" s="5" t="s">
        <v>771</v>
      </c>
      <c r="D301" s="5" t="s">
        <v>21</v>
      </c>
      <c r="E301" s="5" t="s">
        <v>24</v>
      </c>
      <c r="F301" s="5" t="s">
        <v>772</v>
      </c>
      <c r="G301" s="7">
        <v>42394</v>
      </c>
      <c r="H301" s="18">
        <f t="shared" si="12"/>
        <v>10.186301369863013</v>
      </c>
      <c r="I301" s="5" t="s">
        <v>13</v>
      </c>
      <c r="J301" s="28">
        <v>29214.139500000001</v>
      </c>
      <c r="K301" s="28">
        <v>4000</v>
      </c>
      <c r="L301" s="31">
        <f t="shared" si="14"/>
        <v>0.13692000067296181</v>
      </c>
    </row>
    <row r="302" spans="1:12" ht="15" customHeight="1" x14ac:dyDescent="0.35">
      <c r="A302" s="10">
        <f t="shared" si="13"/>
        <v>298</v>
      </c>
      <c r="B302" s="3">
        <v>5966</v>
      </c>
      <c r="C302" s="5" t="s">
        <v>774</v>
      </c>
      <c r="D302" s="5" t="s">
        <v>151</v>
      </c>
      <c r="E302" s="5" t="s">
        <v>68</v>
      </c>
      <c r="F302" s="5" t="s">
        <v>254</v>
      </c>
      <c r="G302" s="7">
        <v>42583</v>
      </c>
      <c r="H302" s="18">
        <f t="shared" si="12"/>
        <v>9.668493150684931</v>
      </c>
      <c r="I302" s="5" t="s">
        <v>13</v>
      </c>
      <c r="J302" s="28">
        <v>29420.015500000001</v>
      </c>
      <c r="K302" s="28">
        <v>3500</v>
      </c>
      <c r="L302" s="31">
        <f t="shared" si="14"/>
        <v>0.11896662664912599</v>
      </c>
    </row>
    <row r="303" spans="1:12" ht="15" customHeight="1" x14ac:dyDescent="0.35">
      <c r="A303" s="10">
        <f t="shared" si="13"/>
        <v>299</v>
      </c>
      <c r="B303" s="3">
        <v>5978</v>
      </c>
      <c r="C303" s="5" t="s">
        <v>775</v>
      </c>
      <c r="D303" s="5" t="s">
        <v>455</v>
      </c>
      <c r="E303" s="5" t="s">
        <v>68</v>
      </c>
      <c r="F303" s="5" t="s">
        <v>69</v>
      </c>
      <c r="G303" s="7">
        <v>42415</v>
      </c>
      <c r="H303" s="18">
        <f t="shared" si="12"/>
        <v>10.128767123287671</v>
      </c>
      <c r="I303" s="5" t="s">
        <v>13</v>
      </c>
      <c r="J303" s="28">
        <v>28068.1695</v>
      </c>
      <c r="K303" s="28">
        <v>4000</v>
      </c>
      <c r="L303" s="31">
        <f t="shared" si="14"/>
        <v>0.14251018400042084</v>
      </c>
    </row>
    <row r="304" spans="1:12" ht="15" customHeight="1" x14ac:dyDescent="0.35">
      <c r="A304" s="10">
        <f t="shared" si="13"/>
        <v>300</v>
      </c>
      <c r="B304" s="3">
        <v>5992</v>
      </c>
      <c r="C304" s="5" t="s">
        <v>777</v>
      </c>
      <c r="D304" s="5" t="s">
        <v>778</v>
      </c>
      <c r="E304" s="5" t="s">
        <v>314</v>
      </c>
      <c r="F304" s="5" t="s">
        <v>315</v>
      </c>
      <c r="G304" s="7">
        <v>42604</v>
      </c>
      <c r="H304" s="18">
        <f t="shared" si="12"/>
        <v>9.6109589041095891</v>
      </c>
      <c r="I304" s="5" t="s">
        <v>13</v>
      </c>
      <c r="J304" s="28">
        <v>34302.746500000001</v>
      </c>
      <c r="K304" s="28">
        <v>3500</v>
      </c>
      <c r="L304" s="31">
        <f t="shared" si="14"/>
        <v>0.10203264627804656</v>
      </c>
    </row>
    <row r="305" spans="1:12" ht="15" customHeight="1" x14ac:dyDescent="0.35">
      <c r="A305" s="10">
        <f t="shared" si="13"/>
        <v>301</v>
      </c>
      <c r="B305" s="3">
        <v>6013</v>
      </c>
      <c r="C305" s="5" t="s">
        <v>779</v>
      </c>
      <c r="D305" s="5" t="s">
        <v>780</v>
      </c>
      <c r="E305" s="5" t="s">
        <v>407</v>
      </c>
      <c r="F305" s="5" t="s">
        <v>408</v>
      </c>
      <c r="G305" s="7">
        <v>42614</v>
      </c>
      <c r="H305" s="18">
        <f t="shared" si="12"/>
        <v>9.5835616438356173</v>
      </c>
      <c r="I305" s="5" t="s">
        <v>21</v>
      </c>
      <c r="J305" s="28">
        <v>66635.5</v>
      </c>
      <c r="K305" s="28">
        <v>3500</v>
      </c>
      <c r="L305" s="31">
        <f t="shared" si="14"/>
        <v>5.2524555229569822E-2</v>
      </c>
    </row>
    <row r="306" spans="1:12" ht="15" customHeight="1" x14ac:dyDescent="0.35">
      <c r="A306" s="10">
        <f t="shared" si="13"/>
        <v>302</v>
      </c>
      <c r="B306" s="3">
        <v>6038</v>
      </c>
      <c r="C306" s="5" t="s">
        <v>786</v>
      </c>
      <c r="D306" s="5" t="s">
        <v>557</v>
      </c>
      <c r="E306" s="5" t="s">
        <v>16</v>
      </c>
      <c r="F306" s="5" t="s">
        <v>17</v>
      </c>
      <c r="G306" s="7">
        <v>42450</v>
      </c>
      <c r="H306" s="18">
        <f t="shared" si="12"/>
        <v>10.032876712328767</v>
      </c>
      <c r="I306" s="5" t="s">
        <v>13</v>
      </c>
      <c r="J306" s="28">
        <v>24080.501</v>
      </c>
      <c r="K306" s="28">
        <v>4000</v>
      </c>
      <c r="L306" s="31">
        <f t="shared" si="14"/>
        <v>0.16610950079485473</v>
      </c>
    </row>
    <row r="307" spans="1:12" ht="15" customHeight="1" x14ac:dyDescent="0.35">
      <c r="A307" s="10">
        <f t="shared" si="13"/>
        <v>303</v>
      </c>
      <c r="B307" s="3">
        <v>6057</v>
      </c>
      <c r="C307" s="5" t="s">
        <v>787</v>
      </c>
      <c r="D307" s="5" t="s">
        <v>557</v>
      </c>
      <c r="E307" s="5" t="s">
        <v>16</v>
      </c>
      <c r="F307" s="5" t="s">
        <v>17</v>
      </c>
      <c r="G307" s="7">
        <v>42650</v>
      </c>
      <c r="H307" s="18">
        <f t="shared" si="12"/>
        <v>9.4849315068493159</v>
      </c>
      <c r="I307" s="5" t="s">
        <v>13</v>
      </c>
      <c r="J307" s="28">
        <v>24080.501</v>
      </c>
      <c r="K307" s="28">
        <v>3500</v>
      </c>
      <c r="L307" s="31">
        <f t="shared" si="14"/>
        <v>0.14534581319549789</v>
      </c>
    </row>
    <row r="308" spans="1:12" ht="15" customHeight="1" x14ac:dyDescent="0.35">
      <c r="A308" s="10">
        <f t="shared" si="13"/>
        <v>304</v>
      </c>
      <c r="B308" s="3">
        <v>6077</v>
      </c>
      <c r="C308" s="5" t="s">
        <v>788</v>
      </c>
      <c r="D308" s="5" t="s">
        <v>340</v>
      </c>
      <c r="E308" s="5" t="s">
        <v>165</v>
      </c>
      <c r="F308" s="5" t="s">
        <v>165</v>
      </c>
      <c r="G308" s="7">
        <v>42419</v>
      </c>
      <c r="H308" s="18">
        <f t="shared" si="12"/>
        <v>10.117808219178082</v>
      </c>
      <c r="I308" s="5" t="s">
        <v>13</v>
      </c>
      <c r="J308" s="28">
        <v>26344.1895</v>
      </c>
      <c r="K308" s="28">
        <v>4000</v>
      </c>
      <c r="L308" s="31">
        <f t="shared" si="14"/>
        <v>0.15183613828772374</v>
      </c>
    </row>
    <row r="309" spans="1:12" ht="15" customHeight="1" x14ac:dyDescent="0.35">
      <c r="A309" s="10">
        <f t="shared" si="13"/>
        <v>305</v>
      </c>
      <c r="B309" s="3">
        <v>6101</v>
      </c>
      <c r="C309" s="5" t="s">
        <v>789</v>
      </c>
      <c r="D309" s="5" t="s">
        <v>268</v>
      </c>
      <c r="E309" s="5" t="s">
        <v>24</v>
      </c>
      <c r="F309" s="5" t="s">
        <v>152</v>
      </c>
      <c r="G309" s="7">
        <v>42688</v>
      </c>
      <c r="H309" s="18">
        <f t="shared" si="12"/>
        <v>9.3808219178082197</v>
      </c>
      <c r="I309" s="5" t="s">
        <v>13</v>
      </c>
      <c r="J309" s="28">
        <v>29993.235000000001</v>
      </c>
      <c r="K309" s="28">
        <v>3500</v>
      </c>
      <c r="L309" s="31">
        <f t="shared" si="14"/>
        <v>0.11669298093386725</v>
      </c>
    </row>
    <row r="310" spans="1:12" ht="15" customHeight="1" x14ac:dyDescent="0.35">
      <c r="A310" s="10">
        <f t="shared" si="13"/>
        <v>306</v>
      </c>
      <c r="B310" s="3">
        <v>6115</v>
      </c>
      <c r="C310" s="5" t="s">
        <v>795</v>
      </c>
      <c r="D310" s="5" t="s">
        <v>557</v>
      </c>
      <c r="E310" s="5" t="s">
        <v>16</v>
      </c>
      <c r="F310" s="5" t="s">
        <v>17</v>
      </c>
      <c r="G310" s="7">
        <v>42709</v>
      </c>
      <c r="H310" s="18">
        <f t="shared" si="12"/>
        <v>9.3232876712328761</v>
      </c>
      <c r="I310" s="5" t="s">
        <v>13</v>
      </c>
      <c r="J310" s="28">
        <v>23185.175090000001</v>
      </c>
      <c r="K310" s="28">
        <v>3500</v>
      </c>
      <c r="L310" s="31">
        <f t="shared" si="14"/>
        <v>0.15095853218333405</v>
      </c>
    </row>
    <row r="311" spans="1:12" ht="15" customHeight="1" x14ac:dyDescent="0.35">
      <c r="A311" s="10">
        <f t="shared" si="13"/>
        <v>307</v>
      </c>
      <c r="B311" s="3">
        <v>6140</v>
      </c>
      <c r="C311" s="5" t="s">
        <v>796</v>
      </c>
      <c r="D311" s="5" t="s">
        <v>797</v>
      </c>
      <c r="E311" s="5" t="s">
        <v>387</v>
      </c>
      <c r="F311" s="5" t="s">
        <v>388</v>
      </c>
      <c r="G311" s="7">
        <v>42737</v>
      </c>
      <c r="H311" s="18">
        <f t="shared" si="12"/>
        <v>9.2465753424657535</v>
      </c>
      <c r="I311" s="5" t="s">
        <v>21</v>
      </c>
      <c r="J311" s="28">
        <v>67299</v>
      </c>
      <c r="K311" s="28">
        <v>3500</v>
      </c>
      <c r="L311" s="31">
        <f t="shared" si="14"/>
        <v>5.2006716295933078E-2</v>
      </c>
    </row>
    <row r="312" spans="1:12" ht="15" customHeight="1" x14ac:dyDescent="0.35">
      <c r="A312" s="10">
        <f t="shared" si="13"/>
        <v>308</v>
      </c>
      <c r="B312" s="3">
        <v>6141</v>
      </c>
      <c r="C312" s="5" t="s">
        <v>798</v>
      </c>
      <c r="D312" s="5" t="s">
        <v>799</v>
      </c>
      <c r="E312" s="5" t="s">
        <v>800</v>
      </c>
      <c r="F312" s="5" t="s">
        <v>801</v>
      </c>
      <c r="G312" s="7">
        <v>42737</v>
      </c>
      <c r="H312" s="18">
        <f t="shared" si="12"/>
        <v>9.2465753424657535</v>
      </c>
      <c r="I312" s="5" t="s">
        <v>13</v>
      </c>
      <c r="J312" s="28">
        <v>29254.035</v>
      </c>
      <c r="K312" s="28">
        <v>3500</v>
      </c>
      <c r="L312" s="31">
        <f t="shared" si="14"/>
        <v>0.11964161525068251</v>
      </c>
    </row>
    <row r="313" spans="1:12" ht="15" customHeight="1" x14ac:dyDescent="0.35">
      <c r="A313" s="10">
        <f t="shared" si="13"/>
        <v>309</v>
      </c>
      <c r="B313" s="3">
        <v>6163</v>
      </c>
      <c r="C313" s="5" t="s">
        <v>803</v>
      </c>
      <c r="D313" s="5" t="s">
        <v>455</v>
      </c>
      <c r="E313" s="5" t="s">
        <v>61</v>
      </c>
      <c r="F313" s="5" t="s">
        <v>61</v>
      </c>
      <c r="G313" s="7">
        <v>42744</v>
      </c>
      <c r="H313" s="18">
        <f t="shared" si="12"/>
        <v>9.2273972602739729</v>
      </c>
      <c r="I313" s="5" t="s">
        <v>13</v>
      </c>
      <c r="J313" s="28">
        <v>23051.7945</v>
      </c>
      <c r="K313" s="28">
        <v>3500</v>
      </c>
      <c r="L313" s="31">
        <f t="shared" si="14"/>
        <v>0.15183199728767319</v>
      </c>
    </row>
    <row r="314" spans="1:12" ht="15" customHeight="1" x14ac:dyDescent="0.35">
      <c r="A314" s="10">
        <f t="shared" si="13"/>
        <v>310</v>
      </c>
      <c r="B314" s="3">
        <v>6181</v>
      </c>
      <c r="C314" s="5" t="s">
        <v>804</v>
      </c>
      <c r="D314" s="5" t="s">
        <v>455</v>
      </c>
      <c r="E314" s="5" t="s">
        <v>198</v>
      </c>
      <c r="F314" s="5" t="s">
        <v>198</v>
      </c>
      <c r="G314" s="7">
        <v>42485</v>
      </c>
      <c r="H314" s="18">
        <f t="shared" si="12"/>
        <v>9.9369863013698634</v>
      </c>
      <c r="I314" s="5" t="s">
        <v>13</v>
      </c>
      <c r="J314" s="28">
        <v>26572.857499999998</v>
      </c>
      <c r="K314" s="28">
        <v>3500</v>
      </c>
      <c r="L314" s="31">
        <f t="shared" si="14"/>
        <v>0.13171334697444564</v>
      </c>
    </row>
    <row r="315" spans="1:12" ht="15" customHeight="1" x14ac:dyDescent="0.35">
      <c r="A315" s="10">
        <f t="shared" si="13"/>
        <v>311</v>
      </c>
      <c r="B315" s="3">
        <v>6195</v>
      </c>
      <c r="C315" s="5" t="s">
        <v>805</v>
      </c>
      <c r="D315" s="5" t="s">
        <v>557</v>
      </c>
      <c r="E315" s="5" t="s">
        <v>16</v>
      </c>
      <c r="F315" s="5" t="s">
        <v>17</v>
      </c>
      <c r="G315" s="7">
        <v>42404</v>
      </c>
      <c r="H315" s="18">
        <f t="shared" si="12"/>
        <v>10.158904109589042</v>
      </c>
      <c r="I315" s="5" t="s">
        <v>13</v>
      </c>
      <c r="J315" s="28">
        <v>24080.501</v>
      </c>
      <c r="K315" s="28">
        <v>4000</v>
      </c>
      <c r="L315" s="31">
        <f t="shared" si="14"/>
        <v>0.16610950079485473</v>
      </c>
    </row>
    <row r="316" spans="1:12" ht="15" customHeight="1" x14ac:dyDescent="0.35">
      <c r="A316" s="10">
        <f t="shared" si="13"/>
        <v>312</v>
      </c>
      <c r="B316" s="3">
        <v>6208</v>
      </c>
      <c r="C316" s="5" t="s">
        <v>806</v>
      </c>
      <c r="D316" s="5" t="s">
        <v>807</v>
      </c>
      <c r="E316" s="5" t="s">
        <v>87</v>
      </c>
      <c r="F316" s="5" t="s">
        <v>808</v>
      </c>
      <c r="G316" s="7">
        <v>42795</v>
      </c>
      <c r="H316" s="18">
        <f t="shared" si="12"/>
        <v>9.087671232876712</v>
      </c>
      <c r="I316" s="5" t="s">
        <v>13</v>
      </c>
      <c r="J316" s="28">
        <v>31263.090500000002</v>
      </c>
      <c r="K316" s="28">
        <v>3500</v>
      </c>
      <c r="L316" s="31">
        <f t="shared" si="14"/>
        <v>0.11195310329284304</v>
      </c>
    </row>
    <row r="317" spans="1:12" ht="15" customHeight="1" x14ac:dyDescent="0.35">
      <c r="A317" s="10">
        <f t="shared" si="13"/>
        <v>313</v>
      </c>
      <c r="B317" s="3">
        <v>6210</v>
      </c>
      <c r="C317" s="5" t="s">
        <v>809</v>
      </c>
      <c r="D317" s="5" t="s">
        <v>537</v>
      </c>
      <c r="E317" s="5" t="s">
        <v>538</v>
      </c>
      <c r="F317" s="5" t="s">
        <v>538</v>
      </c>
      <c r="G317" s="7">
        <v>42795</v>
      </c>
      <c r="H317" s="18">
        <f t="shared" si="12"/>
        <v>9.087671232876712</v>
      </c>
      <c r="I317" s="5" t="s">
        <v>13</v>
      </c>
      <c r="J317" s="28">
        <v>31987.9175</v>
      </c>
      <c r="K317" s="28">
        <v>3500</v>
      </c>
      <c r="L317" s="31">
        <f t="shared" si="14"/>
        <v>0.10941631320638488</v>
      </c>
    </row>
    <row r="318" spans="1:12" ht="15" customHeight="1" x14ac:dyDescent="0.35">
      <c r="A318" s="10">
        <f t="shared" si="13"/>
        <v>314</v>
      </c>
      <c r="B318" s="3">
        <v>6234</v>
      </c>
      <c r="C318" s="5" t="s">
        <v>810</v>
      </c>
      <c r="D318" s="5" t="s">
        <v>557</v>
      </c>
      <c r="E318" s="5" t="s">
        <v>68</v>
      </c>
      <c r="F318" s="5" t="s">
        <v>132</v>
      </c>
      <c r="G318" s="7">
        <v>42492</v>
      </c>
      <c r="H318" s="18">
        <f t="shared" si="12"/>
        <v>9.9178082191780828</v>
      </c>
      <c r="I318" s="5" t="s">
        <v>13</v>
      </c>
      <c r="J318" s="28">
        <v>23723.704999999998</v>
      </c>
      <c r="K318" s="28">
        <v>3500</v>
      </c>
      <c r="L318" s="31">
        <f t="shared" si="14"/>
        <v>0.1475317620076628</v>
      </c>
    </row>
    <row r="319" spans="1:12" ht="15" customHeight="1" x14ac:dyDescent="0.35">
      <c r="A319" s="10">
        <f t="shared" si="13"/>
        <v>315</v>
      </c>
      <c r="B319" s="3">
        <v>6238</v>
      </c>
      <c r="C319" s="5" t="s">
        <v>811</v>
      </c>
      <c r="D319" s="5" t="s">
        <v>812</v>
      </c>
      <c r="E319" s="5" t="s">
        <v>35</v>
      </c>
      <c r="F319" s="5" t="s">
        <v>84</v>
      </c>
      <c r="G319" s="7">
        <v>42901</v>
      </c>
      <c r="H319" s="18">
        <f t="shared" si="12"/>
        <v>8.7972602739726025</v>
      </c>
      <c r="I319" s="5" t="s">
        <v>13</v>
      </c>
      <c r="J319" s="28">
        <v>25871.982499999998</v>
      </c>
      <c r="K319" s="28">
        <v>3500</v>
      </c>
      <c r="L319" s="31">
        <f t="shared" si="14"/>
        <v>0.13528147678671321</v>
      </c>
    </row>
    <row r="320" spans="1:12" ht="15" customHeight="1" x14ac:dyDescent="0.35">
      <c r="A320" s="10">
        <f t="shared" si="13"/>
        <v>316</v>
      </c>
      <c r="B320" s="3">
        <v>6241</v>
      </c>
      <c r="C320" s="5" t="s">
        <v>813</v>
      </c>
      <c r="D320" s="5" t="s">
        <v>21</v>
      </c>
      <c r="E320" s="5" t="s">
        <v>68</v>
      </c>
      <c r="F320" s="5" t="s">
        <v>254</v>
      </c>
      <c r="G320" s="7">
        <v>42905</v>
      </c>
      <c r="H320" s="18">
        <f t="shared" si="12"/>
        <v>8.786301369863013</v>
      </c>
      <c r="I320" s="5" t="s">
        <v>13</v>
      </c>
      <c r="J320" s="28">
        <v>25871.982499999998</v>
      </c>
      <c r="K320" s="28">
        <v>3500</v>
      </c>
      <c r="L320" s="31">
        <f t="shared" si="14"/>
        <v>0.13528147678671321</v>
      </c>
    </row>
    <row r="321" spans="1:12" ht="15" customHeight="1" x14ac:dyDescent="0.35">
      <c r="A321" s="10">
        <f t="shared" si="13"/>
        <v>317</v>
      </c>
      <c r="B321" s="3">
        <v>6242</v>
      </c>
      <c r="C321" s="5" t="s">
        <v>814</v>
      </c>
      <c r="D321" s="5" t="s">
        <v>815</v>
      </c>
      <c r="E321" s="5" t="s">
        <v>12</v>
      </c>
      <c r="F321" s="5" t="s">
        <v>12</v>
      </c>
      <c r="G321" s="7">
        <v>42905</v>
      </c>
      <c r="H321" s="18">
        <f t="shared" si="12"/>
        <v>8.786301369863013</v>
      </c>
      <c r="I321" s="5" t="s">
        <v>13</v>
      </c>
      <c r="J321" s="28">
        <v>31025.25</v>
      </c>
      <c r="K321" s="28">
        <v>3500</v>
      </c>
      <c r="L321" s="31">
        <f t="shared" si="14"/>
        <v>0.11281133915117525</v>
      </c>
    </row>
    <row r="322" spans="1:12" ht="15" customHeight="1" x14ac:dyDescent="0.35">
      <c r="A322" s="10">
        <f t="shared" si="13"/>
        <v>318</v>
      </c>
      <c r="B322" s="3">
        <v>6293</v>
      </c>
      <c r="C322" s="5" t="s">
        <v>821</v>
      </c>
      <c r="D322" s="5" t="s">
        <v>812</v>
      </c>
      <c r="E322" s="5" t="s">
        <v>35</v>
      </c>
      <c r="F322" s="5" t="s">
        <v>84</v>
      </c>
      <c r="G322" s="7">
        <v>42901</v>
      </c>
      <c r="H322" s="18">
        <f t="shared" si="12"/>
        <v>8.7972602739726025</v>
      </c>
      <c r="I322" s="5" t="s">
        <v>13</v>
      </c>
      <c r="J322" s="28">
        <v>27353.944500000001</v>
      </c>
      <c r="K322" s="28">
        <v>3500</v>
      </c>
      <c r="L322" s="31">
        <f t="shared" si="14"/>
        <v>0.12795229587454929</v>
      </c>
    </row>
    <row r="323" spans="1:12" ht="15" customHeight="1" x14ac:dyDescent="0.35">
      <c r="A323" s="10">
        <f t="shared" si="13"/>
        <v>319</v>
      </c>
      <c r="B323" s="3">
        <v>6373</v>
      </c>
      <c r="C323" s="5" t="s">
        <v>827</v>
      </c>
      <c r="D323" s="5" t="s">
        <v>733</v>
      </c>
      <c r="E323" s="5" t="s">
        <v>165</v>
      </c>
      <c r="F323" s="5" t="s">
        <v>165</v>
      </c>
      <c r="G323" s="7">
        <v>42989</v>
      </c>
      <c r="H323" s="18">
        <f t="shared" si="12"/>
        <v>8.5561643835616437</v>
      </c>
      <c r="I323" s="5" t="s">
        <v>13</v>
      </c>
      <c r="J323" s="28">
        <v>31783.460364999999</v>
      </c>
      <c r="K323" s="28">
        <v>3500</v>
      </c>
      <c r="L323" s="31">
        <f t="shared" si="14"/>
        <v>0.11012016815683814</v>
      </c>
    </row>
    <row r="324" spans="1:12" ht="15" customHeight="1" x14ac:dyDescent="0.35">
      <c r="A324" s="10">
        <f t="shared" si="13"/>
        <v>320</v>
      </c>
      <c r="B324" s="3">
        <v>6375</v>
      </c>
      <c r="C324" s="5" t="s">
        <v>828</v>
      </c>
      <c r="D324" s="5" t="s">
        <v>669</v>
      </c>
      <c r="E324" s="5" t="s">
        <v>103</v>
      </c>
      <c r="F324" s="5" t="s">
        <v>103</v>
      </c>
      <c r="G324" s="7">
        <v>42999</v>
      </c>
      <c r="H324" s="18">
        <f t="shared" si="12"/>
        <v>8.5287671232876718</v>
      </c>
      <c r="I324" s="5" t="s">
        <v>13</v>
      </c>
      <c r="J324" s="28">
        <v>31003.4375</v>
      </c>
      <c r="K324" s="28">
        <v>3500</v>
      </c>
      <c r="L324" s="31">
        <f t="shared" si="14"/>
        <v>0.11289070768362379</v>
      </c>
    </row>
    <row r="325" spans="1:12" ht="15" customHeight="1" x14ac:dyDescent="0.35">
      <c r="A325" s="10">
        <f t="shared" si="13"/>
        <v>321</v>
      </c>
      <c r="B325" s="3">
        <v>6389</v>
      </c>
      <c r="C325" s="5" t="s">
        <v>829</v>
      </c>
      <c r="D325" s="5" t="s">
        <v>830</v>
      </c>
      <c r="E325" s="5" t="s">
        <v>35</v>
      </c>
      <c r="F325" s="5" t="s">
        <v>36</v>
      </c>
      <c r="G325" s="7">
        <v>43028</v>
      </c>
      <c r="H325" s="18">
        <f t="shared" ref="H325:H388" si="15">($H$3-G325)/365</f>
        <v>8.4493150684931511</v>
      </c>
      <c r="I325" s="5" t="s">
        <v>13</v>
      </c>
      <c r="J325" s="28">
        <v>27747.1695</v>
      </c>
      <c r="K325" s="28">
        <v>3500</v>
      </c>
      <c r="L325" s="31">
        <f t="shared" si="14"/>
        <v>0.12613899230334108</v>
      </c>
    </row>
    <row r="326" spans="1:12" ht="15" customHeight="1" x14ac:dyDescent="0.35">
      <c r="A326" s="10">
        <f t="shared" ref="A326:A389" si="16">+A325+1</f>
        <v>322</v>
      </c>
      <c r="B326" s="3">
        <v>6391</v>
      </c>
      <c r="C326" s="5" t="s">
        <v>831</v>
      </c>
      <c r="D326" s="5" t="s">
        <v>488</v>
      </c>
      <c r="E326" s="5" t="s">
        <v>94</v>
      </c>
      <c r="F326" s="5" t="s">
        <v>94</v>
      </c>
      <c r="G326" s="7">
        <v>43026</v>
      </c>
      <c r="H326" s="18">
        <f t="shared" si="15"/>
        <v>8.4547945205479458</v>
      </c>
      <c r="I326" s="5" t="s">
        <v>13</v>
      </c>
      <c r="J326" s="28">
        <v>31157.366000000002</v>
      </c>
      <c r="K326" s="28">
        <v>3500</v>
      </c>
      <c r="L326" s="31">
        <f t="shared" ref="L326:L389" si="17">+K326/J326</f>
        <v>0.11233298732633561</v>
      </c>
    </row>
    <row r="327" spans="1:12" ht="15" customHeight="1" x14ac:dyDescent="0.35">
      <c r="A327" s="10">
        <f t="shared" si="16"/>
        <v>323</v>
      </c>
      <c r="B327" s="3">
        <v>6393</v>
      </c>
      <c r="C327" s="5" t="s">
        <v>832</v>
      </c>
      <c r="D327" s="5" t="s">
        <v>830</v>
      </c>
      <c r="E327" s="5" t="s">
        <v>35</v>
      </c>
      <c r="F327" s="5" t="s">
        <v>36</v>
      </c>
      <c r="G327" s="7">
        <v>42842</v>
      </c>
      <c r="H327" s="18">
        <f t="shared" si="15"/>
        <v>8.9589041095890405</v>
      </c>
      <c r="I327" s="5" t="s">
        <v>13</v>
      </c>
      <c r="J327" s="28">
        <v>27747.1695</v>
      </c>
      <c r="K327" s="28">
        <v>3500</v>
      </c>
      <c r="L327" s="31">
        <f t="shared" si="17"/>
        <v>0.12613899230334108</v>
      </c>
    </row>
    <row r="328" spans="1:12" ht="15" customHeight="1" x14ac:dyDescent="0.35">
      <c r="A328" s="10">
        <f t="shared" si="16"/>
        <v>324</v>
      </c>
      <c r="B328" s="3">
        <v>6401</v>
      </c>
      <c r="C328" s="5" t="s">
        <v>833</v>
      </c>
      <c r="D328" s="5" t="s">
        <v>557</v>
      </c>
      <c r="E328" s="5" t="s">
        <v>16</v>
      </c>
      <c r="F328" s="5" t="s">
        <v>17</v>
      </c>
      <c r="G328" s="7">
        <v>43199</v>
      </c>
      <c r="H328" s="18">
        <f t="shared" si="15"/>
        <v>7.9808219178082194</v>
      </c>
      <c r="I328" s="5" t="s">
        <v>13</v>
      </c>
      <c r="J328" s="28">
        <v>25526.228090000001</v>
      </c>
      <c r="K328" s="28">
        <v>3500</v>
      </c>
      <c r="L328" s="31">
        <f t="shared" si="17"/>
        <v>0.13711387313706325</v>
      </c>
    </row>
    <row r="329" spans="1:12" ht="15" customHeight="1" x14ac:dyDescent="0.35">
      <c r="A329" s="10">
        <f t="shared" si="16"/>
        <v>325</v>
      </c>
      <c r="B329" s="3">
        <v>6427</v>
      </c>
      <c r="C329" s="5" t="s">
        <v>835</v>
      </c>
      <c r="D329" s="5" t="s">
        <v>21</v>
      </c>
      <c r="E329" s="5" t="s">
        <v>24</v>
      </c>
      <c r="F329" s="5" t="s">
        <v>152</v>
      </c>
      <c r="G329" s="7">
        <v>43055</v>
      </c>
      <c r="H329" s="18">
        <f t="shared" si="15"/>
        <v>8.375342465753425</v>
      </c>
      <c r="I329" s="5" t="s">
        <v>13</v>
      </c>
      <c r="J329" s="28">
        <v>27349.3325</v>
      </c>
      <c r="K329" s="28">
        <v>3500</v>
      </c>
      <c r="L329" s="31">
        <f t="shared" si="17"/>
        <v>0.1279738728541181</v>
      </c>
    </row>
    <row r="330" spans="1:12" ht="15" customHeight="1" x14ac:dyDescent="0.35">
      <c r="A330" s="10">
        <f t="shared" si="16"/>
        <v>326</v>
      </c>
      <c r="B330" s="3">
        <v>6432</v>
      </c>
      <c r="C330" s="5" t="s">
        <v>836</v>
      </c>
      <c r="D330" s="5" t="s">
        <v>678</v>
      </c>
      <c r="E330" s="5" t="s">
        <v>87</v>
      </c>
      <c r="F330" s="5" t="s">
        <v>293</v>
      </c>
      <c r="G330" s="7">
        <v>43240</v>
      </c>
      <c r="H330" s="18">
        <f t="shared" si="15"/>
        <v>7.8684931506849312</v>
      </c>
      <c r="I330" s="5" t="s">
        <v>13</v>
      </c>
      <c r="J330" s="28">
        <v>32582.195</v>
      </c>
      <c r="K330" s="28">
        <v>3500</v>
      </c>
      <c r="L330" s="31">
        <f t="shared" si="17"/>
        <v>0.10742063264921224</v>
      </c>
    </row>
    <row r="331" spans="1:12" ht="15" customHeight="1" x14ac:dyDescent="0.35">
      <c r="A331" s="10">
        <f t="shared" si="16"/>
        <v>327</v>
      </c>
      <c r="B331" s="3">
        <v>6484</v>
      </c>
      <c r="C331" s="5" t="s">
        <v>838</v>
      </c>
      <c r="D331" s="5" t="s">
        <v>151</v>
      </c>
      <c r="E331" s="5" t="s">
        <v>24</v>
      </c>
      <c r="F331" s="5" t="s">
        <v>24</v>
      </c>
      <c r="G331" s="7">
        <v>43076</v>
      </c>
      <c r="H331" s="18">
        <f t="shared" si="15"/>
        <v>8.3178082191780813</v>
      </c>
      <c r="I331" s="5" t="s">
        <v>13</v>
      </c>
      <c r="J331" s="28">
        <v>34009.885000000002</v>
      </c>
      <c r="K331" s="28">
        <v>3500</v>
      </c>
      <c r="L331" s="31">
        <f t="shared" si="17"/>
        <v>0.10291125653615117</v>
      </c>
    </row>
    <row r="332" spans="1:12" ht="15" customHeight="1" x14ac:dyDescent="0.35">
      <c r="A332" s="10">
        <f t="shared" si="16"/>
        <v>328</v>
      </c>
      <c r="B332" s="3">
        <v>6485</v>
      </c>
      <c r="C332" s="5" t="s">
        <v>839</v>
      </c>
      <c r="D332" s="5" t="s">
        <v>455</v>
      </c>
      <c r="E332" s="5" t="s">
        <v>68</v>
      </c>
      <c r="F332" s="5" t="s">
        <v>137</v>
      </c>
      <c r="G332" s="7">
        <v>43262</v>
      </c>
      <c r="H332" s="18">
        <f t="shared" si="15"/>
        <v>7.8082191780821919</v>
      </c>
      <c r="I332" s="5" t="s">
        <v>13</v>
      </c>
      <c r="J332" s="28">
        <v>25786.400000000001</v>
      </c>
      <c r="K332" s="28">
        <v>3500</v>
      </c>
      <c r="L332" s="31">
        <f t="shared" si="17"/>
        <v>0.13573046256941643</v>
      </c>
    </row>
    <row r="333" spans="1:12" ht="15" customHeight="1" x14ac:dyDescent="0.35">
      <c r="A333" s="10">
        <f t="shared" si="16"/>
        <v>329</v>
      </c>
      <c r="B333" s="3">
        <v>6486</v>
      </c>
      <c r="C333" s="5" t="s">
        <v>840</v>
      </c>
      <c r="D333" s="5" t="s">
        <v>841</v>
      </c>
      <c r="E333" s="5" t="s">
        <v>198</v>
      </c>
      <c r="F333" s="5" t="s">
        <v>198</v>
      </c>
      <c r="G333" s="7">
        <v>43262</v>
      </c>
      <c r="H333" s="18">
        <f t="shared" si="15"/>
        <v>7.8082191780821919</v>
      </c>
      <c r="I333" s="5" t="s">
        <v>13</v>
      </c>
      <c r="J333" s="28">
        <v>28538.434499999999</v>
      </c>
      <c r="K333" s="28">
        <v>3500</v>
      </c>
      <c r="L333" s="31">
        <f t="shared" si="17"/>
        <v>0.12264162562946472</v>
      </c>
    </row>
    <row r="334" spans="1:12" ht="15" customHeight="1" x14ac:dyDescent="0.35">
      <c r="A334" s="10">
        <f t="shared" si="16"/>
        <v>330</v>
      </c>
      <c r="B334" s="3">
        <v>6509</v>
      </c>
      <c r="C334" s="5" t="s">
        <v>843</v>
      </c>
      <c r="D334" s="5" t="s">
        <v>669</v>
      </c>
      <c r="E334" s="5" t="s">
        <v>103</v>
      </c>
      <c r="F334" s="5" t="s">
        <v>103</v>
      </c>
      <c r="G334" s="7">
        <v>42901</v>
      </c>
      <c r="H334" s="18">
        <f t="shared" si="15"/>
        <v>8.7972602739726025</v>
      </c>
      <c r="I334" s="5" t="s">
        <v>13</v>
      </c>
      <c r="J334" s="28">
        <v>30702.927499999998</v>
      </c>
      <c r="K334" s="28">
        <v>3500</v>
      </c>
      <c r="L334" s="31">
        <f t="shared" si="17"/>
        <v>0.11399564422643411</v>
      </c>
    </row>
    <row r="335" spans="1:12" ht="15" customHeight="1" x14ac:dyDescent="0.35">
      <c r="A335" s="10">
        <f t="shared" si="16"/>
        <v>331</v>
      </c>
      <c r="B335" s="3">
        <v>6510</v>
      </c>
      <c r="C335" s="5" t="s">
        <v>844</v>
      </c>
      <c r="D335" s="5" t="s">
        <v>678</v>
      </c>
      <c r="E335" s="5" t="s">
        <v>87</v>
      </c>
      <c r="F335" s="5" t="s">
        <v>808</v>
      </c>
      <c r="G335" s="7">
        <v>43071</v>
      </c>
      <c r="H335" s="18">
        <f t="shared" si="15"/>
        <v>8.331506849315069</v>
      </c>
      <c r="I335" s="5" t="s">
        <v>13</v>
      </c>
      <c r="J335" s="28">
        <v>32582.195</v>
      </c>
      <c r="K335" s="28">
        <v>3500</v>
      </c>
      <c r="L335" s="31">
        <f t="shared" si="17"/>
        <v>0.10742063264921224</v>
      </c>
    </row>
    <row r="336" spans="1:12" ht="15" customHeight="1" x14ac:dyDescent="0.35">
      <c r="A336" s="10">
        <f t="shared" si="16"/>
        <v>332</v>
      </c>
      <c r="B336" s="3">
        <v>6511</v>
      </c>
      <c r="C336" s="5" t="s">
        <v>845</v>
      </c>
      <c r="D336" s="5" t="s">
        <v>21</v>
      </c>
      <c r="E336" s="5" t="s">
        <v>103</v>
      </c>
      <c r="F336" s="5" t="s">
        <v>103</v>
      </c>
      <c r="G336" s="7">
        <v>43085</v>
      </c>
      <c r="H336" s="18">
        <f t="shared" si="15"/>
        <v>8.293150684931506</v>
      </c>
      <c r="I336" s="5" t="s">
        <v>13</v>
      </c>
      <c r="J336" s="28">
        <v>25110.590499999998</v>
      </c>
      <c r="K336" s="28">
        <v>3500</v>
      </c>
      <c r="L336" s="31">
        <f t="shared" si="17"/>
        <v>0.13938342071246793</v>
      </c>
    </row>
    <row r="337" spans="1:12" ht="15" customHeight="1" x14ac:dyDescent="0.35">
      <c r="A337" s="10">
        <f t="shared" si="16"/>
        <v>333</v>
      </c>
      <c r="B337" s="3">
        <v>6520</v>
      </c>
      <c r="C337" s="5" t="s">
        <v>846</v>
      </c>
      <c r="D337" s="5" t="s">
        <v>847</v>
      </c>
      <c r="E337" s="5" t="s">
        <v>314</v>
      </c>
      <c r="F337" s="5" t="s">
        <v>315</v>
      </c>
      <c r="G337" s="7">
        <v>43050</v>
      </c>
      <c r="H337" s="18">
        <f t="shared" si="15"/>
        <v>8.3890410958904109</v>
      </c>
      <c r="I337" s="5" t="s">
        <v>13</v>
      </c>
      <c r="J337" s="28">
        <v>34523.942000000003</v>
      </c>
      <c r="K337" s="28">
        <v>3500</v>
      </c>
      <c r="L337" s="31">
        <f t="shared" si="17"/>
        <v>0.10137892132943566</v>
      </c>
    </row>
    <row r="338" spans="1:12" ht="15" customHeight="1" x14ac:dyDescent="0.35">
      <c r="A338" s="10">
        <f t="shared" si="16"/>
        <v>334</v>
      </c>
      <c r="B338" s="3">
        <v>6550</v>
      </c>
      <c r="C338" s="5" t="s">
        <v>851</v>
      </c>
      <c r="D338" s="5" t="s">
        <v>557</v>
      </c>
      <c r="E338" s="5" t="s">
        <v>103</v>
      </c>
      <c r="F338" s="5" t="s">
        <v>103</v>
      </c>
      <c r="G338" s="7">
        <v>43133</v>
      </c>
      <c r="H338" s="18">
        <f t="shared" si="15"/>
        <v>8.161643835616438</v>
      </c>
      <c r="I338" s="5" t="s">
        <v>13</v>
      </c>
      <c r="J338" s="28">
        <v>23815.45</v>
      </c>
      <c r="K338" s="28">
        <v>3500</v>
      </c>
      <c r="L338" s="31">
        <f t="shared" si="17"/>
        <v>0.14696342080456173</v>
      </c>
    </row>
    <row r="339" spans="1:12" ht="15" customHeight="1" x14ac:dyDescent="0.35">
      <c r="A339" s="10">
        <f t="shared" si="16"/>
        <v>335</v>
      </c>
      <c r="B339" s="3">
        <v>6555</v>
      </c>
      <c r="C339" s="5" t="s">
        <v>852</v>
      </c>
      <c r="D339" s="5" t="s">
        <v>557</v>
      </c>
      <c r="E339" s="5" t="s">
        <v>407</v>
      </c>
      <c r="F339" s="5" t="s">
        <v>408</v>
      </c>
      <c r="G339" s="7">
        <v>43133</v>
      </c>
      <c r="H339" s="18">
        <f t="shared" si="15"/>
        <v>8.161643835616438</v>
      </c>
      <c r="I339" s="5" t="s">
        <v>13</v>
      </c>
      <c r="J339" s="28">
        <v>24114.754499999999</v>
      </c>
      <c r="K339" s="28">
        <v>3500</v>
      </c>
      <c r="L339" s="31">
        <f t="shared" si="17"/>
        <v>0.14513935856158106</v>
      </c>
    </row>
    <row r="340" spans="1:12" ht="15" customHeight="1" x14ac:dyDescent="0.35">
      <c r="A340" s="10">
        <f t="shared" si="16"/>
        <v>336</v>
      </c>
      <c r="B340" s="3">
        <v>6556</v>
      </c>
      <c r="C340" s="5" t="s">
        <v>853</v>
      </c>
      <c r="D340" s="5" t="s">
        <v>557</v>
      </c>
      <c r="E340" s="5" t="s">
        <v>16</v>
      </c>
      <c r="F340" s="5" t="s">
        <v>17</v>
      </c>
      <c r="G340" s="7">
        <v>43133</v>
      </c>
      <c r="H340" s="18">
        <f t="shared" si="15"/>
        <v>8.161643835616438</v>
      </c>
      <c r="I340" s="5" t="s">
        <v>13</v>
      </c>
      <c r="J340" s="28">
        <v>23884.253000000001</v>
      </c>
      <c r="K340" s="28">
        <v>3500</v>
      </c>
      <c r="L340" s="31">
        <f t="shared" si="17"/>
        <v>0.14654006554025364</v>
      </c>
    </row>
    <row r="341" spans="1:12" ht="15" customHeight="1" x14ac:dyDescent="0.35">
      <c r="A341" s="10">
        <f t="shared" si="16"/>
        <v>337</v>
      </c>
      <c r="B341" s="3">
        <v>6557</v>
      </c>
      <c r="C341" s="5" t="s">
        <v>854</v>
      </c>
      <c r="D341" s="5" t="s">
        <v>557</v>
      </c>
      <c r="E341" s="5" t="s">
        <v>16</v>
      </c>
      <c r="F341" s="5" t="s">
        <v>17</v>
      </c>
      <c r="G341" s="7">
        <v>43133</v>
      </c>
      <c r="H341" s="18">
        <f t="shared" si="15"/>
        <v>8.161643835616438</v>
      </c>
      <c r="I341" s="5" t="s">
        <v>13</v>
      </c>
      <c r="J341" s="28">
        <v>23884.253000000001</v>
      </c>
      <c r="K341" s="28">
        <v>3500</v>
      </c>
      <c r="L341" s="31">
        <f t="shared" si="17"/>
        <v>0.14654006554025364</v>
      </c>
    </row>
    <row r="342" spans="1:12" ht="15" customHeight="1" x14ac:dyDescent="0.35">
      <c r="A342" s="10">
        <f t="shared" si="16"/>
        <v>338</v>
      </c>
      <c r="B342" s="3">
        <v>6567</v>
      </c>
      <c r="C342" s="5" t="s">
        <v>855</v>
      </c>
      <c r="D342" s="5" t="s">
        <v>488</v>
      </c>
      <c r="E342" s="5" t="s">
        <v>228</v>
      </c>
      <c r="F342" s="5" t="s">
        <v>228</v>
      </c>
      <c r="G342" s="7">
        <v>43344</v>
      </c>
      <c r="H342" s="18">
        <f t="shared" si="15"/>
        <v>7.5835616438356164</v>
      </c>
      <c r="I342" s="5" t="s">
        <v>13</v>
      </c>
      <c r="J342" s="28">
        <v>31708.076724999999</v>
      </c>
      <c r="K342" s="28">
        <v>3500</v>
      </c>
      <c r="L342" s="31">
        <f t="shared" si="17"/>
        <v>0.11038197082576286</v>
      </c>
    </row>
    <row r="343" spans="1:12" ht="15" customHeight="1" x14ac:dyDescent="0.35">
      <c r="A343" s="10">
        <f t="shared" si="16"/>
        <v>339</v>
      </c>
      <c r="B343" s="3">
        <v>6586</v>
      </c>
      <c r="C343" s="5" t="s">
        <v>857</v>
      </c>
      <c r="D343" s="5" t="s">
        <v>778</v>
      </c>
      <c r="E343" s="5" t="s">
        <v>314</v>
      </c>
      <c r="F343" s="5" t="s">
        <v>315</v>
      </c>
      <c r="G343" s="7">
        <v>43351</v>
      </c>
      <c r="H343" s="18">
        <f t="shared" si="15"/>
        <v>7.5643835616438357</v>
      </c>
      <c r="I343" s="5" t="s">
        <v>13</v>
      </c>
      <c r="J343" s="28">
        <v>33249.010500000004</v>
      </c>
      <c r="K343" s="28">
        <v>3500</v>
      </c>
      <c r="L343" s="31">
        <f t="shared" si="17"/>
        <v>0.10526629055622572</v>
      </c>
    </row>
    <row r="344" spans="1:12" ht="15" customHeight="1" x14ac:dyDescent="0.35">
      <c r="A344" s="10">
        <f t="shared" si="16"/>
        <v>340</v>
      </c>
      <c r="B344" s="3">
        <v>6588</v>
      </c>
      <c r="C344" s="5" t="s">
        <v>858</v>
      </c>
      <c r="D344" s="5" t="s">
        <v>557</v>
      </c>
      <c r="E344" s="5" t="s">
        <v>64</v>
      </c>
      <c r="F344" s="5" t="s">
        <v>64</v>
      </c>
      <c r="G344" s="7">
        <v>43352</v>
      </c>
      <c r="H344" s="18">
        <f t="shared" si="15"/>
        <v>7.5616438356164384</v>
      </c>
      <c r="I344" s="5" t="s">
        <v>13</v>
      </c>
      <c r="J344" s="28">
        <v>25872.529500000001</v>
      </c>
      <c r="K344" s="28">
        <v>3500</v>
      </c>
      <c r="L344" s="31">
        <f t="shared" si="17"/>
        <v>0.13527861665014237</v>
      </c>
    </row>
    <row r="345" spans="1:12" ht="15" customHeight="1" x14ac:dyDescent="0.35">
      <c r="A345" s="10">
        <f t="shared" si="16"/>
        <v>341</v>
      </c>
      <c r="B345" s="3">
        <v>6599</v>
      </c>
      <c r="C345" s="5" t="s">
        <v>859</v>
      </c>
      <c r="D345" s="5" t="s">
        <v>136</v>
      </c>
      <c r="E345" s="5" t="s">
        <v>68</v>
      </c>
      <c r="F345" s="5" t="s">
        <v>254</v>
      </c>
      <c r="G345" s="7">
        <v>43174</v>
      </c>
      <c r="H345" s="18">
        <f t="shared" si="15"/>
        <v>8.0493150684931507</v>
      </c>
      <c r="I345" s="5" t="s">
        <v>13</v>
      </c>
      <c r="J345" s="28">
        <v>45052.75</v>
      </c>
      <c r="K345" s="28">
        <v>3500</v>
      </c>
      <c r="L345" s="31">
        <f t="shared" si="17"/>
        <v>7.7686711687965773E-2</v>
      </c>
    </row>
    <row r="346" spans="1:12" ht="15" customHeight="1" x14ac:dyDescent="0.35">
      <c r="A346" s="10">
        <f t="shared" si="16"/>
        <v>342</v>
      </c>
      <c r="B346" s="3">
        <v>6602</v>
      </c>
      <c r="C346" s="5" t="s">
        <v>860</v>
      </c>
      <c r="D346" s="5" t="s">
        <v>557</v>
      </c>
      <c r="E346" s="5" t="s">
        <v>103</v>
      </c>
      <c r="F346" s="5" t="s">
        <v>103</v>
      </c>
      <c r="G346" s="7">
        <v>43362</v>
      </c>
      <c r="H346" s="18">
        <f t="shared" si="15"/>
        <v>7.5342465753424657</v>
      </c>
      <c r="I346" s="5" t="s">
        <v>13</v>
      </c>
      <c r="J346" s="28">
        <v>24418.2575</v>
      </c>
      <c r="K346" s="28">
        <v>3500</v>
      </c>
      <c r="L346" s="31">
        <f t="shared" si="17"/>
        <v>0.1433353710845256</v>
      </c>
    </row>
    <row r="347" spans="1:12" ht="15" customHeight="1" x14ac:dyDescent="0.35">
      <c r="A347" s="10">
        <f t="shared" si="16"/>
        <v>343</v>
      </c>
      <c r="B347" s="3">
        <v>6605</v>
      </c>
      <c r="C347" s="5" t="s">
        <v>861</v>
      </c>
      <c r="D347" s="5" t="s">
        <v>488</v>
      </c>
      <c r="E347" s="5" t="s">
        <v>94</v>
      </c>
      <c r="F347" s="5" t="s">
        <v>94</v>
      </c>
      <c r="G347" s="7">
        <v>43178</v>
      </c>
      <c r="H347" s="18">
        <f t="shared" si="15"/>
        <v>8.0383561643835613</v>
      </c>
      <c r="I347" s="5" t="s">
        <v>13</v>
      </c>
      <c r="J347" s="28">
        <v>31569.493999999999</v>
      </c>
      <c r="K347" s="28">
        <v>3500</v>
      </c>
      <c r="L347" s="31">
        <f t="shared" si="17"/>
        <v>0.11086652196579394</v>
      </c>
    </row>
    <row r="348" spans="1:12" ht="15" customHeight="1" x14ac:dyDescent="0.35">
      <c r="A348" s="10">
        <f t="shared" si="16"/>
        <v>344</v>
      </c>
      <c r="B348" s="3">
        <v>6623</v>
      </c>
      <c r="C348" s="5" t="s">
        <v>862</v>
      </c>
      <c r="D348" s="5" t="s">
        <v>557</v>
      </c>
      <c r="E348" s="5" t="s">
        <v>68</v>
      </c>
      <c r="F348" s="5" t="s">
        <v>132</v>
      </c>
      <c r="G348" s="7">
        <v>43382</v>
      </c>
      <c r="H348" s="18">
        <f t="shared" si="15"/>
        <v>7.4794520547945202</v>
      </c>
      <c r="I348" s="5" t="s">
        <v>13</v>
      </c>
      <c r="J348" s="28">
        <v>23731.253000000001</v>
      </c>
      <c r="K348" s="28">
        <v>3500</v>
      </c>
      <c r="L348" s="31">
        <f t="shared" si="17"/>
        <v>0.14748483782124777</v>
      </c>
    </row>
    <row r="349" spans="1:12" ht="15" customHeight="1" x14ac:dyDescent="0.35">
      <c r="A349" s="10">
        <f t="shared" si="16"/>
        <v>345</v>
      </c>
      <c r="B349" s="3">
        <v>6625</v>
      </c>
      <c r="C349" s="5" t="s">
        <v>863</v>
      </c>
      <c r="D349" s="5" t="s">
        <v>537</v>
      </c>
      <c r="E349" s="5" t="s">
        <v>538</v>
      </c>
      <c r="F349" s="5" t="s">
        <v>538</v>
      </c>
      <c r="G349" s="7">
        <v>43199</v>
      </c>
      <c r="H349" s="18">
        <f t="shared" si="15"/>
        <v>7.9808219178082194</v>
      </c>
      <c r="I349" s="5" t="s">
        <v>13</v>
      </c>
      <c r="J349" s="28">
        <v>32063.236500000003</v>
      </c>
      <c r="K349" s="28">
        <v>3500</v>
      </c>
      <c r="L349" s="31">
        <f t="shared" si="17"/>
        <v>0.10915928590053595</v>
      </c>
    </row>
    <row r="350" spans="1:12" ht="15" customHeight="1" x14ac:dyDescent="0.35">
      <c r="A350" s="10">
        <f t="shared" si="16"/>
        <v>346</v>
      </c>
      <c r="B350" s="3">
        <v>6635</v>
      </c>
      <c r="C350" s="5" t="s">
        <v>866</v>
      </c>
      <c r="D350" s="5" t="s">
        <v>815</v>
      </c>
      <c r="E350" s="5" t="s">
        <v>12</v>
      </c>
      <c r="F350" s="5" t="s">
        <v>12</v>
      </c>
      <c r="G350" s="7">
        <v>43121</v>
      </c>
      <c r="H350" s="18">
        <f t="shared" si="15"/>
        <v>8.1945205479452063</v>
      </c>
      <c r="I350" s="5" t="s">
        <v>13</v>
      </c>
      <c r="J350" s="28">
        <v>26963.402000000002</v>
      </c>
      <c r="K350" s="28">
        <v>3500</v>
      </c>
      <c r="L350" s="31">
        <f t="shared" si="17"/>
        <v>0.12980557868773382</v>
      </c>
    </row>
    <row r="351" spans="1:12" ht="15" customHeight="1" x14ac:dyDescent="0.35">
      <c r="A351" s="10">
        <f t="shared" si="16"/>
        <v>347</v>
      </c>
      <c r="B351" s="3">
        <v>6644</v>
      </c>
      <c r="C351" s="5" t="s">
        <v>867</v>
      </c>
      <c r="D351" s="5" t="s">
        <v>868</v>
      </c>
      <c r="E351" s="5" t="s">
        <v>28</v>
      </c>
      <c r="F351" s="5" t="s">
        <v>29</v>
      </c>
      <c r="G351" s="7">
        <v>43165</v>
      </c>
      <c r="H351" s="18">
        <f t="shared" si="15"/>
        <v>8.0739726027397261</v>
      </c>
      <c r="I351" s="5" t="s">
        <v>21</v>
      </c>
      <c r="J351" s="28">
        <v>47776</v>
      </c>
      <c r="K351" s="28">
        <v>3500</v>
      </c>
      <c r="L351" s="31">
        <f t="shared" si="17"/>
        <v>7.3258539852645674E-2</v>
      </c>
    </row>
    <row r="352" spans="1:12" ht="15" customHeight="1" x14ac:dyDescent="0.35">
      <c r="A352" s="10">
        <f t="shared" si="16"/>
        <v>348</v>
      </c>
      <c r="B352" s="3">
        <v>6646</v>
      </c>
      <c r="C352" s="5" t="s">
        <v>869</v>
      </c>
      <c r="D352" s="5" t="s">
        <v>868</v>
      </c>
      <c r="E352" s="5" t="s">
        <v>28</v>
      </c>
      <c r="F352" s="5" t="s">
        <v>29</v>
      </c>
      <c r="G352" s="7">
        <v>43165</v>
      </c>
      <c r="H352" s="18">
        <f t="shared" si="15"/>
        <v>8.0739726027397261</v>
      </c>
      <c r="I352" s="5" t="s">
        <v>21</v>
      </c>
      <c r="J352" s="28">
        <v>51000</v>
      </c>
      <c r="K352" s="28">
        <v>3500</v>
      </c>
      <c r="L352" s="31">
        <f t="shared" si="17"/>
        <v>6.8627450980392163E-2</v>
      </c>
    </row>
    <row r="353" spans="1:12" ht="15" customHeight="1" x14ac:dyDescent="0.35">
      <c r="A353" s="10">
        <f t="shared" si="16"/>
        <v>349</v>
      </c>
      <c r="B353" s="3">
        <v>6650</v>
      </c>
      <c r="C353" s="5" t="s">
        <v>870</v>
      </c>
      <c r="D353" s="5" t="s">
        <v>557</v>
      </c>
      <c r="E353" s="5" t="s">
        <v>16</v>
      </c>
      <c r="F353" s="5" t="s">
        <v>17</v>
      </c>
      <c r="G353" s="7">
        <v>43394</v>
      </c>
      <c r="H353" s="18">
        <f t="shared" si="15"/>
        <v>7.4465753424657537</v>
      </c>
      <c r="I353" s="5" t="s">
        <v>13</v>
      </c>
      <c r="J353" s="28">
        <v>25362.518090000001</v>
      </c>
      <c r="K353" s="28">
        <v>3500</v>
      </c>
      <c r="L353" s="31">
        <f t="shared" si="17"/>
        <v>0.1379989158639571</v>
      </c>
    </row>
    <row r="354" spans="1:12" ht="15" customHeight="1" x14ac:dyDescent="0.35">
      <c r="A354" s="10">
        <f t="shared" si="16"/>
        <v>350</v>
      </c>
      <c r="B354" s="3">
        <v>6683</v>
      </c>
      <c r="C354" s="5" t="s">
        <v>871</v>
      </c>
      <c r="D354" s="5" t="s">
        <v>557</v>
      </c>
      <c r="E354" s="5" t="s">
        <v>16</v>
      </c>
      <c r="F354" s="5" t="s">
        <v>17</v>
      </c>
      <c r="G354" s="7">
        <v>43199</v>
      </c>
      <c r="H354" s="18">
        <f t="shared" si="15"/>
        <v>7.9808219178082194</v>
      </c>
      <c r="I354" s="5" t="s">
        <v>13</v>
      </c>
      <c r="J354" s="28">
        <v>25526.228090000001</v>
      </c>
      <c r="K354" s="28">
        <v>3500</v>
      </c>
      <c r="L354" s="31">
        <f t="shared" si="17"/>
        <v>0.13711387313706325</v>
      </c>
    </row>
    <row r="355" spans="1:12" ht="15" customHeight="1" x14ac:dyDescent="0.35">
      <c r="A355" s="10">
        <f t="shared" si="16"/>
        <v>351</v>
      </c>
      <c r="B355" s="3">
        <v>6687</v>
      </c>
      <c r="C355" s="5" t="s">
        <v>872</v>
      </c>
      <c r="D355" s="5" t="s">
        <v>873</v>
      </c>
      <c r="E355" s="5" t="s">
        <v>769</v>
      </c>
      <c r="F355" s="5" t="s">
        <v>769</v>
      </c>
      <c r="G355" s="7">
        <v>43603</v>
      </c>
      <c r="H355" s="18">
        <f t="shared" si="15"/>
        <v>6.8739726027397259</v>
      </c>
      <c r="I355" s="5" t="s">
        <v>13</v>
      </c>
      <c r="J355" s="28">
        <v>26872.142</v>
      </c>
      <c r="K355" s="28">
        <v>3500</v>
      </c>
      <c r="L355" s="31">
        <f t="shared" si="17"/>
        <v>0.13024640908789481</v>
      </c>
    </row>
    <row r="356" spans="1:12" ht="15" customHeight="1" x14ac:dyDescent="0.35">
      <c r="A356" s="10">
        <f t="shared" si="16"/>
        <v>352</v>
      </c>
      <c r="B356" s="3">
        <v>6711</v>
      </c>
      <c r="C356" s="5" t="s">
        <v>876</v>
      </c>
      <c r="D356" s="5" t="s">
        <v>557</v>
      </c>
      <c r="E356" s="5" t="s">
        <v>103</v>
      </c>
      <c r="F356" s="5" t="s">
        <v>103</v>
      </c>
      <c r="G356" s="7">
        <v>43438</v>
      </c>
      <c r="H356" s="18">
        <f t="shared" si="15"/>
        <v>7.3260273972602743</v>
      </c>
      <c r="I356" s="5" t="s">
        <v>13</v>
      </c>
      <c r="J356" s="28">
        <v>24462.7775</v>
      </c>
      <c r="K356" s="28">
        <v>3500</v>
      </c>
      <c r="L356" s="31">
        <f t="shared" si="17"/>
        <v>0.14307451392222326</v>
      </c>
    </row>
    <row r="357" spans="1:12" ht="15" customHeight="1" x14ac:dyDescent="0.35">
      <c r="A357" s="10">
        <f t="shared" si="16"/>
        <v>353</v>
      </c>
      <c r="B357" s="3">
        <v>6713</v>
      </c>
      <c r="C357" s="5" t="s">
        <v>877</v>
      </c>
      <c r="D357" s="5" t="s">
        <v>535</v>
      </c>
      <c r="E357" s="5" t="s">
        <v>376</v>
      </c>
      <c r="F357" s="5" t="s">
        <v>466</v>
      </c>
      <c r="G357" s="7">
        <v>43621</v>
      </c>
      <c r="H357" s="18">
        <f t="shared" si="15"/>
        <v>6.8246575342465752</v>
      </c>
      <c r="I357" s="5" t="s">
        <v>13</v>
      </c>
      <c r="J357" s="28">
        <v>25147.482499999998</v>
      </c>
      <c r="K357" s="28">
        <v>3500</v>
      </c>
      <c r="L357" s="31">
        <f t="shared" si="17"/>
        <v>0.13917894166940967</v>
      </c>
    </row>
    <row r="358" spans="1:12" ht="15" customHeight="1" x14ac:dyDescent="0.35">
      <c r="A358" s="10">
        <f t="shared" si="16"/>
        <v>354</v>
      </c>
      <c r="B358" s="3">
        <v>6717</v>
      </c>
      <c r="C358" s="5" t="s">
        <v>878</v>
      </c>
      <c r="D358" s="5" t="s">
        <v>455</v>
      </c>
      <c r="E358" s="5" t="s">
        <v>68</v>
      </c>
      <c r="F358" s="5" t="s">
        <v>137</v>
      </c>
      <c r="G358" s="7">
        <v>43438</v>
      </c>
      <c r="H358" s="18">
        <f t="shared" si="15"/>
        <v>7.3260273972602743</v>
      </c>
      <c r="I358" s="5" t="s">
        <v>13</v>
      </c>
      <c r="J358" s="28">
        <v>26966.400000000001</v>
      </c>
      <c r="K358" s="28">
        <v>3500</v>
      </c>
      <c r="L358" s="31">
        <f t="shared" si="17"/>
        <v>0.12979114750207665</v>
      </c>
    </row>
    <row r="359" spans="1:12" ht="15" customHeight="1" x14ac:dyDescent="0.35">
      <c r="A359" s="10">
        <f t="shared" si="16"/>
        <v>355</v>
      </c>
      <c r="B359" s="3">
        <v>6727</v>
      </c>
      <c r="C359" s="5" t="s">
        <v>879</v>
      </c>
      <c r="D359" s="5" t="s">
        <v>21</v>
      </c>
      <c r="E359" s="5" t="s">
        <v>24</v>
      </c>
      <c r="F359" s="5" t="s">
        <v>772</v>
      </c>
      <c r="G359" s="7">
        <v>43454</v>
      </c>
      <c r="H359" s="18">
        <f t="shared" si="15"/>
        <v>7.2821917808219174</v>
      </c>
      <c r="I359" s="5" t="s">
        <v>13</v>
      </c>
      <c r="J359" s="28">
        <v>27575.870500000001</v>
      </c>
      <c r="K359" s="28">
        <v>3500</v>
      </c>
      <c r="L359" s="31">
        <f t="shared" si="17"/>
        <v>0.12692255716823156</v>
      </c>
    </row>
    <row r="360" spans="1:12" ht="15" customHeight="1" x14ac:dyDescent="0.35">
      <c r="A360" s="10">
        <f t="shared" si="16"/>
        <v>356</v>
      </c>
      <c r="B360" s="3">
        <v>6730</v>
      </c>
      <c r="C360" s="5" t="s">
        <v>880</v>
      </c>
      <c r="D360" s="5" t="s">
        <v>778</v>
      </c>
      <c r="E360" s="5" t="s">
        <v>314</v>
      </c>
      <c r="F360" s="5" t="s">
        <v>315</v>
      </c>
      <c r="G360" s="7">
        <v>43195</v>
      </c>
      <c r="H360" s="18">
        <f t="shared" si="15"/>
        <v>7.9917808219178079</v>
      </c>
      <c r="I360" s="5" t="s">
        <v>13</v>
      </c>
      <c r="J360" s="28">
        <v>33107.0075</v>
      </c>
      <c r="K360" s="28">
        <v>3500</v>
      </c>
      <c r="L360" s="31">
        <f t="shared" si="17"/>
        <v>0.1057178000760111</v>
      </c>
    </row>
    <row r="361" spans="1:12" ht="15" customHeight="1" x14ac:dyDescent="0.35">
      <c r="A361" s="10">
        <f t="shared" si="16"/>
        <v>357</v>
      </c>
      <c r="B361" s="3">
        <v>6731</v>
      </c>
      <c r="C361" s="5" t="s">
        <v>881</v>
      </c>
      <c r="D361" s="5" t="s">
        <v>21</v>
      </c>
      <c r="E361" s="5" t="s">
        <v>68</v>
      </c>
      <c r="F361" s="5" t="s">
        <v>254</v>
      </c>
      <c r="G361" s="7">
        <v>43246</v>
      </c>
      <c r="H361" s="18">
        <f t="shared" si="15"/>
        <v>7.8520547945205479</v>
      </c>
      <c r="I361" s="5" t="s">
        <v>13</v>
      </c>
      <c r="J361" s="28">
        <v>27713.464500000002</v>
      </c>
      <c r="K361" s="28">
        <v>3500</v>
      </c>
      <c r="L361" s="31">
        <f t="shared" si="17"/>
        <v>0.12629240201996397</v>
      </c>
    </row>
    <row r="362" spans="1:12" ht="15" customHeight="1" x14ac:dyDescent="0.35">
      <c r="A362" s="10">
        <f t="shared" si="16"/>
        <v>358</v>
      </c>
      <c r="B362" s="3">
        <v>6732</v>
      </c>
      <c r="C362" s="5" t="s">
        <v>882</v>
      </c>
      <c r="D362" s="5" t="s">
        <v>21</v>
      </c>
      <c r="E362" s="5" t="s">
        <v>103</v>
      </c>
      <c r="F362" s="5" t="s">
        <v>103</v>
      </c>
      <c r="G362" s="7">
        <v>43229</v>
      </c>
      <c r="H362" s="18">
        <f t="shared" si="15"/>
        <v>7.8986301369863012</v>
      </c>
      <c r="I362" s="5" t="s">
        <v>13</v>
      </c>
      <c r="J362" s="28">
        <v>24648.2075</v>
      </c>
      <c r="K362" s="28">
        <v>3500</v>
      </c>
      <c r="L362" s="31">
        <f t="shared" si="17"/>
        <v>0.14199815544396077</v>
      </c>
    </row>
    <row r="363" spans="1:12" ht="15" customHeight="1" x14ac:dyDescent="0.35">
      <c r="A363" s="10">
        <f t="shared" si="16"/>
        <v>359</v>
      </c>
      <c r="B363" s="3">
        <v>6736</v>
      </c>
      <c r="C363" s="5" t="s">
        <v>883</v>
      </c>
      <c r="D363" s="5" t="s">
        <v>884</v>
      </c>
      <c r="E363" s="5" t="s">
        <v>112</v>
      </c>
      <c r="F363" s="5" t="s">
        <v>112</v>
      </c>
      <c r="G363" s="7">
        <v>43467</v>
      </c>
      <c r="H363" s="18">
        <f t="shared" si="15"/>
        <v>7.2465753424657535</v>
      </c>
      <c r="I363" s="5" t="s">
        <v>13</v>
      </c>
      <c r="J363" s="28">
        <v>31076.307500000003</v>
      </c>
      <c r="K363" s="28">
        <v>3500</v>
      </c>
      <c r="L363" s="31">
        <f t="shared" si="17"/>
        <v>0.11262599329086957</v>
      </c>
    </row>
    <row r="364" spans="1:12" ht="15" customHeight="1" x14ac:dyDescent="0.35">
      <c r="A364" s="10">
        <f t="shared" si="16"/>
        <v>360</v>
      </c>
      <c r="B364" s="3">
        <v>6740</v>
      </c>
      <c r="C364" s="5" t="s">
        <v>889</v>
      </c>
      <c r="D364" s="5" t="s">
        <v>21</v>
      </c>
      <c r="E364" s="5" t="s">
        <v>24</v>
      </c>
      <c r="F364" s="5" t="s">
        <v>152</v>
      </c>
      <c r="G364" s="7">
        <v>43177</v>
      </c>
      <c r="H364" s="18">
        <f t="shared" si="15"/>
        <v>8.0410958904109595</v>
      </c>
      <c r="I364" s="5" t="s">
        <v>13</v>
      </c>
      <c r="J364" s="28">
        <v>28859.75</v>
      </c>
      <c r="K364" s="28">
        <v>3500</v>
      </c>
      <c r="L364" s="31">
        <f t="shared" si="17"/>
        <v>0.12127617183101032</v>
      </c>
    </row>
    <row r="365" spans="1:12" ht="15" customHeight="1" x14ac:dyDescent="0.35">
      <c r="A365" s="10">
        <f t="shared" si="16"/>
        <v>361</v>
      </c>
      <c r="B365" s="3">
        <v>6741</v>
      </c>
      <c r="C365" s="5" t="s">
        <v>890</v>
      </c>
      <c r="D365" s="5" t="s">
        <v>669</v>
      </c>
      <c r="E365" s="5" t="s">
        <v>103</v>
      </c>
      <c r="F365" s="5" t="s">
        <v>103</v>
      </c>
      <c r="G365" s="7">
        <v>43222</v>
      </c>
      <c r="H365" s="18">
        <f t="shared" si="15"/>
        <v>7.9178082191780819</v>
      </c>
      <c r="I365" s="5" t="s">
        <v>13</v>
      </c>
      <c r="J365" s="28">
        <v>30702.927499999998</v>
      </c>
      <c r="K365" s="28">
        <v>3500</v>
      </c>
      <c r="L365" s="31">
        <f t="shared" si="17"/>
        <v>0.11399564422643411</v>
      </c>
    </row>
    <row r="366" spans="1:12" ht="15" customHeight="1" x14ac:dyDescent="0.35">
      <c r="A366" s="10">
        <f t="shared" si="16"/>
        <v>362</v>
      </c>
      <c r="B366" s="3">
        <v>6743</v>
      </c>
      <c r="C366" s="5" t="s">
        <v>891</v>
      </c>
      <c r="D366" s="5" t="s">
        <v>21</v>
      </c>
      <c r="E366" s="5" t="s">
        <v>24</v>
      </c>
      <c r="F366" s="5" t="s">
        <v>24</v>
      </c>
      <c r="G366" s="7">
        <v>43055</v>
      </c>
      <c r="H366" s="18">
        <f t="shared" si="15"/>
        <v>8.375342465753425</v>
      </c>
      <c r="I366" s="5" t="s">
        <v>13</v>
      </c>
      <c r="J366" s="28">
        <v>27064.75</v>
      </c>
      <c r="K366" s="28">
        <v>3500</v>
      </c>
      <c r="L366" s="31">
        <f t="shared" si="17"/>
        <v>0.12931950230465827</v>
      </c>
    </row>
    <row r="367" spans="1:12" ht="15" customHeight="1" x14ac:dyDescent="0.35">
      <c r="A367" s="10">
        <f t="shared" si="16"/>
        <v>363</v>
      </c>
      <c r="B367" s="3">
        <v>6757</v>
      </c>
      <c r="C367" s="5" t="s">
        <v>892</v>
      </c>
      <c r="D367" s="5" t="s">
        <v>557</v>
      </c>
      <c r="E367" s="5" t="s">
        <v>16</v>
      </c>
      <c r="F367" s="5" t="s">
        <v>17</v>
      </c>
      <c r="G367" s="7">
        <v>43477</v>
      </c>
      <c r="H367" s="18">
        <f t="shared" si="15"/>
        <v>7.2191780821917808</v>
      </c>
      <c r="I367" s="5" t="s">
        <v>13</v>
      </c>
      <c r="J367" s="28">
        <v>23331.208999999999</v>
      </c>
      <c r="K367" s="28">
        <v>3500</v>
      </c>
      <c r="L367" s="31">
        <f t="shared" si="17"/>
        <v>0.15001365767200492</v>
      </c>
    </row>
    <row r="368" spans="1:12" ht="15" customHeight="1" x14ac:dyDescent="0.35">
      <c r="A368" s="10">
        <f t="shared" si="16"/>
        <v>364</v>
      </c>
      <c r="B368" s="3">
        <v>6759</v>
      </c>
      <c r="C368" s="5" t="s">
        <v>893</v>
      </c>
      <c r="D368" s="5" t="s">
        <v>557</v>
      </c>
      <c r="E368" s="5" t="s">
        <v>16</v>
      </c>
      <c r="F368" s="5" t="s">
        <v>17</v>
      </c>
      <c r="G368" s="7">
        <v>43477</v>
      </c>
      <c r="H368" s="18">
        <f t="shared" si="15"/>
        <v>7.2191780821917808</v>
      </c>
      <c r="I368" s="5" t="s">
        <v>13</v>
      </c>
      <c r="J368" s="28">
        <v>23331.208999999999</v>
      </c>
      <c r="K368" s="28">
        <v>3500</v>
      </c>
      <c r="L368" s="31">
        <f t="shared" si="17"/>
        <v>0.15001365767200492</v>
      </c>
    </row>
    <row r="369" spans="1:12" ht="15" customHeight="1" x14ac:dyDescent="0.35">
      <c r="A369" s="10">
        <f t="shared" si="16"/>
        <v>365</v>
      </c>
      <c r="B369" s="3">
        <v>6842</v>
      </c>
      <c r="C369" s="5" t="s">
        <v>903</v>
      </c>
      <c r="D369" s="5" t="s">
        <v>904</v>
      </c>
      <c r="E369" s="5" t="s">
        <v>190</v>
      </c>
      <c r="F369" s="5" t="s">
        <v>190</v>
      </c>
      <c r="G369" s="7">
        <v>43333</v>
      </c>
      <c r="H369" s="18">
        <f t="shared" si="15"/>
        <v>7.6136986301369864</v>
      </c>
      <c r="I369" s="5" t="s">
        <v>21</v>
      </c>
      <c r="J369" s="28">
        <v>99000</v>
      </c>
      <c r="K369" s="28">
        <v>3500</v>
      </c>
      <c r="L369" s="31">
        <f t="shared" si="17"/>
        <v>3.5353535353535352E-2</v>
      </c>
    </row>
    <row r="370" spans="1:12" ht="15" customHeight="1" x14ac:dyDescent="0.35">
      <c r="A370" s="10">
        <f t="shared" si="16"/>
        <v>366</v>
      </c>
      <c r="B370" s="3">
        <v>6844</v>
      </c>
      <c r="C370" s="5" t="s">
        <v>905</v>
      </c>
      <c r="D370" s="5" t="s">
        <v>557</v>
      </c>
      <c r="E370" s="5" t="s">
        <v>16</v>
      </c>
      <c r="F370" s="5" t="s">
        <v>17</v>
      </c>
      <c r="G370" s="7">
        <v>43516</v>
      </c>
      <c r="H370" s="18">
        <f t="shared" si="15"/>
        <v>7.1123287671232873</v>
      </c>
      <c r="I370" s="5" t="s">
        <v>13</v>
      </c>
      <c r="J370" s="28">
        <v>23331.208999999999</v>
      </c>
      <c r="K370" s="28">
        <v>3500</v>
      </c>
      <c r="L370" s="31">
        <f t="shared" si="17"/>
        <v>0.15001365767200492</v>
      </c>
    </row>
    <row r="371" spans="1:12" ht="15" customHeight="1" x14ac:dyDescent="0.35">
      <c r="A371" s="10">
        <f t="shared" si="16"/>
        <v>367</v>
      </c>
      <c r="B371" s="3">
        <v>6862</v>
      </c>
      <c r="C371" s="5" t="s">
        <v>906</v>
      </c>
      <c r="D371" s="5" t="s">
        <v>557</v>
      </c>
      <c r="E371" s="5" t="s">
        <v>103</v>
      </c>
      <c r="F371" s="5" t="s">
        <v>103</v>
      </c>
      <c r="G371" s="7">
        <v>43536</v>
      </c>
      <c r="H371" s="18">
        <f t="shared" si="15"/>
        <v>7.0575342465753428</v>
      </c>
      <c r="I371" s="5" t="s">
        <v>13</v>
      </c>
      <c r="J371" s="28">
        <v>24006.447499999998</v>
      </c>
      <c r="K371" s="28">
        <v>3500</v>
      </c>
      <c r="L371" s="31">
        <f t="shared" si="17"/>
        <v>0.14579416633802234</v>
      </c>
    </row>
    <row r="372" spans="1:12" ht="15" customHeight="1" x14ac:dyDescent="0.35">
      <c r="A372" s="10">
        <f t="shared" si="16"/>
        <v>368</v>
      </c>
      <c r="B372" s="3">
        <v>6864</v>
      </c>
      <c r="C372" s="5" t="s">
        <v>907</v>
      </c>
      <c r="D372" s="5" t="s">
        <v>557</v>
      </c>
      <c r="E372" s="5" t="s">
        <v>24</v>
      </c>
      <c r="F372" s="5" t="s">
        <v>132</v>
      </c>
      <c r="G372" s="7">
        <v>43536</v>
      </c>
      <c r="H372" s="18">
        <f t="shared" si="15"/>
        <v>7.0575342465753428</v>
      </c>
      <c r="I372" s="5" t="s">
        <v>13</v>
      </c>
      <c r="J372" s="28">
        <v>23331.208999999999</v>
      </c>
      <c r="K372" s="28">
        <v>3500</v>
      </c>
      <c r="L372" s="31">
        <f t="shared" si="17"/>
        <v>0.15001365767200492</v>
      </c>
    </row>
    <row r="373" spans="1:12" ht="15" customHeight="1" x14ac:dyDescent="0.35">
      <c r="A373" s="10">
        <f t="shared" si="16"/>
        <v>369</v>
      </c>
      <c r="B373" s="3">
        <v>6873</v>
      </c>
      <c r="C373" s="5" t="s">
        <v>909</v>
      </c>
      <c r="D373" s="5" t="s">
        <v>815</v>
      </c>
      <c r="E373" s="5" t="s">
        <v>12</v>
      </c>
      <c r="F373" s="5" t="s">
        <v>12</v>
      </c>
      <c r="G373" s="7">
        <v>43369</v>
      </c>
      <c r="H373" s="18">
        <f t="shared" si="15"/>
        <v>7.515068493150685</v>
      </c>
      <c r="I373" s="5" t="s">
        <v>13</v>
      </c>
      <c r="J373" s="28">
        <v>26396.195500000002</v>
      </c>
      <c r="K373" s="28">
        <v>3500</v>
      </c>
      <c r="L373" s="31">
        <f t="shared" si="17"/>
        <v>0.13259486580177812</v>
      </c>
    </row>
    <row r="374" spans="1:12" ht="15" customHeight="1" x14ac:dyDescent="0.35">
      <c r="A374" s="10">
        <f t="shared" si="16"/>
        <v>370</v>
      </c>
      <c r="B374" s="3">
        <v>6878</v>
      </c>
      <c r="C374" s="5" t="s">
        <v>910</v>
      </c>
      <c r="D374" s="5" t="s">
        <v>669</v>
      </c>
      <c r="E374" s="5" t="s">
        <v>103</v>
      </c>
      <c r="F374" s="5" t="s">
        <v>103</v>
      </c>
      <c r="G374" s="7">
        <v>43563</v>
      </c>
      <c r="H374" s="18">
        <f t="shared" si="15"/>
        <v>6.9835616438356167</v>
      </c>
      <c r="I374" s="5" t="s">
        <v>13</v>
      </c>
      <c r="J374" s="28">
        <v>29912.8305</v>
      </c>
      <c r="K374" s="28">
        <v>3500</v>
      </c>
      <c r="L374" s="31">
        <f t="shared" si="17"/>
        <v>0.11700664703061116</v>
      </c>
    </row>
    <row r="375" spans="1:12" ht="15" customHeight="1" x14ac:dyDescent="0.35">
      <c r="A375" s="10">
        <f t="shared" si="16"/>
        <v>371</v>
      </c>
      <c r="B375" s="3">
        <v>6886</v>
      </c>
      <c r="C375" s="5" t="s">
        <v>911</v>
      </c>
      <c r="D375" s="5" t="s">
        <v>912</v>
      </c>
      <c r="E375" s="5" t="s">
        <v>769</v>
      </c>
      <c r="F375" s="5" t="s">
        <v>769</v>
      </c>
      <c r="G375" s="7">
        <v>43388</v>
      </c>
      <c r="H375" s="18">
        <f t="shared" si="15"/>
        <v>7.463013698630137</v>
      </c>
      <c r="I375" s="5" t="s">
        <v>13</v>
      </c>
      <c r="J375" s="28">
        <v>34603.334999999999</v>
      </c>
      <c r="K375" s="28">
        <v>3500</v>
      </c>
      <c r="L375" s="31">
        <f t="shared" si="17"/>
        <v>0.10114632014515364</v>
      </c>
    </row>
    <row r="376" spans="1:12" ht="15" customHeight="1" x14ac:dyDescent="0.35">
      <c r="A376" s="10">
        <f t="shared" si="16"/>
        <v>372</v>
      </c>
      <c r="B376" s="3">
        <v>6896</v>
      </c>
      <c r="C376" s="5" t="s">
        <v>913</v>
      </c>
      <c r="D376" s="5" t="s">
        <v>557</v>
      </c>
      <c r="E376" s="5" t="s">
        <v>16</v>
      </c>
      <c r="F376" s="5" t="s">
        <v>17</v>
      </c>
      <c r="G376" s="7">
        <v>43315</v>
      </c>
      <c r="H376" s="18">
        <f t="shared" si="15"/>
        <v>7.6630136986301371</v>
      </c>
      <c r="I376" s="5" t="s">
        <v>13</v>
      </c>
      <c r="J376" s="28">
        <v>25362.518090000001</v>
      </c>
      <c r="K376" s="28">
        <v>3500</v>
      </c>
      <c r="L376" s="31">
        <f t="shared" si="17"/>
        <v>0.1379989158639571</v>
      </c>
    </row>
    <row r="377" spans="1:12" ht="15" customHeight="1" x14ac:dyDescent="0.35">
      <c r="A377" s="10">
        <f t="shared" si="16"/>
        <v>373</v>
      </c>
      <c r="B377" s="3">
        <v>6933</v>
      </c>
      <c r="C377" s="5" t="s">
        <v>917</v>
      </c>
      <c r="D377" s="5" t="s">
        <v>249</v>
      </c>
      <c r="E377" s="5" t="s">
        <v>165</v>
      </c>
      <c r="F377" s="5" t="s">
        <v>165</v>
      </c>
      <c r="G377" s="7">
        <v>43452</v>
      </c>
      <c r="H377" s="18">
        <f t="shared" si="15"/>
        <v>7.2876712328767121</v>
      </c>
      <c r="I377" s="5" t="s">
        <v>13</v>
      </c>
      <c r="J377" s="28">
        <v>28388.110685</v>
      </c>
      <c r="K377" s="28">
        <v>3500</v>
      </c>
      <c r="L377" s="31">
        <f t="shared" si="17"/>
        <v>0.12329105092046037</v>
      </c>
    </row>
    <row r="378" spans="1:12" ht="15" customHeight="1" x14ac:dyDescent="0.35">
      <c r="A378" s="10">
        <f t="shared" si="16"/>
        <v>374</v>
      </c>
      <c r="B378" s="3">
        <v>7045</v>
      </c>
      <c r="C378" s="5" t="s">
        <v>923</v>
      </c>
      <c r="D378" s="5" t="s">
        <v>830</v>
      </c>
      <c r="E378" s="5" t="s">
        <v>35</v>
      </c>
      <c r="F378" s="5" t="s">
        <v>36</v>
      </c>
      <c r="G378" s="7">
        <v>43763</v>
      </c>
      <c r="H378" s="18">
        <f t="shared" si="15"/>
        <v>6.4356164383561643</v>
      </c>
      <c r="I378" s="5" t="s">
        <v>13</v>
      </c>
      <c r="J378" s="28">
        <v>26323.534500000002</v>
      </c>
      <c r="K378" s="28">
        <v>3500</v>
      </c>
      <c r="L378" s="31">
        <f t="shared" si="17"/>
        <v>0.13296086815393274</v>
      </c>
    </row>
    <row r="379" spans="1:12" ht="15" customHeight="1" x14ac:dyDescent="0.35">
      <c r="A379" s="10">
        <f t="shared" si="16"/>
        <v>375</v>
      </c>
      <c r="B379" s="3">
        <v>7052</v>
      </c>
      <c r="C379" s="5" t="s">
        <v>924</v>
      </c>
      <c r="D379" s="5" t="s">
        <v>21</v>
      </c>
      <c r="E379" s="5" t="s">
        <v>24</v>
      </c>
      <c r="F379" s="5" t="s">
        <v>152</v>
      </c>
      <c r="G379" s="7">
        <v>43263</v>
      </c>
      <c r="H379" s="18">
        <f t="shared" si="15"/>
        <v>7.8054794520547945</v>
      </c>
      <c r="I379" s="5" t="s">
        <v>13</v>
      </c>
      <c r="J379" s="28">
        <v>28538.434499999999</v>
      </c>
      <c r="K379" s="28">
        <v>3500</v>
      </c>
      <c r="L379" s="31">
        <f t="shared" si="17"/>
        <v>0.12264162562946472</v>
      </c>
    </row>
    <row r="380" spans="1:12" ht="15" customHeight="1" x14ac:dyDescent="0.35">
      <c r="A380" s="10">
        <f t="shared" si="16"/>
        <v>376</v>
      </c>
      <c r="B380" s="3">
        <v>7053</v>
      </c>
      <c r="C380" s="5" t="s">
        <v>925</v>
      </c>
      <c r="D380" s="5" t="s">
        <v>340</v>
      </c>
      <c r="E380" s="5" t="s">
        <v>68</v>
      </c>
      <c r="F380" s="5" t="s">
        <v>254</v>
      </c>
      <c r="G380" s="7">
        <v>43369</v>
      </c>
      <c r="H380" s="18">
        <f t="shared" si="15"/>
        <v>7.515068493150685</v>
      </c>
      <c r="I380" s="5" t="s">
        <v>13</v>
      </c>
      <c r="J380" s="28">
        <v>26677.070500000002</v>
      </c>
      <c r="K380" s="28">
        <v>3500</v>
      </c>
      <c r="L380" s="31">
        <f t="shared" si="17"/>
        <v>0.13119881360286542</v>
      </c>
    </row>
    <row r="381" spans="1:12" ht="15" customHeight="1" x14ac:dyDescent="0.35">
      <c r="A381" s="10">
        <f t="shared" si="16"/>
        <v>377</v>
      </c>
      <c r="B381" s="3">
        <v>7056</v>
      </c>
      <c r="C381" s="5" t="s">
        <v>926</v>
      </c>
      <c r="D381" s="5" t="s">
        <v>720</v>
      </c>
      <c r="E381" s="5" t="s">
        <v>424</v>
      </c>
      <c r="F381" s="5" t="s">
        <v>424</v>
      </c>
      <c r="G381" s="7">
        <v>43593</v>
      </c>
      <c r="H381" s="18">
        <f t="shared" si="15"/>
        <v>6.9013698630136986</v>
      </c>
      <c r="I381" s="5" t="s">
        <v>21</v>
      </c>
      <c r="J381" s="28">
        <v>53581.5</v>
      </c>
      <c r="K381" s="28">
        <v>3500</v>
      </c>
      <c r="L381" s="31">
        <f t="shared" si="17"/>
        <v>6.5321052975373967E-2</v>
      </c>
    </row>
    <row r="382" spans="1:12" ht="15" customHeight="1" x14ac:dyDescent="0.35">
      <c r="A382" s="10">
        <f t="shared" si="16"/>
        <v>378</v>
      </c>
      <c r="B382" s="3">
        <v>7076</v>
      </c>
      <c r="C382" s="5" t="s">
        <v>929</v>
      </c>
      <c r="D382" s="5" t="s">
        <v>930</v>
      </c>
      <c r="E382" s="5" t="s">
        <v>561</v>
      </c>
      <c r="F382" s="5" t="s">
        <v>561</v>
      </c>
      <c r="G382" s="7">
        <v>43624</v>
      </c>
      <c r="H382" s="18">
        <f t="shared" si="15"/>
        <v>6.816438356164384</v>
      </c>
      <c r="I382" s="5" t="s">
        <v>13</v>
      </c>
      <c r="J382" s="28">
        <v>36048.229500000001</v>
      </c>
      <c r="K382" s="28">
        <v>3500</v>
      </c>
      <c r="L382" s="31">
        <f t="shared" si="17"/>
        <v>9.7092147063699757E-2</v>
      </c>
    </row>
    <row r="383" spans="1:12" ht="15" customHeight="1" x14ac:dyDescent="0.35">
      <c r="A383" s="10">
        <f t="shared" si="16"/>
        <v>379</v>
      </c>
      <c r="B383" s="3">
        <v>7115</v>
      </c>
      <c r="C383" s="5" t="s">
        <v>931</v>
      </c>
      <c r="D383" s="5" t="s">
        <v>571</v>
      </c>
      <c r="E383" s="5" t="s">
        <v>117</v>
      </c>
      <c r="F383" s="5" t="s">
        <v>176</v>
      </c>
      <c r="G383" s="7">
        <v>43756</v>
      </c>
      <c r="H383" s="18">
        <f t="shared" si="15"/>
        <v>6.4547945205479449</v>
      </c>
      <c r="I383" s="5" t="s">
        <v>13</v>
      </c>
      <c r="J383" s="28">
        <v>23703.2075</v>
      </c>
      <c r="K383" s="28">
        <v>3500</v>
      </c>
      <c r="L383" s="31">
        <f t="shared" si="17"/>
        <v>0.14765934104065873</v>
      </c>
    </row>
    <row r="384" spans="1:12" ht="15" customHeight="1" x14ac:dyDescent="0.35">
      <c r="A384" s="10">
        <f t="shared" si="16"/>
        <v>380</v>
      </c>
      <c r="B384" s="3">
        <v>7169</v>
      </c>
      <c r="C384" s="5" t="s">
        <v>936</v>
      </c>
      <c r="D384" s="5" t="s">
        <v>720</v>
      </c>
      <c r="E384" s="5" t="s">
        <v>424</v>
      </c>
      <c r="F384" s="5" t="s">
        <v>424</v>
      </c>
      <c r="G384" s="7">
        <v>43739</v>
      </c>
      <c r="H384" s="18">
        <f t="shared" si="15"/>
        <v>6.5013698630136982</v>
      </c>
      <c r="I384" s="5" t="s">
        <v>21</v>
      </c>
      <c r="J384" s="28">
        <v>45000</v>
      </c>
      <c r="K384" s="28">
        <v>3500</v>
      </c>
      <c r="L384" s="31">
        <f t="shared" si="17"/>
        <v>7.7777777777777779E-2</v>
      </c>
    </row>
    <row r="385" spans="1:12" ht="15" customHeight="1" x14ac:dyDescent="0.35">
      <c r="A385" s="10">
        <f t="shared" si="16"/>
        <v>381</v>
      </c>
      <c r="B385" s="3">
        <v>7171</v>
      </c>
      <c r="C385" s="5" t="s">
        <v>937</v>
      </c>
      <c r="D385" s="5" t="s">
        <v>669</v>
      </c>
      <c r="E385" s="5" t="s">
        <v>103</v>
      </c>
      <c r="F385" s="5" t="s">
        <v>103</v>
      </c>
      <c r="G385" s="7">
        <v>43750</v>
      </c>
      <c r="H385" s="18">
        <f t="shared" si="15"/>
        <v>6.4712328767123291</v>
      </c>
      <c r="I385" s="5" t="s">
        <v>13</v>
      </c>
      <c r="J385" s="28">
        <v>28638.2075</v>
      </c>
      <c r="K385" s="28">
        <v>3500</v>
      </c>
      <c r="L385" s="31">
        <f t="shared" si="17"/>
        <v>0.12221435297582783</v>
      </c>
    </row>
    <row r="386" spans="1:12" ht="15" customHeight="1" x14ac:dyDescent="0.35">
      <c r="A386" s="10">
        <f t="shared" si="16"/>
        <v>382</v>
      </c>
      <c r="B386" s="3">
        <v>7184</v>
      </c>
      <c r="C386" s="5" t="s">
        <v>941</v>
      </c>
      <c r="D386" s="5" t="s">
        <v>669</v>
      </c>
      <c r="E386" s="5" t="s">
        <v>103</v>
      </c>
      <c r="F386" s="5" t="s">
        <v>103</v>
      </c>
      <c r="G386" s="7">
        <v>43796</v>
      </c>
      <c r="H386" s="18">
        <f t="shared" si="15"/>
        <v>6.3452054794520549</v>
      </c>
      <c r="I386" s="5" t="s">
        <v>13</v>
      </c>
      <c r="J386" s="28">
        <v>28916.4575</v>
      </c>
      <c r="K386" s="28">
        <v>3500</v>
      </c>
      <c r="L386" s="31">
        <f t="shared" si="17"/>
        <v>0.12103833949922807</v>
      </c>
    </row>
    <row r="387" spans="1:12" ht="15" customHeight="1" x14ac:dyDescent="0.35">
      <c r="A387" s="10">
        <f t="shared" si="16"/>
        <v>383</v>
      </c>
      <c r="B387" s="3">
        <v>7197</v>
      </c>
      <c r="C387" s="5" t="s">
        <v>942</v>
      </c>
      <c r="D387" s="5" t="s">
        <v>884</v>
      </c>
      <c r="E387" s="5" t="s">
        <v>112</v>
      </c>
      <c r="F387" s="5" t="s">
        <v>112</v>
      </c>
      <c r="G387" s="7">
        <v>43809</v>
      </c>
      <c r="H387" s="18">
        <f t="shared" si="15"/>
        <v>6.3095890410958901</v>
      </c>
      <c r="I387" s="5" t="s">
        <v>13</v>
      </c>
      <c r="J387" s="28">
        <v>31352.427500000002</v>
      </c>
      <c r="K387" s="28">
        <v>3500</v>
      </c>
      <c r="L387" s="31">
        <f t="shared" si="17"/>
        <v>0.11163409914591142</v>
      </c>
    </row>
    <row r="388" spans="1:12" ht="15" customHeight="1" x14ac:dyDescent="0.35">
      <c r="A388" s="10">
        <f t="shared" si="16"/>
        <v>384</v>
      </c>
      <c r="B388" s="3">
        <v>7199</v>
      </c>
      <c r="C388" s="5" t="s">
        <v>943</v>
      </c>
      <c r="D388" s="5" t="s">
        <v>488</v>
      </c>
      <c r="E388" s="5" t="s">
        <v>94</v>
      </c>
      <c r="F388" s="5" t="s">
        <v>94</v>
      </c>
      <c r="G388" s="7">
        <v>43811</v>
      </c>
      <c r="H388" s="18">
        <f t="shared" si="15"/>
        <v>6.3041095890410963</v>
      </c>
      <c r="I388" s="5" t="s">
        <v>13</v>
      </c>
      <c r="J388" s="28">
        <v>28987.862000000001</v>
      </c>
      <c r="K388" s="28">
        <v>3500</v>
      </c>
      <c r="L388" s="31">
        <f t="shared" si="17"/>
        <v>0.12074019118760811</v>
      </c>
    </row>
    <row r="389" spans="1:12" ht="15" customHeight="1" x14ac:dyDescent="0.35">
      <c r="A389" s="10">
        <f t="shared" si="16"/>
        <v>385</v>
      </c>
      <c r="B389" s="3">
        <v>7200</v>
      </c>
      <c r="C389" s="5" t="s">
        <v>944</v>
      </c>
      <c r="D389" s="5" t="s">
        <v>455</v>
      </c>
      <c r="E389" s="5" t="s">
        <v>228</v>
      </c>
      <c r="F389" s="5" t="s">
        <v>228</v>
      </c>
      <c r="G389" s="7">
        <v>43811</v>
      </c>
      <c r="H389" s="18">
        <f t="shared" ref="H389:H452" si="18">($H$3-G389)/365</f>
        <v>6.3041095890410963</v>
      </c>
      <c r="I389" s="5" t="s">
        <v>13</v>
      </c>
      <c r="J389" s="28">
        <v>25930.309499999999</v>
      </c>
      <c r="K389" s="28">
        <v>3500</v>
      </c>
      <c r="L389" s="31">
        <f t="shared" si="17"/>
        <v>0.13497717796233785</v>
      </c>
    </row>
    <row r="390" spans="1:12" ht="15" customHeight="1" x14ac:dyDescent="0.35">
      <c r="A390" s="10">
        <f t="shared" ref="A390:A453" si="19">+A389+1</f>
        <v>386</v>
      </c>
      <c r="B390" s="3">
        <v>7201</v>
      </c>
      <c r="C390" s="5" t="s">
        <v>945</v>
      </c>
      <c r="D390" s="5" t="s">
        <v>693</v>
      </c>
      <c r="E390" s="5" t="s">
        <v>181</v>
      </c>
      <c r="F390" s="5" t="s">
        <v>181</v>
      </c>
      <c r="G390" s="7">
        <v>43812</v>
      </c>
      <c r="H390" s="18">
        <f t="shared" si="18"/>
        <v>6.3013698630136989</v>
      </c>
      <c r="I390" s="5" t="s">
        <v>13</v>
      </c>
      <c r="J390" s="28">
        <v>28722.910499999998</v>
      </c>
      <c r="K390" s="28">
        <v>3500</v>
      </c>
      <c r="L390" s="31">
        <f t="shared" ref="L390:L453" si="20">+K390/J390</f>
        <v>0.12185394652119257</v>
      </c>
    </row>
    <row r="391" spans="1:12" ht="15" customHeight="1" x14ac:dyDescent="0.35">
      <c r="A391" s="10">
        <f t="shared" si="19"/>
        <v>387</v>
      </c>
      <c r="B391" s="3">
        <v>7304</v>
      </c>
      <c r="C391" s="5" t="s">
        <v>952</v>
      </c>
      <c r="D391" s="5" t="s">
        <v>799</v>
      </c>
      <c r="E391" s="5" t="s">
        <v>800</v>
      </c>
      <c r="F391" s="5" t="s">
        <v>801</v>
      </c>
      <c r="G391" s="7">
        <v>44063</v>
      </c>
      <c r="H391" s="18">
        <f t="shared" si="18"/>
        <v>5.6136986301369864</v>
      </c>
      <c r="I391" s="5" t="s">
        <v>13</v>
      </c>
      <c r="J391" s="28">
        <v>23494.75</v>
      </c>
      <c r="K391" s="28">
        <v>3500</v>
      </c>
      <c r="L391" s="31">
        <f t="shared" si="20"/>
        <v>0.14896945062194747</v>
      </c>
    </row>
    <row r="392" spans="1:12" ht="15" customHeight="1" x14ac:dyDescent="0.35">
      <c r="A392" s="10">
        <f t="shared" si="19"/>
        <v>388</v>
      </c>
      <c r="B392" s="3">
        <v>7339</v>
      </c>
      <c r="C392" s="5" t="s">
        <v>953</v>
      </c>
      <c r="D392" s="5" t="s">
        <v>669</v>
      </c>
      <c r="E392" s="5" t="s">
        <v>103</v>
      </c>
      <c r="F392" s="5" t="s">
        <v>103</v>
      </c>
      <c r="G392" s="7">
        <v>44118</v>
      </c>
      <c r="H392" s="18">
        <f t="shared" si="18"/>
        <v>5.463013698630137</v>
      </c>
      <c r="I392" s="5" t="s">
        <v>13</v>
      </c>
      <c r="J392" s="28">
        <v>27040.107499999998</v>
      </c>
      <c r="K392" s="28">
        <v>3500</v>
      </c>
      <c r="L392" s="31">
        <f t="shared" si="20"/>
        <v>0.12943735523240801</v>
      </c>
    </row>
    <row r="393" spans="1:12" ht="15" customHeight="1" x14ac:dyDescent="0.35">
      <c r="A393" s="10">
        <f t="shared" si="19"/>
        <v>389</v>
      </c>
      <c r="B393" s="3">
        <v>7367</v>
      </c>
      <c r="C393" s="5" t="s">
        <v>956</v>
      </c>
      <c r="D393" s="5" t="s">
        <v>488</v>
      </c>
      <c r="E393" s="5" t="s">
        <v>64</v>
      </c>
      <c r="F393" s="5" t="s">
        <v>64</v>
      </c>
      <c r="G393" s="7">
        <v>44127</v>
      </c>
      <c r="H393" s="18">
        <f t="shared" si="18"/>
        <v>5.4383561643835616</v>
      </c>
      <c r="I393" s="5" t="s">
        <v>13</v>
      </c>
      <c r="J393" s="28">
        <v>28544.319500000001</v>
      </c>
      <c r="K393" s="28">
        <v>3500</v>
      </c>
      <c r="L393" s="31">
        <f t="shared" si="20"/>
        <v>0.12261634052968051</v>
      </c>
    </row>
    <row r="394" spans="1:12" ht="15" customHeight="1" x14ac:dyDescent="0.35">
      <c r="A394" s="10">
        <f t="shared" si="19"/>
        <v>390</v>
      </c>
      <c r="B394" s="3">
        <v>7403</v>
      </c>
      <c r="C394" s="5" t="s">
        <v>964</v>
      </c>
      <c r="D394" s="5" t="s">
        <v>807</v>
      </c>
      <c r="E394" s="5" t="s">
        <v>87</v>
      </c>
      <c r="F394" s="5" t="s">
        <v>808</v>
      </c>
      <c r="G394" s="7">
        <v>44153</v>
      </c>
      <c r="H394" s="18">
        <f t="shared" si="18"/>
        <v>5.3671232876712329</v>
      </c>
      <c r="I394" s="5" t="s">
        <v>13</v>
      </c>
      <c r="J394" s="28">
        <v>27252.518</v>
      </c>
      <c r="K394" s="28">
        <v>3500</v>
      </c>
      <c r="L394" s="31">
        <f t="shared" si="20"/>
        <v>0.12842849970780681</v>
      </c>
    </row>
    <row r="395" spans="1:12" ht="15" customHeight="1" x14ac:dyDescent="0.35">
      <c r="A395" s="10">
        <f t="shared" si="19"/>
        <v>391</v>
      </c>
      <c r="B395" s="3">
        <v>7406</v>
      </c>
      <c r="C395" s="5" t="s">
        <v>965</v>
      </c>
      <c r="D395" s="5" t="s">
        <v>340</v>
      </c>
      <c r="E395" s="5" t="s">
        <v>68</v>
      </c>
      <c r="F395" s="5" t="s">
        <v>254</v>
      </c>
      <c r="G395" s="7">
        <v>44158</v>
      </c>
      <c r="H395" s="18">
        <f t="shared" si="18"/>
        <v>5.353424657534247</v>
      </c>
      <c r="I395" s="5" t="s">
        <v>13</v>
      </c>
      <c r="J395" s="28">
        <v>25985.949499999999</v>
      </c>
      <c r="K395" s="28">
        <v>3500</v>
      </c>
      <c r="L395" s="31">
        <f t="shared" si="20"/>
        <v>0.13468817062081953</v>
      </c>
    </row>
    <row r="396" spans="1:12" ht="15" customHeight="1" x14ac:dyDescent="0.35">
      <c r="A396" s="10">
        <f t="shared" si="19"/>
        <v>392</v>
      </c>
      <c r="B396" s="3">
        <v>7407</v>
      </c>
      <c r="C396" s="5" t="s">
        <v>966</v>
      </c>
      <c r="D396" s="5" t="s">
        <v>488</v>
      </c>
      <c r="E396" s="5" t="s">
        <v>228</v>
      </c>
      <c r="F396" s="5" t="s">
        <v>228</v>
      </c>
      <c r="G396" s="7">
        <v>44166</v>
      </c>
      <c r="H396" s="18">
        <f t="shared" si="18"/>
        <v>5.3315068493150681</v>
      </c>
      <c r="I396" s="5" t="s">
        <v>13</v>
      </c>
      <c r="J396" s="28">
        <v>28544.319500000001</v>
      </c>
      <c r="K396" s="28">
        <v>3500</v>
      </c>
      <c r="L396" s="31">
        <f t="shared" si="20"/>
        <v>0.12261634052968051</v>
      </c>
    </row>
    <row r="397" spans="1:12" ht="15" customHeight="1" x14ac:dyDescent="0.35">
      <c r="A397" s="10">
        <f t="shared" si="19"/>
        <v>393</v>
      </c>
      <c r="B397" s="3">
        <v>7409</v>
      </c>
      <c r="C397" s="5" t="s">
        <v>969</v>
      </c>
      <c r="D397" s="5" t="s">
        <v>970</v>
      </c>
      <c r="E397" s="5" t="s">
        <v>24</v>
      </c>
      <c r="F397" s="5" t="s">
        <v>24</v>
      </c>
      <c r="G397" s="7">
        <v>44166</v>
      </c>
      <c r="H397" s="18">
        <f t="shared" si="18"/>
        <v>5.3315068493150681</v>
      </c>
      <c r="I397" s="5" t="s">
        <v>13</v>
      </c>
      <c r="J397" s="28">
        <v>23839.373</v>
      </c>
      <c r="K397" s="28">
        <v>3500</v>
      </c>
      <c r="L397" s="31">
        <f t="shared" si="20"/>
        <v>0.14681594184545038</v>
      </c>
    </row>
    <row r="398" spans="1:12" ht="15" customHeight="1" x14ac:dyDescent="0.35">
      <c r="A398" s="10">
        <f t="shared" si="19"/>
        <v>394</v>
      </c>
      <c r="B398" s="3">
        <v>7410</v>
      </c>
      <c r="C398" s="5" t="s">
        <v>971</v>
      </c>
      <c r="D398" s="5" t="s">
        <v>972</v>
      </c>
      <c r="E398" s="5" t="s">
        <v>973</v>
      </c>
      <c r="F398" s="5" t="s">
        <v>973</v>
      </c>
      <c r="G398" s="7">
        <v>44166</v>
      </c>
      <c r="H398" s="18">
        <f t="shared" si="18"/>
        <v>5.3315068493150681</v>
      </c>
      <c r="I398" s="5" t="s">
        <v>13</v>
      </c>
      <c r="J398" s="28">
        <v>30088.658500000001</v>
      </c>
      <c r="K398" s="28">
        <v>3500</v>
      </c>
      <c r="L398" s="31">
        <f t="shared" si="20"/>
        <v>0.11632289954036999</v>
      </c>
    </row>
    <row r="399" spans="1:12" ht="15" customHeight="1" x14ac:dyDescent="0.35">
      <c r="A399" s="10">
        <f t="shared" si="19"/>
        <v>395</v>
      </c>
      <c r="B399" s="3">
        <v>7418</v>
      </c>
      <c r="C399" s="5" t="s">
        <v>974</v>
      </c>
      <c r="D399" s="5" t="s">
        <v>733</v>
      </c>
      <c r="E399" s="5" t="s">
        <v>165</v>
      </c>
      <c r="F399" s="5" t="s">
        <v>165</v>
      </c>
      <c r="G399" s="7">
        <v>44214</v>
      </c>
      <c r="H399" s="18">
        <f t="shared" si="18"/>
        <v>5.2</v>
      </c>
      <c r="I399" s="5" t="s">
        <v>13</v>
      </c>
      <c r="J399" s="28">
        <v>26532.164499999999</v>
      </c>
      <c r="K399" s="28">
        <v>3500</v>
      </c>
      <c r="L399" s="31">
        <f t="shared" si="20"/>
        <v>0.1319153588091164</v>
      </c>
    </row>
    <row r="400" spans="1:12" ht="15" customHeight="1" x14ac:dyDescent="0.35">
      <c r="A400" s="10">
        <f t="shared" si="19"/>
        <v>396</v>
      </c>
      <c r="B400" s="3">
        <v>7433</v>
      </c>
      <c r="C400" s="5" t="s">
        <v>976</v>
      </c>
      <c r="D400" s="5" t="s">
        <v>884</v>
      </c>
      <c r="E400" s="5" t="s">
        <v>112</v>
      </c>
      <c r="F400" s="5" t="s">
        <v>112</v>
      </c>
      <c r="G400" s="7">
        <v>44223</v>
      </c>
      <c r="H400" s="18">
        <f t="shared" si="18"/>
        <v>5.1753424657534248</v>
      </c>
      <c r="I400" s="5" t="s">
        <v>13</v>
      </c>
      <c r="J400" s="28">
        <v>27744.0625</v>
      </c>
      <c r="K400" s="28">
        <v>3500</v>
      </c>
      <c r="L400" s="31">
        <f t="shared" si="20"/>
        <v>0.12615311834739415</v>
      </c>
    </row>
    <row r="401" spans="1:12" ht="15" customHeight="1" x14ac:dyDescent="0.35">
      <c r="A401" s="10">
        <f t="shared" si="19"/>
        <v>397</v>
      </c>
      <c r="B401" s="3">
        <v>7446</v>
      </c>
      <c r="C401" s="5" t="s">
        <v>979</v>
      </c>
      <c r="D401" s="5" t="s">
        <v>669</v>
      </c>
      <c r="E401" s="5" t="s">
        <v>103</v>
      </c>
      <c r="F401" s="5" t="s">
        <v>103</v>
      </c>
      <c r="G401" s="7">
        <v>44237</v>
      </c>
      <c r="H401" s="18">
        <f t="shared" si="18"/>
        <v>5.1369863013698627</v>
      </c>
      <c r="I401" s="5" t="s">
        <v>13</v>
      </c>
      <c r="J401" s="28">
        <v>26532.164499999999</v>
      </c>
      <c r="K401" s="28">
        <v>3500</v>
      </c>
      <c r="L401" s="31">
        <f t="shared" si="20"/>
        <v>0.1319153588091164</v>
      </c>
    </row>
    <row r="402" spans="1:12" ht="15" customHeight="1" x14ac:dyDescent="0.35">
      <c r="A402" s="10">
        <f t="shared" si="19"/>
        <v>398</v>
      </c>
      <c r="B402" s="3">
        <v>7481</v>
      </c>
      <c r="C402" s="5" t="s">
        <v>980</v>
      </c>
      <c r="D402" s="5" t="s">
        <v>678</v>
      </c>
      <c r="E402" s="5" t="s">
        <v>87</v>
      </c>
      <c r="F402" s="5" t="s">
        <v>678</v>
      </c>
      <c r="G402" s="7">
        <v>44257</v>
      </c>
      <c r="H402" s="18">
        <f t="shared" si="18"/>
        <v>5.0821917808219181</v>
      </c>
      <c r="I402" s="5" t="s">
        <v>13</v>
      </c>
      <c r="J402" s="28">
        <v>30228.955000000002</v>
      </c>
      <c r="K402" s="28">
        <v>3500</v>
      </c>
      <c r="L402" s="31">
        <f t="shared" si="20"/>
        <v>0.1157830298797957</v>
      </c>
    </row>
    <row r="403" spans="1:12" ht="15" customHeight="1" x14ac:dyDescent="0.35">
      <c r="A403" s="10">
        <f t="shared" si="19"/>
        <v>399</v>
      </c>
      <c r="B403" s="3">
        <v>7482</v>
      </c>
      <c r="C403" s="5" t="s">
        <v>981</v>
      </c>
      <c r="D403" s="5" t="s">
        <v>982</v>
      </c>
      <c r="E403" s="5" t="s">
        <v>181</v>
      </c>
      <c r="F403" s="5" t="s">
        <v>181</v>
      </c>
      <c r="G403" s="7">
        <v>44277</v>
      </c>
      <c r="H403" s="18">
        <f t="shared" si="18"/>
        <v>5.0273972602739727</v>
      </c>
      <c r="I403" s="5" t="s">
        <v>13</v>
      </c>
      <c r="J403" s="28">
        <v>30366.374000000003</v>
      </c>
      <c r="K403" s="28">
        <v>3500</v>
      </c>
      <c r="L403" s="31">
        <f t="shared" si="20"/>
        <v>0.11525906912692307</v>
      </c>
    </row>
    <row r="404" spans="1:12" ht="15" customHeight="1" x14ac:dyDescent="0.35">
      <c r="A404" s="10">
        <f t="shared" si="19"/>
        <v>400</v>
      </c>
      <c r="B404" s="3">
        <v>7495</v>
      </c>
      <c r="C404" s="5" t="s">
        <v>984</v>
      </c>
      <c r="D404" s="5" t="s">
        <v>985</v>
      </c>
      <c r="E404" s="5" t="s">
        <v>51</v>
      </c>
      <c r="F404" s="5" t="s">
        <v>51</v>
      </c>
      <c r="G404" s="7">
        <v>44289</v>
      </c>
      <c r="H404" s="18">
        <f t="shared" si="18"/>
        <v>4.9945205479452053</v>
      </c>
      <c r="I404" s="5" t="s">
        <v>13</v>
      </c>
      <c r="J404" s="28">
        <v>29236.181499999999</v>
      </c>
      <c r="K404" s="28">
        <v>3000</v>
      </c>
      <c r="L404" s="31">
        <f t="shared" si="20"/>
        <v>0.1026125795531814</v>
      </c>
    </row>
    <row r="405" spans="1:12" ht="15" customHeight="1" x14ac:dyDescent="0.35">
      <c r="A405" s="10">
        <f t="shared" si="19"/>
        <v>401</v>
      </c>
      <c r="B405" s="3">
        <v>7496</v>
      </c>
      <c r="C405" s="5" t="s">
        <v>986</v>
      </c>
      <c r="D405" s="5" t="s">
        <v>987</v>
      </c>
      <c r="E405" s="5" t="s">
        <v>24</v>
      </c>
      <c r="F405" s="5" t="s">
        <v>24</v>
      </c>
      <c r="G405" s="7">
        <v>44294</v>
      </c>
      <c r="H405" s="18">
        <f t="shared" si="18"/>
        <v>4.9808219178082194</v>
      </c>
      <c r="I405" s="5" t="s">
        <v>13</v>
      </c>
      <c r="J405" s="28">
        <v>27657.218049999999</v>
      </c>
      <c r="K405" s="28">
        <v>3000</v>
      </c>
      <c r="L405" s="31">
        <f t="shared" si="20"/>
        <v>0.10847077947523359</v>
      </c>
    </row>
    <row r="406" spans="1:12" ht="15" customHeight="1" x14ac:dyDescent="0.35">
      <c r="A406" s="10">
        <f t="shared" si="19"/>
        <v>402</v>
      </c>
      <c r="B406" s="3">
        <v>7591</v>
      </c>
      <c r="C406" s="5" t="s">
        <v>999</v>
      </c>
      <c r="D406" s="5" t="s">
        <v>488</v>
      </c>
      <c r="E406" s="5" t="s">
        <v>228</v>
      </c>
      <c r="F406" s="5" t="s">
        <v>228</v>
      </c>
      <c r="G406" s="7">
        <v>44363</v>
      </c>
      <c r="H406" s="18">
        <f t="shared" si="18"/>
        <v>4.7917808219178086</v>
      </c>
      <c r="I406" s="5" t="s">
        <v>13</v>
      </c>
      <c r="J406" s="28">
        <v>27823.139500000001</v>
      </c>
      <c r="K406" s="28">
        <v>3000</v>
      </c>
      <c r="L406" s="31">
        <f t="shared" si="20"/>
        <v>0.10782392116461192</v>
      </c>
    </row>
    <row r="407" spans="1:12" ht="15" customHeight="1" x14ac:dyDescent="0.35">
      <c r="A407" s="10">
        <f t="shared" si="19"/>
        <v>403</v>
      </c>
      <c r="B407" s="3">
        <v>7592</v>
      </c>
      <c r="C407" s="5" t="s">
        <v>1000</v>
      </c>
      <c r="D407" s="5" t="s">
        <v>519</v>
      </c>
      <c r="E407" s="5" t="s">
        <v>24</v>
      </c>
      <c r="F407" s="5" t="s">
        <v>152</v>
      </c>
      <c r="G407" s="7">
        <v>44370</v>
      </c>
      <c r="H407" s="18">
        <f t="shared" si="18"/>
        <v>4.7726027397260271</v>
      </c>
      <c r="I407" s="5" t="s">
        <v>13</v>
      </c>
      <c r="J407" s="28">
        <v>25356.254499999999</v>
      </c>
      <c r="K407" s="28">
        <v>3000</v>
      </c>
      <c r="L407" s="31">
        <f t="shared" si="20"/>
        <v>0.11831400414442125</v>
      </c>
    </row>
    <row r="408" spans="1:12" ht="15" customHeight="1" x14ac:dyDescent="0.35">
      <c r="A408" s="10">
        <f t="shared" si="19"/>
        <v>404</v>
      </c>
      <c r="B408" s="3">
        <v>7595</v>
      </c>
      <c r="C408" s="5" t="s">
        <v>1001</v>
      </c>
      <c r="D408" s="5" t="s">
        <v>639</v>
      </c>
      <c r="E408" s="5" t="s">
        <v>640</v>
      </c>
      <c r="F408" s="5" t="s">
        <v>641</v>
      </c>
      <c r="G408" s="7">
        <v>44378</v>
      </c>
      <c r="H408" s="18">
        <f t="shared" si="18"/>
        <v>4.7506849315068491</v>
      </c>
      <c r="I408" s="5" t="s">
        <v>13</v>
      </c>
      <c r="J408" s="28">
        <v>25356.254499999999</v>
      </c>
      <c r="K408" s="28">
        <v>3000</v>
      </c>
      <c r="L408" s="31">
        <f t="shared" si="20"/>
        <v>0.11831400414442125</v>
      </c>
    </row>
    <row r="409" spans="1:12" ht="15" customHeight="1" x14ac:dyDescent="0.35">
      <c r="A409" s="10">
        <f t="shared" si="19"/>
        <v>405</v>
      </c>
      <c r="B409" s="3">
        <v>7756</v>
      </c>
      <c r="C409" s="5" t="s">
        <v>1015</v>
      </c>
      <c r="D409" s="5" t="s">
        <v>669</v>
      </c>
      <c r="E409" s="5" t="s">
        <v>103</v>
      </c>
      <c r="F409" s="5" t="s">
        <v>103</v>
      </c>
      <c r="G409" s="7">
        <v>44501</v>
      </c>
      <c r="H409" s="18">
        <f t="shared" si="18"/>
        <v>4.4136986301369863</v>
      </c>
      <c r="I409" s="5" t="s">
        <v>13</v>
      </c>
      <c r="J409" s="28">
        <v>26332.407500000001</v>
      </c>
      <c r="K409" s="28">
        <v>3000</v>
      </c>
      <c r="L409" s="31">
        <f t="shared" si="20"/>
        <v>0.1139280561414675</v>
      </c>
    </row>
    <row r="410" spans="1:12" ht="15" customHeight="1" x14ac:dyDescent="0.35">
      <c r="A410" s="10">
        <f t="shared" si="19"/>
        <v>406</v>
      </c>
      <c r="B410" s="3">
        <v>7757</v>
      </c>
      <c r="C410" s="5" t="s">
        <v>1016</v>
      </c>
      <c r="D410" s="5" t="s">
        <v>669</v>
      </c>
      <c r="E410" s="5" t="s">
        <v>103</v>
      </c>
      <c r="F410" s="5" t="s">
        <v>103</v>
      </c>
      <c r="G410" s="7">
        <v>44501</v>
      </c>
      <c r="H410" s="18">
        <f t="shared" si="18"/>
        <v>4.4136986301369863</v>
      </c>
      <c r="I410" s="5" t="s">
        <v>13</v>
      </c>
      <c r="J410" s="28">
        <v>26332.407500000001</v>
      </c>
      <c r="K410" s="28">
        <v>3000</v>
      </c>
      <c r="L410" s="31">
        <f t="shared" si="20"/>
        <v>0.1139280561414675</v>
      </c>
    </row>
    <row r="411" spans="1:12" ht="15" customHeight="1" x14ac:dyDescent="0.35">
      <c r="A411" s="10">
        <f t="shared" si="19"/>
        <v>407</v>
      </c>
      <c r="B411" s="3">
        <v>7766</v>
      </c>
      <c r="C411" s="5" t="s">
        <v>1017</v>
      </c>
      <c r="D411" s="5" t="s">
        <v>716</v>
      </c>
      <c r="E411" s="5" t="s">
        <v>165</v>
      </c>
      <c r="F411" s="5" t="s">
        <v>165</v>
      </c>
      <c r="G411" s="7">
        <v>44516</v>
      </c>
      <c r="H411" s="18">
        <f t="shared" si="18"/>
        <v>4.3726027397260276</v>
      </c>
      <c r="I411" s="5" t="s">
        <v>13</v>
      </c>
      <c r="J411" s="28">
        <v>22468.299500000001</v>
      </c>
      <c r="K411" s="28">
        <v>3000</v>
      </c>
      <c r="L411" s="31">
        <f t="shared" si="20"/>
        <v>0.13352145319230768</v>
      </c>
    </row>
    <row r="412" spans="1:12" ht="15" customHeight="1" x14ac:dyDescent="0.35">
      <c r="A412" s="10">
        <f t="shared" si="19"/>
        <v>408</v>
      </c>
      <c r="B412" s="3">
        <v>7767</v>
      </c>
      <c r="C412" s="5" t="s">
        <v>1018</v>
      </c>
      <c r="D412" s="5" t="s">
        <v>1019</v>
      </c>
      <c r="E412" s="5" t="s">
        <v>24</v>
      </c>
      <c r="F412" s="5" t="s">
        <v>24</v>
      </c>
      <c r="G412" s="7">
        <v>44516</v>
      </c>
      <c r="H412" s="18">
        <f t="shared" si="18"/>
        <v>4.3726027397260276</v>
      </c>
      <c r="I412" s="5" t="s">
        <v>13</v>
      </c>
      <c r="J412" s="28">
        <v>24179.75</v>
      </c>
      <c r="K412" s="28">
        <v>3000</v>
      </c>
      <c r="L412" s="31">
        <f t="shared" si="20"/>
        <v>0.12407076169108448</v>
      </c>
    </row>
    <row r="413" spans="1:12" ht="15" customHeight="1" x14ac:dyDescent="0.35">
      <c r="A413" s="10">
        <f t="shared" si="19"/>
        <v>409</v>
      </c>
      <c r="B413" s="3">
        <v>7768</v>
      </c>
      <c r="C413" s="5" t="s">
        <v>1020</v>
      </c>
      <c r="D413" s="5" t="s">
        <v>1021</v>
      </c>
      <c r="E413" s="5" t="s">
        <v>376</v>
      </c>
      <c r="F413" s="5" t="s">
        <v>466</v>
      </c>
      <c r="G413" s="7">
        <v>44516</v>
      </c>
      <c r="H413" s="18">
        <f t="shared" si="18"/>
        <v>4.3726027397260276</v>
      </c>
      <c r="I413" s="5" t="s">
        <v>13</v>
      </c>
      <c r="J413" s="28">
        <v>24322.6345</v>
      </c>
      <c r="K413" s="28">
        <v>3000</v>
      </c>
      <c r="L413" s="31">
        <f t="shared" si="20"/>
        <v>0.12334190196378604</v>
      </c>
    </row>
    <row r="414" spans="1:12" ht="15" customHeight="1" x14ac:dyDescent="0.35">
      <c r="A414" s="10">
        <f t="shared" si="19"/>
        <v>410</v>
      </c>
      <c r="B414" s="3">
        <v>7770</v>
      </c>
      <c r="C414" s="5" t="s">
        <v>1022</v>
      </c>
      <c r="D414" s="5" t="s">
        <v>29</v>
      </c>
      <c r="E414" s="5" t="s">
        <v>28</v>
      </c>
      <c r="F414" s="5" t="s">
        <v>29</v>
      </c>
      <c r="G414" s="7">
        <v>44516</v>
      </c>
      <c r="H414" s="18">
        <f t="shared" si="18"/>
        <v>4.3726027397260276</v>
      </c>
      <c r="I414" s="5" t="s">
        <v>13</v>
      </c>
      <c r="J414" s="28">
        <v>26282.4545</v>
      </c>
      <c r="K414" s="28">
        <v>3000</v>
      </c>
      <c r="L414" s="31">
        <f t="shared" si="20"/>
        <v>0.11414459026267885</v>
      </c>
    </row>
    <row r="415" spans="1:12" ht="15" customHeight="1" x14ac:dyDescent="0.35">
      <c r="A415" s="10">
        <f t="shared" si="19"/>
        <v>411</v>
      </c>
      <c r="B415" s="3">
        <v>7775</v>
      </c>
      <c r="C415" s="5" t="s">
        <v>1023</v>
      </c>
      <c r="D415" s="5" t="s">
        <v>1024</v>
      </c>
      <c r="E415" s="5" t="s">
        <v>424</v>
      </c>
      <c r="F415" s="5" t="s">
        <v>424</v>
      </c>
      <c r="G415" s="7">
        <v>44531</v>
      </c>
      <c r="H415" s="18">
        <f t="shared" si="18"/>
        <v>4.3315068493150681</v>
      </c>
      <c r="I415" s="5" t="s">
        <v>21</v>
      </c>
      <c r="J415" s="28">
        <v>45360</v>
      </c>
      <c r="K415" s="28">
        <v>3000</v>
      </c>
      <c r="L415" s="31">
        <f t="shared" si="20"/>
        <v>6.6137566137566134E-2</v>
      </c>
    </row>
    <row r="416" spans="1:12" ht="15" customHeight="1" x14ac:dyDescent="0.35">
      <c r="A416" s="10">
        <f t="shared" si="19"/>
        <v>412</v>
      </c>
      <c r="B416" s="3">
        <v>7782</v>
      </c>
      <c r="C416" s="5" t="s">
        <v>1025</v>
      </c>
      <c r="D416" s="5" t="s">
        <v>69</v>
      </c>
      <c r="E416" s="5" t="s">
        <v>1026</v>
      </c>
      <c r="F416" s="5" t="s">
        <v>1027</v>
      </c>
      <c r="G416" s="7">
        <v>44531</v>
      </c>
      <c r="H416" s="18">
        <f t="shared" si="18"/>
        <v>4.3315068493150681</v>
      </c>
      <c r="I416" s="5" t="s">
        <v>13</v>
      </c>
      <c r="J416" s="28">
        <v>21824.75</v>
      </c>
      <c r="K416" s="28">
        <v>3000</v>
      </c>
      <c r="L416" s="31">
        <f t="shared" si="20"/>
        <v>0.13745861922816985</v>
      </c>
    </row>
    <row r="417" spans="1:12" ht="15" customHeight="1" x14ac:dyDescent="0.35">
      <c r="A417" s="10">
        <f t="shared" si="19"/>
        <v>413</v>
      </c>
      <c r="B417" s="3">
        <v>7784</v>
      </c>
      <c r="C417" s="5" t="s">
        <v>1028</v>
      </c>
      <c r="D417" s="5" t="s">
        <v>693</v>
      </c>
      <c r="E417" s="5" t="s">
        <v>181</v>
      </c>
      <c r="F417" s="5" t="s">
        <v>181</v>
      </c>
      <c r="G417" s="7">
        <v>44536</v>
      </c>
      <c r="H417" s="18">
        <f t="shared" si="18"/>
        <v>4.3178082191780822</v>
      </c>
      <c r="I417" s="5" t="s">
        <v>13</v>
      </c>
      <c r="J417" s="28">
        <v>25837.944500000001</v>
      </c>
      <c r="K417" s="28">
        <v>3000</v>
      </c>
      <c r="L417" s="31">
        <f t="shared" si="20"/>
        <v>0.11610830729975442</v>
      </c>
    </row>
    <row r="418" spans="1:12" ht="15" customHeight="1" x14ac:dyDescent="0.35">
      <c r="A418" s="10">
        <f t="shared" si="19"/>
        <v>414</v>
      </c>
      <c r="B418" s="3">
        <v>7790</v>
      </c>
      <c r="C418" s="5" t="s">
        <v>1033</v>
      </c>
      <c r="D418" s="5" t="s">
        <v>1034</v>
      </c>
      <c r="E418" s="5" t="s">
        <v>322</v>
      </c>
      <c r="F418" s="5" t="s">
        <v>322</v>
      </c>
      <c r="G418" s="7">
        <v>44546</v>
      </c>
      <c r="H418" s="18">
        <f t="shared" si="18"/>
        <v>4.2904109589041095</v>
      </c>
      <c r="I418" s="5" t="s">
        <v>13</v>
      </c>
      <c r="J418" s="28">
        <v>27380.595499999999</v>
      </c>
      <c r="K418" s="28">
        <v>3000</v>
      </c>
      <c r="L418" s="31">
        <f t="shared" si="20"/>
        <v>0.10956664547343392</v>
      </c>
    </row>
    <row r="419" spans="1:12" ht="15" customHeight="1" x14ac:dyDescent="0.35">
      <c r="A419" s="10">
        <f t="shared" si="19"/>
        <v>415</v>
      </c>
      <c r="B419" s="3">
        <v>7798</v>
      </c>
      <c r="C419" s="5" t="s">
        <v>1036</v>
      </c>
      <c r="D419" s="5" t="s">
        <v>807</v>
      </c>
      <c r="E419" s="5" t="s">
        <v>87</v>
      </c>
      <c r="F419" s="5" t="s">
        <v>808</v>
      </c>
      <c r="G419" s="7">
        <v>44552</v>
      </c>
      <c r="H419" s="18">
        <f t="shared" si="18"/>
        <v>4.2739726027397262</v>
      </c>
      <c r="I419" s="5" t="s">
        <v>13</v>
      </c>
      <c r="J419" s="28">
        <v>30307.037500000002</v>
      </c>
      <c r="K419" s="28">
        <v>3000</v>
      </c>
      <c r="L419" s="31">
        <f t="shared" si="20"/>
        <v>9.8986910218459984E-2</v>
      </c>
    </row>
    <row r="420" spans="1:12" ht="15" customHeight="1" x14ac:dyDescent="0.35">
      <c r="A420" s="10">
        <f t="shared" si="19"/>
        <v>416</v>
      </c>
      <c r="B420" s="3">
        <v>7814</v>
      </c>
      <c r="C420" s="5" t="s">
        <v>1037</v>
      </c>
      <c r="D420" s="5" t="s">
        <v>807</v>
      </c>
      <c r="E420" s="5" t="s">
        <v>87</v>
      </c>
      <c r="F420" s="5" t="s">
        <v>808</v>
      </c>
      <c r="G420" s="7">
        <v>44562</v>
      </c>
      <c r="H420" s="18">
        <f t="shared" si="18"/>
        <v>4.2465753424657535</v>
      </c>
      <c r="I420" s="5" t="s">
        <v>13</v>
      </c>
      <c r="J420" s="28">
        <v>31116.775000000001</v>
      </c>
      <c r="K420" s="28">
        <v>3000</v>
      </c>
      <c r="L420" s="31">
        <f t="shared" si="20"/>
        <v>9.6411019458154001E-2</v>
      </c>
    </row>
    <row r="421" spans="1:12" ht="15" customHeight="1" x14ac:dyDescent="0.35">
      <c r="A421" s="10">
        <f t="shared" si="19"/>
        <v>417</v>
      </c>
      <c r="B421" s="3">
        <v>7845</v>
      </c>
      <c r="C421" s="5" t="s">
        <v>1045</v>
      </c>
      <c r="D421" s="5" t="s">
        <v>778</v>
      </c>
      <c r="E421" s="5" t="s">
        <v>314</v>
      </c>
      <c r="F421" s="5" t="s">
        <v>315</v>
      </c>
      <c r="G421" s="7">
        <v>44593</v>
      </c>
      <c r="H421" s="18">
        <f t="shared" si="18"/>
        <v>4.161643835616438</v>
      </c>
      <c r="I421" s="5" t="s">
        <v>13</v>
      </c>
      <c r="J421" s="28">
        <v>25837.944500000001</v>
      </c>
      <c r="K421" s="28">
        <v>3000</v>
      </c>
      <c r="L421" s="31">
        <f t="shared" si="20"/>
        <v>0.11610830729975442</v>
      </c>
    </row>
    <row r="422" spans="1:12" ht="15" customHeight="1" x14ac:dyDescent="0.35">
      <c r="A422" s="10">
        <f t="shared" si="19"/>
        <v>418</v>
      </c>
      <c r="B422" s="3">
        <v>7846</v>
      </c>
      <c r="C422" s="5" t="s">
        <v>1046</v>
      </c>
      <c r="D422" s="5" t="s">
        <v>778</v>
      </c>
      <c r="E422" s="5" t="s">
        <v>314</v>
      </c>
      <c r="F422" s="5" t="s">
        <v>315</v>
      </c>
      <c r="G422" s="7">
        <v>44593</v>
      </c>
      <c r="H422" s="18">
        <f t="shared" si="18"/>
        <v>4.161643835616438</v>
      </c>
      <c r="I422" s="5" t="s">
        <v>13</v>
      </c>
      <c r="J422" s="28">
        <v>25837.944500000001</v>
      </c>
      <c r="K422" s="28">
        <v>3000</v>
      </c>
      <c r="L422" s="31">
        <f t="shared" si="20"/>
        <v>0.11610830729975442</v>
      </c>
    </row>
    <row r="423" spans="1:12" ht="15" customHeight="1" x14ac:dyDescent="0.35">
      <c r="A423" s="10">
        <f t="shared" si="19"/>
        <v>419</v>
      </c>
      <c r="B423" s="3">
        <v>7847</v>
      </c>
      <c r="C423" s="5" t="s">
        <v>1047</v>
      </c>
      <c r="D423" s="5" t="s">
        <v>778</v>
      </c>
      <c r="E423" s="5" t="s">
        <v>314</v>
      </c>
      <c r="F423" s="5" t="s">
        <v>315</v>
      </c>
      <c r="G423" s="7">
        <v>44593</v>
      </c>
      <c r="H423" s="18">
        <f t="shared" si="18"/>
        <v>4.161643835616438</v>
      </c>
      <c r="I423" s="5" t="s">
        <v>13</v>
      </c>
      <c r="J423" s="28">
        <v>26332.407500000001</v>
      </c>
      <c r="K423" s="28">
        <v>3000</v>
      </c>
      <c r="L423" s="31">
        <f t="shared" si="20"/>
        <v>0.1139280561414675</v>
      </c>
    </row>
    <row r="424" spans="1:12" ht="15" customHeight="1" x14ac:dyDescent="0.35">
      <c r="A424" s="10">
        <f t="shared" si="19"/>
        <v>420</v>
      </c>
      <c r="B424" s="3">
        <v>7848</v>
      </c>
      <c r="C424" s="5" t="s">
        <v>1048</v>
      </c>
      <c r="D424" s="5" t="s">
        <v>778</v>
      </c>
      <c r="E424" s="5" t="s">
        <v>314</v>
      </c>
      <c r="F424" s="5" t="s">
        <v>315</v>
      </c>
      <c r="G424" s="7">
        <v>44593</v>
      </c>
      <c r="H424" s="18">
        <f t="shared" si="18"/>
        <v>4.161643835616438</v>
      </c>
      <c r="I424" s="5" t="s">
        <v>13</v>
      </c>
      <c r="J424" s="28">
        <v>26332.407500000001</v>
      </c>
      <c r="K424" s="28">
        <v>3000</v>
      </c>
      <c r="L424" s="31">
        <f t="shared" si="20"/>
        <v>0.1139280561414675</v>
      </c>
    </row>
    <row r="425" spans="1:12" ht="15" customHeight="1" x14ac:dyDescent="0.35">
      <c r="A425" s="10">
        <f t="shared" si="19"/>
        <v>421</v>
      </c>
      <c r="B425" s="3">
        <v>7849</v>
      </c>
      <c r="C425" s="5" t="s">
        <v>1049</v>
      </c>
      <c r="D425" s="5" t="s">
        <v>778</v>
      </c>
      <c r="E425" s="5" t="s">
        <v>314</v>
      </c>
      <c r="F425" s="5" t="s">
        <v>315</v>
      </c>
      <c r="G425" s="7">
        <v>44593</v>
      </c>
      <c r="H425" s="18">
        <f t="shared" si="18"/>
        <v>4.161643835616438</v>
      </c>
      <c r="I425" s="5" t="s">
        <v>13</v>
      </c>
      <c r="J425" s="28">
        <v>26332.407500000001</v>
      </c>
      <c r="K425" s="28">
        <v>3000</v>
      </c>
      <c r="L425" s="31">
        <f t="shared" si="20"/>
        <v>0.1139280561414675</v>
      </c>
    </row>
    <row r="426" spans="1:12" ht="15" customHeight="1" x14ac:dyDescent="0.35">
      <c r="A426" s="10">
        <f t="shared" si="19"/>
        <v>422</v>
      </c>
      <c r="B426" s="3">
        <v>7879</v>
      </c>
      <c r="C426" s="5" t="s">
        <v>1053</v>
      </c>
      <c r="D426" s="5" t="s">
        <v>797</v>
      </c>
      <c r="E426" s="5" t="s">
        <v>1054</v>
      </c>
      <c r="F426" s="5" t="s">
        <v>1054</v>
      </c>
      <c r="G426" s="7">
        <v>44621</v>
      </c>
      <c r="H426" s="18">
        <f t="shared" si="18"/>
        <v>4.0849315068493155</v>
      </c>
      <c r="I426" s="5" t="s">
        <v>13</v>
      </c>
      <c r="J426" s="28">
        <v>26826.870500000001</v>
      </c>
      <c r="K426" s="28">
        <v>3000</v>
      </c>
      <c r="L426" s="31">
        <f t="shared" si="20"/>
        <v>0.11182817615643986</v>
      </c>
    </row>
    <row r="427" spans="1:12" ht="15" customHeight="1" x14ac:dyDescent="0.35">
      <c r="A427" s="10">
        <f t="shared" si="19"/>
        <v>423</v>
      </c>
      <c r="B427" s="3">
        <v>7883</v>
      </c>
      <c r="C427" s="5" t="s">
        <v>1055</v>
      </c>
      <c r="D427" s="5" t="s">
        <v>519</v>
      </c>
      <c r="E427" s="5" t="s">
        <v>24</v>
      </c>
      <c r="F427" s="5" t="s">
        <v>152</v>
      </c>
      <c r="G427" s="7">
        <v>44621</v>
      </c>
      <c r="H427" s="18">
        <f t="shared" si="18"/>
        <v>4.0849315068493155</v>
      </c>
      <c r="I427" s="5" t="s">
        <v>13</v>
      </c>
      <c r="J427" s="28">
        <v>23911.6325</v>
      </c>
      <c r="K427" s="28">
        <v>3000</v>
      </c>
      <c r="L427" s="31">
        <f t="shared" si="20"/>
        <v>0.12546194827977555</v>
      </c>
    </row>
    <row r="428" spans="1:12" ht="15" customHeight="1" x14ac:dyDescent="0.35">
      <c r="A428" s="10">
        <f t="shared" si="19"/>
        <v>424</v>
      </c>
      <c r="B428" s="3">
        <v>7907</v>
      </c>
      <c r="C428" s="5" t="s">
        <v>1066</v>
      </c>
      <c r="D428" s="5" t="s">
        <v>488</v>
      </c>
      <c r="E428" s="5" t="s">
        <v>94</v>
      </c>
      <c r="F428" s="5" t="s">
        <v>94</v>
      </c>
      <c r="G428" s="7">
        <v>44652</v>
      </c>
      <c r="H428" s="18">
        <f t="shared" si="18"/>
        <v>4</v>
      </c>
      <c r="I428" s="5" t="s">
        <v>13</v>
      </c>
      <c r="J428" s="28">
        <v>27823.139500000001</v>
      </c>
      <c r="K428" s="28">
        <v>3000</v>
      </c>
      <c r="L428" s="31">
        <f t="shared" si="20"/>
        <v>0.10782392116461192</v>
      </c>
    </row>
    <row r="429" spans="1:12" ht="15" customHeight="1" x14ac:dyDescent="0.35">
      <c r="A429" s="10">
        <f t="shared" si="19"/>
        <v>425</v>
      </c>
      <c r="B429" s="3">
        <v>7918</v>
      </c>
      <c r="C429" s="5" t="s">
        <v>1068</v>
      </c>
      <c r="D429" s="5" t="s">
        <v>678</v>
      </c>
      <c r="E429" s="5" t="s">
        <v>87</v>
      </c>
      <c r="F429" s="5" t="s">
        <v>678</v>
      </c>
      <c r="G429" s="7">
        <v>44662</v>
      </c>
      <c r="H429" s="18">
        <f t="shared" si="18"/>
        <v>3.9726027397260273</v>
      </c>
      <c r="I429" s="5" t="s">
        <v>13</v>
      </c>
      <c r="J429" s="28">
        <v>26524.598000000002</v>
      </c>
      <c r="K429" s="28">
        <v>3000</v>
      </c>
      <c r="L429" s="31">
        <f t="shared" si="20"/>
        <v>0.11310256238379182</v>
      </c>
    </row>
    <row r="430" spans="1:12" ht="15" customHeight="1" x14ac:dyDescent="0.35">
      <c r="A430" s="10">
        <f t="shared" si="19"/>
        <v>426</v>
      </c>
      <c r="B430" s="3">
        <v>7919</v>
      </c>
      <c r="C430" s="5" t="s">
        <v>1069</v>
      </c>
      <c r="D430" s="5" t="s">
        <v>669</v>
      </c>
      <c r="E430" s="5" t="s">
        <v>103</v>
      </c>
      <c r="F430" s="5" t="s">
        <v>103</v>
      </c>
      <c r="G430" s="7">
        <v>44662</v>
      </c>
      <c r="H430" s="18">
        <f t="shared" si="18"/>
        <v>3.9726027397260273</v>
      </c>
      <c r="I430" s="5" t="s">
        <v>13</v>
      </c>
      <c r="J430" s="28">
        <v>26332.407500000001</v>
      </c>
      <c r="K430" s="28">
        <v>3000</v>
      </c>
      <c r="L430" s="31">
        <f t="shared" si="20"/>
        <v>0.1139280561414675</v>
      </c>
    </row>
    <row r="431" spans="1:12" ht="15" customHeight="1" x14ac:dyDescent="0.35">
      <c r="A431" s="10">
        <f t="shared" si="19"/>
        <v>427</v>
      </c>
      <c r="B431" s="3">
        <v>7966</v>
      </c>
      <c r="C431" s="5" t="s">
        <v>1077</v>
      </c>
      <c r="D431" s="5" t="s">
        <v>807</v>
      </c>
      <c r="E431" s="5" t="s">
        <v>87</v>
      </c>
      <c r="F431" s="5" t="s">
        <v>808</v>
      </c>
      <c r="G431" s="7">
        <v>44696</v>
      </c>
      <c r="H431" s="18">
        <f t="shared" si="18"/>
        <v>3.8794520547945206</v>
      </c>
      <c r="I431" s="5" t="s">
        <v>13</v>
      </c>
      <c r="J431" s="28">
        <v>26066.678</v>
      </c>
      <c r="K431" s="28">
        <v>3000</v>
      </c>
      <c r="L431" s="31">
        <f t="shared" si="20"/>
        <v>0.11508946402759876</v>
      </c>
    </row>
    <row r="432" spans="1:12" ht="15" customHeight="1" x14ac:dyDescent="0.35">
      <c r="A432" s="10">
        <f t="shared" si="19"/>
        <v>428</v>
      </c>
      <c r="B432" s="3">
        <v>7967</v>
      </c>
      <c r="C432" s="5" t="s">
        <v>1078</v>
      </c>
      <c r="D432" s="5" t="s">
        <v>807</v>
      </c>
      <c r="E432" s="5" t="s">
        <v>87</v>
      </c>
      <c r="F432" s="5" t="s">
        <v>808</v>
      </c>
      <c r="G432" s="7">
        <v>44696</v>
      </c>
      <c r="H432" s="18">
        <f t="shared" si="18"/>
        <v>3.8794520547945206</v>
      </c>
      <c r="I432" s="5" t="s">
        <v>13</v>
      </c>
      <c r="J432" s="28">
        <v>25828.7745</v>
      </c>
      <c r="K432" s="28">
        <v>3000</v>
      </c>
      <c r="L432" s="31">
        <f t="shared" si="20"/>
        <v>0.11614952927789896</v>
      </c>
    </row>
    <row r="433" spans="1:12" ht="15" customHeight="1" x14ac:dyDescent="0.35">
      <c r="A433" s="10">
        <f t="shared" si="19"/>
        <v>429</v>
      </c>
      <c r="B433" s="3">
        <v>7968</v>
      </c>
      <c r="C433" s="5" t="s">
        <v>1079</v>
      </c>
      <c r="D433" s="5" t="s">
        <v>807</v>
      </c>
      <c r="E433" s="5" t="s">
        <v>87</v>
      </c>
      <c r="F433" s="5" t="s">
        <v>808</v>
      </c>
      <c r="G433" s="7">
        <v>44696</v>
      </c>
      <c r="H433" s="18">
        <f t="shared" si="18"/>
        <v>3.8794520547945206</v>
      </c>
      <c r="I433" s="5" t="s">
        <v>13</v>
      </c>
      <c r="J433" s="28">
        <v>26825.0435</v>
      </c>
      <c r="K433" s="28">
        <v>3000</v>
      </c>
      <c r="L433" s="31">
        <f t="shared" si="20"/>
        <v>0.11183579254960016</v>
      </c>
    </row>
    <row r="434" spans="1:12" ht="15" customHeight="1" x14ac:dyDescent="0.35">
      <c r="A434" s="10">
        <f t="shared" si="19"/>
        <v>430</v>
      </c>
      <c r="B434" s="3">
        <v>7970</v>
      </c>
      <c r="C434" s="5" t="s">
        <v>1080</v>
      </c>
      <c r="D434" s="5" t="s">
        <v>669</v>
      </c>
      <c r="E434" s="5" t="s">
        <v>103</v>
      </c>
      <c r="F434" s="5" t="s">
        <v>103</v>
      </c>
      <c r="G434" s="7">
        <v>44696</v>
      </c>
      <c r="H434" s="18">
        <f t="shared" si="18"/>
        <v>3.8794520547945206</v>
      </c>
      <c r="I434" s="5" t="s">
        <v>13</v>
      </c>
      <c r="J434" s="28">
        <v>26521.6175</v>
      </c>
      <c r="K434" s="28">
        <v>3000</v>
      </c>
      <c r="L434" s="31">
        <f t="shared" si="20"/>
        <v>0.11311527285241935</v>
      </c>
    </row>
    <row r="435" spans="1:12" ht="15" customHeight="1" x14ac:dyDescent="0.35">
      <c r="A435" s="10">
        <f t="shared" si="19"/>
        <v>431</v>
      </c>
      <c r="B435" s="3">
        <v>7971</v>
      </c>
      <c r="C435" s="5" t="s">
        <v>1081</v>
      </c>
      <c r="D435" s="5" t="s">
        <v>669</v>
      </c>
      <c r="E435" s="5" t="s">
        <v>103</v>
      </c>
      <c r="F435" s="5" t="s">
        <v>103</v>
      </c>
      <c r="G435" s="7">
        <v>44713</v>
      </c>
      <c r="H435" s="18">
        <f t="shared" si="18"/>
        <v>3.8328767123287673</v>
      </c>
      <c r="I435" s="5" t="s">
        <v>13</v>
      </c>
      <c r="J435" s="28">
        <v>26259.1175</v>
      </c>
      <c r="K435" s="28">
        <v>3000</v>
      </c>
      <c r="L435" s="31">
        <f t="shared" si="20"/>
        <v>0.11424603283031122</v>
      </c>
    </row>
    <row r="436" spans="1:12" ht="15" customHeight="1" x14ac:dyDescent="0.35">
      <c r="A436" s="10">
        <f t="shared" si="19"/>
        <v>432</v>
      </c>
      <c r="B436" s="3">
        <v>7973</v>
      </c>
      <c r="C436" s="5" t="s">
        <v>1083</v>
      </c>
      <c r="D436" s="5" t="s">
        <v>669</v>
      </c>
      <c r="E436" s="5" t="s">
        <v>103</v>
      </c>
      <c r="F436" s="5" t="s">
        <v>103</v>
      </c>
      <c r="G436" s="7">
        <v>44718</v>
      </c>
      <c r="H436" s="18">
        <f t="shared" si="18"/>
        <v>3.8191780821917809</v>
      </c>
      <c r="I436" s="5" t="s">
        <v>13</v>
      </c>
      <c r="J436" s="28">
        <v>25624.7075</v>
      </c>
      <c r="K436" s="28">
        <v>3000</v>
      </c>
      <c r="L436" s="31">
        <f t="shared" si="20"/>
        <v>0.11707450709437366</v>
      </c>
    </row>
    <row r="437" spans="1:12" ht="15" customHeight="1" x14ac:dyDescent="0.35">
      <c r="A437" s="10">
        <f t="shared" si="19"/>
        <v>433</v>
      </c>
      <c r="B437" s="3">
        <v>7983</v>
      </c>
      <c r="C437" s="5" t="s">
        <v>1084</v>
      </c>
      <c r="D437" s="5" t="s">
        <v>807</v>
      </c>
      <c r="E437" s="5" t="s">
        <v>87</v>
      </c>
      <c r="F437" s="5" t="s">
        <v>808</v>
      </c>
      <c r="G437" s="7">
        <v>44696</v>
      </c>
      <c r="H437" s="18">
        <f t="shared" si="18"/>
        <v>3.8794520547945206</v>
      </c>
      <c r="I437" s="5" t="s">
        <v>13</v>
      </c>
      <c r="J437" s="28">
        <v>25828.7745</v>
      </c>
      <c r="K437" s="28">
        <v>3000</v>
      </c>
      <c r="L437" s="31">
        <f t="shared" si="20"/>
        <v>0.11614952927789896</v>
      </c>
    </row>
    <row r="438" spans="1:12" ht="15" customHeight="1" x14ac:dyDescent="0.35">
      <c r="A438" s="10">
        <f t="shared" si="19"/>
        <v>434</v>
      </c>
      <c r="B438" s="3">
        <v>7998</v>
      </c>
      <c r="C438" s="5" t="s">
        <v>1087</v>
      </c>
      <c r="D438" s="5" t="s">
        <v>340</v>
      </c>
      <c r="E438" s="5" t="s">
        <v>640</v>
      </c>
      <c r="F438" s="5" t="s">
        <v>641</v>
      </c>
      <c r="G438" s="7">
        <v>44727</v>
      </c>
      <c r="H438" s="18">
        <f t="shared" si="18"/>
        <v>3.7945205479452055</v>
      </c>
      <c r="I438" s="5" t="s">
        <v>13</v>
      </c>
      <c r="J438" s="28">
        <v>24726.559499999999</v>
      </c>
      <c r="K438" s="28">
        <v>3000</v>
      </c>
      <c r="L438" s="31">
        <f t="shared" si="20"/>
        <v>0.12132702893825564</v>
      </c>
    </row>
    <row r="439" spans="1:12" ht="15" customHeight="1" x14ac:dyDescent="0.35">
      <c r="A439" s="10">
        <f t="shared" si="19"/>
        <v>435</v>
      </c>
      <c r="B439" s="3">
        <v>8014</v>
      </c>
      <c r="C439" s="5" t="s">
        <v>1090</v>
      </c>
      <c r="D439" s="5" t="s">
        <v>21</v>
      </c>
      <c r="E439" s="5" t="s">
        <v>24</v>
      </c>
      <c r="F439" s="5" t="s">
        <v>152</v>
      </c>
      <c r="G439" s="7">
        <v>44753</v>
      </c>
      <c r="H439" s="18">
        <f t="shared" si="18"/>
        <v>3.7232876712328768</v>
      </c>
      <c r="I439" s="5" t="s">
        <v>13</v>
      </c>
      <c r="J439" s="28">
        <v>22857.124500000002</v>
      </c>
      <c r="K439" s="28">
        <v>3000</v>
      </c>
      <c r="L439" s="31">
        <f t="shared" si="20"/>
        <v>0.1312501054102409</v>
      </c>
    </row>
    <row r="440" spans="1:12" ht="15" customHeight="1" x14ac:dyDescent="0.35">
      <c r="A440" s="10">
        <f t="shared" si="19"/>
        <v>436</v>
      </c>
      <c r="B440" s="3">
        <v>8021</v>
      </c>
      <c r="C440" s="5" t="s">
        <v>1091</v>
      </c>
      <c r="D440" s="5" t="s">
        <v>669</v>
      </c>
      <c r="E440" s="5" t="s">
        <v>103</v>
      </c>
      <c r="F440" s="5" t="s">
        <v>103</v>
      </c>
      <c r="G440" s="7">
        <v>44743</v>
      </c>
      <c r="H440" s="18">
        <f t="shared" si="18"/>
        <v>3.7506849315068491</v>
      </c>
      <c r="I440" s="5" t="s">
        <v>13</v>
      </c>
      <c r="J440" s="28">
        <v>25143.7245</v>
      </c>
      <c r="K440" s="28">
        <v>3000</v>
      </c>
      <c r="L440" s="31">
        <f t="shared" si="20"/>
        <v>0.11931406582187137</v>
      </c>
    </row>
    <row r="441" spans="1:12" ht="15" customHeight="1" x14ac:dyDescent="0.35">
      <c r="A441" s="10">
        <f t="shared" si="19"/>
        <v>437</v>
      </c>
      <c r="B441" s="3">
        <v>8032</v>
      </c>
      <c r="C441" s="5" t="s">
        <v>1094</v>
      </c>
      <c r="D441" s="5" t="s">
        <v>488</v>
      </c>
      <c r="E441" s="5" t="s">
        <v>94</v>
      </c>
      <c r="F441" s="5" t="s">
        <v>94</v>
      </c>
      <c r="G441" s="7">
        <v>44774</v>
      </c>
      <c r="H441" s="18">
        <f t="shared" si="18"/>
        <v>3.6657534246575341</v>
      </c>
      <c r="I441" s="5" t="s">
        <v>13</v>
      </c>
      <c r="J441" s="28">
        <v>26346.182000000001</v>
      </c>
      <c r="K441" s="28">
        <v>3000</v>
      </c>
      <c r="L441" s="31">
        <f t="shared" si="20"/>
        <v>0.11386849145732007</v>
      </c>
    </row>
    <row r="442" spans="1:12" ht="15" customHeight="1" x14ac:dyDescent="0.35">
      <c r="A442" s="10">
        <f t="shared" si="19"/>
        <v>438</v>
      </c>
      <c r="B442" s="3">
        <v>8041</v>
      </c>
      <c r="C442" s="5" t="s">
        <v>1097</v>
      </c>
      <c r="D442" s="5" t="s">
        <v>151</v>
      </c>
      <c r="E442" s="5" t="s">
        <v>99</v>
      </c>
      <c r="F442" s="5" t="s">
        <v>249</v>
      </c>
      <c r="G442" s="7">
        <v>44774</v>
      </c>
      <c r="H442" s="18">
        <f t="shared" si="18"/>
        <v>3.6657534246575341</v>
      </c>
      <c r="I442" s="5" t="s">
        <v>13</v>
      </c>
      <c r="J442" s="28">
        <v>25622.691500000001</v>
      </c>
      <c r="K442" s="28">
        <v>3000</v>
      </c>
      <c r="L442" s="31">
        <f t="shared" si="20"/>
        <v>0.11708371854689817</v>
      </c>
    </row>
    <row r="443" spans="1:12" ht="15" customHeight="1" x14ac:dyDescent="0.35">
      <c r="A443" s="10">
        <f t="shared" si="19"/>
        <v>439</v>
      </c>
      <c r="B443" s="3">
        <v>8062</v>
      </c>
      <c r="C443" s="5" t="s">
        <v>1101</v>
      </c>
      <c r="D443" s="5" t="s">
        <v>733</v>
      </c>
      <c r="E443" s="5" t="s">
        <v>165</v>
      </c>
      <c r="F443" s="5" t="s">
        <v>165</v>
      </c>
      <c r="G443" s="7">
        <v>44789</v>
      </c>
      <c r="H443" s="18">
        <f t="shared" si="18"/>
        <v>3.6246575342465754</v>
      </c>
      <c r="I443" s="5" t="s">
        <v>13</v>
      </c>
      <c r="J443" s="28">
        <v>27615.297050000001</v>
      </c>
      <c r="K443" s="28">
        <v>3000</v>
      </c>
      <c r="L443" s="31">
        <f t="shared" si="20"/>
        <v>0.10863544196422105</v>
      </c>
    </row>
    <row r="444" spans="1:12" ht="15" customHeight="1" x14ac:dyDescent="0.35">
      <c r="A444" s="10">
        <f t="shared" si="19"/>
        <v>440</v>
      </c>
      <c r="B444" s="3">
        <v>8070</v>
      </c>
      <c r="C444" s="5" t="s">
        <v>1102</v>
      </c>
      <c r="D444" s="5" t="s">
        <v>733</v>
      </c>
      <c r="E444" s="5" t="s">
        <v>165</v>
      </c>
      <c r="F444" s="5" t="s">
        <v>165</v>
      </c>
      <c r="G444" s="7">
        <v>44795</v>
      </c>
      <c r="H444" s="18">
        <f t="shared" si="18"/>
        <v>3.6082191780821917</v>
      </c>
      <c r="I444" s="5" t="s">
        <v>13</v>
      </c>
      <c r="J444" s="28">
        <v>26017.164499999999</v>
      </c>
      <c r="K444" s="28">
        <v>3000</v>
      </c>
      <c r="L444" s="31">
        <f t="shared" si="20"/>
        <v>0.11530849182277339</v>
      </c>
    </row>
    <row r="445" spans="1:12" ht="15" customHeight="1" x14ac:dyDescent="0.35">
      <c r="A445" s="10">
        <f t="shared" si="19"/>
        <v>441</v>
      </c>
      <c r="B445" s="3">
        <v>8090</v>
      </c>
      <c r="C445" s="5" t="s">
        <v>1109</v>
      </c>
      <c r="D445" s="5" t="s">
        <v>669</v>
      </c>
      <c r="E445" s="5" t="s">
        <v>103</v>
      </c>
      <c r="F445" s="5" t="s">
        <v>103</v>
      </c>
      <c r="G445" s="7">
        <v>44809</v>
      </c>
      <c r="H445" s="18">
        <f t="shared" si="18"/>
        <v>3.56986301369863</v>
      </c>
      <c r="I445" s="5" t="s">
        <v>13</v>
      </c>
      <c r="J445" s="28">
        <v>25179.5075</v>
      </c>
      <c r="K445" s="28">
        <v>3000</v>
      </c>
      <c r="L445" s="31">
        <f t="shared" si="20"/>
        <v>0.11914450669855238</v>
      </c>
    </row>
    <row r="446" spans="1:12" ht="15" customHeight="1" x14ac:dyDescent="0.35">
      <c r="A446" s="10">
        <f t="shared" si="19"/>
        <v>442</v>
      </c>
      <c r="B446" s="3">
        <v>8093</v>
      </c>
      <c r="C446" s="5" t="s">
        <v>1110</v>
      </c>
      <c r="D446" s="5" t="s">
        <v>488</v>
      </c>
      <c r="E446" s="5" t="s">
        <v>94</v>
      </c>
      <c r="F446" s="5" t="s">
        <v>94</v>
      </c>
      <c r="G446" s="7">
        <v>44809</v>
      </c>
      <c r="H446" s="18">
        <f t="shared" si="18"/>
        <v>3.56986301369863</v>
      </c>
      <c r="I446" s="5" t="s">
        <v>13</v>
      </c>
      <c r="J446" s="28">
        <v>27101.959500000001</v>
      </c>
      <c r="K446" s="28">
        <v>3000</v>
      </c>
      <c r="L446" s="31">
        <f t="shared" si="20"/>
        <v>0.11069310320532358</v>
      </c>
    </row>
    <row r="447" spans="1:12" ht="15" customHeight="1" x14ac:dyDescent="0.35">
      <c r="A447" s="10">
        <f t="shared" si="19"/>
        <v>443</v>
      </c>
      <c r="B447" s="3">
        <v>8099</v>
      </c>
      <c r="C447" s="5" t="s">
        <v>1111</v>
      </c>
      <c r="D447" s="5" t="s">
        <v>693</v>
      </c>
      <c r="E447" s="5" t="s">
        <v>181</v>
      </c>
      <c r="F447" s="5" t="s">
        <v>181</v>
      </c>
      <c r="G447" s="7">
        <v>44819</v>
      </c>
      <c r="H447" s="18">
        <f t="shared" si="18"/>
        <v>3.5424657534246577</v>
      </c>
      <c r="I447" s="5" t="s">
        <v>13</v>
      </c>
      <c r="J447" s="28">
        <v>25624.7075</v>
      </c>
      <c r="K447" s="28">
        <v>3000</v>
      </c>
      <c r="L447" s="31">
        <f t="shared" si="20"/>
        <v>0.11707450709437366</v>
      </c>
    </row>
    <row r="448" spans="1:12" ht="15" customHeight="1" x14ac:dyDescent="0.35">
      <c r="A448" s="10">
        <f t="shared" si="19"/>
        <v>444</v>
      </c>
      <c r="B448" s="3">
        <v>8101</v>
      </c>
      <c r="C448" s="5" t="s">
        <v>1112</v>
      </c>
      <c r="D448" s="5" t="s">
        <v>669</v>
      </c>
      <c r="E448" s="5" t="s">
        <v>103</v>
      </c>
      <c r="F448" s="5" t="s">
        <v>103</v>
      </c>
      <c r="G448" s="7">
        <v>44823</v>
      </c>
      <c r="H448" s="18">
        <f t="shared" si="18"/>
        <v>3.5315068493150683</v>
      </c>
      <c r="I448" s="5" t="s">
        <v>13</v>
      </c>
      <c r="J448" s="28">
        <v>25766.050500000001</v>
      </c>
      <c r="K448" s="28">
        <v>3000</v>
      </c>
      <c r="L448" s="31">
        <f t="shared" si="20"/>
        <v>0.11643227975509866</v>
      </c>
    </row>
    <row r="449" spans="1:12" ht="15" customHeight="1" x14ac:dyDescent="0.35">
      <c r="A449" s="10">
        <f t="shared" si="19"/>
        <v>445</v>
      </c>
      <c r="B449" s="3">
        <v>8102</v>
      </c>
      <c r="C449" s="5" t="s">
        <v>1113</v>
      </c>
      <c r="D449" s="5" t="s">
        <v>488</v>
      </c>
      <c r="E449" s="5" t="s">
        <v>94</v>
      </c>
      <c r="F449" s="5" t="s">
        <v>94</v>
      </c>
      <c r="G449" s="7">
        <v>44823</v>
      </c>
      <c r="H449" s="18">
        <f t="shared" si="18"/>
        <v>3.5315068493150683</v>
      </c>
      <c r="I449" s="5" t="s">
        <v>13</v>
      </c>
      <c r="J449" s="28">
        <v>26346.182000000001</v>
      </c>
      <c r="K449" s="28">
        <v>3000</v>
      </c>
      <c r="L449" s="31">
        <f t="shared" si="20"/>
        <v>0.11386849145732007</v>
      </c>
    </row>
    <row r="450" spans="1:12" ht="15" customHeight="1" x14ac:dyDescent="0.35">
      <c r="A450" s="10">
        <f t="shared" si="19"/>
        <v>446</v>
      </c>
      <c r="B450" s="3">
        <v>8138</v>
      </c>
      <c r="C450" s="5" t="s">
        <v>1116</v>
      </c>
      <c r="D450" s="5" t="s">
        <v>669</v>
      </c>
      <c r="E450" s="5" t="s">
        <v>103</v>
      </c>
      <c r="F450" s="5" t="s">
        <v>103</v>
      </c>
      <c r="G450" s="7">
        <v>44835</v>
      </c>
      <c r="H450" s="18">
        <f t="shared" si="18"/>
        <v>3.4986301369863013</v>
      </c>
      <c r="I450" s="5" t="s">
        <v>13</v>
      </c>
      <c r="J450" s="28">
        <v>26259.1175</v>
      </c>
      <c r="K450" s="28">
        <v>3000</v>
      </c>
      <c r="L450" s="31">
        <f t="shared" si="20"/>
        <v>0.11424603283031122</v>
      </c>
    </row>
    <row r="451" spans="1:12" ht="15" customHeight="1" x14ac:dyDescent="0.35">
      <c r="A451" s="10">
        <f t="shared" si="19"/>
        <v>447</v>
      </c>
      <c r="B451" s="3">
        <v>8139</v>
      </c>
      <c r="C451" s="5" t="s">
        <v>1117</v>
      </c>
      <c r="D451" s="5" t="s">
        <v>669</v>
      </c>
      <c r="E451" s="5" t="s">
        <v>103</v>
      </c>
      <c r="F451" s="5" t="s">
        <v>103</v>
      </c>
      <c r="G451" s="7">
        <v>44835</v>
      </c>
      <c r="H451" s="18">
        <f t="shared" si="18"/>
        <v>3.4986301369863013</v>
      </c>
      <c r="I451" s="5" t="s">
        <v>13</v>
      </c>
      <c r="J451" s="28">
        <v>26259.1175</v>
      </c>
      <c r="K451" s="28">
        <v>3000</v>
      </c>
      <c r="L451" s="31">
        <f t="shared" si="20"/>
        <v>0.11424603283031122</v>
      </c>
    </row>
    <row r="452" spans="1:12" ht="15" customHeight="1" x14ac:dyDescent="0.35">
      <c r="A452" s="10">
        <f t="shared" si="19"/>
        <v>448</v>
      </c>
      <c r="B452" s="3">
        <v>8140</v>
      </c>
      <c r="C452" s="5" t="s">
        <v>1118</v>
      </c>
      <c r="D452" s="5" t="s">
        <v>1119</v>
      </c>
      <c r="E452" s="5" t="s">
        <v>165</v>
      </c>
      <c r="F452" s="5" t="s">
        <v>165</v>
      </c>
      <c r="G452" s="7">
        <v>44835</v>
      </c>
      <c r="H452" s="18">
        <f t="shared" si="18"/>
        <v>3.4986301369863013</v>
      </c>
      <c r="I452" s="5" t="s">
        <v>13</v>
      </c>
      <c r="J452" s="28">
        <v>25143.7245</v>
      </c>
      <c r="K452" s="28">
        <v>3000</v>
      </c>
      <c r="L452" s="31">
        <f t="shared" si="20"/>
        <v>0.11931406582187137</v>
      </c>
    </row>
    <row r="453" spans="1:12" ht="15" customHeight="1" x14ac:dyDescent="0.35">
      <c r="A453" s="10">
        <f t="shared" si="19"/>
        <v>449</v>
      </c>
      <c r="B453" s="3">
        <v>8144</v>
      </c>
      <c r="C453" s="5" t="s">
        <v>1121</v>
      </c>
      <c r="D453" s="5" t="s">
        <v>340</v>
      </c>
      <c r="E453" s="5" t="s">
        <v>68</v>
      </c>
      <c r="F453" s="5" t="s">
        <v>187</v>
      </c>
      <c r="G453" s="7">
        <v>44851</v>
      </c>
      <c r="H453" s="18">
        <f t="shared" ref="H453:H516" si="21">($H$3-G453)/365</f>
        <v>3.4547945205479453</v>
      </c>
      <c r="I453" s="5" t="s">
        <v>13</v>
      </c>
      <c r="J453" s="28">
        <v>22857.124500000002</v>
      </c>
      <c r="K453" s="28">
        <v>3000</v>
      </c>
      <c r="L453" s="31">
        <f t="shared" si="20"/>
        <v>0.1312501054102409</v>
      </c>
    </row>
    <row r="454" spans="1:12" ht="15" customHeight="1" x14ac:dyDescent="0.35">
      <c r="A454" s="10">
        <f t="shared" ref="A454:A517" si="22">+A453+1</f>
        <v>450</v>
      </c>
      <c r="B454" s="3">
        <v>8146</v>
      </c>
      <c r="C454" s="5" t="s">
        <v>1122</v>
      </c>
      <c r="D454" s="5" t="s">
        <v>830</v>
      </c>
      <c r="E454" s="5" t="s">
        <v>35</v>
      </c>
      <c r="F454" s="5" t="s">
        <v>36</v>
      </c>
      <c r="G454" s="7">
        <v>44851</v>
      </c>
      <c r="H454" s="18">
        <f t="shared" si="21"/>
        <v>3.4547945205479453</v>
      </c>
      <c r="I454" s="5" t="s">
        <v>13</v>
      </c>
      <c r="J454" s="28">
        <v>23647.557499999999</v>
      </c>
      <c r="K454" s="28">
        <v>3000</v>
      </c>
      <c r="L454" s="31">
        <f t="shared" ref="L454:L517" si="23">+K454/J454</f>
        <v>0.12686299631579287</v>
      </c>
    </row>
    <row r="455" spans="1:12" ht="15" customHeight="1" x14ac:dyDescent="0.35">
      <c r="A455" s="10">
        <f t="shared" si="22"/>
        <v>451</v>
      </c>
      <c r="B455" s="3">
        <v>8151</v>
      </c>
      <c r="C455" s="5" t="s">
        <v>1125</v>
      </c>
      <c r="D455" s="5" t="s">
        <v>1126</v>
      </c>
      <c r="E455" s="5" t="s">
        <v>35</v>
      </c>
      <c r="F455" s="5" t="s">
        <v>84</v>
      </c>
      <c r="G455" s="7">
        <v>44835</v>
      </c>
      <c r="H455" s="18">
        <f t="shared" si="21"/>
        <v>3.4986301369863013</v>
      </c>
      <c r="I455" s="5" t="s">
        <v>13</v>
      </c>
      <c r="J455" s="28">
        <v>23544.216499999999</v>
      </c>
      <c r="K455" s="28">
        <v>3000</v>
      </c>
      <c r="L455" s="31">
        <f t="shared" si="23"/>
        <v>0.12741982728539725</v>
      </c>
    </row>
    <row r="456" spans="1:12" ht="15" customHeight="1" x14ac:dyDescent="0.35">
      <c r="A456" s="10">
        <f t="shared" si="22"/>
        <v>452</v>
      </c>
      <c r="B456" s="3">
        <v>8156</v>
      </c>
      <c r="C456" s="5" t="s">
        <v>1127</v>
      </c>
      <c r="D456" s="5" t="s">
        <v>1128</v>
      </c>
      <c r="E456" s="5" t="s">
        <v>343</v>
      </c>
      <c r="F456" s="5" t="s">
        <v>344</v>
      </c>
      <c r="G456" s="7">
        <v>44866</v>
      </c>
      <c r="H456" s="18">
        <f t="shared" si="21"/>
        <v>3.4136986301369863</v>
      </c>
      <c r="I456" s="5" t="s">
        <v>13</v>
      </c>
      <c r="J456" s="28">
        <v>19982.753000000001</v>
      </c>
      <c r="K456" s="28">
        <v>3000</v>
      </c>
      <c r="L456" s="31">
        <f t="shared" si="23"/>
        <v>0.15012946414340406</v>
      </c>
    </row>
    <row r="457" spans="1:12" ht="15" customHeight="1" x14ac:dyDescent="0.35">
      <c r="A457" s="10">
        <f t="shared" si="22"/>
        <v>453</v>
      </c>
      <c r="B457" s="3">
        <v>8175</v>
      </c>
      <c r="C457" s="5" t="s">
        <v>1132</v>
      </c>
      <c r="D457" s="5" t="s">
        <v>807</v>
      </c>
      <c r="E457" s="5" t="s">
        <v>87</v>
      </c>
      <c r="F457" s="5" t="s">
        <v>808</v>
      </c>
      <c r="G457" s="7">
        <v>44872</v>
      </c>
      <c r="H457" s="18">
        <f t="shared" si="21"/>
        <v>3.3972602739726026</v>
      </c>
      <c r="I457" s="5" t="s">
        <v>13</v>
      </c>
      <c r="J457" s="28">
        <v>27728.555</v>
      </c>
      <c r="K457" s="28">
        <v>3000</v>
      </c>
      <c r="L457" s="31">
        <f t="shared" si="23"/>
        <v>0.10819171788793178</v>
      </c>
    </row>
    <row r="458" spans="1:12" ht="15" customHeight="1" x14ac:dyDescent="0.35">
      <c r="A458" s="10">
        <f t="shared" si="22"/>
        <v>454</v>
      </c>
      <c r="B458" s="3">
        <v>8189</v>
      </c>
      <c r="C458" s="5" t="s">
        <v>1135</v>
      </c>
      <c r="D458" s="5" t="s">
        <v>669</v>
      </c>
      <c r="E458" s="5" t="s">
        <v>103</v>
      </c>
      <c r="F458" s="5" t="s">
        <v>103</v>
      </c>
      <c r="G458" s="7">
        <v>44876</v>
      </c>
      <c r="H458" s="18">
        <f t="shared" si="21"/>
        <v>3.3863013698630136</v>
      </c>
      <c r="I458" s="5" t="s">
        <v>13</v>
      </c>
      <c r="J458" s="28">
        <v>26259.1175</v>
      </c>
      <c r="K458" s="28">
        <v>3000</v>
      </c>
      <c r="L458" s="31">
        <f t="shared" si="23"/>
        <v>0.11424603283031122</v>
      </c>
    </row>
    <row r="459" spans="1:12" ht="15" customHeight="1" x14ac:dyDescent="0.35">
      <c r="A459" s="10">
        <f t="shared" si="22"/>
        <v>455</v>
      </c>
      <c r="B459" s="3">
        <v>8193</v>
      </c>
      <c r="C459" s="5" t="s">
        <v>1136</v>
      </c>
      <c r="D459" s="5" t="s">
        <v>669</v>
      </c>
      <c r="E459" s="5" t="s">
        <v>103</v>
      </c>
      <c r="F459" s="5" t="s">
        <v>103</v>
      </c>
      <c r="G459" s="7">
        <v>44882</v>
      </c>
      <c r="H459" s="18">
        <f t="shared" si="21"/>
        <v>3.3698630136986303</v>
      </c>
      <c r="I459" s="5" t="s">
        <v>13</v>
      </c>
      <c r="J459" s="28">
        <v>25143.7245</v>
      </c>
      <c r="K459" s="28">
        <v>3000</v>
      </c>
      <c r="L459" s="31">
        <f t="shared" si="23"/>
        <v>0.11931406582187137</v>
      </c>
    </row>
    <row r="460" spans="1:12" ht="15" customHeight="1" x14ac:dyDescent="0.35">
      <c r="A460" s="10">
        <f t="shared" si="22"/>
        <v>456</v>
      </c>
      <c r="B460" s="3">
        <v>8215</v>
      </c>
      <c r="C460" s="5" t="s">
        <v>1140</v>
      </c>
      <c r="D460" s="5" t="s">
        <v>1141</v>
      </c>
      <c r="E460" s="5" t="s">
        <v>769</v>
      </c>
      <c r="F460" s="5" t="s">
        <v>769</v>
      </c>
      <c r="G460" s="7">
        <v>44896</v>
      </c>
      <c r="H460" s="18">
        <f t="shared" si="21"/>
        <v>3.3315068493150686</v>
      </c>
      <c r="I460" s="5" t="s">
        <v>13</v>
      </c>
      <c r="J460" s="28">
        <v>28292.869500000001</v>
      </c>
      <c r="K460" s="28">
        <v>3000</v>
      </c>
      <c r="L460" s="31">
        <f t="shared" si="23"/>
        <v>0.10603378352980421</v>
      </c>
    </row>
    <row r="461" spans="1:12" ht="15" customHeight="1" x14ac:dyDescent="0.35">
      <c r="A461" s="10">
        <f t="shared" si="22"/>
        <v>457</v>
      </c>
      <c r="B461" s="3">
        <v>8245</v>
      </c>
      <c r="C461" s="5" t="s">
        <v>1148</v>
      </c>
      <c r="D461" s="5" t="s">
        <v>1024</v>
      </c>
      <c r="E461" s="5" t="s">
        <v>424</v>
      </c>
      <c r="F461" s="5" t="s">
        <v>424</v>
      </c>
      <c r="G461" s="7">
        <v>44928</v>
      </c>
      <c r="H461" s="18">
        <f t="shared" si="21"/>
        <v>3.2438356164383562</v>
      </c>
      <c r="I461" s="5" t="s">
        <v>13</v>
      </c>
      <c r="J461" s="28">
        <v>54000</v>
      </c>
      <c r="K461" s="28">
        <v>3000</v>
      </c>
      <c r="L461" s="31">
        <f t="shared" si="23"/>
        <v>5.5555555555555552E-2</v>
      </c>
    </row>
    <row r="462" spans="1:12" ht="15" customHeight="1" x14ac:dyDescent="0.35">
      <c r="A462" s="10">
        <f t="shared" si="22"/>
        <v>458</v>
      </c>
      <c r="B462" s="3">
        <v>8271</v>
      </c>
      <c r="C462" s="5" t="s">
        <v>1149</v>
      </c>
      <c r="D462" s="5" t="s">
        <v>669</v>
      </c>
      <c r="E462" s="5" t="s">
        <v>103</v>
      </c>
      <c r="F462" s="5" t="s">
        <v>103</v>
      </c>
      <c r="G462" s="7">
        <v>44942</v>
      </c>
      <c r="H462" s="18">
        <f t="shared" si="21"/>
        <v>3.2054794520547945</v>
      </c>
      <c r="I462" s="5" t="s">
        <v>13</v>
      </c>
      <c r="J462" s="28">
        <v>25624.7075</v>
      </c>
      <c r="K462" s="28">
        <v>3000</v>
      </c>
      <c r="L462" s="31">
        <f t="shared" si="23"/>
        <v>0.11707450709437366</v>
      </c>
    </row>
    <row r="463" spans="1:12" ht="15" customHeight="1" x14ac:dyDescent="0.35">
      <c r="A463" s="10">
        <f t="shared" si="22"/>
        <v>459</v>
      </c>
      <c r="B463" s="3">
        <v>8279</v>
      </c>
      <c r="C463" s="5" t="s">
        <v>1151</v>
      </c>
      <c r="D463" s="5" t="s">
        <v>1152</v>
      </c>
      <c r="E463" s="5" t="s">
        <v>112</v>
      </c>
      <c r="F463" s="5" t="s">
        <v>112</v>
      </c>
      <c r="G463" s="7">
        <v>44927</v>
      </c>
      <c r="H463" s="18">
        <f t="shared" si="21"/>
        <v>3.2465753424657535</v>
      </c>
      <c r="I463" s="5" t="s">
        <v>13</v>
      </c>
      <c r="J463" s="28">
        <v>26793.357499999998</v>
      </c>
      <c r="K463" s="28">
        <v>3000</v>
      </c>
      <c r="L463" s="31">
        <f t="shared" si="23"/>
        <v>0.11196805029007657</v>
      </c>
    </row>
    <row r="464" spans="1:12" ht="15" customHeight="1" x14ac:dyDescent="0.35">
      <c r="A464" s="10">
        <f t="shared" si="22"/>
        <v>460</v>
      </c>
      <c r="B464" s="3">
        <v>8290</v>
      </c>
      <c r="C464" s="5" t="s">
        <v>1155</v>
      </c>
      <c r="D464" s="5" t="s">
        <v>1156</v>
      </c>
      <c r="E464" s="5" t="s">
        <v>198</v>
      </c>
      <c r="F464" s="5" t="s">
        <v>198</v>
      </c>
      <c r="G464" s="7">
        <v>44959</v>
      </c>
      <c r="H464" s="18">
        <f t="shared" si="21"/>
        <v>3.1589041095890411</v>
      </c>
      <c r="I464" s="5" t="s">
        <v>13</v>
      </c>
      <c r="J464" s="28">
        <v>29332.909500000002</v>
      </c>
      <c r="K464" s="28">
        <v>3000</v>
      </c>
      <c r="L464" s="31">
        <f t="shared" si="23"/>
        <v>0.1022742050187691</v>
      </c>
    </row>
    <row r="465" spans="1:12" ht="15" customHeight="1" x14ac:dyDescent="0.35">
      <c r="A465" s="10">
        <f t="shared" si="22"/>
        <v>461</v>
      </c>
      <c r="B465" s="3">
        <v>8294</v>
      </c>
      <c r="C465" s="5" t="s">
        <v>1158</v>
      </c>
      <c r="D465" s="5" t="s">
        <v>488</v>
      </c>
      <c r="E465" s="5" t="s">
        <v>94</v>
      </c>
      <c r="F465" s="5" t="s">
        <v>94</v>
      </c>
      <c r="G465" s="7">
        <v>44958</v>
      </c>
      <c r="H465" s="18">
        <f t="shared" si="21"/>
        <v>3.1616438356164385</v>
      </c>
      <c r="I465" s="5" t="s">
        <v>13</v>
      </c>
      <c r="J465" s="28">
        <v>26105.690500000001</v>
      </c>
      <c r="K465" s="28">
        <v>3000</v>
      </c>
      <c r="L465" s="31">
        <f t="shared" si="23"/>
        <v>0.11491747364429988</v>
      </c>
    </row>
    <row r="466" spans="1:12" ht="15" customHeight="1" x14ac:dyDescent="0.35">
      <c r="A466" s="10">
        <f t="shared" si="22"/>
        <v>462</v>
      </c>
      <c r="B466" s="3">
        <v>8295</v>
      </c>
      <c r="C466" s="5" t="s">
        <v>1159</v>
      </c>
      <c r="D466" s="5" t="s">
        <v>985</v>
      </c>
      <c r="E466" s="5" t="s">
        <v>51</v>
      </c>
      <c r="F466" s="5" t="s">
        <v>51</v>
      </c>
      <c r="G466" s="7">
        <v>44378</v>
      </c>
      <c r="H466" s="18">
        <f t="shared" si="21"/>
        <v>4.7506849315068491</v>
      </c>
      <c r="I466" s="5" t="s">
        <v>13</v>
      </c>
      <c r="J466" s="28">
        <v>26752.184500000003</v>
      </c>
      <c r="K466" s="28">
        <v>3000</v>
      </c>
      <c r="L466" s="31">
        <f t="shared" si="23"/>
        <v>0.11214037492900812</v>
      </c>
    </row>
    <row r="467" spans="1:12" ht="15" customHeight="1" x14ac:dyDescent="0.35">
      <c r="A467" s="10">
        <f t="shared" si="22"/>
        <v>463</v>
      </c>
      <c r="B467" s="3">
        <v>8296</v>
      </c>
      <c r="C467" s="5" t="s">
        <v>1160</v>
      </c>
      <c r="D467" s="5" t="s">
        <v>455</v>
      </c>
      <c r="E467" s="5" t="s">
        <v>68</v>
      </c>
      <c r="F467" s="5" t="s">
        <v>69</v>
      </c>
      <c r="G467" s="7">
        <v>44958</v>
      </c>
      <c r="H467" s="18">
        <f t="shared" si="21"/>
        <v>3.1616438356164385</v>
      </c>
      <c r="I467" s="5" t="s">
        <v>13</v>
      </c>
      <c r="J467" s="28">
        <v>22927.982</v>
      </c>
      <c r="K467" s="28">
        <v>3000</v>
      </c>
      <c r="L467" s="31">
        <f t="shared" si="23"/>
        <v>0.13084448513611011</v>
      </c>
    </row>
    <row r="468" spans="1:12" ht="15" customHeight="1" x14ac:dyDescent="0.35">
      <c r="A468" s="10">
        <f t="shared" si="22"/>
        <v>464</v>
      </c>
      <c r="B468" s="3">
        <v>8300</v>
      </c>
      <c r="C468" s="5" t="s">
        <v>1161</v>
      </c>
      <c r="D468" s="5" t="s">
        <v>455</v>
      </c>
      <c r="E468" s="5" t="s">
        <v>68</v>
      </c>
      <c r="F468" s="5" t="s">
        <v>254</v>
      </c>
      <c r="G468" s="7">
        <v>44536</v>
      </c>
      <c r="H468" s="18">
        <f t="shared" si="21"/>
        <v>4.3178082191780822</v>
      </c>
      <c r="I468" s="5" t="s">
        <v>13</v>
      </c>
      <c r="J468" s="28">
        <v>22719.140500000001</v>
      </c>
      <c r="K468" s="28">
        <v>3000</v>
      </c>
      <c r="L468" s="31">
        <f t="shared" si="23"/>
        <v>0.13204724888250063</v>
      </c>
    </row>
    <row r="469" spans="1:12" ht="15" customHeight="1" x14ac:dyDescent="0.35">
      <c r="A469" s="10">
        <f t="shared" si="22"/>
        <v>465</v>
      </c>
      <c r="B469" s="3">
        <v>8343</v>
      </c>
      <c r="C469" s="5" t="s">
        <v>1174</v>
      </c>
      <c r="D469" s="5" t="s">
        <v>693</v>
      </c>
      <c r="E469" s="5" t="s">
        <v>181</v>
      </c>
      <c r="F469" s="5" t="s">
        <v>181</v>
      </c>
      <c r="G469" s="7">
        <v>44986</v>
      </c>
      <c r="H469" s="18">
        <f t="shared" si="21"/>
        <v>3.0849315068493151</v>
      </c>
      <c r="I469" s="5" t="s">
        <v>13</v>
      </c>
      <c r="J469" s="28">
        <v>27013.050500000001</v>
      </c>
      <c r="K469" s="28">
        <v>3000</v>
      </c>
      <c r="L469" s="31">
        <f t="shared" si="23"/>
        <v>0.11105743129603225</v>
      </c>
    </row>
    <row r="470" spans="1:12" ht="15" customHeight="1" x14ac:dyDescent="0.35">
      <c r="A470" s="10">
        <f t="shared" si="22"/>
        <v>466</v>
      </c>
      <c r="B470" s="3">
        <v>8345</v>
      </c>
      <c r="C470" s="5" t="s">
        <v>1175</v>
      </c>
      <c r="D470" s="5" t="s">
        <v>669</v>
      </c>
      <c r="E470" s="5" t="s">
        <v>103</v>
      </c>
      <c r="F470" s="5" t="s">
        <v>103</v>
      </c>
      <c r="G470" s="7">
        <v>44986</v>
      </c>
      <c r="H470" s="18">
        <f t="shared" si="21"/>
        <v>3.0849315068493151</v>
      </c>
      <c r="I470" s="5" t="s">
        <v>13</v>
      </c>
      <c r="J470" s="28">
        <v>25624.7075</v>
      </c>
      <c r="K470" s="28">
        <v>3000</v>
      </c>
      <c r="L470" s="31">
        <f t="shared" si="23"/>
        <v>0.11707450709437366</v>
      </c>
    </row>
    <row r="471" spans="1:12" ht="15" customHeight="1" x14ac:dyDescent="0.35">
      <c r="A471" s="10">
        <f t="shared" si="22"/>
        <v>467</v>
      </c>
      <c r="B471" s="3">
        <v>8355</v>
      </c>
      <c r="C471" s="5" t="s">
        <v>1177</v>
      </c>
      <c r="D471" s="5" t="s">
        <v>733</v>
      </c>
      <c r="E471" s="5" t="s">
        <v>165</v>
      </c>
      <c r="F471" s="5" t="s">
        <v>165</v>
      </c>
      <c r="G471" s="7">
        <v>44986</v>
      </c>
      <c r="H471" s="18">
        <f t="shared" si="21"/>
        <v>3.0849315068493151</v>
      </c>
      <c r="I471" s="5" t="s">
        <v>13</v>
      </c>
      <c r="J471" s="28">
        <v>27101.959500000001</v>
      </c>
      <c r="K471" s="28">
        <v>3000</v>
      </c>
      <c r="L471" s="31">
        <f t="shared" si="23"/>
        <v>0.11069310320532358</v>
      </c>
    </row>
    <row r="472" spans="1:12" ht="15" customHeight="1" x14ac:dyDescent="0.35">
      <c r="A472" s="10">
        <f t="shared" si="22"/>
        <v>468</v>
      </c>
      <c r="B472" s="3">
        <v>8395</v>
      </c>
      <c r="C472" s="5" t="s">
        <v>1186</v>
      </c>
      <c r="D472" s="5" t="s">
        <v>1187</v>
      </c>
      <c r="E472" s="5" t="s">
        <v>800</v>
      </c>
      <c r="F472" s="5" t="s">
        <v>801</v>
      </c>
      <c r="G472" s="7">
        <v>45000</v>
      </c>
      <c r="H472" s="18">
        <f t="shared" si="21"/>
        <v>3.0465753424657533</v>
      </c>
      <c r="I472" s="5" t="s">
        <v>13</v>
      </c>
      <c r="J472" s="28">
        <v>22301.4575</v>
      </c>
      <c r="K472" s="28">
        <v>3000</v>
      </c>
      <c r="L472" s="31">
        <f t="shared" si="23"/>
        <v>0.13452035590050559</v>
      </c>
    </row>
    <row r="473" spans="1:12" ht="15" customHeight="1" x14ac:dyDescent="0.35">
      <c r="A473" s="10">
        <f t="shared" si="22"/>
        <v>469</v>
      </c>
      <c r="B473" s="3">
        <v>8428</v>
      </c>
      <c r="C473" s="5" t="s">
        <v>1193</v>
      </c>
      <c r="D473" s="5" t="s">
        <v>1152</v>
      </c>
      <c r="E473" s="5" t="s">
        <v>112</v>
      </c>
      <c r="F473" s="5" t="s">
        <v>112</v>
      </c>
      <c r="G473" s="7">
        <v>45017</v>
      </c>
      <c r="H473" s="18">
        <f t="shared" si="21"/>
        <v>3</v>
      </c>
      <c r="I473" s="5" t="s">
        <v>13</v>
      </c>
      <c r="J473" s="28">
        <v>25105.25</v>
      </c>
      <c r="K473" s="28">
        <v>3000</v>
      </c>
      <c r="L473" s="31">
        <f t="shared" si="23"/>
        <v>0.11949691797532389</v>
      </c>
    </row>
    <row r="474" spans="1:12" ht="15" customHeight="1" x14ac:dyDescent="0.35">
      <c r="A474" s="10">
        <f t="shared" si="22"/>
        <v>470</v>
      </c>
      <c r="B474" s="3">
        <v>8461</v>
      </c>
      <c r="C474" s="5" t="s">
        <v>1204</v>
      </c>
      <c r="D474" s="5" t="s">
        <v>29</v>
      </c>
      <c r="E474" s="5" t="s">
        <v>28</v>
      </c>
      <c r="F474" s="5" t="s">
        <v>29</v>
      </c>
      <c r="G474" s="7">
        <v>45048</v>
      </c>
      <c r="H474" s="18">
        <f t="shared" si="21"/>
        <v>2.9150684931506849</v>
      </c>
      <c r="I474" s="5" t="s">
        <v>13</v>
      </c>
      <c r="J474" s="28">
        <v>25107.594499999999</v>
      </c>
      <c r="K474" s="28">
        <v>2500</v>
      </c>
      <c r="L474" s="31">
        <f t="shared" si="23"/>
        <v>9.9571466314704107E-2</v>
      </c>
    </row>
    <row r="475" spans="1:12" ht="15" customHeight="1" x14ac:dyDescent="0.35">
      <c r="A475" s="10">
        <f t="shared" si="22"/>
        <v>471</v>
      </c>
      <c r="B475" s="3">
        <v>8462</v>
      </c>
      <c r="C475" s="5" t="s">
        <v>1205</v>
      </c>
      <c r="D475" s="5" t="s">
        <v>187</v>
      </c>
      <c r="E475" s="5" t="s">
        <v>68</v>
      </c>
      <c r="F475" s="5" t="s">
        <v>187</v>
      </c>
      <c r="G475" s="7">
        <v>45048</v>
      </c>
      <c r="H475" s="18">
        <f t="shared" si="21"/>
        <v>2.9150684931506849</v>
      </c>
      <c r="I475" s="5" t="s">
        <v>13</v>
      </c>
      <c r="J475" s="28">
        <v>22531.081999999999</v>
      </c>
      <c r="K475" s="28">
        <v>2500</v>
      </c>
      <c r="L475" s="31">
        <f t="shared" si="23"/>
        <v>0.11095783149695164</v>
      </c>
    </row>
    <row r="476" spans="1:12" ht="15" customHeight="1" x14ac:dyDescent="0.35">
      <c r="A476" s="10">
        <f t="shared" si="22"/>
        <v>472</v>
      </c>
      <c r="B476" s="3">
        <v>8481</v>
      </c>
      <c r="C476" s="5" t="s">
        <v>1214</v>
      </c>
      <c r="D476" s="5" t="s">
        <v>1215</v>
      </c>
      <c r="E476" s="5" t="s">
        <v>387</v>
      </c>
      <c r="F476" s="5" t="s">
        <v>1216</v>
      </c>
      <c r="G476" s="7">
        <v>45062</v>
      </c>
      <c r="H476" s="18">
        <f t="shared" si="21"/>
        <v>2.8767123287671232</v>
      </c>
      <c r="I476" s="5" t="s">
        <v>13</v>
      </c>
      <c r="J476" s="28">
        <v>26837.0445</v>
      </c>
      <c r="K476" s="28">
        <v>2500</v>
      </c>
      <c r="L476" s="31">
        <f t="shared" si="23"/>
        <v>9.3154818146983356E-2</v>
      </c>
    </row>
    <row r="477" spans="1:12" ht="15" customHeight="1" x14ac:dyDescent="0.35">
      <c r="A477" s="10">
        <f t="shared" si="22"/>
        <v>473</v>
      </c>
      <c r="B477" s="3">
        <v>8499</v>
      </c>
      <c r="C477" s="5" t="s">
        <v>1226</v>
      </c>
      <c r="D477" s="5" t="s">
        <v>830</v>
      </c>
      <c r="E477" s="5" t="s">
        <v>35</v>
      </c>
      <c r="F477" s="5" t="s">
        <v>36</v>
      </c>
      <c r="G477" s="7">
        <v>45078</v>
      </c>
      <c r="H477" s="18">
        <f t="shared" si="21"/>
        <v>2.8328767123287673</v>
      </c>
      <c r="I477" s="5" t="s">
        <v>13</v>
      </c>
      <c r="J477" s="28">
        <v>23844.9575</v>
      </c>
      <c r="K477" s="28">
        <v>2500</v>
      </c>
      <c r="L477" s="31">
        <f t="shared" si="23"/>
        <v>0.10484396963173451</v>
      </c>
    </row>
    <row r="478" spans="1:12" ht="15" customHeight="1" x14ac:dyDescent="0.35">
      <c r="A478" s="10">
        <f t="shared" si="22"/>
        <v>474</v>
      </c>
      <c r="B478" s="3">
        <v>8505</v>
      </c>
      <c r="C478" s="5" t="s">
        <v>1227</v>
      </c>
      <c r="D478" s="5" t="s">
        <v>778</v>
      </c>
      <c r="E478" s="5" t="s">
        <v>314</v>
      </c>
      <c r="F478" s="5" t="s">
        <v>315</v>
      </c>
      <c r="G478" s="7">
        <v>45078</v>
      </c>
      <c r="H478" s="18">
        <f t="shared" si="21"/>
        <v>2.8328767123287673</v>
      </c>
      <c r="I478" s="5" t="s">
        <v>13</v>
      </c>
      <c r="J478" s="28">
        <v>25179.5075</v>
      </c>
      <c r="K478" s="28">
        <v>2500</v>
      </c>
      <c r="L478" s="31">
        <f t="shared" si="23"/>
        <v>9.9287088915460328E-2</v>
      </c>
    </row>
    <row r="479" spans="1:12" ht="15" customHeight="1" x14ac:dyDescent="0.35">
      <c r="A479" s="10">
        <f t="shared" si="22"/>
        <v>475</v>
      </c>
      <c r="B479" s="3">
        <v>8506</v>
      </c>
      <c r="C479" s="5" t="s">
        <v>1228</v>
      </c>
      <c r="D479" s="5" t="s">
        <v>778</v>
      </c>
      <c r="E479" s="5" t="s">
        <v>314</v>
      </c>
      <c r="F479" s="5" t="s">
        <v>315</v>
      </c>
      <c r="G479" s="7">
        <v>45078</v>
      </c>
      <c r="H479" s="18">
        <f t="shared" si="21"/>
        <v>2.8328767123287673</v>
      </c>
      <c r="I479" s="5" t="s">
        <v>13</v>
      </c>
      <c r="J479" s="28">
        <v>24707.004499999999</v>
      </c>
      <c r="K479" s="28">
        <v>2500</v>
      </c>
      <c r="L479" s="31">
        <f t="shared" si="23"/>
        <v>0.10118588030370092</v>
      </c>
    </row>
    <row r="480" spans="1:12" ht="15" customHeight="1" x14ac:dyDescent="0.35">
      <c r="A480" s="10">
        <f t="shared" si="22"/>
        <v>476</v>
      </c>
      <c r="B480" s="3">
        <v>8507</v>
      </c>
      <c r="C480" s="5" t="s">
        <v>1229</v>
      </c>
      <c r="D480" s="5" t="s">
        <v>778</v>
      </c>
      <c r="E480" s="5" t="s">
        <v>314</v>
      </c>
      <c r="F480" s="5" t="s">
        <v>315</v>
      </c>
      <c r="G480" s="7">
        <v>45078</v>
      </c>
      <c r="H480" s="18">
        <f t="shared" si="21"/>
        <v>2.8328767123287673</v>
      </c>
      <c r="I480" s="5" t="s">
        <v>13</v>
      </c>
      <c r="J480" s="28">
        <v>24422.25</v>
      </c>
      <c r="K480" s="28">
        <v>2500</v>
      </c>
      <c r="L480" s="31">
        <f t="shared" si="23"/>
        <v>0.10236567064869126</v>
      </c>
    </row>
    <row r="481" spans="1:12" ht="15" customHeight="1" x14ac:dyDescent="0.35">
      <c r="A481" s="10">
        <f t="shared" si="22"/>
        <v>477</v>
      </c>
      <c r="B481" s="3">
        <v>8508</v>
      </c>
      <c r="C481" s="5" t="s">
        <v>1230</v>
      </c>
      <c r="D481" s="5" t="s">
        <v>778</v>
      </c>
      <c r="E481" s="5" t="s">
        <v>314</v>
      </c>
      <c r="F481" s="5" t="s">
        <v>315</v>
      </c>
      <c r="G481" s="7">
        <v>45078</v>
      </c>
      <c r="H481" s="18">
        <f t="shared" si="21"/>
        <v>2.8328767123287673</v>
      </c>
      <c r="I481" s="5" t="s">
        <v>13</v>
      </c>
      <c r="J481" s="28">
        <v>25179.5075</v>
      </c>
      <c r="K481" s="28">
        <v>2500</v>
      </c>
      <c r="L481" s="31">
        <f t="shared" si="23"/>
        <v>9.9287088915460328E-2</v>
      </c>
    </row>
    <row r="482" spans="1:12" ht="15" customHeight="1" x14ac:dyDescent="0.35">
      <c r="A482" s="10">
        <f t="shared" si="22"/>
        <v>478</v>
      </c>
      <c r="B482" s="3">
        <v>8510</v>
      </c>
      <c r="C482" s="5" t="s">
        <v>1231</v>
      </c>
      <c r="D482" s="5" t="s">
        <v>488</v>
      </c>
      <c r="E482" s="5" t="s">
        <v>64</v>
      </c>
      <c r="F482" s="5" t="s">
        <v>64</v>
      </c>
      <c r="G482" s="7">
        <v>45084</v>
      </c>
      <c r="H482" s="18">
        <f t="shared" si="21"/>
        <v>2.8164383561643835</v>
      </c>
      <c r="I482" s="5" t="s">
        <v>13</v>
      </c>
      <c r="J482" s="28">
        <v>25888.261999999999</v>
      </c>
      <c r="K482" s="28">
        <v>2500</v>
      </c>
      <c r="L482" s="31">
        <f t="shared" si="23"/>
        <v>9.6568861980769513E-2</v>
      </c>
    </row>
    <row r="483" spans="1:12" ht="15" customHeight="1" x14ac:dyDescent="0.35">
      <c r="A483" s="10">
        <f t="shared" si="22"/>
        <v>479</v>
      </c>
      <c r="B483" s="3">
        <v>8511</v>
      </c>
      <c r="C483" s="5" t="s">
        <v>1232</v>
      </c>
      <c r="D483" s="5" t="s">
        <v>488</v>
      </c>
      <c r="E483" s="5" t="s">
        <v>181</v>
      </c>
      <c r="F483" s="5" t="s">
        <v>181</v>
      </c>
      <c r="G483" s="7">
        <v>45084</v>
      </c>
      <c r="H483" s="18">
        <f t="shared" si="21"/>
        <v>2.8164383561643835</v>
      </c>
      <c r="I483" s="5" t="s">
        <v>13</v>
      </c>
      <c r="J483" s="28">
        <v>24707.004499999999</v>
      </c>
      <c r="K483" s="28">
        <v>2500</v>
      </c>
      <c r="L483" s="31">
        <f t="shared" si="23"/>
        <v>0.10118588030370092</v>
      </c>
    </row>
    <row r="484" spans="1:12" ht="15" customHeight="1" x14ac:dyDescent="0.35">
      <c r="A484" s="10">
        <f t="shared" si="22"/>
        <v>480</v>
      </c>
      <c r="B484" s="3">
        <v>8512</v>
      </c>
      <c r="C484" s="5" t="s">
        <v>1233</v>
      </c>
      <c r="D484" s="5" t="s">
        <v>812</v>
      </c>
      <c r="E484" s="5" t="s">
        <v>35</v>
      </c>
      <c r="F484" s="5" t="s">
        <v>36</v>
      </c>
      <c r="G484" s="7">
        <v>45084</v>
      </c>
      <c r="H484" s="18">
        <f t="shared" si="21"/>
        <v>2.8164383561643835</v>
      </c>
      <c r="I484" s="5" t="s">
        <v>13</v>
      </c>
      <c r="J484" s="28">
        <v>21915.5825</v>
      </c>
      <c r="K484" s="28">
        <v>2500</v>
      </c>
      <c r="L484" s="31">
        <f t="shared" si="23"/>
        <v>0.11407408404499401</v>
      </c>
    </row>
    <row r="485" spans="1:12" ht="15" customHeight="1" x14ac:dyDescent="0.35">
      <c r="A485" s="10">
        <f t="shared" si="22"/>
        <v>481</v>
      </c>
      <c r="B485" s="3">
        <v>8543</v>
      </c>
      <c r="C485" s="5" t="s">
        <v>1238</v>
      </c>
      <c r="D485" s="5" t="s">
        <v>249</v>
      </c>
      <c r="E485" s="5" t="s">
        <v>99</v>
      </c>
      <c r="F485" s="5" t="s">
        <v>249</v>
      </c>
      <c r="G485" s="7">
        <v>45110</v>
      </c>
      <c r="H485" s="18">
        <f t="shared" si="21"/>
        <v>2.7452054794520548</v>
      </c>
      <c r="I485" s="5" t="s">
        <v>13</v>
      </c>
      <c r="J485" s="28">
        <v>23529.542000000001</v>
      </c>
      <c r="K485" s="28">
        <v>2500</v>
      </c>
      <c r="L485" s="31">
        <f t="shared" si="23"/>
        <v>0.10624941190950507</v>
      </c>
    </row>
    <row r="486" spans="1:12" ht="15" customHeight="1" x14ac:dyDescent="0.35">
      <c r="A486" s="10">
        <f t="shared" si="22"/>
        <v>482</v>
      </c>
      <c r="B486" s="3">
        <v>8559</v>
      </c>
      <c r="C486" s="5" t="s">
        <v>1243</v>
      </c>
      <c r="D486" s="5" t="s">
        <v>807</v>
      </c>
      <c r="E486" s="5" t="s">
        <v>87</v>
      </c>
      <c r="F486" s="5" t="s">
        <v>808</v>
      </c>
      <c r="G486" s="7">
        <v>45120</v>
      </c>
      <c r="H486" s="18">
        <f t="shared" si="21"/>
        <v>2.7178082191780821</v>
      </c>
      <c r="I486" s="5" t="s">
        <v>13</v>
      </c>
      <c r="J486" s="28">
        <v>25338.758000000002</v>
      </c>
      <c r="K486" s="28">
        <v>2500</v>
      </c>
      <c r="L486" s="31">
        <f t="shared" si="23"/>
        <v>9.8663083644431188E-2</v>
      </c>
    </row>
    <row r="487" spans="1:12" ht="15" customHeight="1" x14ac:dyDescent="0.35">
      <c r="A487" s="10">
        <f t="shared" si="22"/>
        <v>483</v>
      </c>
      <c r="B487" s="3">
        <v>8560</v>
      </c>
      <c r="C487" s="5" t="s">
        <v>1244</v>
      </c>
      <c r="D487" s="5" t="s">
        <v>733</v>
      </c>
      <c r="E487" s="5" t="s">
        <v>165</v>
      </c>
      <c r="F487" s="5" t="s">
        <v>165</v>
      </c>
      <c r="G487" s="7">
        <v>45122</v>
      </c>
      <c r="H487" s="18">
        <f t="shared" si="21"/>
        <v>2.7123287671232879</v>
      </c>
      <c r="I487" s="5" t="s">
        <v>13</v>
      </c>
      <c r="J487" s="28">
        <v>51500</v>
      </c>
      <c r="K487" s="28">
        <v>2500</v>
      </c>
      <c r="L487" s="31">
        <f t="shared" si="23"/>
        <v>4.8543689320388349E-2</v>
      </c>
    </row>
    <row r="488" spans="1:12" ht="15" customHeight="1" x14ac:dyDescent="0.35">
      <c r="A488" s="10">
        <f t="shared" si="22"/>
        <v>484</v>
      </c>
      <c r="B488" s="3">
        <v>8565</v>
      </c>
      <c r="C488" s="5" t="s">
        <v>1248</v>
      </c>
      <c r="D488" s="5" t="s">
        <v>693</v>
      </c>
      <c r="E488" s="5" t="s">
        <v>181</v>
      </c>
      <c r="F488" s="5" t="s">
        <v>181</v>
      </c>
      <c r="G488" s="7">
        <v>45131</v>
      </c>
      <c r="H488" s="18">
        <f t="shared" si="21"/>
        <v>2.6876712328767125</v>
      </c>
      <c r="I488" s="5" t="s">
        <v>13</v>
      </c>
      <c r="J488" s="28">
        <v>25179.5075</v>
      </c>
      <c r="K488" s="28">
        <v>2500</v>
      </c>
      <c r="L488" s="31">
        <f t="shared" si="23"/>
        <v>9.9287088915460328E-2</v>
      </c>
    </row>
    <row r="489" spans="1:12" ht="15" customHeight="1" x14ac:dyDescent="0.35">
      <c r="A489" s="10">
        <f t="shared" si="22"/>
        <v>485</v>
      </c>
      <c r="B489" s="3">
        <v>8566</v>
      </c>
      <c r="C489" s="5" t="s">
        <v>1249</v>
      </c>
      <c r="D489" s="5" t="s">
        <v>669</v>
      </c>
      <c r="E489" s="5" t="s">
        <v>103</v>
      </c>
      <c r="F489" s="5" t="s">
        <v>103</v>
      </c>
      <c r="G489" s="7">
        <v>45139</v>
      </c>
      <c r="H489" s="18">
        <f t="shared" si="21"/>
        <v>2.6657534246575341</v>
      </c>
      <c r="I489" s="5" t="s">
        <v>13</v>
      </c>
      <c r="J489" s="28">
        <v>25179.5075</v>
      </c>
      <c r="K489" s="28">
        <v>2500</v>
      </c>
      <c r="L489" s="31">
        <f t="shared" si="23"/>
        <v>9.9287088915460328E-2</v>
      </c>
    </row>
    <row r="490" spans="1:12" ht="15" customHeight="1" x14ac:dyDescent="0.35">
      <c r="A490" s="10">
        <f t="shared" si="22"/>
        <v>486</v>
      </c>
      <c r="B490" s="3">
        <v>8572</v>
      </c>
      <c r="C490" s="5" t="s">
        <v>1005</v>
      </c>
      <c r="D490" s="5" t="s">
        <v>797</v>
      </c>
      <c r="E490" s="5" t="s">
        <v>714</v>
      </c>
      <c r="F490" s="5" t="s">
        <v>714</v>
      </c>
      <c r="G490" s="7">
        <v>45139</v>
      </c>
      <c r="H490" s="18">
        <f t="shared" si="21"/>
        <v>2.6657534246575341</v>
      </c>
      <c r="I490" s="5" t="s">
        <v>13</v>
      </c>
      <c r="J490" s="28">
        <v>31187.822</v>
      </c>
      <c r="K490" s="28">
        <v>2500</v>
      </c>
      <c r="L490" s="31">
        <f t="shared" si="23"/>
        <v>8.0159493022629147E-2</v>
      </c>
    </row>
    <row r="491" spans="1:12" ht="15" customHeight="1" x14ac:dyDescent="0.35">
      <c r="A491" s="10">
        <f t="shared" si="22"/>
        <v>487</v>
      </c>
      <c r="B491" s="3">
        <v>8585</v>
      </c>
      <c r="C491" s="5" t="s">
        <v>1253</v>
      </c>
      <c r="D491" s="5" t="s">
        <v>669</v>
      </c>
      <c r="E491" s="5" t="s">
        <v>103</v>
      </c>
      <c r="F491" s="5" t="s">
        <v>103</v>
      </c>
      <c r="G491" s="7">
        <v>45145</v>
      </c>
      <c r="H491" s="18">
        <f t="shared" si="21"/>
        <v>2.6493150684931508</v>
      </c>
      <c r="I491" s="5" t="s">
        <v>13</v>
      </c>
      <c r="J491" s="28">
        <v>25652.0105</v>
      </c>
      <c r="K491" s="28">
        <v>2500</v>
      </c>
      <c r="L491" s="31">
        <f t="shared" si="23"/>
        <v>9.7458247960720265E-2</v>
      </c>
    </row>
    <row r="492" spans="1:12" ht="15" customHeight="1" x14ac:dyDescent="0.35">
      <c r="A492" s="10">
        <f t="shared" si="22"/>
        <v>488</v>
      </c>
      <c r="B492" s="3">
        <v>8587</v>
      </c>
      <c r="C492" s="5" t="s">
        <v>1254</v>
      </c>
      <c r="D492" s="5" t="s">
        <v>1255</v>
      </c>
      <c r="E492" s="5" t="s">
        <v>662</v>
      </c>
      <c r="F492" s="5" t="s">
        <v>662</v>
      </c>
      <c r="G492" s="7">
        <v>45145</v>
      </c>
      <c r="H492" s="18">
        <f t="shared" si="21"/>
        <v>2.6493150684931508</v>
      </c>
      <c r="I492" s="5" t="s">
        <v>13</v>
      </c>
      <c r="J492" s="28">
        <v>28022.488500000003</v>
      </c>
      <c r="K492" s="28">
        <v>2500</v>
      </c>
      <c r="L492" s="31">
        <f t="shared" si="23"/>
        <v>8.9214061056711633E-2</v>
      </c>
    </row>
    <row r="493" spans="1:12" ht="15" customHeight="1" x14ac:dyDescent="0.35">
      <c r="A493" s="10">
        <f t="shared" si="22"/>
        <v>489</v>
      </c>
      <c r="B493" s="3">
        <v>8588</v>
      </c>
      <c r="C493" s="5" t="s">
        <v>1256</v>
      </c>
      <c r="D493" s="5" t="s">
        <v>1257</v>
      </c>
      <c r="E493" s="5" t="s">
        <v>165</v>
      </c>
      <c r="F493" s="5" t="s">
        <v>165</v>
      </c>
      <c r="G493" s="7">
        <v>45148</v>
      </c>
      <c r="H493" s="18">
        <f t="shared" si="21"/>
        <v>2.6410958904109587</v>
      </c>
      <c r="I493" s="5" t="s">
        <v>13</v>
      </c>
      <c r="J493" s="28">
        <v>37080</v>
      </c>
      <c r="K493" s="28">
        <v>2500</v>
      </c>
      <c r="L493" s="31">
        <f t="shared" si="23"/>
        <v>6.7421790722761596E-2</v>
      </c>
    </row>
    <row r="494" spans="1:12" ht="15" customHeight="1" x14ac:dyDescent="0.35">
      <c r="A494" s="10">
        <f t="shared" si="22"/>
        <v>490</v>
      </c>
      <c r="B494" s="3">
        <v>8590</v>
      </c>
      <c r="C494" s="5" t="s">
        <v>1258</v>
      </c>
      <c r="D494" s="5" t="s">
        <v>669</v>
      </c>
      <c r="E494" s="5" t="s">
        <v>103</v>
      </c>
      <c r="F494" s="5" t="s">
        <v>103</v>
      </c>
      <c r="G494" s="7">
        <v>45154</v>
      </c>
      <c r="H494" s="18">
        <f t="shared" si="21"/>
        <v>2.6246575342465754</v>
      </c>
      <c r="I494" s="5" t="s">
        <v>13</v>
      </c>
      <c r="J494" s="28">
        <v>25179.5075</v>
      </c>
      <c r="K494" s="28">
        <v>2500</v>
      </c>
      <c r="L494" s="31">
        <f t="shared" si="23"/>
        <v>9.9287088915460328E-2</v>
      </c>
    </row>
    <row r="495" spans="1:12" ht="15" customHeight="1" x14ac:dyDescent="0.35">
      <c r="A495" s="10">
        <f t="shared" si="22"/>
        <v>491</v>
      </c>
      <c r="B495" s="3">
        <v>8594</v>
      </c>
      <c r="C495" s="5" t="s">
        <v>1259</v>
      </c>
      <c r="D495" s="5" t="s">
        <v>21</v>
      </c>
      <c r="E495" s="5" t="s">
        <v>116</v>
      </c>
      <c r="F495" s="5" t="s">
        <v>117</v>
      </c>
      <c r="G495" s="7">
        <v>45154</v>
      </c>
      <c r="H495" s="18">
        <f t="shared" si="21"/>
        <v>2.6246575342465754</v>
      </c>
      <c r="I495" s="5" t="s">
        <v>13</v>
      </c>
      <c r="J495" s="28">
        <v>23529.542000000001</v>
      </c>
      <c r="K495" s="28">
        <v>2500</v>
      </c>
      <c r="L495" s="31">
        <f t="shared" si="23"/>
        <v>0.10624941190950507</v>
      </c>
    </row>
    <row r="496" spans="1:12" ht="15" customHeight="1" x14ac:dyDescent="0.35">
      <c r="A496" s="10">
        <f t="shared" si="22"/>
        <v>492</v>
      </c>
      <c r="B496" s="3">
        <v>8607</v>
      </c>
      <c r="C496" s="5" t="s">
        <v>1263</v>
      </c>
      <c r="D496" s="5" t="s">
        <v>669</v>
      </c>
      <c r="E496" s="5" t="s">
        <v>103</v>
      </c>
      <c r="F496" s="5" t="s">
        <v>103</v>
      </c>
      <c r="G496" s="7">
        <v>45170</v>
      </c>
      <c r="H496" s="18">
        <f t="shared" si="21"/>
        <v>2.580821917808219</v>
      </c>
      <c r="I496" s="5" t="s">
        <v>13</v>
      </c>
      <c r="J496" s="28">
        <v>24707.004499999999</v>
      </c>
      <c r="K496" s="28">
        <v>2500</v>
      </c>
      <c r="L496" s="31">
        <f t="shared" si="23"/>
        <v>0.10118588030370092</v>
      </c>
    </row>
    <row r="497" spans="1:12" ht="15" customHeight="1" x14ac:dyDescent="0.35">
      <c r="A497" s="10">
        <f t="shared" si="22"/>
        <v>493</v>
      </c>
      <c r="B497" s="3">
        <v>8613</v>
      </c>
      <c r="C497" s="5" t="s">
        <v>1265</v>
      </c>
      <c r="D497" s="5" t="s">
        <v>21</v>
      </c>
      <c r="E497" s="5" t="s">
        <v>24</v>
      </c>
      <c r="F497" s="5" t="s">
        <v>24</v>
      </c>
      <c r="G497" s="7">
        <v>45170</v>
      </c>
      <c r="H497" s="18">
        <f t="shared" si="21"/>
        <v>2.580821917808219</v>
      </c>
      <c r="I497" s="5" t="s">
        <v>13</v>
      </c>
      <c r="J497" s="28">
        <v>23921.607499999998</v>
      </c>
      <c r="K497" s="28">
        <v>2500</v>
      </c>
      <c r="L497" s="31">
        <f t="shared" si="23"/>
        <v>0.10450802689576778</v>
      </c>
    </row>
    <row r="498" spans="1:12" ht="15" customHeight="1" x14ac:dyDescent="0.35">
      <c r="A498" s="10">
        <f t="shared" si="22"/>
        <v>494</v>
      </c>
      <c r="B498" s="3">
        <v>8617</v>
      </c>
      <c r="C498" s="5" t="s">
        <v>1266</v>
      </c>
      <c r="D498" s="5" t="s">
        <v>807</v>
      </c>
      <c r="E498" s="5" t="s">
        <v>87</v>
      </c>
      <c r="F498" s="5" t="s">
        <v>808</v>
      </c>
      <c r="G498" s="7">
        <v>45170</v>
      </c>
      <c r="H498" s="18">
        <f t="shared" si="21"/>
        <v>2.580821917808219</v>
      </c>
      <c r="I498" s="5" t="s">
        <v>13</v>
      </c>
      <c r="J498" s="28">
        <v>25338.758000000002</v>
      </c>
      <c r="K498" s="28">
        <v>2500</v>
      </c>
      <c r="L498" s="31">
        <f t="shared" si="23"/>
        <v>9.8663083644431188E-2</v>
      </c>
    </row>
    <row r="499" spans="1:12" ht="15" customHeight="1" x14ac:dyDescent="0.35">
      <c r="A499" s="10">
        <f t="shared" si="22"/>
        <v>495</v>
      </c>
      <c r="B499" s="3">
        <v>8618</v>
      </c>
      <c r="C499" s="5" t="s">
        <v>1267</v>
      </c>
      <c r="D499" s="5" t="s">
        <v>455</v>
      </c>
      <c r="E499" s="5" t="s">
        <v>24</v>
      </c>
      <c r="F499" s="5" t="s">
        <v>152</v>
      </c>
      <c r="G499" s="7">
        <v>45170</v>
      </c>
      <c r="H499" s="18">
        <f t="shared" si="21"/>
        <v>2.580821917808219</v>
      </c>
      <c r="I499" s="5" t="s">
        <v>13</v>
      </c>
      <c r="J499" s="28">
        <v>21915.5825</v>
      </c>
      <c r="K499" s="28">
        <v>2500</v>
      </c>
      <c r="L499" s="31">
        <f t="shared" si="23"/>
        <v>0.11407408404499401</v>
      </c>
    </row>
    <row r="500" spans="1:12" ht="15" customHeight="1" x14ac:dyDescent="0.35">
      <c r="A500" s="10">
        <f t="shared" si="22"/>
        <v>496</v>
      </c>
      <c r="B500" s="3">
        <v>8619</v>
      </c>
      <c r="C500" s="5" t="s">
        <v>1268</v>
      </c>
      <c r="D500" s="5" t="s">
        <v>455</v>
      </c>
      <c r="E500" s="5" t="s">
        <v>165</v>
      </c>
      <c r="F500" s="5" t="s">
        <v>165</v>
      </c>
      <c r="G500" s="7">
        <v>45170</v>
      </c>
      <c r="H500" s="18">
        <f t="shared" si="21"/>
        <v>2.580821917808219</v>
      </c>
      <c r="I500" s="5" t="s">
        <v>13</v>
      </c>
      <c r="J500" s="28">
        <v>20889.75</v>
      </c>
      <c r="K500" s="28">
        <v>2500</v>
      </c>
      <c r="L500" s="31">
        <f t="shared" si="23"/>
        <v>0.11967591761509831</v>
      </c>
    </row>
    <row r="501" spans="1:12" ht="15" customHeight="1" x14ac:dyDescent="0.35">
      <c r="A501" s="10">
        <f t="shared" si="22"/>
        <v>497</v>
      </c>
      <c r="B501" s="3">
        <v>8630</v>
      </c>
      <c r="C501" s="5" t="s">
        <v>1270</v>
      </c>
      <c r="D501" s="5" t="s">
        <v>1271</v>
      </c>
      <c r="E501" s="5" t="s">
        <v>538</v>
      </c>
      <c r="F501" s="5" t="s">
        <v>538</v>
      </c>
      <c r="G501" s="7">
        <v>45189</v>
      </c>
      <c r="H501" s="18">
        <f t="shared" si="21"/>
        <v>2.5287671232876714</v>
      </c>
      <c r="I501" s="5" t="s">
        <v>13</v>
      </c>
      <c r="J501" s="28">
        <v>25791.657500000001</v>
      </c>
      <c r="K501" s="28">
        <v>2500</v>
      </c>
      <c r="L501" s="31">
        <f t="shared" si="23"/>
        <v>9.6930567568214637E-2</v>
      </c>
    </row>
    <row r="502" spans="1:12" ht="15" customHeight="1" x14ac:dyDescent="0.35">
      <c r="A502" s="10">
        <f t="shared" si="22"/>
        <v>498</v>
      </c>
      <c r="B502" s="3">
        <v>8632</v>
      </c>
      <c r="C502" s="5" t="s">
        <v>1272</v>
      </c>
      <c r="D502" s="5" t="s">
        <v>187</v>
      </c>
      <c r="E502" s="5" t="s">
        <v>68</v>
      </c>
      <c r="F502" s="5" t="s">
        <v>187</v>
      </c>
      <c r="G502" s="7">
        <v>45189</v>
      </c>
      <c r="H502" s="18">
        <f t="shared" si="21"/>
        <v>2.5287671232876714</v>
      </c>
      <c r="I502" s="5" t="s">
        <v>13</v>
      </c>
      <c r="J502" s="28">
        <v>22885.782500000001</v>
      </c>
      <c r="K502" s="28">
        <v>2500</v>
      </c>
      <c r="L502" s="31">
        <f t="shared" si="23"/>
        <v>0.10923812633454853</v>
      </c>
    </row>
    <row r="503" spans="1:12" ht="15" customHeight="1" x14ac:dyDescent="0.35">
      <c r="A503" s="10">
        <f t="shared" si="22"/>
        <v>499</v>
      </c>
      <c r="B503" s="3">
        <v>8646</v>
      </c>
      <c r="C503" s="5" t="s">
        <v>1277</v>
      </c>
      <c r="D503" s="5" t="s">
        <v>519</v>
      </c>
      <c r="E503" s="5" t="s">
        <v>24</v>
      </c>
      <c r="F503" s="5" t="s">
        <v>152</v>
      </c>
      <c r="G503" s="7">
        <v>45231</v>
      </c>
      <c r="H503" s="18">
        <f t="shared" si="21"/>
        <v>2.4136986301369863</v>
      </c>
      <c r="I503" s="5" t="s">
        <v>13</v>
      </c>
      <c r="J503" s="28">
        <v>22886.307499999999</v>
      </c>
      <c r="K503" s="28">
        <v>2500</v>
      </c>
      <c r="L503" s="31">
        <f t="shared" si="23"/>
        <v>0.10923562046870165</v>
      </c>
    </row>
    <row r="504" spans="1:12" ht="15" customHeight="1" x14ac:dyDescent="0.35">
      <c r="A504" s="10">
        <f t="shared" si="22"/>
        <v>500</v>
      </c>
      <c r="B504" s="3">
        <v>8652</v>
      </c>
      <c r="C504" s="5" t="s">
        <v>1280</v>
      </c>
      <c r="D504" s="5" t="s">
        <v>669</v>
      </c>
      <c r="E504" s="5" t="s">
        <v>103</v>
      </c>
      <c r="F504" s="5" t="s">
        <v>103</v>
      </c>
      <c r="G504" s="7">
        <v>45231</v>
      </c>
      <c r="H504" s="18">
        <f t="shared" si="21"/>
        <v>2.4136986301369863</v>
      </c>
      <c r="I504" s="5" t="s">
        <v>13</v>
      </c>
      <c r="J504" s="28">
        <v>25791.657500000001</v>
      </c>
      <c r="K504" s="28">
        <v>2500</v>
      </c>
      <c r="L504" s="31">
        <f t="shared" si="23"/>
        <v>9.6930567568214637E-2</v>
      </c>
    </row>
    <row r="505" spans="1:12" ht="15" customHeight="1" x14ac:dyDescent="0.35">
      <c r="A505" s="10">
        <f t="shared" si="22"/>
        <v>501</v>
      </c>
      <c r="B505" s="3">
        <v>8653</v>
      </c>
      <c r="C505" s="5" t="s">
        <v>1281</v>
      </c>
      <c r="D505" s="5" t="s">
        <v>669</v>
      </c>
      <c r="E505" s="5" t="s">
        <v>103</v>
      </c>
      <c r="F505" s="5" t="s">
        <v>103</v>
      </c>
      <c r="G505" s="7">
        <v>45231</v>
      </c>
      <c r="H505" s="18">
        <f t="shared" si="21"/>
        <v>2.4136986301369863</v>
      </c>
      <c r="I505" s="5" t="s">
        <v>13</v>
      </c>
      <c r="J505" s="28">
        <v>25179.5075</v>
      </c>
      <c r="K505" s="28">
        <v>2500</v>
      </c>
      <c r="L505" s="31">
        <f t="shared" si="23"/>
        <v>9.9287088915460328E-2</v>
      </c>
    </row>
    <row r="506" spans="1:12" ht="15" customHeight="1" x14ac:dyDescent="0.35">
      <c r="A506" s="10">
        <f t="shared" si="22"/>
        <v>502</v>
      </c>
      <c r="B506" s="3">
        <v>8656</v>
      </c>
      <c r="C506" s="5" t="s">
        <v>1282</v>
      </c>
      <c r="D506" s="5" t="s">
        <v>1141</v>
      </c>
      <c r="E506" s="5" t="s">
        <v>769</v>
      </c>
      <c r="F506" s="5" t="s">
        <v>769</v>
      </c>
      <c r="G506" s="7">
        <v>45231</v>
      </c>
      <c r="H506" s="18">
        <f t="shared" si="21"/>
        <v>2.4136986301369863</v>
      </c>
      <c r="I506" s="5" t="s">
        <v>13</v>
      </c>
      <c r="J506" s="28">
        <v>27055.741999999998</v>
      </c>
      <c r="K506" s="28">
        <v>2500</v>
      </c>
      <c r="L506" s="31">
        <f t="shared" si="23"/>
        <v>9.2401827308968287E-2</v>
      </c>
    </row>
    <row r="507" spans="1:12" ht="15" customHeight="1" x14ac:dyDescent="0.35">
      <c r="A507" s="10">
        <f t="shared" si="22"/>
        <v>503</v>
      </c>
      <c r="B507" s="3">
        <v>8663</v>
      </c>
      <c r="C507" s="5" t="s">
        <v>1284</v>
      </c>
      <c r="D507" s="5" t="s">
        <v>1285</v>
      </c>
      <c r="E507" s="5" t="s">
        <v>632</v>
      </c>
      <c r="F507" s="5" t="s">
        <v>632</v>
      </c>
      <c r="G507" s="7">
        <v>45427</v>
      </c>
      <c r="H507" s="18">
        <f t="shared" si="21"/>
        <v>1.8767123287671232</v>
      </c>
      <c r="I507" s="5" t="s">
        <v>13</v>
      </c>
      <c r="J507" s="28">
        <v>25079.25</v>
      </c>
      <c r="K507" s="28">
        <v>2500</v>
      </c>
      <c r="L507" s="31">
        <f t="shared" si="23"/>
        <v>9.9684001714564832E-2</v>
      </c>
    </row>
    <row r="508" spans="1:12" ht="15" customHeight="1" x14ac:dyDescent="0.35">
      <c r="A508" s="10">
        <f t="shared" si="22"/>
        <v>504</v>
      </c>
      <c r="B508" s="3">
        <v>8681</v>
      </c>
      <c r="C508" s="5" t="s">
        <v>1288</v>
      </c>
      <c r="D508" s="5" t="s">
        <v>1289</v>
      </c>
      <c r="E508" s="5" t="s">
        <v>322</v>
      </c>
      <c r="F508" s="5" t="s">
        <v>322</v>
      </c>
      <c r="G508" s="7">
        <v>45257</v>
      </c>
      <c r="H508" s="18">
        <f t="shared" si="21"/>
        <v>2.3424657534246576</v>
      </c>
      <c r="I508" s="5" t="s">
        <v>13</v>
      </c>
      <c r="J508" s="28">
        <v>28784.970499999999</v>
      </c>
      <c r="K508" s="28">
        <v>2500</v>
      </c>
      <c r="L508" s="31">
        <f t="shared" si="23"/>
        <v>8.6850879350388779E-2</v>
      </c>
    </row>
    <row r="509" spans="1:12" ht="15" customHeight="1" x14ac:dyDescent="0.35">
      <c r="A509" s="10">
        <f t="shared" si="22"/>
        <v>505</v>
      </c>
      <c r="B509" s="3">
        <v>8701</v>
      </c>
      <c r="C509" s="5" t="s">
        <v>1295</v>
      </c>
      <c r="D509" s="5" t="s">
        <v>488</v>
      </c>
      <c r="E509" s="5" t="s">
        <v>228</v>
      </c>
      <c r="F509" s="5" t="s">
        <v>228</v>
      </c>
      <c r="G509" s="7">
        <v>45264</v>
      </c>
      <c r="H509" s="18">
        <f t="shared" si="21"/>
        <v>2.3232876712328765</v>
      </c>
      <c r="I509" s="5" t="s">
        <v>13</v>
      </c>
      <c r="J509" s="28">
        <v>25179.5075</v>
      </c>
      <c r="K509" s="28">
        <v>2500</v>
      </c>
      <c r="L509" s="31">
        <f t="shared" si="23"/>
        <v>9.9287088915460328E-2</v>
      </c>
    </row>
    <row r="510" spans="1:12" ht="15" customHeight="1" x14ac:dyDescent="0.35">
      <c r="A510" s="10">
        <f t="shared" si="22"/>
        <v>506</v>
      </c>
      <c r="B510" s="3">
        <v>8707</v>
      </c>
      <c r="C510" s="5" t="s">
        <v>1298</v>
      </c>
      <c r="D510" s="5" t="s">
        <v>678</v>
      </c>
      <c r="E510" s="5" t="s">
        <v>87</v>
      </c>
      <c r="F510" s="5" t="s">
        <v>678</v>
      </c>
      <c r="G510" s="7">
        <v>45273</v>
      </c>
      <c r="H510" s="18">
        <f t="shared" si="21"/>
        <v>2.2986301369863016</v>
      </c>
      <c r="I510" s="5" t="s">
        <v>13</v>
      </c>
      <c r="J510" s="28">
        <v>28280.894</v>
      </c>
      <c r="K510" s="28">
        <v>2500</v>
      </c>
      <c r="L510" s="31">
        <f t="shared" si="23"/>
        <v>8.8398902806962179E-2</v>
      </c>
    </row>
    <row r="511" spans="1:12" ht="15" customHeight="1" x14ac:dyDescent="0.35">
      <c r="A511" s="10">
        <f t="shared" si="22"/>
        <v>507</v>
      </c>
      <c r="B511" s="3">
        <v>8709</v>
      </c>
      <c r="C511" s="5" t="s">
        <v>1300</v>
      </c>
      <c r="D511" s="5" t="s">
        <v>669</v>
      </c>
      <c r="E511" s="5" t="s">
        <v>103</v>
      </c>
      <c r="F511" s="5" t="s">
        <v>103</v>
      </c>
      <c r="G511" s="7">
        <v>45275</v>
      </c>
      <c r="H511" s="18">
        <f t="shared" si="21"/>
        <v>2.2931506849315069</v>
      </c>
      <c r="I511" s="5" t="s">
        <v>13</v>
      </c>
      <c r="J511" s="28">
        <v>25179.5075</v>
      </c>
      <c r="K511" s="28">
        <v>2500</v>
      </c>
      <c r="L511" s="31">
        <f t="shared" si="23"/>
        <v>9.9287088915460328E-2</v>
      </c>
    </row>
    <row r="512" spans="1:12" ht="15" customHeight="1" x14ac:dyDescent="0.35">
      <c r="A512" s="10">
        <f t="shared" si="22"/>
        <v>508</v>
      </c>
      <c r="B512" s="3">
        <v>8731</v>
      </c>
      <c r="C512" s="5" t="s">
        <v>1303</v>
      </c>
      <c r="D512" s="5" t="s">
        <v>1304</v>
      </c>
      <c r="E512" s="5" t="s">
        <v>505</v>
      </c>
      <c r="F512" s="5" t="s">
        <v>505</v>
      </c>
      <c r="G512" s="7">
        <v>45294</v>
      </c>
      <c r="H512" s="18">
        <f t="shared" si="21"/>
        <v>2.2410958904109588</v>
      </c>
      <c r="I512" s="5" t="s">
        <v>13</v>
      </c>
      <c r="J512" s="28">
        <v>25076.101999999999</v>
      </c>
      <c r="K512" s="28">
        <v>2500</v>
      </c>
      <c r="L512" s="31">
        <f t="shared" si="23"/>
        <v>9.9696515830091939E-2</v>
      </c>
    </row>
    <row r="513" spans="1:12" ht="15" customHeight="1" x14ac:dyDescent="0.35">
      <c r="A513" s="10">
        <f t="shared" si="22"/>
        <v>509</v>
      </c>
      <c r="B513" s="3">
        <v>8735</v>
      </c>
      <c r="C513" s="5" t="s">
        <v>1307</v>
      </c>
      <c r="D513" s="5" t="s">
        <v>1308</v>
      </c>
      <c r="E513" s="5" t="s">
        <v>1309</v>
      </c>
      <c r="F513" s="5" t="s">
        <v>1309</v>
      </c>
      <c r="G513" s="7">
        <v>45299</v>
      </c>
      <c r="H513" s="18">
        <f t="shared" si="21"/>
        <v>2.2273972602739724</v>
      </c>
      <c r="I513" s="5" t="s">
        <v>13</v>
      </c>
      <c r="J513" s="28">
        <v>25179.5075</v>
      </c>
      <c r="K513" s="28">
        <v>2500</v>
      </c>
      <c r="L513" s="31">
        <f t="shared" si="23"/>
        <v>9.9287088915460328E-2</v>
      </c>
    </row>
    <row r="514" spans="1:12" ht="15" customHeight="1" x14ac:dyDescent="0.35">
      <c r="A514" s="10">
        <f t="shared" si="22"/>
        <v>510</v>
      </c>
      <c r="B514" s="3">
        <v>8746</v>
      </c>
      <c r="C514" s="5" t="s">
        <v>1314</v>
      </c>
      <c r="D514" s="5" t="s">
        <v>151</v>
      </c>
      <c r="E514" s="5" t="s">
        <v>1315</v>
      </c>
      <c r="F514" s="5" t="s">
        <v>1315</v>
      </c>
      <c r="G514" s="7">
        <v>45306</v>
      </c>
      <c r="H514" s="18">
        <f t="shared" si="21"/>
        <v>2.2082191780821918</v>
      </c>
      <c r="I514" s="5" t="s">
        <v>13</v>
      </c>
      <c r="J514" s="28">
        <v>78750</v>
      </c>
      <c r="K514" s="28">
        <v>2500</v>
      </c>
      <c r="L514" s="31">
        <f t="shared" si="23"/>
        <v>3.1746031746031744E-2</v>
      </c>
    </row>
    <row r="515" spans="1:12" ht="15" customHeight="1" x14ac:dyDescent="0.35">
      <c r="A515" s="10">
        <f t="shared" si="22"/>
        <v>511</v>
      </c>
      <c r="B515" s="3">
        <v>8755</v>
      </c>
      <c r="C515" s="5" t="s">
        <v>1319</v>
      </c>
      <c r="D515" s="5" t="s">
        <v>77</v>
      </c>
      <c r="E515" s="5" t="s">
        <v>61</v>
      </c>
      <c r="F515" s="5" t="s">
        <v>61</v>
      </c>
      <c r="G515" s="7">
        <v>45292</v>
      </c>
      <c r="H515" s="18">
        <f t="shared" si="21"/>
        <v>2.2465753424657535</v>
      </c>
      <c r="I515" s="5" t="s">
        <v>13</v>
      </c>
      <c r="J515" s="28">
        <v>25107.594499999999</v>
      </c>
      <c r="K515" s="28">
        <v>2500</v>
      </c>
      <c r="L515" s="31">
        <f t="shared" si="23"/>
        <v>9.9571466314704107E-2</v>
      </c>
    </row>
    <row r="516" spans="1:12" ht="15" customHeight="1" x14ac:dyDescent="0.35">
      <c r="A516" s="10">
        <f t="shared" si="22"/>
        <v>512</v>
      </c>
      <c r="B516" s="3">
        <v>8756</v>
      </c>
      <c r="C516" s="5" t="s">
        <v>1320</v>
      </c>
      <c r="D516" s="5" t="s">
        <v>77</v>
      </c>
      <c r="E516" s="5" t="s">
        <v>61</v>
      </c>
      <c r="F516" s="5" t="s">
        <v>61</v>
      </c>
      <c r="G516" s="7">
        <v>45292</v>
      </c>
      <c r="H516" s="18">
        <f t="shared" si="21"/>
        <v>2.2465753424657535</v>
      </c>
      <c r="I516" s="5" t="s">
        <v>13</v>
      </c>
      <c r="J516" s="28">
        <v>24645.267500000002</v>
      </c>
      <c r="K516" s="28">
        <v>2500</v>
      </c>
      <c r="L516" s="31">
        <f t="shared" si="23"/>
        <v>0.10143935341744616</v>
      </c>
    </row>
    <row r="517" spans="1:12" ht="15" customHeight="1" x14ac:dyDescent="0.35">
      <c r="A517" s="10">
        <f t="shared" si="22"/>
        <v>513</v>
      </c>
      <c r="B517" s="3">
        <v>8757</v>
      </c>
      <c r="C517" s="5" t="s">
        <v>1321</v>
      </c>
      <c r="D517" s="5" t="s">
        <v>669</v>
      </c>
      <c r="E517" s="5" t="s">
        <v>103</v>
      </c>
      <c r="F517" s="5" t="s">
        <v>103</v>
      </c>
      <c r="G517" s="7">
        <v>45306</v>
      </c>
      <c r="H517" s="18">
        <f t="shared" ref="H517:H580" si="24">($H$3-G517)/365</f>
        <v>2.2082191780821918</v>
      </c>
      <c r="I517" s="5" t="s">
        <v>13</v>
      </c>
      <c r="J517" s="28">
        <v>24707.004499999999</v>
      </c>
      <c r="K517" s="28">
        <v>2500</v>
      </c>
      <c r="L517" s="31">
        <f t="shared" si="23"/>
        <v>0.10118588030370092</v>
      </c>
    </row>
    <row r="518" spans="1:12" ht="15" customHeight="1" x14ac:dyDescent="0.35">
      <c r="A518" s="10">
        <f t="shared" ref="A518:A581" si="25">+A517+1</f>
        <v>514</v>
      </c>
      <c r="B518" s="3">
        <v>8771</v>
      </c>
      <c r="C518" s="5" t="s">
        <v>1327</v>
      </c>
      <c r="D518" s="5" t="s">
        <v>1328</v>
      </c>
      <c r="E518" s="5" t="s">
        <v>165</v>
      </c>
      <c r="F518" s="5" t="s">
        <v>165</v>
      </c>
      <c r="G518" s="7">
        <v>45313</v>
      </c>
      <c r="H518" s="18">
        <f t="shared" si="24"/>
        <v>2.1890410958904107</v>
      </c>
      <c r="I518" s="5" t="s">
        <v>13</v>
      </c>
      <c r="J518" s="28">
        <v>29597.444499999998</v>
      </c>
      <c r="K518" s="28">
        <v>2500</v>
      </c>
      <c r="L518" s="31">
        <f t="shared" ref="L518:L562" si="26">+K518/J518</f>
        <v>8.4466751850822808E-2</v>
      </c>
    </row>
    <row r="519" spans="1:12" ht="15" customHeight="1" x14ac:dyDescent="0.35">
      <c r="A519" s="10">
        <f t="shared" si="25"/>
        <v>515</v>
      </c>
      <c r="B519" s="3">
        <v>8772</v>
      </c>
      <c r="C519" s="5" t="s">
        <v>1329</v>
      </c>
      <c r="D519" s="5" t="s">
        <v>21</v>
      </c>
      <c r="E519" s="5" t="s">
        <v>505</v>
      </c>
      <c r="F519" s="5" t="s">
        <v>505</v>
      </c>
      <c r="G519" s="7">
        <v>45320</v>
      </c>
      <c r="H519" s="18">
        <f t="shared" si="24"/>
        <v>2.1698630136986301</v>
      </c>
      <c r="I519" s="5" t="s">
        <v>13</v>
      </c>
      <c r="J519" s="28">
        <v>24730.502</v>
      </c>
      <c r="K519" s="28">
        <v>2500</v>
      </c>
      <c r="L519" s="31">
        <f t="shared" si="26"/>
        <v>0.10108973930250183</v>
      </c>
    </row>
    <row r="520" spans="1:12" ht="15" customHeight="1" x14ac:dyDescent="0.35">
      <c r="A520" s="10">
        <f t="shared" si="25"/>
        <v>516</v>
      </c>
      <c r="B520" s="3">
        <v>8790</v>
      </c>
      <c r="C520" s="5" t="s">
        <v>1337</v>
      </c>
      <c r="D520" s="5" t="s">
        <v>488</v>
      </c>
      <c r="E520" s="5" t="s">
        <v>64</v>
      </c>
      <c r="F520" s="5" t="s">
        <v>64</v>
      </c>
      <c r="G520" s="7">
        <v>45323</v>
      </c>
      <c r="H520" s="18">
        <f t="shared" si="24"/>
        <v>2.1616438356164385</v>
      </c>
      <c r="I520" s="5" t="s">
        <v>13</v>
      </c>
      <c r="J520" s="28">
        <v>25888.261999999999</v>
      </c>
      <c r="K520" s="28">
        <v>2500</v>
      </c>
      <c r="L520" s="31">
        <f t="shared" si="26"/>
        <v>9.6568861980769513E-2</v>
      </c>
    </row>
    <row r="521" spans="1:12" ht="15" customHeight="1" x14ac:dyDescent="0.35">
      <c r="A521" s="10">
        <f t="shared" si="25"/>
        <v>517</v>
      </c>
      <c r="B521" s="3">
        <v>8793</v>
      </c>
      <c r="C521" s="5" t="s">
        <v>1338</v>
      </c>
      <c r="D521" s="5" t="s">
        <v>807</v>
      </c>
      <c r="E521" s="5" t="s">
        <v>87</v>
      </c>
      <c r="F521" s="5" t="s">
        <v>293</v>
      </c>
      <c r="G521" s="7">
        <v>45323</v>
      </c>
      <c r="H521" s="18">
        <f t="shared" si="24"/>
        <v>2.1616438356164385</v>
      </c>
      <c r="I521" s="5" t="s">
        <v>13</v>
      </c>
      <c r="J521" s="28">
        <v>28280.894</v>
      </c>
      <c r="K521" s="28">
        <v>2500</v>
      </c>
      <c r="L521" s="31">
        <f t="shared" si="26"/>
        <v>8.8398902806962179E-2</v>
      </c>
    </row>
    <row r="522" spans="1:12" ht="15" customHeight="1" x14ac:dyDescent="0.35">
      <c r="A522" s="10">
        <f t="shared" si="25"/>
        <v>518</v>
      </c>
      <c r="B522" s="3">
        <v>8802</v>
      </c>
      <c r="C522" s="5" t="s">
        <v>1339</v>
      </c>
      <c r="D522" s="5" t="s">
        <v>930</v>
      </c>
      <c r="E522" s="5" t="s">
        <v>561</v>
      </c>
      <c r="F522" s="5" t="s">
        <v>561</v>
      </c>
      <c r="G522" s="7">
        <v>45323</v>
      </c>
      <c r="H522" s="18">
        <f t="shared" si="24"/>
        <v>2.1616438356164385</v>
      </c>
      <c r="I522" s="5" t="s">
        <v>13</v>
      </c>
      <c r="J522" s="28">
        <v>26808.894500000002</v>
      </c>
      <c r="K522" s="28">
        <v>2500</v>
      </c>
      <c r="L522" s="31">
        <f t="shared" si="26"/>
        <v>9.3252633002080698E-2</v>
      </c>
    </row>
    <row r="523" spans="1:12" ht="15" customHeight="1" x14ac:dyDescent="0.35">
      <c r="A523" s="10">
        <f t="shared" si="25"/>
        <v>519</v>
      </c>
      <c r="B523" s="3">
        <v>8823</v>
      </c>
      <c r="C523" s="5" t="s">
        <v>1346</v>
      </c>
      <c r="D523" s="5" t="s">
        <v>797</v>
      </c>
      <c r="E523" s="5" t="s">
        <v>190</v>
      </c>
      <c r="F523" s="5" t="s">
        <v>1347</v>
      </c>
      <c r="G523" s="7">
        <v>45343</v>
      </c>
      <c r="H523" s="18">
        <f t="shared" si="24"/>
        <v>2.106849315068493</v>
      </c>
      <c r="I523" s="5" t="s">
        <v>13</v>
      </c>
      <c r="J523" s="28">
        <v>35000.25</v>
      </c>
      <c r="K523" s="28">
        <v>2500</v>
      </c>
      <c r="L523" s="31">
        <f t="shared" si="26"/>
        <v>7.1428061228134082E-2</v>
      </c>
    </row>
    <row r="524" spans="1:12" ht="15" customHeight="1" x14ac:dyDescent="0.35">
      <c r="A524" s="10">
        <f t="shared" si="25"/>
        <v>520</v>
      </c>
      <c r="B524" s="3">
        <v>8827</v>
      </c>
      <c r="C524" s="5" t="s">
        <v>1349</v>
      </c>
      <c r="D524" s="5" t="s">
        <v>1215</v>
      </c>
      <c r="E524" s="5" t="s">
        <v>387</v>
      </c>
      <c r="F524" s="5" t="s">
        <v>1216</v>
      </c>
      <c r="G524" s="7">
        <v>45344</v>
      </c>
      <c r="H524" s="18">
        <f t="shared" si="24"/>
        <v>2.1041095890410957</v>
      </c>
      <c r="I524" s="5" t="s">
        <v>13</v>
      </c>
      <c r="J524" s="28">
        <v>61800</v>
      </c>
      <c r="K524" s="28">
        <v>2500</v>
      </c>
      <c r="L524" s="31">
        <f t="shared" si="26"/>
        <v>4.0453074433656956E-2</v>
      </c>
    </row>
    <row r="525" spans="1:12" ht="15" customHeight="1" x14ac:dyDescent="0.35">
      <c r="A525" s="10">
        <f t="shared" si="25"/>
        <v>521</v>
      </c>
      <c r="B525" s="3">
        <v>8833</v>
      </c>
      <c r="C525" s="5" t="s">
        <v>1350</v>
      </c>
      <c r="D525" s="5" t="s">
        <v>455</v>
      </c>
      <c r="E525" s="5" t="s">
        <v>68</v>
      </c>
      <c r="F525" s="5" t="s">
        <v>254</v>
      </c>
      <c r="G525" s="7">
        <v>45352</v>
      </c>
      <c r="H525" s="18">
        <f t="shared" si="24"/>
        <v>2.0821917808219177</v>
      </c>
      <c r="I525" s="5" t="s">
        <v>13</v>
      </c>
      <c r="J525" s="28">
        <v>21426.25</v>
      </c>
      <c r="K525" s="28">
        <v>2500</v>
      </c>
      <c r="L525" s="31">
        <f t="shared" si="26"/>
        <v>0.11667930692491686</v>
      </c>
    </row>
    <row r="526" spans="1:12" ht="15" customHeight="1" x14ac:dyDescent="0.35">
      <c r="A526" s="10">
        <f t="shared" si="25"/>
        <v>522</v>
      </c>
      <c r="B526" s="3">
        <v>8834</v>
      </c>
      <c r="C526" s="5" t="s">
        <v>1351</v>
      </c>
      <c r="D526" s="5" t="s">
        <v>455</v>
      </c>
      <c r="E526" s="5" t="s">
        <v>24</v>
      </c>
      <c r="F526" s="5" t="s">
        <v>152</v>
      </c>
      <c r="G526" s="7">
        <v>45352</v>
      </c>
      <c r="H526" s="18">
        <f t="shared" si="24"/>
        <v>2.0821917808219177</v>
      </c>
      <c r="I526" s="5" t="s">
        <v>13</v>
      </c>
      <c r="J526" s="28">
        <v>21026.25</v>
      </c>
      <c r="K526" s="28">
        <v>2500</v>
      </c>
      <c r="L526" s="31">
        <f t="shared" si="26"/>
        <v>0.11889899530348969</v>
      </c>
    </row>
    <row r="527" spans="1:12" ht="15" customHeight="1" x14ac:dyDescent="0.35">
      <c r="A527" s="10">
        <f t="shared" si="25"/>
        <v>523</v>
      </c>
      <c r="B527" s="3">
        <v>8836</v>
      </c>
      <c r="C527" s="5" t="s">
        <v>1352</v>
      </c>
      <c r="D527" s="5" t="s">
        <v>455</v>
      </c>
      <c r="E527" s="5" t="s">
        <v>68</v>
      </c>
      <c r="F527" s="5" t="s">
        <v>69</v>
      </c>
      <c r="G527" s="7">
        <v>45352</v>
      </c>
      <c r="H527" s="18">
        <f t="shared" si="24"/>
        <v>2.0821917808219177</v>
      </c>
      <c r="I527" s="5" t="s">
        <v>13</v>
      </c>
      <c r="J527" s="28">
        <v>22026.25</v>
      </c>
      <c r="K527" s="28">
        <v>2500</v>
      </c>
      <c r="L527" s="31">
        <f t="shared" si="26"/>
        <v>0.11350093638272515</v>
      </c>
    </row>
    <row r="528" spans="1:12" ht="15" customHeight="1" x14ac:dyDescent="0.35">
      <c r="A528" s="10">
        <f t="shared" si="25"/>
        <v>524</v>
      </c>
      <c r="B528" s="3">
        <v>8838</v>
      </c>
      <c r="C528" s="5" t="s">
        <v>1353</v>
      </c>
      <c r="D528" s="5" t="s">
        <v>455</v>
      </c>
      <c r="E528" s="5" t="s">
        <v>376</v>
      </c>
      <c r="F528" s="5" t="s">
        <v>466</v>
      </c>
      <c r="G528" s="7">
        <v>45352</v>
      </c>
      <c r="H528" s="18">
        <f t="shared" si="24"/>
        <v>2.0821917808219177</v>
      </c>
      <c r="I528" s="5" t="s">
        <v>13</v>
      </c>
      <c r="J528" s="28">
        <v>22026.25</v>
      </c>
      <c r="K528" s="28">
        <v>2500</v>
      </c>
      <c r="L528" s="31">
        <f t="shared" si="26"/>
        <v>0.11350093638272515</v>
      </c>
    </row>
    <row r="529" spans="1:12" ht="15" customHeight="1" x14ac:dyDescent="0.35">
      <c r="A529" s="10">
        <f t="shared" si="25"/>
        <v>525</v>
      </c>
      <c r="B529" s="3">
        <v>8840</v>
      </c>
      <c r="C529" s="5" t="s">
        <v>1354</v>
      </c>
      <c r="D529" s="5" t="s">
        <v>455</v>
      </c>
      <c r="E529" s="5" t="s">
        <v>68</v>
      </c>
      <c r="F529" s="5" t="s">
        <v>254</v>
      </c>
      <c r="G529" s="7">
        <v>45352</v>
      </c>
      <c r="H529" s="18">
        <f t="shared" si="24"/>
        <v>2.0821917808219177</v>
      </c>
      <c r="I529" s="5" t="s">
        <v>13</v>
      </c>
      <c r="J529" s="28">
        <v>22026.25</v>
      </c>
      <c r="K529" s="28">
        <v>2500</v>
      </c>
      <c r="L529" s="31">
        <f t="shared" si="26"/>
        <v>0.11350093638272515</v>
      </c>
    </row>
    <row r="530" spans="1:12" ht="15" customHeight="1" x14ac:dyDescent="0.35">
      <c r="A530" s="10">
        <f t="shared" si="25"/>
        <v>526</v>
      </c>
      <c r="B530" s="3">
        <v>8841</v>
      </c>
      <c r="C530" s="5" t="s">
        <v>1355</v>
      </c>
      <c r="D530" s="5" t="s">
        <v>455</v>
      </c>
      <c r="E530" s="5" t="s">
        <v>68</v>
      </c>
      <c r="F530" s="5" t="s">
        <v>187</v>
      </c>
      <c r="G530" s="7">
        <v>45352</v>
      </c>
      <c r="H530" s="18">
        <f t="shared" si="24"/>
        <v>2.0821917808219177</v>
      </c>
      <c r="I530" s="5" t="s">
        <v>13</v>
      </c>
      <c r="J530" s="28">
        <v>22026.25</v>
      </c>
      <c r="K530" s="28">
        <v>2500</v>
      </c>
      <c r="L530" s="31">
        <f t="shared" si="26"/>
        <v>0.11350093638272515</v>
      </c>
    </row>
    <row r="531" spans="1:12" ht="15" customHeight="1" x14ac:dyDescent="0.35">
      <c r="A531" s="10">
        <f t="shared" si="25"/>
        <v>527</v>
      </c>
      <c r="B531" s="3">
        <v>8858</v>
      </c>
      <c r="C531" s="5" t="s">
        <v>1362</v>
      </c>
      <c r="D531" s="5" t="s">
        <v>1363</v>
      </c>
      <c r="E531" s="5" t="s">
        <v>35</v>
      </c>
      <c r="F531" s="5" t="s">
        <v>84</v>
      </c>
      <c r="G531" s="7">
        <v>45365</v>
      </c>
      <c r="H531" s="18">
        <f t="shared" si="24"/>
        <v>2.0465753424657533</v>
      </c>
      <c r="I531" s="5" t="s">
        <v>13</v>
      </c>
      <c r="J531" s="28">
        <v>28009.2575</v>
      </c>
      <c r="K531" s="28">
        <v>2500</v>
      </c>
      <c r="L531" s="31">
        <f t="shared" si="26"/>
        <v>8.9256203953282237E-2</v>
      </c>
    </row>
    <row r="532" spans="1:12" ht="15" customHeight="1" x14ac:dyDescent="0.35">
      <c r="A532" s="10">
        <f t="shared" si="25"/>
        <v>528</v>
      </c>
      <c r="B532" s="3">
        <v>8862</v>
      </c>
      <c r="C532" s="5" t="s">
        <v>1366</v>
      </c>
      <c r="D532" s="5" t="s">
        <v>669</v>
      </c>
      <c r="E532" s="5" t="s">
        <v>103</v>
      </c>
      <c r="F532" s="5" t="s">
        <v>103</v>
      </c>
      <c r="G532" s="7">
        <v>45369</v>
      </c>
      <c r="H532" s="18">
        <f t="shared" si="24"/>
        <v>2.0356164383561643</v>
      </c>
      <c r="I532" s="5" t="s">
        <v>13</v>
      </c>
      <c r="J532" s="28">
        <v>25065.413</v>
      </c>
      <c r="K532" s="28">
        <v>2500</v>
      </c>
      <c r="L532" s="31">
        <f t="shared" si="26"/>
        <v>9.9739030831049943E-2</v>
      </c>
    </row>
    <row r="533" spans="1:12" ht="15" customHeight="1" x14ac:dyDescent="0.35">
      <c r="A533" s="10">
        <f t="shared" si="25"/>
        <v>529</v>
      </c>
      <c r="B533" s="3">
        <v>8867</v>
      </c>
      <c r="C533" s="5" t="s">
        <v>1368</v>
      </c>
      <c r="D533" s="5" t="s">
        <v>1271</v>
      </c>
      <c r="E533" s="5" t="s">
        <v>538</v>
      </c>
      <c r="F533" s="5" t="s">
        <v>538</v>
      </c>
      <c r="G533" s="7">
        <v>45383</v>
      </c>
      <c r="H533" s="18">
        <f t="shared" si="24"/>
        <v>1.9972602739726026</v>
      </c>
      <c r="I533" s="5" t="s">
        <v>1075</v>
      </c>
      <c r="J533" s="28">
        <v>24581.25</v>
      </c>
      <c r="K533" s="28">
        <v>2500</v>
      </c>
      <c r="L533" s="31">
        <f t="shared" si="26"/>
        <v>0.10170353419781338</v>
      </c>
    </row>
    <row r="534" spans="1:12" ht="15" customHeight="1" x14ac:dyDescent="0.35">
      <c r="A534" s="10">
        <f t="shared" si="25"/>
        <v>530</v>
      </c>
      <c r="B534" s="3">
        <v>8870</v>
      </c>
      <c r="C534" s="5" t="s">
        <v>1370</v>
      </c>
      <c r="D534" s="5" t="s">
        <v>1371</v>
      </c>
      <c r="E534" s="5" t="s">
        <v>263</v>
      </c>
      <c r="F534" s="5" t="s">
        <v>276</v>
      </c>
      <c r="G534" s="7">
        <v>45383</v>
      </c>
      <c r="H534" s="18">
        <f t="shared" si="24"/>
        <v>1.9972602739726026</v>
      </c>
      <c r="I534" s="5" t="s">
        <v>13</v>
      </c>
      <c r="J534" s="28">
        <v>23998.25</v>
      </c>
      <c r="K534" s="28">
        <v>2500</v>
      </c>
      <c r="L534" s="31">
        <f t="shared" si="26"/>
        <v>0.1041742627066557</v>
      </c>
    </row>
    <row r="535" spans="1:12" ht="15" customHeight="1" x14ac:dyDescent="0.35">
      <c r="A535" s="10">
        <f t="shared" si="25"/>
        <v>531</v>
      </c>
      <c r="B535" s="3">
        <v>8871</v>
      </c>
      <c r="C535" s="5" t="s">
        <v>1372</v>
      </c>
      <c r="D535" s="5" t="s">
        <v>1373</v>
      </c>
      <c r="E535" s="5" t="s">
        <v>263</v>
      </c>
      <c r="F535" s="5" t="s">
        <v>1374</v>
      </c>
      <c r="G535" s="7">
        <v>45383</v>
      </c>
      <c r="H535" s="18">
        <f t="shared" si="24"/>
        <v>1.9972602739726026</v>
      </c>
      <c r="I535" s="5" t="s">
        <v>13</v>
      </c>
      <c r="J535" s="28">
        <v>23489.25</v>
      </c>
      <c r="K535" s="28">
        <v>2500</v>
      </c>
      <c r="L535" s="31">
        <f t="shared" si="26"/>
        <v>0.10643166554913418</v>
      </c>
    </row>
    <row r="536" spans="1:12" ht="15" customHeight="1" x14ac:dyDescent="0.35">
      <c r="A536" s="10">
        <f t="shared" si="25"/>
        <v>532</v>
      </c>
      <c r="B536" s="3">
        <v>8872</v>
      </c>
      <c r="C536" s="5" t="s">
        <v>1375</v>
      </c>
      <c r="D536" s="5" t="s">
        <v>778</v>
      </c>
      <c r="E536" s="5" t="s">
        <v>314</v>
      </c>
      <c r="F536" s="5" t="s">
        <v>315</v>
      </c>
      <c r="G536" s="7">
        <v>45383</v>
      </c>
      <c r="H536" s="18">
        <f t="shared" si="24"/>
        <v>1.9972602739726026</v>
      </c>
      <c r="I536" s="5" t="s">
        <v>13</v>
      </c>
      <c r="J536" s="28">
        <v>23998.25</v>
      </c>
      <c r="K536" s="28">
        <v>2500</v>
      </c>
      <c r="L536" s="31">
        <f t="shared" si="26"/>
        <v>0.1041742627066557</v>
      </c>
    </row>
    <row r="537" spans="1:12" ht="15" customHeight="1" x14ac:dyDescent="0.35">
      <c r="A537" s="10">
        <f t="shared" si="25"/>
        <v>533</v>
      </c>
      <c r="B537" s="3">
        <v>8873</v>
      </c>
      <c r="C537" s="5" t="s">
        <v>1376</v>
      </c>
      <c r="D537" s="5" t="s">
        <v>778</v>
      </c>
      <c r="E537" s="5" t="s">
        <v>314</v>
      </c>
      <c r="F537" s="5" t="s">
        <v>315</v>
      </c>
      <c r="G537" s="7">
        <v>45383</v>
      </c>
      <c r="H537" s="18">
        <f t="shared" si="24"/>
        <v>1.9972602739726026</v>
      </c>
      <c r="I537" s="5" t="s">
        <v>13</v>
      </c>
      <c r="J537" s="28">
        <v>23998.25</v>
      </c>
      <c r="K537" s="28">
        <v>2500</v>
      </c>
      <c r="L537" s="31">
        <f t="shared" si="26"/>
        <v>0.1041742627066557</v>
      </c>
    </row>
    <row r="538" spans="1:12" ht="15" customHeight="1" x14ac:dyDescent="0.35">
      <c r="A538" s="10">
        <f t="shared" si="25"/>
        <v>534</v>
      </c>
      <c r="B538" s="3">
        <v>8875</v>
      </c>
      <c r="C538" s="5" t="s">
        <v>1377</v>
      </c>
      <c r="D538" s="5" t="s">
        <v>778</v>
      </c>
      <c r="E538" s="5" t="s">
        <v>314</v>
      </c>
      <c r="F538" s="5" t="s">
        <v>315</v>
      </c>
      <c r="G538" s="7">
        <v>45383</v>
      </c>
      <c r="H538" s="18">
        <f t="shared" si="24"/>
        <v>1.9972602739726026</v>
      </c>
      <c r="I538" s="5" t="s">
        <v>13</v>
      </c>
      <c r="J538" s="28">
        <v>23998.25</v>
      </c>
      <c r="K538" s="28">
        <v>2500</v>
      </c>
      <c r="L538" s="31">
        <f t="shared" si="26"/>
        <v>0.1041742627066557</v>
      </c>
    </row>
    <row r="539" spans="1:12" ht="15" customHeight="1" x14ac:dyDescent="0.35">
      <c r="A539" s="10">
        <f t="shared" si="25"/>
        <v>535</v>
      </c>
      <c r="B539" s="3">
        <v>8876</v>
      </c>
      <c r="C539" s="5" t="s">
        <v>1378</v>
      </c>
      <c r="D539" s="5" t="s">
        <v>778</v>
      </c>
      <c r="E539" s="5" t="s">
        <v>314</v>
      </c>
      <c r="F539" s="5" t="s">
        <v>315</v>
      </c>
      <c r="G539" s="7">
        <v>45383</v>
      </c>
      <c r="H539" s="18">
        <f t="shared" si="24"/>
        <v>1.9972602739726026</v>
      </c>
      <c r="I539" s="5" t="s">
        <v>13</v>
      </c>
      <c r="J539" s="28">
        <v>23998.25</v>
      </c>
      <c r="K539" s="28">
        <v>2500</v>
      </c>
      <c r="L539" s="31">
        <f t="shared" si="26"/>
        <v>0.1041742627066557</v>
      </c>
    </row>
    <row r="540" spans="1:12" ht="15" customHeight="1" x14ac:dyDescent="0.35">
      <c r="A540" s="10">
        <f t="shared" si="25"/>
        <v>536</v>
      </c>
      <c r="B540" s="3">
        <v>8889</v>
      </c>
      <c r="C540" s="5" t="s">
        <v>1381</v>
      </c>
      <c r="D540" s="5" t="s">
        <v>488</v>
      </c>
      <c r="E540" s="5" t="s">
        <v>64</v>
      </c>
      <c r="F540" s="5" t="s">
        <v>64</v>
      </c>
      <c r="G540" s="7">
        <v>45390</v>
      </c>
      <c r="H540" s="18">
        <f t="shared" si="24"/>
        <v>1.978082191780822</v>
      </c>
      <c r="I540" s="5" t="s">
        <v>13</v>
      </c>
      <c r="J540" s="28">
        <v>35278.862000000001</v>
      </c>
      <c r="K540" s="28">
        <v>2500</v>
      </c>
      <c r="L540" s="31">
        <f t="shared" si="26"/>
        <v>7.0863963809263464E-2</v>
      </c>
    </row>
    <row r="541" spans="1:12" ht="15" customHeight="1" x14ac:dyDescent="0.35">
      <c r="A541" s="10">
        <f t="shared" si="25"/>
        <v>537</v>
      </c>
      <c r="B541" s="3">
        <v>8890</v>
      </c>
      <c r="C541" s="5" t="s">
        <v>1382</v>
      </c>
      <c r="D541" s="5" t="s">
        <v>488</v>
      </c>
      <c r="E541" s="5" t="s">
        <v>64</v>
      </c>
      <c r="F541" s="5" t="s">
        <v>64</v>
      </c>
      <c r="G541" s="7">
        <v>45390</v>
      </c>
      <c r="H541" s="18">
        <f t="shared" si="24"/>
        <v>1.978082191780822</v>
      </c>
      <c r="I541" s="5" t="s">
        <v>13</v>
      </c>
      <c r="J541" s="28">
        <v>38518.862000000001</v>
      </c>
      <c r="K541" s="28">
        <v>2500</v>
      </c>
      <c r="L541" s="31">
        <f t="shared" si="26"/>
        <v>6.4903267391440589E-2</v>
      </c>
    </row>
    <row r="542" spans="1:12" ht="15" customHeight="1" x14ac:dyDescent="0.35">
      <c r="A542" s="10">
        <f t="shared" si="25"/>
        <v>538</v>
      </c>
      <c r="B542" s="3">
        <v>8899</v>
      </c>
      <c r="C542" s="5" t="s">
        <v>1386</v>
      </c>
      <c r="D542" s="5" t="s">
        <v>797</v>
      </c>
      <c r="E542" s="5" t="s">
        <v>263</v>
      </c>
      <c r="F542" s="5" t="s">
        <v>546</v>
      </c>
      <c r="G542" s="7">
        <v>45397</v>
      </c>
      <c r="H542" s="18">
        <f t="shared" si="24"/>
        <v>1.9589041095890412</v>
      </c>
      <c r="I542" s="5" t="s">
        <v>13</v>
      </c>
      <c r="J542" s="28">
        <v>27426.25</v>
      </c>
      <c r="K542" s="28">
        <v>2500</v>
      </c>
      <c r="L542" s="31">
        <f t="shared" si="26"/>
        <v>9.1153548151861816E-2</v>
      </c>
    </row>
    <row r="543" spans="1:12" ht="15" customHeight="1" x14ac:dyDescent="0.35">
      <c r="A543" s="10">
        <f t="shared" si="25"/>
        <v>539</v>
      </c>
      <c r="B543" s="3">
        <v>8900</v>
      </c>
      <c r="C543" s="5" t="s">
        <v>1387</v>
      </c>
      <c r="D543" s="5" t="s">
        <v>669</v>
      </c>
      <c r="E543" s="5" t="s">
        <v>103</v>
      </c>
      <c r="F543" s="5" t="s">
        <v>103</v>
      </c>
      <c r="G543" s="7">
        <v>45397</v>
      </c>
      <c r="H543" s="18">
        <f t="shared" si="24"/>
        <v>1.9589041095890412</v>
      </c>
      <c r="I543" s="5" t="s">
        <v>13</v>
      </c>
      <c r="J543" s="28">
        <v>25179.5075</v>
      </c>
      <c r="K543" s="28">
        <v>2500</v>
      </c>
      <c r="L543" s="31">
        <f t="shared" si="26"/>
        <v>9.9287088915460328E-2</v>
      </c>
    </row>
    <row r="544" spans="1:12" ht="15" customHeight="1" x14ac:dyDescent="0.35">
      <c r="A544" s="10">
        <f t="shared" si="25"/>
        <v>540</v>
      </c>
      <c r="B544" s="3">
        <v>8904</v>
      </c>
      <c r="C544" s="5" t="s">
        <v>1388</v>
      </c>
      <c r="D544" s="5" t="s">
        <v>519</v>
      </c>
      <c r="E544" s="5" t="s">
        <v>24</v>
      </c>
      <c r="F544" s="5" t="s">
        <v>152</v>
      </c>
      <c r="G544" s="7">
        <v>45397</v>
      </c>
      <c r="H544" s="18">
        <f t="shared" si="24"/>
        <v>1.9589041095890412</v>
      </c>
      <c r="I544" s="5" t="s">
        <v>13</v>
      </c>
      <c r="J544" s="28">
        <v>21813.75</v>
      </c>
      <c r="K544" s="28">
        <v>2500</v>
      </c>
      <c r="L544" s="31">
        <f t="shared" si="26"/>
        <v>0.11460661280155865</v>
      </c>
    </row>
    <row r="545" spans="1:12" ht="15" customHeight="1" x14ac:dyDescent="0.35">
      <c r="A545" s="10">
        <f t="shared" si="25"/>
        <v>541</v>
      </c>
      <c r="B545" s="3">
        <v>8916</v>
      </c>
      <c r="C545" s="5" t="s">
        <v>1396</v>
      </c>
      <c r="D545" s="5" t="s">
        <v>1152</v>
      </c>
      <c r="E545" s="5" t="s">
        <v>112</v>
      </c>
      <c r="F545" s="5" t="s">
        <v>112</v>
      </c>
      <c r="G545" s="7">
        <v>45414</v>
      </c>
      <c r="H545" s="18">
        <f t="shared" si="24"/>
        <v>1.9123287671232876</v>
      </c>
      <c r="I545" s="5" t="s">
        <v>13</v>
      </c>
      <c r="J545" s="28">
        <v>25079.45</v>
      </c>
      <c r="K545" s="28">
        <v>2500</v>
      </c>
      <c r="L545" s="31">
        <f t="shared" si="26"/>
        <v>9.9683206768888463E-2</v>
      </c>
    </row>
    <row r="546" spans="1:12" ht="15" customHeight="1" x14ac:dyDescent="0.35">
      <c r="A546" s="10">
        <f t="shared" si="25"/>
        <v>542</v>
      </c>
      <c r="B546" s="3">
        <v>8921</v>
      </c>
      <c r="C546" s="5" t="s">
        <v>1397</v>
      </c>
      <c r="D546" s="5" t="s">
        <v>1141</v>
      </c>
      <c r="E546" s="5" t="s">
        <v>769</v>
      </c>
      <c r="F546" s="5" t="s">
        <v>769</v>
      </c>
      <c r="G546" s="7">
        <v>45414</v>
      </c>
      <c r="H546" s="18">
        <f t="shared" si="24"/>
        <v>1.9123287671232876</v>
      </c>
      <c r="I546" s="5" t="s">
        <v>13</v>
      </c>
      <c r="J546" s="28">
        <v>25079.45</v>
      </c>
      <c r="K546" s="28">
        <v>2500</v>
      </c>
      <c r="L546" s="31">
        <f t="shared" si="26"/>
        <v>9.9683206768888463E-2</v>
      </c>
    </row>
    <row r="547" spans="1:12" ht="15" customHeight="1" x14ac:dyDescent="0.35">
      <c r="A547" s="10">
        <f t="shared" si="25"/>
        <v>543</v>
      </c>
      <c r="B547" s="3">
        <v>8926</v>
      </c>
      <c r="C547" s="5" t="s">
        <v>1398</v>
      </c>
      <c r="D547" s="5" t="s">
        <v>21</v>
      </c>
      <c r="E547" s="5" t="s">
        <v>950</v>
      </c>
      <c r="F547" s="5" t="s">
        <v>950</v>
      </c>
      <c r="G547" s="7">
        <v>45422</v>
      </c>
      <c r="H547" s="18">
        <f t="shared" si="24"/>
        <v>1.8904109589041096</v>
      </c>
      <c r="I547" s="5" t="s">
        <v>13</v>
      </c>
      <c r="J547" s="28">
        <v>30109.2575</v>
      </c>
      <c r="K547" s="28">
        <v>2500</v>
      </c>
      <c r="L547" s="31">
        <f t="shared" si="26"/>
        <v>8.3030941563404542E-2</v>
      </c>
    </row>
    <row r="548" spans="1:12" ht="15" customHeight="1" x14ac:dyDescent="0.35">
      <c r="A548" s="10">
        <f t="shared" si="25"/>
        <v>544</v>
      </c>
      <c r="B548" s="3">
        <v>8928</v>
      </c>
      <c r="C548" s="5" t="s">
        <v>1399</v>
      </c>
      <c r="D548" s="5" t="s">
        <v>1400</v>
      </c>
      <c r="E548" s="5" t="s">
        <v>1026</v>
      </c>
      <c r="F548" s="5" t="s">
        <v>1027</v>
      </c>
      <c r="G548" s="7">
        <v>45416</v>
      </c>
      <c r="H548" s="18">
        <f t="shared" si="24"/>
        <v>1.9068493150684931</v>
      </c>
      <c r="I548" s="5" t="s">
        <v>13</v>
      </c>
      <c r="J548" s="28">
        <v>24869.25</v>
      </c>
      <c r="K548" s="28">
        <v>2500</v>
      </c>
      <c r="L548" s="31">
        <f t="shared" si="26"/>
        <v>0.10052574967077817</v>
      </c>
    </row>
    <row r="549" spans="1:12" ht="15" customHeight="1" x14ac:dyDescent="0.35">
      <c r="A549" s="10">
        <f t="shared" si="25"/>
        <v>545</v>
      </c>
      <c r="B549" s="3">
        <v>8937</v>
      </c>
      <c r="C549" s="5" t="s">
        <v>1405</v>
      </c>
      <c r="D549" s="5" t="s">
        <v>21</v>
      </c>
      <c r="E549" s="5" t="s">
        <v>950</v>
      </c>
      <c r="F549" s="5" t="s">
        <v>950</v>
      </c>
      <c r="G549" s="7">
        <v>45428</v>
      </c>
      <c r="H549" s="18">
        <f t="shared" si="24"/>
        <v>1.8739726027397261</v>
      </c>
      <c r="I549" s="5" t="s">
        <v>13</v>
      </c>
      <c r="J549" s="28">
        <v>30109.2575</v>
      </c>
      <c r="K549" s="28">
        <v>2500</v>
      </c>
      <c r="L549" s="31">
        <f t="shared" si="26"/>
        <v>8.3030941563404542E-2</v>
      </c>
    </row>
    <row r="550" spans="1:12" ht="15" customHeight="1" x14ac:dyDescent="0.35">
      <c r="A550" s="10">
        <f t="shared" si="25"/>
        <v>546</v>
      </c>
      <c r="B550" s="3">
        <v>8938</v>
      </c>
      <c r="C550" s="5" t="s">
        <v>1406</v>
      </c>
      <c r="D550" s="5" t="s">
        <v>669</v>
      </c>
      <c r="E550" s="5" t="s">
        <v>103</v>
      </c>
      <c r="F550" s="5" t="s">
        <v>103</v>
      </c>
      <c r="G550" s="7">
        <v>45427</v>
      </c>
      <c r="H550" s="18">
        <f t="shared" si="24"/>
        <v>1.8767123287671232</v>
      </c>
      <c r="I550" s="5" t="s">
        <v>1075</v>
      </c>
      <c r="J550" s="28">
        <v>23998.25</v>
      </c>
      <c r="K550" s="28">
        <v>2500</v>
      </c>
      <c r="L550" s="31">
        <f t="shared" si="26"/>
        <v>0.1041742627066557</v>
      </c>
    </row>
    <row r="551" spans="1:12" ht="15" customHeight="1" x14ac:dyDescent="0.35">
      <c r="A551" s="10">
        <f t="shared" si="25"/>
        <v>547</v>
      </c>
      <c r="B551" s="3">
        <v>8940</v>
      </c>
      <c r="C551" s="5" t="s">
        <v>1407</v>
      </c>
      <c r="D551" s="5" t="s">
        <v>669</v>
      </c>
      <c r="E551" s="5" t="s">
        <v>103</v>
      </c>
      <c r="F551" s="5" t="s">
        <v>103</v>
      </c>
      <c r="G551" s="7">
        <v>45427</v>
      </c>
      <c r="H551" s="18">
        <f t="shared" si="24"/>
        <v>1.8767123287671232</v>
      </c>
      <c r="I551" s="5" t="s">
        <v>1075</v>
      </c>
      <c r="J551" s="28">
        <v>23998.25</v>
      </c>
      <c r="K551" s="28">
        <v>2500</v>
      </c>
      <c r="L551" s="31">
        <f t="shared" si="26"/>
        <v>0.1041742627066557</v>
      </c>
    </row>
    <row r="552" spans="1:12" ht="15" customHeight="1" x14ac:dyDescent="0.35">
      <c r="A552" s="10">
        <f t="shared" si="25"/>
        <v>548</v>
      </c>
      <c r="B552" s="3">
        <v>8944</v>
      </c>
      <c r="C552" s="5" t="s">
        <v>1409</v>
      </c>
      <c r="D552" s="5" t="s">
        <v>678</v>
      </c>
      <c r="E552" s="5" t="s">
        <v>87</v>
      </c>
      <c r="F552" s="5" t="s">
        <v>678</v>
      </c>
      <c r="G552" s="7">
        <v>45446</v>
      </c>
      <c r="H552" s="18">
        <f t="shared" si="24"/>
        <v>1.8246575342465754</v>
      </c>
      <c r="I552" s="5" t="s">
        <v>13</v>
      </c>
      <c r="J552" s="28">
        <v>26213.65</v>
      </c>
      <c r="K552" s="28">
        <v>2500</v>
      </c>
      <c r="L552" s="31">
        <f t="shared" si="26"/>
        <v>9.537016020279511E-2</v>
      </c>
    </row>
    <row r="553" spans="1:12" ht="15" customHeight="1" x14ac:dyDescent="0.35">
      <c r="A553" s="10">
        <f t="shared" si="25"/>
        <v>549</v>
      </c>
      <c r="B553" s="3">
        <v>8953</v>
      </c>
      <c r="C553" s="5" t="s">
        <v>1412</v>
      </c>
      <c r="D553" s="5" t="s">
        <v>1413</v>
      </c>
      <c r="E553" s="5" t="s">
        <v>263</v>
      </c>
      <c r="F553" s="5" t="s">
        <v>264</v>
      </c>
      <c r="G553" s="7">
        <v>45444</v>
      </c>
      <c r="H553" s="18">
        <f t="shared" si="24"/>
        <v>1.8301369863013699</v>
      </c>
      <c r="I553" s="5" t="s">
        <v>13</v>
      </c>
      <c r="J553" s="28">
        <v>23489.45</v>
      </c>
      <c r="K553" s="28">
        <v>2500</v>
      </c>
      <c r="L553" s="31">
        <f t="shared" si="26"/>
        <v>0.10643075934089559</v>
      </c>
    </row>
    <row r="554" spans="1:12" ht="15" customHeight="1" x14ac:dyDescent="0.35">
      <c r="A554" s="10">
        <f t="shared" si="25"/>
        <v>550</v>
      </c>
      <c r="B554" s="3">
        <v>8954</v>
      </c>
      <c r="C554" s="5" t="s">
        <v>1414</v>
      </c>
      <c r="D554" s="5" t="s">
        <v>21</v>
      </c>
      <c r="E554" s="5" t="s">
        <v>950</v>
      </c>
      <c r="F554" s="5" t="s">
        <v>950</v>
      </c>
      <c r="G554" s="7">
        <v>45453</v>
      </c>
      <c r="H554" s="18">
        <f t="shared" si="24"/>
        <v>1.8054794520547945</v>
      </c>
      <c r="I554" s="5" t="s">
        <v>13</v>
      </c>
      <c r="J554" s="28">
        <v>25271.96</v>
      </c>
      <c r="K554" s="28">
        <v>2500</v>
      </c>
      <c r="L554" s="31">
        <f t="shared" si="26"/>
        <v>9.8923866609475483E-2</v>
      </c>
    </row>
    <row r="555" spans="1:12" ht="15" customHeight="1" x14ac:dyDescent="0.35">
      <c r="A555" s="10">
        <f t="shared" si="25"/>
        <v>551</v>
      </c>
      <c r="B555" s="3">
        <v>8964</v>
      </c>
      <c r="C555" s="5" t="s">
        <v>1415</v>
      </c>
      <c r="D555" s="5" t="s">
        <v>733</v>
      </c>
      <c r="E555" s="5" t="s">
        <v>165</v>
      </c>
      <c r="F555" s="5" t="s">
        <v>165</v>
      </c>
      <c r="G555" s="7">
        <v>45467</v>
      </c>
      <c r="H555" s="18">
        <f t="shared" si="24"/>
        <v>1.7671232876712328</v>
      </c>
      <c r="I555" s="5" t="s">
        <v>13</v>
      </c>
      <c r="J555" s="28">
        <v>42000</v>
      </c>
      <c r="K555" s="28">
        <v>2500</v>
      </c>
      <c r="L555" s="31">
        <f t="shared" si="26"/>
        <v>5.9523809523809521E-2</v>
      </c>
    </row>
    <row r="556" spans="1:12" ht="15" customHeight="1" x14ac:dyDescent="0.35">
      <c r="A556" s="10">
        <f t="shared" si="25"/>
        <v>552</v>
      </c>
      <c r="B556" s="3">
        <v>8968</v>
      </c>
      <c r="C556" s="5" t="s">
        <v>1416</v>
      </c>
      <c r="D556" s="5" t="s">
        <v>733</v>
      </c>
      <c r="E556" s="5" t="s">
        <v>165</v>
      </c>
      <c r="F556" s="5" t="s">
        <v>165</v>
      </c>
      <c r="G556" s="7">
        <v>45474</v>
      </c>
      <c r="H556" s="18">
        <f t="shared" si="24"/>
        <v>1.747945205479452</v>
      </c>
      <c r="I556" s="5" t="s">
        <v>13</v>
      </c>
      <c r="J556" s="28">
        <v>23998.25</v>
      </c>
      <c r="K556" s="28">
        <v>2500</v>
      </c>
      <c r="L556" s="31">
        <f t="shared" si="26"/>
        <v>0.1041742627066557</v>
      </c>
    </row>
    <row r="557" spans="1:12" ht="15" customHeight="1" x14ac:dyDescent="0.35">
      <c r="A557" s="10">
        <f t="shared" si="25"/>
        <v>553</v>
      </c>
      <c r="B557" s="3">
        <v>8969</v>
      </c>
      <c r="C557" s="5" t="s">
        <v>1417</v>
      </c>
      <c r="D557" s="5" t="s">
        <v>1141</v>
      </c>
      <c r="E557" s="5" t="s">
        <v>769</v>
      </c>
      <c r="F557" s="5" t="s">
        <v>769</v>
      </c>
      <c r="G557" s="7">
        <v>45474</v>
      </c>
      <c r="H557" s="18">
        <f t="shared" si="24"/>
        <v>1.747945205479452</v>
      </c>
      <c r="I557" s="5" t="s">
        <v>13</v>
      </c>
      <c r="J557" s="28">
        <v>25079.45</v>
      </c>
      <c r="K557" s="28">
        <v>2500</v>
      </c>
      <c r="L557" s="31">
        <f t="shared" si="26"/>
        <v>9.9683206768888463E-2</v>
      </c>
    </row>
    <row r="558" spans="1:12" ht="15" customHeight="1" x14ac:dyDescent="0.35">
      <c r="A558" s="10">
        <f t="shared" si="25"/>
        <v>554</v>
      </c>
      <c r="B558" s="3">
        <v>8970</v>
      </c>
      <c r="C558" s="5" t="s">
        <v>1418</v>
      </c>
      <c r="D558" s="5" t="s">
        <v>639</v>
      </c>
      <c r="E558" s="5" t="s">
        <v>640</v>
      </c>
      <c r="F558" s="5" t="s">
        <v>641</v>
      </c>
      <c r="G558" s="7">
        <v>45474</v>
      </c>
      <c r="H558" s="18">
        <f t="shared" si="24"/>
        <v>1.747945205479452</v>
      </c>
      <c r="I558" s="5" t="s">
        <v>888</v>
      </c>
      <c r="J558" s="28">
        <v>22500</v>
      </c>
      <c r="K558" s="28">
        <v>2500</v>
      </c>
      <c r="L558" s="31">
        <f t="shared" si="26"/>
        <v>0.1111111111111111</v>
      </c>
    </row>
    <row r="559" spans="1:12" ht="15" customHeight="1" x14ac:dyDescent="0.35">
      <c r="A559" s="10">
        <f t="shared" si="25"/>
        <v>555</v>
      </c>
      <c r="B559" s="3">
        <v>8972</v>
      </c>
      <c r="C559" s="5" t="s">
        <v>1419</v>
      </c>
      <c r="D559" s="5" t="s">
        <v>1371</v>
      </c>
      <c r="E559" s="5" t="s">
        <v>263</v>
      </c>
      <c r="F559" s="5" t="s">
        <v>276</v>
      </c>
      <c r="G559" s="7">
        <v>45476</v>
      </c>
      <c r="H559" s="18">
        <f t="shared" si="24"/>
        <v>1.7424657534246575</v>
      </c>
      <c r="I559" s="5" t="s">
        <v>13</v>
      </c>
      <c r="J559" s="28">
        <v>23998.25</v>
      </c>
      <c r="K559" s="28">
        <v>2500</v>
      </c>
      <c r="L559" s="31">
        <f t="shared" si="26"/>
        <v>0.1041742627066557</v>
      </c>
    </row>
    <row r="560" spans="1:12" ht="15" customHeight="1" x14ac:dyDescent="0.35">
      <c r="A560" s="10">
        <f t="shared" si="25"/>
        <v>556</v>
      </c>
      <c r="B560" s="3">
        <v>8976</v>
      </c>
      <c r="C560" s="5" t="s">
        <v>1421</v>
      </c>
      <c r="D560" s="5" t="s">
        <v>847</v>
      </c>
      <c r="E560" s="5" t="s">
        <v>314</v>
      </c>
      <c r="F560" s="5" t="s">
        <v>315</v>
      </c>
      <c r="G560" s="7">
        <v>45481</v>
      </c>
      <c r="H560" s="18">
        <f t="shared" si="24"/>
        <v>1.7287671232876711</v>
      </c>
      <c r="I560" s="5" t="s">
        <v>13</v>
      </c>
      <c r="J560" s="28">
        <v>28106.25</v>
      </c>
      <c r="K560" s="28">
        <v>2500</v>
      </c>
      <c r="L560" s="31">
        <f t="shared" si="26"/>
        <v>8.8948187680676E-2</v>
      </c>
    </row>
    <row r="561" spans="1:12" ht="15" customHeight="1" x14ac:dyDescent="0.35">
      <c r="A561" s="10">
        <f t="shared" si="25"/>
        <v>557</v>
      </c>
      <c r="B561" s="3">
        <v>8993</v>
      </c>
      <c r="C561" s="5" t="s">
        <v>1430</v>
      </c>
      <c r="D561" s="5" t="s">
        <v>519</v>
      </c>
      <c r="E561" s="5" t="s">
        <v>24</v>
      </c>
      <c r="F561" s="5" t="s">
        <v>152</v>
      </c>
      <c r="G561" s="7">
        <v>45488</v>
      </c>
      <c r="H561" s="18">
        <f t="shared" si="24"/>
        <v>1.7095890410958905</v>
      </c>
      <c r="I561" s="5" t="s">
        <v>13</v>
      </c>
      <c r="J561" s="28">
        <v>21813.75</v>
      </c>
      <c r="K561" s="28">
        <v>2500</v>
      </c>
      <c r="L561" s="31">
        <f t="shared" si="26"/>
        <v>0.11460661280155865</v>
      </c>
    </row>
    <row r="562" spans="1:12" ht="15" customHeight="1" x14ac:dyDescent="0.35">
      <c r="A562" s="10">
        <f t="shared" si="25"/>
        <v>558</v>
      </c>
      <c r="B562" s="3">
        <v>8995</v>
      </c>
      <c r="C562" s="5" t="s">
        <v>1432</v>
      </c>
      <c r="D562" s="5" t="s">
        <v>807</v>
      </c>
      <c r="E562" s="5" t="s">
        <v>87</v>
      </c>
      <c r="F562" s="5" t="s">
        <v>808</v>
      </c>
      <c r="G562" s="7">
        <v>45474</v>
      </c>
      <c r="H562" s="18">
        <f t="shared" si="24"/>
        <v>1.747945205479452</v>
      </c>
      <c r="I562" s="5" t="s">
        <v>13</v>
      </c>
      <c r="J562" s="28">
        <v>26213.65</v>
      </c>
      <c r="K562" s="28">
        <v>2500</v>
      </c>
      <c r="L562" s="31">
        <f t="shared" si="26"/>
        <v>9.537016020279511E-2</v>
      </c>
    </row>
    <row r="563" spans="1:12" ht="15" customHeight="1" x14ac:dyDescent="0.35">
      <c r="A563" s="10">
        <f t="shared" si="25"/>
        <v>559</v>
      </c>
      <c r="B563" s="3">
        <v>8999</v>
      </c>
      <c r="C563" s="5" t="s">
        <v>1433</v>
      </c>
      <c r="D563" s="5" t="s">
        <v>1434</v>
      </c>
      <c r="E563" s="5" t="s">
        <v>68</v>
      </c>
      <c r="F563" s="5" t="s">
        <v>1435</v>
      </c>
      <c r="G563" s="7">
        <v>45853</v>
      </c>
      <c r="H563" s="18">
        <f t="shared" si="24"/>
        <v>0.70958904109589038</v>
      </c>
      <c r="I563" s="5" t="s">
        <v>13</v>
      </c>
      <c r="J563" s="28">
        <v>22873.25</v>
      </c>
      <c r="K563" s="28"/>
      <c r="L563" s="28"/>
    </row>
    <row r="564" spans="1:12" ht="15" customHeight="1" x14ac:dyDescent="0.35">
      <c r="A564" s="10">
        <f t="shared" si="25"/>
        <v>560</v>
      </c>
      <c r="B564" s="3">
        <v>9001</v>
      </c>
      <c r="C564" s="5" t="s">
        <v>1436</v>
      </c>
      <c r="D564" s="5" t="s">
        <v>21</v>
      </c>
      <c r="E564" s="5" t="s">
        <v>561</v>
      </c>
      <c r="F564" s="5" t="s">
        <v>561</v>
      </c>
      <c r="G564" s="7">
        <v>45503</v>
      </c>
      <c r="H564" s="18">
        <f t="shared" si="24"/>
        <v>1.6684931506849314</v>
      </c>
      <c r="I564" s="5" t="s">
        <v>13</v>
      </c>
      <c r="J564" s="28">
        <v>28421.1705</v>
      </c>
      <c r="K564" s="28">
        <v>2500</v>
      </c>
      <c r="L564" s="31">
        <f t="shared" ref="L564:L597" si="27">+K564/J564</f>
        <v>8.7962598162521138E-2</v>
      </c>
    </row>
    <row r="565" spans="1:12" ht="15" customHeight="1" x14ac:dyDescent="0.35">
      <c r="A565" s="10">
        <f t="shared" si="25"/>
        <v>561</v>
      </c>
      <c r="B565" s="3">
        <v>9016</v>
      </c>
      <c r="C565" s="5" t="s">
        <v>1443</v>
      </c>
      <c r="D565" s="5" t="s">
        <v>455</v>
      </c>
      <c r="E565" s="5" t="s">
        <v>198</v>
      </c>
      <c r="F565" s="5" t="s">
        <v>198</v>
      </c>
      <c r="G565" s="7">
        <v>45505</v>
      </c>
      <c r="H565" s="18">
        <f t="shared" si="24"/>
        <v>1.6630136986301369</v>
      </c>
      <c r="I565" s="5" t="s">
        <v>13</v>
      </c>
      <c r="J565" s="28">
        <v>21814.25</v>
      </c>
      <c r="K565" s="28">
        <v>2500</v>
      </c>
      <c r="L565" s="31">
        <f t="shared" si="27"/>
        <v>0.11460398592663053</v>
      </c>
    </row>
    <row r="566" spans="1:12" ht="15" customHeight="1" x14ac:dyDescent="0.35">
      <c r="A566" s="10">
        <f t="shared" si="25"/>
        <v>562</v>
      </c>
      <c r="B566" s="3">
        <v>9018</v>
      </c>
      <c r="C566" s="5" t="s">
        <v>1444</v>
      </c>
      <c r="D566" s="5" t="s">
        <v>21</v>
      </c>
      <c r="E566" s="5" t="s">
        <v>378</v>
      </c>
      <c r="F566" s="5" t="s">
        <v>198</v>
      </c>
      <c r="G566" s="7">
        <v>45509</v>
      </c>
      <c r="H566" s="18">
        <f t="shared" si="24"/>
        <v>1.6520547945205479</v>
      </c>
      <c r="I566" s="5" t="s">
        <v>13</v>
      </c>
      <c r="J566" s="28">
        <v>29772.732499999998</v>
      </c>
      <c r="K566" s="28">
        <v>2500</v>
      </c>
      <c r="L566" s="31">
        <f t="shared" si="27"/>
        <v>8.3969450906126938E-2</v>
      </c>
    </row>
    <row r="567" spans="1:12" ht="15" customHeight="1" x14ac:dyDescent="0.35">
      <c r="A567" s="10">
        <f t="shared" si="25"/>
        <v>563</v>
      </c>
      <c r="B567" s="3">
        <v>9035</v>
      </c>
      <c r="C567" s="5" t="s">
        <v>1449</v>
      </c>
      <c r="D567" s="5" t="s">
        <v>693</v>
      </c>
      <c r="E567" s="5" t="s">
        <v>181</v>
      </c>
      <c r="F567" s="5" t="s">
        <v>181</v>
      </c>
      <c r="G567" s="7">
        <v>45537</v>
      </c>
      <c r="H567" s="18">
        <f t="shared" si="24"/>
        <v>1.5753424657534247</v>
      </c>
      <c r="I567" s="5" t="s">
        <v>13</v>
      </c>
      <c r="J567" s="28">
        <v>23998.25</v>
      </c>
      <c r="K567" s="28">
        <v>2500</v>
      </c>
      <c r="L567" s="31">
        <f t="shared" si="27"/>
        <v>0.1041742627066557</v>
      </c>
    </row>
    <row r="568" spans="1:12" ht="15" customHeight="1" x14ac:dyDescent="0.35">
      <c r="A568" s="10">
        <f t="shared" si="25"/>
        <v>564</v>
      </c>
      <c r="B568" s="3">
        <v>9036</v>
      </c>
      <c r="C568" s="5" t="s">
        <v>1450</v>
      </c>
      <c r="D568" s="5" t="s">
        <v>733</v>
      </c>
      <c r="E568" s="5" t="s">
        <v>165</v>
      </c>
      <c r="F568" s="5" t="s">
        <v>165</v>
      </c>
      <c r="G568" s="7">
        <v>45537</v>
      </c>
      <c r="H568" s="18">
        <f t="shared" si="24"/>
        <v>1.5753424657534247</v>
      </c>
      <c r="I568" s="5" t="s">
        <v>13</v>
      </c>
      <c r="J568" s="28">
        <v>29267.844499999999</v>
      </c>
      <c r="K568" s="28">
        <v>2500</v>
      </c>
      <c r="L568" s="31">
        <f t="shared" si="27"/>
        <v>8.5417974664994553E-2</v>
      </c>
    </row>
    <row r="569" spans="1:12" ht="15" customHeight="1" x14ac:dyDescent="0.35">
      <c r="A569" s="10">
        <f t="shared" si="25"/>
        <v>565</v>
      </c>
      <c r="B569" s="3">
        <v>9037</v>
      </c>
      <c r="C569" s="5" t="s">
        <v>1451</v>
      </c>
      <c r="D569" s="5" t="s">
        <v>733</v>
      </c>
      <c r="E569" s="5" t="s">
        <v>165</v>
      </c>
      <c r="F569" s="5" t="s">
        <v>165</v>
      </c>
      <c r="G569" s="7">
        <v>45537</v>
      </c>
      <c r="H569" s="18">
        <f t="shared" si="24"/>
        <v>1.5753424657534247</v>
      </c>
      <c r="I569" s="5" t="s">
        <v>13</v>
      </c>
      <c r="J569" s="28">
        <v>41200</v>
      </c>
      <c r="K569" s="28">
        <v>2500</v>
      </c>
      <c r="L569" s="31">
        <f t="shared" si="27"/>
        <v>6.0679611650485438E-2</v>
      </c>
    </row>
    <row r="570" spans="1:12" ht="15" customHeight="1" x14ac:dyDescent="0.35">
      <c r="A570" s="10">
        <f t="shared" si="25"/>
        <v>566</v>
      </c>
      <c r="B570" s="3">
        <v>9040</v>
      </c>
      <c r="C570" s="5" t="s">
        <v>1454</v>
      </c>
      <c r="D570" s="5" t="s">
        <v>488</v>
      </c>
      <c r="E570" s="5" t="s">
        <v>228</v>
      </c>
      <c r="F570" s="5" t="s">
        <v>228</v>
      </c>
      <c r="G570" s="7">
        <v>45544</v>
      </c>
      <c r="H570" s="18">
        <f t="shared" si="24"/>
        <v>1.5561643835616439</v>
      </c>
      <c r="I570" s="5" t="s">
        <v>1075</v>
      </c>
      <c r="J570" s="28">
        <v>23998.25</v>
      </c>
      <c r="K570" s="28">
        <v>2500</v>
      </c>
      <c r="L570" s="31">
        <f t="shared" si="27"/>
        <v>0.1041742627066557</v>
      </c>
    </row>
    <row r="571" spans="1:12" ht="15" customHeight="1" x14ac:dyDescent="0.35">
      <c r="A571" s="10">
        <f t="shared" si="25"/>
        <v>567</v>
      </c>
      <c r="B571" s="3">
        <v>9044</v>
      </c>
      <c r="C571" s="5" t="s">
        <v>1455</v>
      </c>
      <c r="D571" s="5" t="s">
        <v>519</v>
      </c>
      <c r="E571" s="5" t="s">
        <v>24</v>
      </c>
      <c r="F571" s="5" t="s">
        <v>152</v>
      </c>
      <c r="G571" s="7">
        <v>45551</v>
      </c>
      <c r="H571" s="18">
        <f t="shared" si="24"/>
        <v>1.536986301369863</v>
      </c>
      <c r="I571" s="5" t="s">
        <v>13</v>
      </c>
      <c r="J571" s="28">
        <v>27666.482</v>
      </c>
      <c r="K571" s="28">
        <v>2500</v>
      </c>
      <c r="L571" s="31">
        <f t="shared" si="27"/>
        <v>9.0362048922591601E-2</v>
      </c>
    </row>
    <row r="572" spans="1:12" ht="15" customHeight="1" x14ac:dyDescent="0.35">
      <c r="A572" s="10">
        <f t="shared" si="25"/>
        <v>568</v>
      </c>
      <c r="B572" s="3">
        <v>9052</v>
      </c>
      <c r="C572" s="5" t="s">
        <v>1457</v>
      </c>
      <c r="D572" s="5" t="s">
        <v>1458</v>
      </c>
      <c r="E572" s="5" t="s">
        <v>1459</v>
      </c>
      <c r="F572" s="5" t="s">
        <v>1460</v>
      </c>
      <c r="G572" s="7">
        <v>45571</v>
      </c>
      <c r="H572" s="18">
        <f t="shared" si="24"/>
        <v>1.4821917808219178</v>
      </c>
      <c r="I572" s="5" t="s">
        <v>13</v>
      </c>
      <c r="J572" s="28">
        <v>29828.907500000001</v>
      </c>
      <c r="K572" s="28">
        <v>2500</v>
      </c>
      <c r="L572" s="31">
        <f t="shared" si="27"/>
        <v>8.381131625420743E-2</v>
      </c>
    </row>
    <row r="573" spans="1:12" ht="15" customHeight="1" x14ac:dyDescent="0.35">
      <c r="A573" s="10">
        <f t="shared" si="25"/>
        <v>569</v>
      </c>
      <c r="B573" s="3">
        <v>9054</v>
      </c>
      <c r="C573" s="5" t="s">
        <v>1462</v>
      </c>
      <c r="D573" s="5" t="s">
        <v>807</v>
      </c>
      <c r="E573" s="5" t="s">
        <v>87</v>
      </c>
      <c r="F573" s="5" t="s">
        <v>808</v>
      </c>
      <c r="G573" s="7">
        <v>45566</v>
      </c>
      <c r="H573" s="18">
        <f t="shared" si="24"/>
        <v>1.4958904109589042</v>
      </c>
      <c r="I573" s="5" t="s">
        <v>1075</v>
      </c>
      <c r="J573" s="28">
        <v>26214.25</v>
      </c>
      <c r="K573" s="28">
        <v>2500</v>
      </c>
      <c r="L573" s="31">
        <f t="shared" si="27"/>
        <v>9.536797734056858E-2</v>
      </c>
    </row>
    <row r="574" spans="1:12" ht="15" customHeight="1" x14ac:dyDescent="0.35">
      <c r="A574" s="10">
        <f t="shared" si="25"/>
        <v>570</v>
      </c>
      <c r="B574" s="3">
        <v>9056</v>
      </c>
      <c r="C574" s="5" t="s">
        <v>1463</v>
      </c>
      <c r="D574" s="5" t="s">
        <v>669</v>
      </c>
      <c r="E574" s="5" t="s">
        <v>103</v>
      </c>
      <c r="F574" s="5" t="s">
        <v>103</v>
      </c>
      <c r="G574" s="7">
        <v>45566</v>
      </c>
      <c r="H574" s="18">
        <f t="shared" si="24"/>
        <v>1.4958904109589042</v>
      </c>
      <c r="I574" s="5" t="s">
        <v>1075</v>
      </c>
      <c r="J574" s="28">
        <v>23998.25</v>
      </c>
      <c r="K574" s="28">
        <v>2500</v>
      </c>
      <c r="L574" s="31">
        <f t="shared" si="27"/>
        <v>0.1041742627066557</v>
      </c>
    </row>
    <row r="575" spans="1:12" ht="15" customHeight="1" x14ac:dyDescent="0.35">
      <c r="A575" s="10">
        <f t="shared" si="25"/>
        <v>571</v>
      </c>
      <c r="B575" s="3">
        <v>9057</v>
      </c>
      <c r="C575" s="5" t="s">
        <v>1464</v>
      </c>
      <c r="D575" s="5" t="s">
        <v>669</v>
      </c>
      <c r="E575" s="5" t="s">
        <v>103</v>
      </c>
      <c r="F575" s="5" t="s">
        <v>103</v>
      </c>
      <c r="G575" s="7">
        <v>45566</v>
      </c>
      <c r="H575" s="18">
        <f t="shared" si="24"/>
        <v>1.4958904109589042</v>
      </c>
      <c r="I575" s="5" t="s">
        <v>1075</v>
      </c>
      <c r="J575" s="28">
        <v>23998.25</v>
      </c>
      <c r="K575" s="28">
        <v>2500</v>
      </c>
      <c r="L575" s="31">
        <f t="shared" si="27"/>
        <v>0.1041742627066557</v>
      </c>
    </row>
    <row r="576" spans="1:12" ht="15" customHeight="1" x14ac:dyDescent="0.35">
      <c r="A576" s="10">
        <f t="shared" si="25"/>
        <v>572</v>
      </c>
      <c r="B576" s="3">
        <v>9058</v>
      </c>
      <c r="C576" s="5" t="s">
        <v>1465</v>
      </c>
      <c r="D576" s="5" t="s">
        <v>488</v>
      </c>
      <c r="E576" s="5" t="s">
        <v>94</v>
      </c>
      <c r="F576" s="5" t="s">
        <v>94</v>
      </c>
      <c r="G576" s="7">
        <v>45566</v>
      </c>
      <c r="H576" s="18">
        <f t="shared" si="24"/>
        <v>1.4958904109589042</v>
      </c>
      <c r="I576" s="5" t="s">
        <v>1075</v>
      </c>
      <c r="J576" s="28">
        <v>23998.25</v>
      </c>
      <c r="K576" s="28">
        <v>2500</v>
      </c>
      <c r="L576" s="31">
        <f t="shared" si="27"/>
        <v>0.1041742627066557</v>
      </c>
    </row>
    <row r="577" spans="1:12" ht="15" customHeight="1" x14ac:dyDescent="0.35">
      <c r="A577" s="10">
        <f t="shared" si="25"/>
        <v>573</v>
      </c>
      <c r="B577" s="3">
        <v>9060</v>
      </c>
      <c r="C577" s="5" t="s">
        <v>1466</v>
      </c>
      <c r="D577" s="5" t="s">
        <v>1434</v>
      </c>
      <c r="E577" s="5" t="s">
        <v>68</v>
      </c>
      <c r="F577" s="5" t="s">
        <v>1435</v>
      </c>
      <c r="G577" s="7">
        <v>45568</v>
      </c>
      <c r="H577" s="18">
        <f t="shared" si="24"/>
        <v>1.4904109589041097</v>
      </c>
      <c r="I577" s="5" t="s">
        <v>1075</v>
      </c>
      <c r="J577" s="28">
        <v>21814.25</v>
      </c>
      <c r="K577" s="28">
        <v>2500</v>
      </c>
      <c r="L577" s="31">
        <f t="shared" si="27"/>
        <v>0.11460398592663053</v>
      </c>
    </row>
    <row r="578" spans="1:12" ht="15" customHeight="1" x14ac:dyDescent="0.35">
      <c r="A578" s="10">
        <f t="shared" si="25"/>
        <v>574</v>
      </c>
      <c r="B578" s="3">
        <v>9068</v>
      </c>
      <c r="C578" s="5" t="s">
        <v>1469</v>
      </c>
      <c r="D578" s="5" t="s">
        <v>488</v>
      </c>
      <c r="E578" s="5" t="s">
        <v>94</v>
      </c>
      <c r="F578" s="5" t="s">
        <v>94</v>
      </c>
      <c r="G578" s="7">
        <v>45572</v>
      </c>
      <c r="H578" s="18">
        <f t="shared" si="24"/>
        <v>1.4794520547945205</v>
      </c>
      <c r="I578" s="5" t="s">
        <v>1075</v>
      </c>
      <c r="J578" s="28">
        <v>23998.25</v>
      </c>
      <c r="K578" s="28">
        <v>2500</v>
      </c>
      <c r="L578" s="31">
        <f t="shared" si="27"/>
        <v>0.1041742627066557</v>
      </c>
    </row>
    <row r="579" spans="1:12" ht="15" customHeight="1" x14ac:dyDescent="0.35">
      <c r="A579" s="10">
        <f t="shared" si="25"/>
        <v>575</v>
      </c>
      <c r="B579" s="3">
        <v>9079</v>
      </c>
      <c r="C579" s="5" t="s">
        <v>1475</v>
      </c>
      <c r="D579" s="5" t="s">
        <v>733</v>
      </c>
      <c r="E579" s="5" t="s">
        <v>165</v>
      </c>
      <c r="F579" s="5" t="s">
        <v>165</v>
      </c>
      <c r="G579" s="7">
        <v>45566</v>
      </c>
      <c r="H579" s="18">
        <f t="shared" si="24"/>
        <v>1.4958904109589042</v>
      </c>
      <c r="I579" s="5" t="s">
        <v>1075</v>
      </c>
      <c r="J579" s="28">
        <v>23998.25</v>
      </c>
      <c r="K579" s="28">
        <v>2500</v>
      </c>
      <c r="L579" s="31">
        <f t="shared" si="27"/>
        <v>0.1041742627066557</v>
      </c>
    </row>
    <row r="580" spans="1:12" ht="15" customHeight="1" x14ac:dyDescent="0.35">
      <c r="A580" s="10">
        <f t="shared" si="25"/>
        <v>576</v>
      </c>
      <c r="B580" s="3">
        <v>9082</v>
      </c>
      <c r="C580" s="5" t="s">
        <v>1476</v>
      </c>
      <c r="D580" s="5" t="s">
        <v>1434</v>
      </c>
      <c r="E580" s="5" t="s">
        <v>68</v>
      </c>
      <c r="F580" s="5" t="s">
        <v>1435</v>
      </c>
      <c r="G580" s="7">
        <v>45580</v>
      </c>
      <c r="H580" s="18">
        <f t="shared" si="24"/>
        <v>1.4575342465753425</v>
      </c>
      <c r="I580" s="5" t="s">
        <v>1075</v>
      </c>
      <c r="J580" s="28">
        <v>22500.25</v>
      </c>
      <c r="K580" s="28">
        <v>2500</v>
      </c>
      <c r="L580" s="31">
        <f t="shared" si="27"/>
        <v>0.11110987655692714</v>
      </c>
    </row>
    <row r="581" spans="1:12" ht="15" customHeight="1" x14ac:dyDescent="0.35">
      <c r="A581" s="10">
        <f t="shared" si="25"/>
        <v>577</v>
      </c>
      <c r="B581" s="3">
        <v>9083</v>
      </c>
      <c r="C581" s="5" t="s">
        <v>1477</v>
      </c>
      <c r="D581" s="5" t="s">
        <v>1478</v>
      </c>
      <c r="E581" s="5" t="s">
        <v>117</v>
      </c>
      <c r="F581" s="5" t="s">
        <v>176</v>
      </c>
      <c r="G581" s="7">
        <v>45566</v>
      </c>
      <c r="H581" s="18">
        <f t="shared" ref="H581:H644" si="28">($H$3-G581)/365</f>
        <v>1.4958904109589042</v>
      </c>
      <c r="I581" s="5" t="s">
        <v>13</v>
      </c>
      <c r="J581" s="28">
        <v>20559.5075</v>
      </c>
      <c r="K581" s="28">
        <v>2500</v>
      </c>
      <c r="L581" s="31">
        <f t="shared" si="27"/>
        <v>0.12159824353769175</v>
      </c>
    </row>
    <row r="582" spans="1:12" ht="15" customHeight="1" x14ac:dyDescent="0.35">
      <c r="A582" s="10">
        <f t="shared" ref="A582:A645" si="29">+A581+1</f>
        <v>578</v>
      </c>
      <c r="B582" s="3">
        <v>9098</v>
      </c>
      <c r="C582" s="5" t="s">
        <v>1487</v>
      </c>
      <c r="D582" s="5" t="s">
        <v>21</v>
      </c>
      <c r="E582" s="5" t="s">
        <v>24</v>
      </c>
      <c r="F582" s="5" t="s">
        <v>24</v>
      </c>
      <c r="G582" s="7">
        <v>45600</v>
      </c>
      <c r="H582" s="18">
        <f t="shared" si="28"/>
        <v>1.4027397260273973</v>
      </c>
      <c r="I582" s="5" t="s">
        <v>13</v>
      </c>
      <c r="J582" s="28">
        <v>22800.25</v>
      </c>
      <c r="K582" s="28">
        <v>2500</v>
      </c>
      <c r="L582" s="31">
        <f t="shared" si="27"/>
        <v>0.10964792052718721</v>
      </c>
    </row>
    <row r="583" spans="1:12" ht="15" customHeight="1" x14ac:dyDescent="0.35">
      <c r="A583" s="10">
        <f t="shared" si="29"/>
        <v>579</v>
      </c>
      <c r="B583" s="3">
        <v>9099</v>
      </c>
      <c r="C583" s="5" t="s">
        <v>1488</v>
      </c>
      <c r="D583" s="5" t="s">
        <v>778</v>
      </c>
      <c r="E583" s="5" t="s">
        <v>314</v>
      </c>
      <c r="F583" s="5" t="s">
        <v>315</v>
      </c>
      <c r="G583" s="7">
        <v>45597</v>
      </c>
      <c r="H583" s="18">
        <f t="shared" si="28"/>
        <v>1.4109589041095891</v>
      </c>
      <c r="I583" s="5" t="s">
        <v>1075</v>
      </c>
      <c r="J583" s="28">
        <v>23998.25</v>
      </c>
      <c r="K583" s="28">
        <v>2500</v>
      </c>
      <c r="L583" s="31">
        <f t="shared" si="27"/>
        <v>0.1041742627066557</v>
      </c>
    </row>
    <row r="584" spans="1:12" ht="15" customHeight="1" x14ac:dyDescent="0.35">
      <c r="A584" s="10">
        <f t="shared" si="29"/>
        <v>580</v>
      </c>
      <c r="B584" s="3">
        <v>9103</v>
      </c>
      <c r="C584" s="5" t="s">
        <v>1492</v>
      </c>
      <c r="D584" s="5" t="s">
        <v>733</v>
      </c>
      <c r="E584" s="5" t="s">
        <v>165</v>
      </c>
      <c r="F584" s="5" t="s">
        <v>165</v>
      </c>
      <c r="G584" s="7">
        <v>45614</v>
      </c>
      <c r="H584" s="18">
        <f t="shared" si="28"/>
        <v>1.3643835616438356</v>
      </c>
      <c r="I584" s="5" t="s">
        <v>1075</v>
      </c>
      <c r="J584" s="28">
        <v>23998.25</v>
      </c>
      <c r="K584" s="28">
        <v>2500</v>
      </c>
      <c r="L584" s="31">
        <f t="shared" si="27"/>
        <v>0.1041742627066557</v>
      </c>
    </row>
    <row r="585" spans="1:12" ht="15" customHeight="1" x14ac:dyDescent="0.35">
      <c r="A585" s="10">
        <f t="shared" si="29"/>
        <v>581</v>
      </c>
      <c r="B585" s="3">
        <v>9117</v>
      </c>
      <c r="C585" s="5" t="s">
        <v>1499</v>
      </c>
      <c r="D585" s="5" t="s">
        <v>733</v>
      </c>
      <c r="E585" s="5" t="s">
        <v>165</v>
      </c>
      <c r="F585" s="5" t="s">
        <v>165</v>
      </c>
      <c r="G585" s="7">
        <v>45616</v>
      </c>
      <c r="H585" s="18">
        <f t="shared" si="28"/>
        <v>1.3589041095890411</v>
      </c>
      <c r="I585" s="5" t="s">
        <v>1075</v>
      </c>
      <c r="J585" s="28">
        <v>25000.25</v>
      </c>
      <c r="K585" s="28">
        <v>2500</v>
      </c>
      <c r="L585" s="31">
        <f t="shared" si="27"/>
        <v>9.9999000009999894E-2</v>
      </c>
    </row>
    <row r="586" spans="1:12" ht="15" customHeight="1" x14ac:dyDescent="0.35">
      <c r="A586" s="10">
        <f t="shared" si="29"/>
        <v>582</v>
      </c>
      <c r="B586" s="3">
        <v>9118</v>
      </c>
      <c r="C586" s="5" t="s">
        <v>1500</v>
      </c>
      <c r="D586" s="5" t="s">
        <v>1156</v>
      </c>
      <c r="E586" s="5" t="s">
        <v>198</v>
      </c>
      <c r="F586" s="5" t="s">
        <v>198</v>
      </c>
      <c r="G586" s="7">
        <v>45614</v>
      </c>
      <c r="H586" s="18">
        <f t="shared" si="28"/>
        <v>1.3643835616438356</v>
      </c>
      <c r="I586" s="5" t="s">
        <v>13</v>
      </c>
      <c r="J586" s="28">
        <v>27426.400000000001</v>
      </c>
      <c r="K586" s="28">
        <v>2500</v>
      </c>
      <c r="L586" s="31">
        <f t="shared" si="27"/>
        <v>9.1153049616427964E-2</v>
      </c>
    </row>
    <row r="587" spans="1:12" ht="15" customHeight="1" x14ac:dyDescent="0.35">
      <c r="A587" s="10">
        <f t="shared" si="29"/>
        <v>583</v>
      </c>
      <c r="B587" s="3">
        <v>9130</v>
      </c>
      <c r="C587" s="5" t="s">
        <v>1505</v>
      </c>
      <c r="D587" s="5" t="s">
        <v>693</v>
      </c>
      <c r="E587" s="5" t="s">
        <v>181</v>
      </c>
      <c r="F587" s="5" t="s">
        <v>181</v>
      </c>
      <c r="G587" s="7">
        <v>45628</v>
      </c>
      <c r="H587" s="18">
        <f t="shared" si="28"/>
        <v>1.3260273972602741</v>
      </c>
      <c r="I587" s="5" t="s">
        <v>1075</v>
      </c>
      <c r="J587" s="28">
        <v>23998.25</v>
      </c>
      <c r="K587" s="28">
        <v>2500</v>
      </c>
      <c r="L587" s="31">
        <f t="shared" si="27"/>
        <v>0.1041742627066557</v>
      </c>
    </row>
    <row r="588" spans="1:12" ht="15" customHeight="1" x14ac:dyDescent="0.35">
      <c r="A588" s="10">
        <f t="shared" si="29"/>
        <v>584</v>
      </c>
      <c r="B588" s="3">
        <v>9133</v>
      </c>
      <c r="C588" s="5" t="s">
        <v>1507</v>
      </c>
      <c r="D588" s="5" t="s">
        <v>669</v>
      </c>
      <c r="E588" s="5" t="s">
        <v>103</v>
      </c>
      <c r="F588" s="5" t="s">
        <v>103</v>
      </c>
      <c r="G588" s="7">
        <v>45627</v>
      </c>
      <c r="H588" s="18">
        <f t="shared" si="28"/>
        <v>1.3287671232876712</v>
      </c>
      <c r="I588" s="5" t="s">
        <v>1075</v>
      </c>
      <c r="J588" s="28">
        <v>23998.25</v>
      </c>
      <c r="K588" s="28">
        <v>2500</v>
      </c>
      <c r="L588" s="31">
        <f t="shared" si="27"/>
        <v>0.1041742627066557</v>
      </c>
    </row>
    <row r="589" spans="1:12" ht="15" customHeight="1" x14ac:dyDescent="0.35">
      <c r="A589" s="10">
        <f t="shared" si="29"/>
        <v>585</v>
      </c>
      <c r="B589" s="3">
        <v>9138</v>
      </c>
      <c r="C589" s="5" t="s">
        <v>1510</v>
      </c>
      <c r="D589" s="5" t="s">
        <v>1458</v>
      </c>
      <c r="E589" s="5" t="s">
        <v>1459</v>
      </c>
      <c r="F589" s="5" t="s">
        <v>1460</v>
      </c>
      <c r="G589" s="7">
        <v>45642</v>
      </c>
      <c r="H589" s="18">
        <f t="shared" si="28"/>
        <v>1.2876712328767124</v>
      </c>
      <c r="I589" s="5" t="s">
        <v>1075</v>
      </c>
      <c r="J589" s="28">
        <v>23998.25</v>
      </c>
      <c r="K589" s="28">
        <v>2500</v>
      </c>
      <c r="L589" s="31">
        <f t="shared" si="27"/>
        <v>0.1041742627066557</v>
      </c>
    </row>
    <row r="590" spans="1:12" ht="15" customHeight="1" x14ac:dyDescent="0.35">
      <c r="A590" s="10">
        <f t="shared" si="29"/>
        <v>586</v>
      </c>
      <c r="B590" s="3">
        <v>9139</v>
      </c>
      <c r="C590" s="5" t="s">
        <v>1511</v>
      </c>
      <c r="D590" s="5" t="s">
        <v>151</v>
      </c>
      <c r="E590" s="5" t="s">
        <v>1061</v>
      </c>
      <c r="F590" s="5" t="s">
        <v>1247</v>
      </c>
      <c r="G590" s="7">
        <v>45643</v>
      </c>
      <c r="H590" s="18">
        <f t="shared" si="28"/>
        <v>1.284931506849315</v>
      </c>
      <c r="I590" s="5" t="s">
        <v>13</v>
      </c>
      <c r="J590" s="28">
        <v>32373.25</v>
      </c>
      <c r="K590" s="28">
        <v>2500</v>
      </c>
      <c r="L590" s="31">
        <f t="shared" si="27"/>
        <v>7.7224251503942298E-2</v>
      </c>
    </row>
    <row r="591" spans="1:12" ht="15" customHeight="1" x14ac:dyDescent="0.35">
      <c r="A591" s="10">
        <f t="shared" si="29"/>
        <v>587</v>
      </c>
      <c r="B591" s="3">
        <v>9140</v>
      </c>
      <c r="C591" s="5" t="s">
        <v>1512</v>
      </c>
      <c r="D591" s="5" t="s">
        <v>669</v>
      </c>
      <c r="E591" s="5" t="s">
        <v>103</v>
      </c>
      <c r="F591" s="5" t="s">
        <v>103</v>
      </c>
      <c r="G591" s="7">
        <v>45649</v>
      </c>
      <c r="H591" s="18">
        <f t="shared" si="28"/>
        <v>1.2684931506849315</v>
      </c>
      <c r="I591" s="5" t="s">
        <v>1075</v>
      </c>
      <c r="J591" s="28">
        <v>23998.25</v>
      </c>
      <c r="K591" s="28">
        <v>2500</v>
      </c>
      <c r="L591" s="31">
        <f t="shared" si="27"/>
        <v>0.1041742627066557</v>
      </c>
    </row>
    <row r="592" spans="1:12" ht="15" customHeight="1" x14ac:dyDescent="0.35">
      <c r="A592" s="10">
        <f t="shared" si="29"/>
        <v>588</v>
      </c>
      <c r="B592" s="3">
        <v>9141</v>
      </c>
      <c r="C592" s="5" t="s">
        <v>1513</v>
      </c>
      <c r="D592" s="5" t="s">
        <v>455</v>
      </c>
      <c r="E592" s="5" t="s">
        <v>68</v>
      </c>
      <c r="F592" s="5" t="s">
        <v>254</v>
      </c>
      <c r="G592" s="7">
        <v>45658</v>
      </c>
      <c r="H592" s="18">
        <f t="shared" si="28"/>
        <v>1.2438356164383562</v>
      </c>
      <c r="I592" s="5" t="s">
        <v>1075</v>
      </c>
      <c r="J592" s="28">
        <v>20890.25</v>
      </c>
      <c r="K592" s="28">
        <v>2500</v>
      </c>
      <c r="L592" s="31">
        <f t="shared" si="27"/>
        <v>0.11967305321860677</v>
      </c>
    </row>
    <row r="593" spans="1:12" ht="15" customHeight="1" x14ac:dyDescent="0.35">
      <c r="A593" s="10">
        <f t="shared" si="29"/>
        <v>589</v>
      </c>
      <c r="B593" s="3">
        <v>9151</v>
      </c>
      <c r="C593" s="5" t="s">
        <v>1519</v>
      </c>
      <c r="D593" s="5" t="s">
        <v>985</v>
      </c>
      <c r="E593" s="5" t="s">
        <v>51</v>
      </c>
      <c r="F593" s="5" t="s">
        <v>51</v>
      </c>
      <c r="G593" s="7">
        <v>45658</v>
      </c>
      <c r="H593" s="18">
        <f t="shared" si="28"/>
        <v>1.2438356164383562</v>
      </c>
      <c r="I593" s="5" t="s">
        <v>888</v>
      </c>
      <c r="J593" s="28">
        <v>24000</v>
      </c>
      <c r="K593" s="28">
        <v>2500</v>
      </c>
      <c r="L593" s="31">
        <f t="shared" si="27"/>
        <v>0.10416666666666667</v>
      </c>
    </row>
    <row r="594" spans="1:12" ht="15" customHeight="1" x14ac:dyDescent="0.35">
      <c r="A594" s="10">
        <f t="shared" si="29"/>
        <v>590</v>
      </c>
      <c r="B594" s="3">
        <v>9153</v>
      </c>
      <c r="C594" s="5" t="s">
        <v>1521</v>
      </c>
      <c r="D594" s="5" t="s">
        <v>797</v>
      </c>
      <c r="E594" s="5" t="s">
        <v>387</v>
      </c>
      <c r="F594" s="5" t="s">
        <v>388</v>
      </c>
      <c r="G594" s="7">
        <v>45658</v>
      </c>
      <c r="H594" s="18">
        <f t="shared" si="28"/>
        <v>1.2438356164383562</v>
      </c>
      <c r="I594" s="5" t="s">
        <v>1075</v>
      </c>
      <c r="J594" s="28">
        <v>23998.25</v>
      </c>
      <c r="K594" s="28">
        <v>2500</v>
      </c>
      <c r="L594" s="31">
        <f t="shared" si="27"/>
        <v>0.1041742627066557</v>
      </c>
    </row>
    <row r="595" spans="1:12" ht="15" customHeight="1" x14ac:dyDescent="0.35">
      <c r="A595" s="10">
        <f t="shared" si="29"/>
        <v>591</v>
      </c>
      <c r="B595" s="3">
        <v>9154</v>
      </c>
      <c r="C595" s="5" t="s">
        <v>1522</v>
      </c>
      <c r="D595" s="5" t="s">
        <v>669</v>
      </c>
      <c r="E595" s="5" t="s">
        <v>103</v>
      </c>
      <c r="F595" s="5" t="s">
        <v>103</v>
      </c>
      <c r="G595" s="7">
        <v>45663</v>
      </c>
      <c r="H595" s="18">
        <f t="shared" si="28"/>
        <v>1.2301369863013698</v>
      </c>
      <c r="I595" s="5" t="s">
        <v>1075</v>
      </c>
      <c r="J595" s="28">
        <v>23998.25</v>
      </c>
      <c r="K595" s="28">
        <v>2500</v>
      </c>
      <c r="L595" s="31">
        <f t="shared" si="27"/>
        <v>0.1041742627066557</v>
      </c>
    </row>
    <row r="596" spans="1:12" ht="15" customHeight="1" x14ac:dyDescent="0.35">
      <c r="A596" s="10">
        <f t="shared" si="29"/>
        <v>592</v>
      </c>
      <c r="B596" s="3">
        <v>9155</v>
      </c>
      <c r="C596" s="5" t="s">
        <v>1523</v>
      </c>
      <c r="D596" s="5" t="s">
        <v>488</v>
      </c>
      <c r="E596" s="5" t="s">
        <v>94</v>
      </c>
      <c r="F596" s="5" t="s">
        <v>94</v>
      </c>
      <c r="G596" s="7">
        <v>45663</v>
      </c>
      <c r="H596" s="18">
        <f t="shared" si="28"/>
        <v>1.2301369863013698</v>
      </c>
      <c r="I596" s="5" t="s">
        <v>13</v>
      </c>
      <c r="J596" s="28">
        <v>28426.25</v>
      </c>
      <c r="K596" s="28">
        <v>2500</v>
      </c>
      <c r="L596" s="31">
        <f t="shared" si="27"/>
        <v>8.7946880084429011E-2</v>
      </c>
    </row>
    <row r="597" spans="1:12" ht="15" customHeight="1" x14ac:dyDescent="0.35">
      <c r="A597" s="10">
        <f t="shared" si="29"/>
        <v>593</v>
      </c>
      <c r="B597" s="3">
        <v>9156</v>
      </c>
      <c r="C597" s="5" t="s">
        <v>1524</v>
      </c>
      <c r="D597" s="5" t="s">
        <v>151</v>
      </c>
      <c r="E597" s="5" t="s">
        <v>378</v>
      </c>
      <c r="F597" s="5" t="s">
        <v>198</v>
      </c>
      <c r="G597" s="7">
        <v>45664</v>
      </c>
      <c r="H597" s="18">
        <f t="shared" si="28"/>
        <v>1.2273972602739727</v>
      </c>
      <c r="I597" s="5" t="s">
        <v>13</v>
      </c>
      <c r="J597" s="28">
        <v>28426.25</v>
      </c>
      <c r="K597" s="28">
        <v>2500</v>
      </c>
      <c r="L597" s="31">
        <f t="shared" si="27"/>
        <v>8.7946880084429011E-2</v>
      </c>
    </row>
    <row r="598" spans="1:12" ht="15" customHeight="1" x14ac:dyDescent="0.35">
      <c r="A598" s="10">
        <f t="shared" si="29"/>
        <v>594</v>
      </c>
      <c r="B598" s="3">
        <v>9158</v>
      </c>
      <c r="C598" s="5" t="s">
        <v>1525</v>
      </c>
      <c r="D598" s="5" t="s">
        <v>1152</v>
      </c>
      <c r="E598" s="5" t="s">
        <v>112</v>
      </c>
      <c r="F598" s="5" t="s">
        <v>112</v>
      </c>
      <c r="G598" s="7">
        <v>45870</v>
      </c>
      <c r="H598" s="18">
        <f t="shared" si="28"/>
        <v>0.66301369863013704</v>
      </c>
      <c r="I598" s="5" t="s">
        <v>1075</v>
      </c>
      <c r="J598" s="28">
        <v>25079.25</v>
      </c>
      <c r="K598" s="28"/>
      <c r="L598" s="28"/>
    </row>
    <row r="599" spans="1:12" ht="15" customHeight="1" x14ac:dyDescent="0.35">
      <c r="A599" s="10">
        <f t="shared" si="29"/>
        <v>595</v>
      </c>
      <c r="B599" s="3">
        <v>9163</v>
      </c>
      <c r="C599" s="5" t="s">
        <v>1529</v>
      </c>
      <c r="D599" s="5" t="s">
        <v>669</v>
      </c>
      <c r="E599" s="5" t="s">
        <v>103</v>
      </c>
      <c r="F599" s="5" t="s">
        <v>103</v>
      </c>
      <c r="G599" s="7">
        <v>45677</v>
      </c>
      <c r="H599" s="18">
        <f t="shared" si="28"/>
        <v>1.1917808219178083</v>
      </c>
      <c r="I599" s="5" t="s">
        <v>13</v>
      </c>
      <c r="J599" s="28">
        <v>23998.25</v>
      </c>
      <c r="K599" s="28">
        <v>2500</v>
      </c>
      <c r="L599" s="31">
        <f t="shared" ref="L599:L605" si="30">+K599/J599</f>
        <v>0.1041742627066557</v>
      </c>
    </row>
    <row r="600" spans="1:12" ht="15" customHeight="1" x14ac:dyDescent="0.35">
      <c r="A600" s="10">
        <f t="shared" si="29"/>
        <v>596</v>
      </c>
      <c r="B600" s="3">
        <v>9176</v>
      </c>
      <c r="C600" s="5" t="s">
        <v>1532</v>
      </c>
      <c r="D600" s="5" t="s">
        <v>21</v>
      </c>
      <c r="E600" s="5" t="s">
        <v>378</v>
      </c>
      <c r="F600" s="5" t="s">
        <v>198</v>
      </c>
      <c r="G600" s="7">
        <v>45698</v>
      </c>
      <c r="H600" s="18">
        <f t="shared" si="28"/>
        <v>1.1342465753424658</v>
      </c>
      <c r="I600" s="5" t="s">
        <v>13</v>
      </c>
      <c r="J600" s="28">
        <v>28426.25</v>
      </c>
      <c r="K600" s="28">
        <v>2500</v>
      </c>
      <c r="L600" s="31">
        <f t="shared" si="30"/>
        <v>8.7946880084429011E-2</v>
      </c>
    </row>
    <row r="601" spans="1:12" ht="15" customHeight="1" x14ac:dyDescent="0.35">
      <c r="A601" s="10">
        <f t="shared" si="29"/>
        <v>597</v>
      </c>
      <c r="B601" s="3">
        <v>9178</v>
      </c>
      <c r="C601" s="5" t="s">
        <v>1533</v>
      </c>
      <c r="D601" s="5" t="s">
        <v>21</v>
      </c>
      <c r="E601" s="5" t="s">
        <v>24</v>
      </c>
      <c r="F601" s="5" t="s">
        <v>24</v>
      </c>
      <c r="G601" s="7">
        <v>45705</v>
      </c>
      <c r="H601" s="18">
        <f t="shared" si="28"/>
        <v>1.1150684931506849</v>
      </c>
      <c r="I601" s="5" t="s">
        <v>13</v>
      </c>
      <c r="J601" s="28">
        <v>30426.25</v>
      </c>
      <c r="K601" s="28">
        <v>2500</v>
      </c>
      <c r="L601" s="31">
        <f t="shared" si="30"/>
        <v>8.2165892937841503E-2</v>
      </c>
    </row>
    <row r="602" spans="1:12" ht="15" customHeight="1" x14ac:dyDescent="0.35">
      <c r="A602" s="10">
        <f t="shared" si="29"/>
        <v>598</v>
      </c>
      <c r="B602" s="3">
        <v>9180</v>
      </c>
      <c r="C602" s="5" t="s">
        <v>1534</v>
      </c>
      <c r="D602" s="5" t="s">
        <v>1308</v>
      </c>
      <c r="E602" s="5" t="s">
        <v>1309</v>
      </c>
      <c r="F602" s="5" t="s">
        <v>1309</v>
      </c>
      <c r="G602" s="7">
        <v>45717</v>
      </c>
      <c r="H602" s="18">
        <f t="shared" si="28"/>
        <v>1.0821917808219179</v>
      </c>
      <c r="I602" s="5" t="s">
        <v>888</v>
      </c>
      <c r="J602" s="28">
        <v>23500</v>
      </c>
      <c r="K602" s="28">
        <v>2500</v>
      </c>
      <c r="L602" s="31">
        <f t="shared" si="30"/>
        <v>0.10638297872340426</v>
      </c>
    </row>
    <row r="603" spans="1:12" ht="15" customHeight="1" x14ac:dyDescent="0.35">
      <c r="A603" s="10">
        <f t="shared" si="29"/>
        <v>599</v>
      </c>
      <c r="B603" s="3">
        <v>9181</v>
      </c>
      <c r="C603" s="5" t="s">
        <v>1535</v>
      </c>
      <c r="D603" s="5" t="s">
        <v>455</v>
      </c>
      <c r="E603" s="5" t="s">
        <v>68</v>
      </c>
      <c r="F603" s="5" t="s">
        <v>69</v>
      </c>
      <c r="G603" s="7">
        <v>45719</v>
      </c>
      <c r="H603" s="18">
        <f t="shared" si="28"/>
        <v>1.0767123287671232</v>
      </c>
      <c r="I603" s="5" t="s">
        <v>888</v>
      </c>
      <c r="J603" s="28">
        <v>20000</v>
      </c>
      <c r="K603" s="28">
        <v>2500</v>
      </c>
      <c r="L603" s="31">
        <f t="shared" si="30"/>
        <v>0.125</v>
      </c>
    </row>
    <row r="604" spans="1:12" ht="15" customHeight="1" x14ac:dyDescent="0.35">
      <c r="A604" s="10">
        <f t="shared" si="29"/>
        <v>600</v>
      </c>
      <c r="B604" s="3">
        <v>9187</v>
      </c>
      <c r="C604" s="5" t="s">
        <v>1538</v>
      </c>
      <c r="D604" s="5" t="s">
        <v>29</v>
      </c>
      <c r="E604" s="5" t="s">
        <v>28</v>
      </c>
      <c r="F604" s="5" t="s">
        <v>29</v>
      </c>
      <c r="G604" s="7">
        <v>45734</v>
      </c>
      <c r="H604" s="18">
        <f t="shared" si="28"/>
        <v>1.0356164383561643</v>
      </c>
      <c r="I604" s="5" t="s">
        <v>888</v>
      </c>
      <c r="J604" s="28">
        <v>23000</v>
      </c>
      <c r="K604" s="28">
        <v>2500</v>
      </c>
      <c r="L604" s="31">
        <f t="shared" si="30"/>
        <v>0.10869565217391304</v>
      </c>
    </row>
    <row r="605" spans="1:12" ht="15" customHeight="1" x14ac:dyDescent="0.35">
      <c r="A605" s="10">
        <f t="shared" si="29"/>
        <v>601</v>
      </c>
      <c r="B605" s="3">
        <v>9188</v>
      </c>
      <c r="C605" s="5" t="s">
        <v>1539</v>
      </c>
      <c r="D605" s="5" t="s">
        <v>249</v>
      </c>
      <c r="E605" s="5" t="s">
        <v>165</v>
      </c>
      <c r="F605" s="5" t="s">
        <v>165</v>
      </c>
      <c r="G605" s="7">
        <v>45740</v>
      </c>
      <c r="H605" s="29">
        <f t="shared" si="28"/>
        <v>1.0191780821917809</v>
      </c>
      <c r="I605" s="5" t="s">
        <v>888</v>
      </c>
      <c r="J605" s="28">
        <v>20000</v>
      </c>
      <c r="K605" s="28">
        <v>2500</v>
      </c>
      <c r="L605" s="31">
        <f t="shared" si="30"/>
        <v>0.125</v>
      </c>
    </row>
    <row r="606" spans="1:12" ht="15" customHeight="1" x14ac:dyDescent="0.35">
      <c r="A606" s="10">
        <f t="shared" si="29"/>
        <v>602</v>
      </c>
      <c r="B606" s="3">
        <v>9189</v>
      </c>
      <c r="C606" s="5" t="s">
        <v>1540</v>
      </c>
      <c r="D606" s="5" t="s">
        <v>669</v>
      </c>
      <c r="E606" s="5" t="s">
        <v>103</v>
      </c>
      <c r="F606" s="5" t="s">
        <v>103</v>
      </c>
      <c r="G606" s="7">
        <v>45748</v>
      </c>
      <c r="H606" s="29">
        <f t="shared" si="28"/>
        <v>0.99726027397260275</v>
      </c>
      <c r="I606" s="5" t="s">
        <v>888</v>
      </c>
      <c r="J606" s="28">
        <v>23500</v>
      </c>
      <c r="K606" s="28"/>
      <c r="L606" s="28"/>
    </row>
    <row r="607" spans="1:12" ht="15" customHeight="1" x14ac:dyDescent="0.35">
      <c r="A607" s="10">
        <f t="shared" si="29"/>
        <v>603</v>
      </c>
      <c r="B607" s="3">
        <v>9190</v>
      </c>
      <c r="C607" s="5" t="s">
        <v>1541</v>
      </c>
      <c r="D607" s="5" t="s">
        <v>455</v>
      </c>
      <c r="E607" s="5" t="s">
        <v>68</v>
      </c>
      <c r="F607" s="5" t="s">
        <v>254</v>
      </c>
      <c r="G607" s="7">
        <v>45749</v>
      </c>
      <c r="H607" s="29">
        <f t="shared" si="28"/>
        <v>0.9945205479452055</v>
      </c>
      <c r="I607" s="5" t="s">
        <v>888</v>
      </c>
      <c r="J607" s="28">
        <v>20000</v>
      </c>
      <c r="K607" s="28"/>
      <c r="L607" s="28"/>
    </row>
    <row r="608" spans="1:12" ht="15" customHeight="1" x14ac:dyDescent="0.35">
      <c r="A608" s="10">
        <f t="shared" si="29"/>
        <v>604</v>
      </c>
      <c r="B608" s="3">
        <v>9192</v>
      </c>
      <c r="C608" s="5" t="s">
        <v>1543</v>
      </c>
      <c r="D608" s="5" t="s">
        <v>1271</v>
      </c>
      <c r="E608" s="5" t="s">
        <v>538</v>
      </c>
      <c r="F608" s="5" t="s">
        <v>538</v>
      </c>
      <c r="G608" s="7">
        <v>45754</v>
      </c>
      <c r="H608" s="29">
        <f t="shared" si="28"/>
        <v>0.98082191780821915</v>
      </c>
      <c r="I608" s="5" t="s">
        <v>888</v>
      </c>
      <c r="J608" s="28">
        <v>24000</v>
      </c>
      <c r="K608" s="28"/>
      <c r="L608" s="28"/>
    </row>
    <row r="609" spans="1:12" ht="15" customHeight="1" x14ac:dyDescent="0.35">
      <c r="A609" s="10">
        <f t="shared" si="29"/>
        <v>605</v>
      </c>
      <c r="B609" s="3">
        <v>9195</v>
      </c>
      <c r="C609" s="5" t="s">
        <v>1544</v>
      </c>
      <c r="D609" s="5" t="s">
        <v>678</v>
      </c>
      <c r="E609" s="5" t="s">
        <v>87</v>
      </c>
      <c r="F609" s="5" t="s">
        <v>678</v>
      </c>
      <c r="G609" s="7">
        <v>45757</v>
      </c>
      <c r="H609" s="18">
        <f t="shared" si="28"/>
        <v>0.9726027397260274</v>
      </c>
      <c r="I609" s="5" t="s">
        <v>888</v>
      </c>
      <c r="J609" s="28">
        <v>25000</v>
      </c>
      <c r="K609" s="28"/>
      <c r="L609" s="28"/>
    </row>
    <row r="610" spans="1:12" ht="15" customHeight="1" x14ac:dyDescent="0.35">
      <c r="A610" s="10">
        <f t="shared" si="29"/>
        <v>606</v>
      </c>
      <c r="B610" s="3">
        <v>9196</v>
      </c>
      <c r="C610" s="5" t="s">
        <v>1545</v>
      </c>
      <c r="D610" s="5" t="s">
        <v>669</v>
      </c>
      <c r="E610" s="5" t="s">
        <v>103</v>
      </c>
      <c r="F610" s="5" t="s">
        <v>103</v>
      </c>
      <c r="G610" s="7">
        <v>45757</v>
      </c>
      <c r="H610" s="18">
        <f t="shared" si="28"/>
        <v>0.9726027397260274</v>
      </c>
      <c r="I610" s="5" t="s">
        <v>888</v>
      </c>
      <c r="J610" s="28">
        <v>24000</v>
      </c>
      <c r="K610" s="28"/>
      <c r="L610" s="28"/>
    </row>
    <row r="611" spans="1:12" ht="15" customHeight="1" x14ac:dyDescent="0.35">
      <c r="A611" s="10">
        <f t="shared" si="29"/>
        <v>607</v>
      </c>
      <c r="B611" s="3">
        <v>9198</v>
      </c>
      <c r="C611" s="5" t="s">
        <v>1547</v>
      </c>
      <c r="D611" s="5" t="s">
        <v>669</v>
      </c>
      <c r="E611" s="5" t="s">
        <v>103</v>
      </c>
      <c r="F611" s="5" t="s">
        <v>103</v>
      </c>
      <c r="G611" s="7">
        <v>45757</v>
      </c>
      <c r="H611" s="18">
        <f t="shared" si="28"/>
        <v>0.9726027397260274</v>
      </c>
      <c r="I611" s="5" t="s">
        <v>888</v>
      </c>
      <c r="J611" s="28">
        <v>23500</v>
      </c>
      <c r="K611" s="28"/>
      <c r="L611" s="28"/>
    </row>
    <row r="612" spans="1:12" ht="15" customHeight="1" x14ac:dyDescent="0.35">
      <c r="A612" s="10">
        <f t="shared" si="29"/>
        <v>608</v>
      </c>
      <c r="B612" s="3">
        <v>9200</v>
      </c>
      <c r="C612" s="5" t="s">
        <v>1548</v>
      </c>
      <c r="D612" s="5" t="s">
        <v>1141</v>
      </c>
      <c r="E612" s="5" t="s">
        <v>769</v>
      </c>
      <c r="F612" s="5" t="s">
        <v>769</v>
      </c>
      <c r="G612" s="7">
        <v>45748</v>
      </c>
      <c r="H612" s="18">
        <f t="shared" si="28"/>
        <v>0.99726027397260275</v>
      </c>
      <c r="I612" s="5" t="s">
        <v>888</v>
      </c>
      <c r="J612" s="28">
        <v>24500</v>
      </c>
      <c r="K612" s="28"/>
      <c r="L612" s="28"/>
    </row>
    <row r="613" spans="1:12" ht="15" customHeight="1" x14ac:dyDescent="0.35">
      <c r="A613" s="10">
        <f t="shared" si="29"/>
        <v>609</v>
      </c>
      <c r="B613" s="3">
        <v>9201</v>
      </c>
      <c r="C613" s="5" t="s">
        <v>1549</v>
      </c>
      <c r="D613" s="5" t="s">
        <v>488</v>
      </c>
      <c r="E613" s="5" t="s">
        <v>94</v>
      </c>
      <c r="F613" s="5" t="s">
        <v>94</v>
      </c>
      <c r="G613" s="7">
        <v>45762</v>
      </c>
      <c r="H613" s="18">
        <f t="shared" si="28"/>
        <v>0.95890410958904104</v>
      </c>
      <c r="I613" s="5" t="s">
        <v>888</v>
      </c>
      <c r="J613" s="28">
        <v>23500</v>
      </c>
      <c r="K613" s="28"/>
      <c r="L613" s="28"/>
    </row>
    <row r="614" spans="1:12" ht="15" customHeight="1" x14ac:dyDescent="0.35">
      <c r="A614" s="10">
        <f t="shared" si="29"/>
        <v>610</v>
      </c>
      <c r="B614" s="3">
        <v>9203</v>
      </c>
      <c r="C614" s="5" t="s">
        <v>1550</v>
      </c>
      <c r="D614" s="5" t="s">
        <v>733</v>
      </c>
      <c r="E614" s="5" t="s">
        <v>165</v>
      </c>
      <c r="F614" s="5" t="s">
        <v>165</v>
      </c>
      <c r="G614" s="7">
        <v>45762</v>
      </c>
      <c r="H614" s="18">
        <f t="shared" si="28"/>
        <v>0.95890410958904104</v>
      </c>
      <c r="I614" s="5" t="s">
        <v>888</v>
      </c>
      <c r="J614" s="28">
        <v>23500</v>
      </c>
      <c r="K614" s="28"/>
      <c r="L614" s="28"/>
    </row>
    <row r="615" spans="1:12" ht="15" customHeight="1" x14ac:dyDescent="0.35">
      <c r="A615" s="10">
        <f t="shared" si="29"/>
        <v>611</v>
      </c>
      <c r="B615" s="3">
        <v>9205</v>
      </c>
      <c r="C615" s="5" t="s">
        <v>1551</v>
      </c>
      <c r="D615" s="5" t="s">
        <v>21</v>
      </c>
      <c r="E615" s="5" t="s">
        <v>1061</v>
      </c>
      <c r="F615" s="5" t="s">
        <v>1247</v>
      </c>
      <c r="G615" s="7">
        <v>45763</v>
      </c>
      <c r="H615" s="18">
        <f t="shared" si="28"/>
        <v>0.95616438356164379</v>
      </c>
      <c r="I615" s="5" t="s">
        <v>13</v>
      </c>
      <c r="J615" s="28">
        <v>30373.25</v>
      </c>
      <c r="K615" s="28"/>
      <c r="L615" s="28"/>
    </row>
    <row r="616" spans="1:12" ht="15" customHeight="1" x14ac:dyDescent="0.35">
      <c r="A616" s="10">
        <f t="shared" si="29"/>
        <v>612</v>
      </c>
      <c r="B616" s="3">
        <v>9206</v>
      </c>
      <c r="C616" s="5" t="s">
        <v>1552</v>
      </c>
      <c r="D616" s="5" t="s">
        <v>1371</v>
      </c>
      <c r="E616" s="5" t="s">
        <v>263</v>
      </c>
      <c r="F616" s="5" t="s">
        <v>276</v>
      </c>
      <c r="G616" s="7">
        <v>45770</v>
      </c>
      <c r="H616" s="18">
        <f t="shared" si="28"/>
        <v>0.93698630136986305</v>
      </c>
      <c r="I616" s="5" t="s">
        <v>888</v>
      </c>
      <c r="J616" s="28">
        <v>23500</v>
      </c>
      <c r="K616" s="28"/>
      <c r="L616" s="28"/>
    </row>
    <row r="617" spans="1:12" ht="15" customHeight="1" x14ac:dyDescent="0.35">
      <c r="A617" s="10">
        <f t="shared" si="29"/>
        <v>613</v>
      </c>
      <c r="B617" s="3">
        <v>9210</v>
      </c>
      <c r="C617" s="5" t="s">
        <v>1556</v>
      </c>
      <c r="D617" s="5" t="s">
        <v>669</v>
      </c>
      <c r="E617" s="5" t="s">
        <v>103</v>
      </c>
      <c r="F617" s="5" t="s">
        <v>103</v>
      </c>
      <c r="G617" s="7">
        <v>45779</v>
      </c>
      <c r="H617" s="18">
        <f t="shared" si="28"/>
        <v>0.9123287671232877</v>
      </c>
      <c r="I617" s="5" t="s">
        <v>13</v>
      </c>
      <c r="J617" s="28">
        <v>24422.25</v>
      </c>
      <c r="K617" s="28"/>
      <c r="L617" s="28"/>
    </row>
    <row r="618" spans="1:12" ht="15" customHeight="1" x14ac:dyDescent="0.35">
      <c r="A618" s="10">
        <f t="shared" si="29"/>
        <v>614</v>
      </c>
      <c r="B618" s="3">
        <v>9211</v>
      </c>
      <c r="C618" s="5" t="s">
        <v>1557</v>
      </c>
      <c r="D618" s="5" t="s">
        <v>669</v>
      </c>
      <c r="E618" s="5" t="s">
        <v>103</v>
      </c>
      <c r="F618" s="5" t="s">
        <v>103</v>
      </c>
      <c r="G618" s="7">
        <v>45779</v>
      </c>
      <c r="H618" s="18">
        <f t="shared" si="28"/>
        <v>0.9123287671232877</v>
      </c>
      <c r="I618" s="5" t="s">
        <v>888</v>
      </c>
      <c r="J618" s="28">
        <v>23500</v>
      </c>
      <c r="K618" s="28"/>
      <c r="L618" s="28"/>
    </row>
    <row r="619" spans="1:12" ht="15" customHeight="1" x14ac:dyDescent="0.35">
      <c r="A619" s="10">
        <f t="shared" si="29"/>
        <v>615</v>
      </c>
      <c r="B619" s="3">
        <v>9214</v>
      </c>
      <c r="C619" s="5" t="s">
        <v>1559</v>
      </c>
      <c r="D619" s="5" t="s">
        <v>1373</v>
      </c>
      <c r="E619" s="5" t="s">
        <v>263</v>
      </c>
      <c r="F619" s="5" t="s">
        <v>1374</v>
      </c>
      <c r="G619" s="7">
        <v>45779</v>
      </c>
      <c r="H619" s="18">
        <f t="shared" si="28"/>
        <v>0.9123287671232877</v>
      </c>
      <c r="I619" s="5" t="s">
        <v>888</v>
      </c>
      <c r="J619" s="28">
        <v>23000</v>
      </c>
      <c r="K619" s="28"/>
      <c r="L619" s="28"/>
    </row>
    <row r="620" spans="1:12" ht="15" customHeight="1" x14ac:dyDescent="0.35">
      <c r="A620" s="10">
        <f t="shared" si="29"/>
        <v>616</v>
      </c>
      <c r="B620" s="3">
        <v>9216</v>
      </c>
      <c r="C620" s="5" t="s">
        <v>1560</v>
      </c>
      <c r="D620" s="5" t="s">
        <v>678</v>
      </c>
      <c r="E620" s="5" t="s">
        <v>87</v>
      </c>
      <c r="F620" s="5" t="s">
        <v>678</v>
      </c>
      <c r="G620" s="7">
        <v>45782</v>
      </c>
      <c r="H620" s="18">
        <f t="shared" si="28"/>
        <v>0.90410958904109584</v>
      </c>
      <c r="I620" s="5" t="s">
        <v>888</v>
      </c>
      <c r="J620" s="28">
        <v>25000</v>
      </c>
      <c r="K620" s="28"/>
      <c r="L620" s="28"/>
    </row>
    <row r="621" spans="1:12" ht="15" customHeight="1" x14ac:dyDescent="0.35">
      <c r="A621" s="10">
        <f t="shared" si="29"/>
        <v>617</v>
      </c>
      <c r="B621" s="3">
        <v>9220</v>
      </c>
      <c r="C621" s="5" t="s">
        <v>1563</v>
      </c>
      <c r="D621" s="5" t="s">
        <v>778</v>
      </c>
      <c r="E621" s="5" t="s">
        <v>314</v>
      </c>
      <c r="F621" s="5" t="s">
        <v>315</v>
      </c>
      <c r="G621" s="7">
        <v>45779</v>
      </c>
      <c r="H621" s="18">
        <f t="shared" si="28"/>
        <v>0.9123287671232877</v>
      </c>
      <c r="I621" s="5" t="s">
        <v>888</v>
      </c>
      <c r="J621" s="28">
        <v>23000</v>
      </c>
      <c r="K621" s="28"/>
      <c r="L621" s="28"/>
    </row>
    <row r="622" spans="1:12" ht="15" customHeight="1" x14ac:dyDescent="0.35">
      <c r="A622" s="10">
        <f t="shared" si="29"/>
        <v>618</v>
      </c>
      <c r="B622" s="3">
        <v>9221</v>
      </c>
      <c r="C622" s="5" t="s">
        <v>1564</v>
      </c>
      <c r="D622" s="5" t="s">
        <v>1565</v>
      </c>
      <c r="E622" s="5" t="s">
        <v>1315</v>
      </c>
      <c r="F622" s="5" t="s">
        <v>1315</v>
      </c>
      <c r="G622" s="7">
        <v>45789</v>
      </c>
      <c r="H622" s="18">
        <f t="shared" si="28"/>
        <v>0.8849315068493151</v>
      </c>
      <c r="I622" s="5" t="s">
        <v>13</v>
      </c>
      <c r="J622" s="28">
        <v>35373.25</v>
      </c>
      <c r="K622" s="28"/>
      <c r="L622" s="28"/>
    </row>
    <row r="623" spans="1:12" ht="15" customHeight="1" x14ac:dyDescent="0.35">
      <c r="A623" s="10">
        <f t="shared" si="29"/>
        <v>619</v>
      </c>
      <c r="B623" s="3">
        <v>9222</v>
      </c>
      <c r="C623" s="5" t="s">
        <v>1566</v>
      </c>
      <c r="D623" s="5" t="s">
        <v>455</v>
      </c>
      <c r="E623" s="5" t="s">
        <v>198</v>
      </c>
      <c r="F623" s="5" t="s">
        <v>198</v>
      </c>
      <c r="G623" s="7">
        <v>45789</v>
      </c>
      <c r="H623" s="18">
        <f t="shared" si="28"/>
        <v>0.8849315068493151</v>
      </c>
      <c r="I623" s="5" t="s">
        <v>888</v>
      </c>
      <c r="J623" s="28">
        <v>20000</v>
      </c>
      <c r="K623" s="28"/>
      <c r="L623" s="28"/>
    </row>
    <row r="624" spans="1:12" ht="15" customHeight="1" x14ac:dyDescent="0.35">
      <c r="A624" s="10">
        <f t="shared" si="29"/>
        <v>620</v>
      </c>
      <c r="B624" s="3">
        <v>9223</v>
      </c>
      <c r="C624" s="5" t="s">
        <v>1567</v>
      </c>
      <c r="D624" s="5" t="s">
        <v>985</v>
      </c>
      <c r="E624" s="5" t="s">
        <v>51</v>
      </c>
      <c r="F624" s="5" t="s">
        <v>51</v>
      </c>
      <c r="G624" s="7">
        <v>45792</v>
      </c>
      <c r="H624" s="18">
        <f t="shared" si="28"/>
        <v>0.87671232876712324</v>
      </c>
      <c r="I624" s="5" t="s">
        <v>888</v>
      </c>
      <c r="J624" s="28">
        <v>24000</v>
      </c>
      <c r="K624" s="28"/>
      <c r="L624" s="28"/>
    </row>
    <row r="625" spans="1:12" ht="15" customHeight="1" x14ac:dyDescent="0.35">
      <c r="A625" s="10">
        <f t="shared" si="29"/>
        <v>621</v>
      </c>
      <c r="B625" s="3">
        <v>9225</v>
      </c>
      <c r="C625" s="5" t="s">
        <v>1568</v>
      </c>
      <c r="D625" s="5" t="s">
        <v>1569</v>
      </c>
      <c r="E625" s="5" t="s">
        <v>54</v>
      </c>
      <c r="F625" s="5" t="s">
        <v>54</v>
      </c>
      <c r="G625" s="7">
        <v>45792</v>
      </c>
      <c r="H625" s="18">
        <f t="shared" si="28"/>
        <v>0.87671232876712324</v>
      </c>
      <c r="I625" s="5" t="s">
        <v>888</v>
      </c>
      <c r="J625" s="28">
        <v>20000</v>
      </c>
      <c r="K625" s="28"/>
      <c r="L625" s="28"/>
    </row>
    <row r="626" spans="1:12" ht="15" customHeight="1" x14ac:dyDescent="0.35">
      <c r="A626" s="10">
        <f t="shared" si="29"/>
        <v>622</v>
      </c>
      <c r="B626" s="3">
        <v>9256</v>
      </c>
      <c r="C626" s="5" t="s">
        <v>1583</v>
      </c>
      <c r="D626" s="5" t="s">
        <v>249</v>
      </c>
      <c r="E626" s="5" t="s">
        <v>165</v>
      </c>
      <c r="F626" s="5" t="s">
        <v>165</v>
      </c>
      <c r="G626" s="7">
        <v>45812</v>
      </c>
      <c r="H626" s="18">
        <f t="shared" si="28"/>
        <v>0.82191780821917804</v>
      </c>
      <c r="I626" s="5" t="s">
        <v>888</v>
      </c>
      <c r="J626" s="28">
        <v>20000</v>
      </c>
      <c r="K626" s="28"/>
      <c r="L626" s="28"/>
    </row>
    <row r="627" spans="1:12" ht="15" customHeight="1" x14ac:dyDescent="0.35">
      <c r="A627" s="10">
        <f t="shared" si="29"/>
        <v>623</v>
      </c>
      <c r="B627" s="3">
        <v>9258</v>
      </c>
      <c r="C627" s="5" t="s">
        <v>1584</v>
      </c>
      <c r="D627" s="5" t="s">
        <v>669</v>
      </c>
      <c r="E627" s="5" t="s">
        <v>103</v>
      </c>
      <c r="F627" s="5" t="s">
        <v>103</v>
      </c>
      <c r="G627" s="7">
        <v>45813</v>
      </c>
      <c r="H627" s="18">
        <f t="shared" si="28"/>
        <v>0.81917808219178079</v>
      </c>
      <c r="I627" s="5" t="s">
        <v>888</v>
      </c>
      <c r="J627" s="28">
        <v>23500</v>
      </c>
      <c r="K627" s="28"/>
      <c r="L627" s="28"/>
    </row>
    <row r="628" spans="1:12" ht="15" customHeight="1" x14ac:dyDescent="0.35">
      <c r="A628" s="10">
        <f t="shared" si="29"/>
        <v>624</v>
      </c>
      <c r="B628" s="3">
        <v>9259</v>
      </c>
      <c r="C628" s="5" t="s">
        <v>1585</v>
      </c>
      <c r="D628" s="5" t="s">
        <v>77</v>
      </c>
      <c r="E628" s="5" t="s">
        <v>61</v>
      </c>
      <c r="F628" s="5" t="s">
        <v>61</v>
      </c>
      <c r="G628" s="7">
        <v>45809</v>
      </c>
      <c r="H628" s="18">
        <f t="shared" si="28"/>
        <v>0.83013698630136989</v>
      </c>
      <c r="I628" s="5" t="s">
        <v>888</v>
      </c>
      <c r="J628" s="28">
        <v>23000</v>
      </c>
      <c r="K628" s="28"/>
      <c r="L628" s="28"/>
    </row>
    <row r="629" spans="1:12" ht="15" customHeight="1" x14ac:dyDescent="0.35">
      <c r="A629" s="10">
        <f t="shared" si="29"/>
        <v>625</v>
      </c>
      <c r="B629" s="3">
        <v>9260</v>
      </c>
      <c r="C629" s="5" t="s">
        <v>1586</v>
      </c>
      <c r="D629" s="5" t="s">
        <v>1152</v>
      </c>
      <c r="E629" s="5" t="s">
        <v>112</v>
      </c>
      <c r="F629" s="5" t="s">
        <v>112</v>
      </c>
      <c r="G629" s="7">
        <v>45819</v>
      </c>
      <c r="H629" s="18">
        <f t="shared" si="28"/>
        <v>0.80273972602739729</v>
      </c>
      <c r="I629" s="5" t="s">
        <v>888</v>
      </c>
      <c r="J629" s="28">
        <v>23500</v>
      </c>
      <c r="K629" s="28"/>
      <c r="L629" s="28"/>
    </row>
    <row r="630" spans="1:12" ht="15" customHeight="1" x14ac:dyDescent="0.35">
      <c r="A630" s="10">
        <f t="shared" si="29"/>
        <v>626</v>
      </c>
      <c r="B630" s="3">
        <v>9266</v>
      </c>
      <c r="C630" s="5" t="s">
        <v>1589</v>
      </c>
      <c r="D630" s="5" t="s">
        <v>1590</v>
      </c>
      <c r="E630" s="5" t="s">
        <v>228</v>
      </c>
      <c r="F630" s="5" t="s">
        <v>228</v>
      </c>
      <c r="G630" s="7">
        <v>45818</v>
      </c>
      <c r="H630" s="18">
        <f t="shared" si="28"/>
        <v>0.80547945205479454</v>
      </c>
      <c r="I630" s="5" t="s">
        <v>888</v>
      </c>
      <c r="J630" s="28">
        <v>19000</v>
      </c>
      <c r="K630" s="28"/>
      <c r="L630" s="28"/>
    </row>
    <row r="631" spans="1:12" ht="15" customHeight="1" x14ac:dyDescent="0.35">
      <c r="A631" s="10">
        <f t="shared" si="29"/>
        <v>627</v>
      </c>
      <c r="B631" s="3">
        <v>9274</v>
      </c>
      <c r="C631" s="5" t="s">
        <v>1597</v>
      </c>
      <c r="D631" s="5" t="s">
        <v>1478</v>
      </c>
      <c r="E631" s="5" t="s">
        <v>117</v>
      </c>
      <c r="F631" s="5" t="s">
        <v>176</v>
      </c>
      <c r="G631" s="7">
        <v>45824</v>
      </c>
      <c r="H631" s="18">
        <f t="shared" si="28"/>
        <v>0.78904109589041094</v>
      </c>
      <c r="I631" s="5" t="s">
        <v>888</v>
      </c>
      <c r="J631" s="28">
        <v>20000</v>
      </c>
      <c r="K631" s="28"/>
      <c r="L631" s="28"/>
    </row>
    <row r="632" spans="1:12" ht="15" customHeight="1" x14ac:dyDescent="0.35">
      <c r="A632" s="10">
        <f t="shared" si="29"/>
        <v>628</v>
      </c>
      <c r="B632" s="3">
        <v>9283</v>
      </c>
      <c r="C632" s="5" t="s">
        <v>1605</v>
      </c>
      <c r="D632" s="5" t="s">
        <v>1478</v>
      </c>
      <c r="E632" s="5" t="s">
        <v>117</v>
      </c>
      <c r="F632" s="5" t="s">
        <v>176</v>
      </c>
      <c r="G632" s="7">
        <v>45824</v>
      </c>
      <c r="H632" s="18">
        <f t="shared" si="28"/>
        <v>0.78904109589041094</v>
      </c>
      <c r="I632" s="5" t="s">
        <v>888</v>
      </c>
      <c r="J632" s="28">
        <v>20000</v>
      </c>
      <c r="K632" s="28"/>
      <c r="L632" s="28"/>
    </row>
    <row r="633" spans="1:12" ht="15" customHeight="1" x14ac:dyDescent="0.35">
      <c r="A633" s="10">
        <f t="shared" si="29"/>
        <v>629</v>
      </c>
      <c r="B633" s="3">
        <v>9287</v>
      </c>
      <c r="C633" s="5" t="s">
        <v>1607</v>
      </c>
      <c r="D633" s="5" t="s">
        <v>733</v>
      </c>
      <c r="E633" s="5" t="s">
        <v>165</v>
      </c>
      <c r="F633" s="5" t="s">
        <v>165</v>
      </c>
      <c r="G633" s="7">
        <v>45824</v>
      </c>
      <c r="H633" s="18">
        <f t="shared" si="28"/>
        <v>0.78904109589041094</v>
      </c>
      <c r="I633" s="5" t="s">
        <v>888</v>
      </c>
      <c r="J633" s="28">
        <v>23500</v>
      </c>
      <c r="K633" s="28"/>
      <c r="L633" s="28"/>
    </row>
    <row r="634" spans="1:12" ht="15" customHeight="1" x14ac:dyDescent="0.35">
      <c r="A634" s="10">
        <f t="shared" si="29"/>
        <v>630</v>
      </c>
      <c r="B634" s="3">
        <v>9293</v>
      </c>
      <c r="C634" s="5" t="s">
        <v>1612</v>
      </c>
      <c r="D634" s="5" t="s">
        <v>930</v>
      </c>
      <c r="E634" s="5" t="s">
        <v>561</v>
      </c>
      <c r="F634" s="5" t="s">
        <v>561</v>
      </c>
      <c r="G634" s="7">
        <v>45839</v>
      </c>
      <c r="H634" s="18">
        <f t="shared" si="28"/>
        <v>0.74794520547945209</v>
      </c>
      <c r="I634" s="5" t="s">
        <v>13</v>
      </c>
      <c r="J634" s="28">
        <v>30373.25</v>
      </c>
      <c r="K634" s="28"/>
      <c r="L634" s="28"/>
    </row>
    <row r="635" spans="1:12" ht="15" customHeight="1" x14ac:dyDescent="0.35">
      <c r="A635" s="10">
        <f t="shared" si="29"/>
        <v>631</v>
      </c>
      <c r="B635" s="3">
        <v>9298</v>
      </c>
      <c r="C635" s="5" t="s">
        <v>1614</v>
      </c>
      <c r="D635" s="5" t="s">
        <v>1615</v>
      </c>
      <c r="E635" s="5" t="s">
        <v>424</v>
      </c>
      <c r="F635" s="5" t="s">
        <v>424</v>
      </c>
      <c r="G635" s="7">
        <v>45839</v>
      </c>
      <c r="H635" s="18">
        <f t="shared" si="28"/>
        <v>0.74794520547945209</v>
      </c>
      <c r="I635" s="5" t="s">
        <v>13</v>
      </c>
      <c r="J635" s="28">
        <v>28373.25</v>
      </c>
      <c r="K635" s="28"/>
      <c r="L635" s="28"/>
    </row>
    <row r="636" spans="1:12" ht="15" customHeight="1" x14ac:dyDescent="0.35">
      <c r="A636" s="10">
        <f t="shared" si="29"/>
        <v>632</v>
      </c>
      <c r="B636" s="3">
        <v>9303</v>
      </c>
      <c r="C636" s="5" t="s">
        <v>1618</v>
      </c>
      <c r="D636" s="5" t="s">
        <v>455</v>
      </c>
      <c r="E636" s="5" t="s">
        <v>24</v>
      </c>
      <c r="F636" s="5" t="s">
        <v>152</v>
      </c>
      <c r="G636" s="7">
        <v>45839</v>
      </c>
      <c r="H636" s="18">
        <f t="shared" si="28"/>
        <v>0.74794520547945209</v>
      </c>
      <c r="I636" s="5" t="s">
        <v>888</v>
      </c>
      <c r="J636" s="28">
        <v>20000</v>
      </c>
      <c r="K636" s="28"/>
      <c r="L636" s="28"/>
    </row>
    <row r="637" spans="1:12" ht="15" customHeight="1" x14ac:dyDescent="0.35">
      <c r="A637" s="10">
        <f t="shared" si="29"/>
        <v>633</v>
      </c>
      <c r="B637" s="3">
        <v>9310</v>
      </c>
      <c r="C637" s="5" t="s">
        <v>1625</v>
      </c>
      <c r="D637" s="5" t="s">
        <v>21</v>
      </c>
      <c r="E637" s="5" t="s">
        <v>68</v>
      </c>
      <c r="F637" s="5" t="s">
        <v>179</v>
      </c>
      <c r="G637" s="7">
        <v>45852</v>
      </c>
      <c r="H637" s="18">
        <f t="shared" si="28"/>
        <v>0.71232876712328763</v>
      </c>
      <c r="I637" s="5" t="s">
        <v>888</v>
      </c>
      <c r="J637" s="28">
        <v>23000</v>
      </c>
      <c r="K637" s="28"/>
      <c r="L637" s="28"/>
    </row>
    <row r="638" spans="1:12" ht="15" customHeight="1" x14ac:dyDescent="0.35">
      <c r="A638" s="10">
        <f t="shared" si="29"/>
        <v>634</v>
      </c>
      <c r="B638" s="3">
        <v>9311</v>
      </c>
      <c r="C638" s="5" t="s">
        <v>1626</v>
      </c>
      <c r="D638" s="5" t="s">
        <v>733</v>
      </c>
      <c r="E638" s="5" t="s">
        <v>165</v>
      </c>
      <c r="F638" s="5" t="s">
        <v>165</v>
      </c>
      <c r="G638" s="7">
        <v>45852</v>
      </c>
      <c r="H638" s="18">
        <f t="shared" si="28"/>
        <v>0.71232876712328763</v>
      </c>
      <c r="I638" s="5" t="s">
        <v>888</v>
      </c>
      <c r="J638" s="28">
        <v>23500</v>
      </c>
      <c r="K638" s="28"/>
      <c r="L638" s="28"/>
    </row>
    <row r="639" spans="1:12" ht="15" customHeight="1" x14ac:dyDescent="0.35">
      <c r="A639" s="10">
        <f t="shared" si="29"/>
        <v>635</v>
      </c>
      <c r="B639" s="3">
        <v>9315</v>
      </c>
      <c r="C639" s="5" t="s">
        <v>1629</v>
      </c>
      <c r="D639" s="5" t="s">
        <v>669</v>
      </c>
      <c r="E639" s="5" t="s">
        <v>103</v>
      </c>
      <c r="F639" s="5" t="s">
        <v>103</v>
      </c>
      <c r="G639" s="7">
        <v>45839</v>
      </c>
      <c r="H639" s="18">
        <f t="shared" si="28"/>
        <v>0.74794520547945209</v>
      </c>
      <c r="I639" s="5" t="s">
        <v>888</v>
      </c>
      <c r="J639" s="28">
        <v>23500</v>
      </c>
      <c r="K639" s="28"/>
      <c r="L639" s="28"/>
    </row>
    <row r="640" spans="1:12" ht="15" customHeight="1" x14ac:dyDescent="0.35">
      <c r="A640" s="10">
        <f t="shared" si="29"/>
        <v>636</v>
      </c>
      <c r="B640" s="3">
        <v>9322</v>
      </c>
      <c r="C640" s="5" t="s">
        <v>1634</v>
      </c>
      <c r="D640" s="5" t="s">
        <v>669</v>
      </c>
      <c r="E640" s="5" t="s">
        <v>103</v>
      </c>
      <c r="F640" s="5" t="s">
        <v>103</v>
      </c>
      <c r="G640" s="7">
        <v>45860</v>
      </c>
      <c r="H640" s="18">
        <f t="shared" si="28"/>
        <v>0.69041095890410964</v>
      </c>
      <c r="I640" s="5" t="s">
        <v>888</v>
      </c>
      <c r="J640" s="28">
        <v>24000</v>
      </c>
      <c r="K640" s="28"/>
      <c r="L640" s="28"/>
    </row>
    <row r="641" spans="1:12" ht="15" customHeight="1" x14ac:dyDescent="0.35">
      <c r="A641" s="10">
        <f t="shared" si="29"/>
        <v>637</v>
      </c>
      <c r="B641" s="3">
        <v>9324</v>
      </c>
      <c r="C641" s="5" t="s">
        <v>1635</v>
      </c>
      <c r="D641" s="5" t="s">
        <v>797</v>
      </c>
      <c r="E641" s="5" t="s">
        <v>1636</v>
      </c>
      <c r="F641" s="5" t="s">
        <v>1637</v>
      </c>
      <c r="G641" s="7">
        <v>45861</v>
      </c>
      <c r="H641" s="18">
        <f t="shared" si="28"/>
        <v>0.68767123287671228</v>
      </c>
      <c r="I641" s="5" t="s">
        <v>888</v>
      </c>
      <c r="J641" s="28">
        <v>26000</v>
      </c>
      <c r="K641" s="28"/>
      <c r="L641" s="28"/>
    </row>
    <row r="642" spans="1:12" ht="15" customHeight="1" x14ac:dyDescent="0.35">
      <c r="A642" s="10">
        <f t="shared" si="29"/>
        <v>638</v>
      </c>
      <c r="B642" s="3">
        <v>9326</v>
      </c>
      <c r="C642" s="5" t="s">
        <v>1639</v>
      </c>
      <c r="D642" s="5" t="s">
        <v>778</v>
      </c>
      <c r="E642" s="5" t="s">
        <v>314</v>
      </c>
      <c r="F642" s="5" t="s">
        <v>315</v>
      </c>
      <c r="G642" s="7">
        <v>45870</v>
      </c>
      <c r="H642" s="18">
        <f t="shared" si="28"/>
        <v>0.66301369863013704</v>
      </c>
      <c r="I642" s="5" t="s">
        <v>888</v>
      </c>
      <c r="J642" s="28">
        <v>23000</v>
      </c>
      <c r="K642" s="28"/>
      <c r="L642" s="28"/>
    </row>
    <row r="643" spans="1:12" ht="15" customHeight="1" x14ac:dyDescent="0.35">
      <c r="A643" s="10">
        <f t="shared" si="29"/>
        <v>639</v>
      </c>
      <c r="B643" s="3">
        <v>9327</v>
      </c>
      <c r="C643" s="5" t="s">
        <v>1640</v>
      </c>
      <c r="D643" s="5" t="s">
        <v>778</v>
      </c>
      <c r="E643" s="5" t="s">
        <v>314</v>
      </c>
      <c r="F643" s="5" t="s">
        <v>315</v>
      </c>
      <c r="G643" s="7">
        <v>45870</v>
      </c>
      <c r="H643" s="18">
        <f t="shared" si="28"/>
        <v>0.66301369863013704</v>
      </c>
      <c r="I643" s="5" t="s">
        <v>888</v>
      </c>
      <c r="J643" s="28">
        <v>23000</v>
      </c>
      <c r="K643" s="28"/>
      <c r="L643" s="28"/>
    </row>
    <row r="644" spans="1:12" ht="15" customHeight="1" x14ac:dyDescent="0.35">
      <c r="A644" s="10">
        <f t="shared" si="29"/>
        <v>640</v>
      </c>
      <c r="B644" s="3">
        <v>9328</v>
      </c>
      <c r="C644" s="5" t="s">
        <v>1641</v>
      </c>
      <c r="D644" s="5" t="s">
        <v>455</v>
      </c>
      <c r="E644" s="5" t="s">
        <v>198</v>
      </c>
      <c r="F644" s="5" t="s">
        <v>198</v>
      </c>
      <c r="G644" s="7">
        <v>45870</v>
      </c>
      <c r="H644" s="18">
        <f t="shared" si="28"/>
        <v>0.66301369863013704</v>
      </c>
      <c r="I644" s="5" t="s">
        <v>888</v>
      </c>
      <c r="J644" s="28">
        <v>20000</v>
      </c>
      <c r="K644" s="28"/>
      <c r="L644" s="28"/>
    </row>
    <row r="645" spans="1:12" ht="15" customHeight="1" x14ac:dyDescent="0.35">
      <c r="A645" s="10">
        <f t="shared" si="29"/>
        <v>641</v>
      </c>
      <c r="B645" s="3">
        <v>9336</v>
      </c>
      <c r="C645" s="5" t="s">
        <v>1644</v>
      </c>
      <c r="D645" s="5" t="s">
        <v>1645</v>
      </c>
      <c r="E645" s="5" t="s">
        <v>1646</v>
      </c>
      <c r="F645" s="5" t="s">
        <v>1647</v>
      </c>
      <c r="G645" s="7">
        <v>45873</v>
      </c>
      <c r="H645" s="18">
        <f t="shared" ref="H645:H708" si="31">($H$3-G645)/365</f>
        <v>0.65479452054794518</v>
      </c>
      <c r="I645" s="5" t="s">
        <v>888</v>
      </c>
      <c r="J645" s="28">
        <v>32000</v>
      </c>
      <c r="K645" s="28"/>
      <c r="L645" s="28"/>
    </row>
    <row r="646" spans="1:12" ht="15" customHeight="1" x14ac:dyDescent="0.35">
      <c r="A646" s="10">
        <f t="shared" ref="A646:A709" si="32">+A645+1</f>
        <v>642</v>
      </c>
      <c r="B646" s="3">
        <v>9337</v>
      </c>
      <c r="C646" s="5" t="s">
        <v>1648</v>
      </c>
      <c r="D646" s="5" t="s">
        <v>1649</v>
      </c>
      <c r="E646" s="5" t="s">
        <v>769</v>
      </c>
      <c r="F646" s="5" t="s">
        <v>769</v>
      </c>
      <c r="G646" s="7">
        <v>45873</v>
      </c>
      <c r="H646" s="18">
        <f t="shared" si="31"/>
        <v>0.65479452054794518</v>
      </c>
      <c r="I646" s="5" t="s">
        <v>1075</v>
      </c>
      <c r="J646" s="28">
        <v>28373.25</v>
      </c>
      <c r="K646" s="28"/>
      <c r="L646" s="28"/>
    </row>
    <row r="647" spans="1:12" ht="15" customHeight="1" x14ac:dyDescent="0.35">
      <c r="A647" s="10">
        <f t="shared" si="32"/>
        <v>643</v>
      </c>
      <c r="B647" s="3">
        <v>9338</v>
      </c>
      <c r="C647" s="5" t="s">
        <v>1650</v>
      </c>
      <c r="D647" s="5" t="s">
        <v>1271</v>
      </c>
      <c r="E647" s="5" t="s">
        <v>538</v>
      </c>
      <c r="F647" s="5" t="s">
        <v>538</v>
      </c>
      <c r="G647" s="7">
        <v>45875</v>
      </c>
      <c r="H647" s="18">
        <f t="shared" si="31"/>
        <v>0.64931506849315068</v>
      </c>
      <c r="I647" s="5" t="s">
        <v>888</v>
      </c>
      <c r="J647" s="28">
        <v>20000</v>
      </c>
      <c r="K647" s="28"/>
      <c r="L647" s="28"/>
    </row>
    <row r="648" spans="1:12" ht="15" customHeight="1" x14ac:dyDescent="0.35">
      <c r="A648" s="10">
        <f t="shared" si="32"/>
        <v>644</v>
      </c>
      <c r="B648" s="3">
        <v>9339</v>
      </c>
      <c r="C648" s="5" t="s">
        <v>1651</v>
      </c>
      <c r="D648" s="5" t="s">
        <v>930</v>
      </c>
      <c r="E648" s="5" t="s">
        <v>561</v>
      </c>
      <c r="F648" s="5" t="s">
        <v>561</v>
      </c>
      <c r="G648" s="7">
        <v>45875</v>
      </c>
      <c r="H648" s="18">
        <f t="shared" si="31"/>
        <v>0.64931506849315068</v>
      </c>
      <c r="I648" s="5" t="s">
        <v>888</v>
      </c>
      <c r="J648" s="28">
        <v>24500</v>
      </c>
      <c r="K648" s="28"/>
      <c r="L648" s="28"/>
    </row>
    <row r="649" spans="1:12" ht="15" customHeight="1" x14ac:dyDescent="0.35">
      <c r="A649" s="10">
        <f t="shared" si="32"/>
        <v>645</v>
      </c>
      <c r="B649" s="3">
        <v>9340</v>
      </c>
      <c r="C649" s="5" t="s">
        <v>1652</v>
      </c>
      <c r="D649" s="5" t="s">
        <v>455</v>
      </c>
      <c r="E649" s="5" t="s">
        <v>24</v>
      </c>
      <c r="F649" s="5" t="s">
        <v>152</v>
      </c>
      <c r="G649" s="7">
        <v>45870</v>
      </c>
      <c r="H649" s="18">
        <f t="shared" si="31"/>
        <v>0.66301369863013704</v>
      </c>
      <c r="I649" s="5" t="s">
        <v>888</v>
      </c>
      <c r="J649" s="28">
        <v>20000</v>
      </c>
      <c r="K649" s="28"/>
      <c r="L649" s="28"/>
    </row>
    <row r="650" spans="1:12" ht="15" customHeight="1" x14ac:dyDescent="0.35">
      <c r="A650" s="10">
        <f t="shared" si="32"/>
        <v>646</v>
      </c>
      <c r="B650" s="3">
        <v>9349</v>
      </c>
      <c r="C650" s="5" t="s">
        <v>1658</v>
      </c>
      <c r="D650" s="5" t="s">
        <v>807</v>
      </c>
      <c r="E650" s="5" t="s">
        <v>87</v>
      </c>
      <c r="F650" s="5" t="s">
        <v>808</v>
      </c>
      <c r="G650" s="7">
        <v>45885</v>
      </c>
      <c r="H650" s="18">
        <f t="shared" si="31"/>
        <v>0.62191780821917808</v>
      </c>
      <c r="I650" s="5" t="s">
        <v>888</v>
      </c>
      <c r="J650" s="28">
        <v>25000</v>
      </c>
      <c r="K650" s="28"/>
      <c r="L650" s="28"/>
    </row>
    <row r="651" spans="1:12" ht="15" customHeight="1" x14ac:dyDescent="0.35">
      <c r="A651" s="10">
        <f t="shared" si="32"/>
        <v>647</v>
      </c>
      <c r="B651" s="3">
        <v>9357</v>
      </c>
      <c r="C651" s="5" t="s">
        <v>1662</v>
      </c>
      <c r="D651" s="5" t="s">
        <v>669</v>
      </c>
      <c r="E651" s="5" t="s">
        <v>103</v>
      </c>
      <c r="F651" s="5" t="s">
        <v>103</v>
      </c>
      <c r="G651" s="7">
        <v>45896</v>
      </c>
      <c r="H651" s="18">
        <f t="shared" si="31"/>
        <v>0.59178082191780823</v>
      </c>
      <c r="I651" s="5" t="s">
        <v>888</v>
      </c>
      <c r="J651" s="28">
        <v>23500</v>
      </c>
      <c r="K651" s="28"/>
      <c r="L651" s="28"/>
    </row>
    <row r="652" spans="1:12" ht="15" customHeight="1" x14ac:dyDescent="0.35">
      <c r="A652" s="10">
        <f t="shared" si="32"/>
        <v>648</v>
      </c>
      <c r="B652" s="3">
        <v>9360</v>
      </c>
      <c r="C652" s="5" t="s">
        <v>1664</v>
      </c>
      <c r="D652" s="5" t="s">
        <v>733</v>
      </c>
      <c r="E652" s="5" t="s">
        <v>165</v>
      </c>
      <c r="F652" s="5" t="s">
        <v>165</v>
      </c>
      <c r="G652" s="7">
        <v>45901</v>
      </c>
      <c r="H652" s="18">
        <f t="shared" si="31"/>
        <v>0.57808219178082187</v>
      </c>
      <c r="I652" s="5" t="s">
        <v>13</v>
      </c>
      <c r="J652" s="28">
        <v>25107.25</v>
      </c>
      <c r="K652" s="28"/>
      <c r="L652" s="28"/>
    </row>
    <row r="653" spans="1:12" ht="15" customHeight="1" x14ac:dyDescent="0.35">
      <c r="A653" s="10">
        <f t="shared" si="32"/>
        <v>649</v>
      </c>
      <c r="B653" s="3">
        <v>9361</v>
      </c>
      <c r="C653" s="5" t="s">
        <v>1665</v>
      </c>
      <c r="D653" s="5" t="s">
        <v>669</v>
      </c>
      <c r="E653" s="5" t="s">
        <v>103</v>
      </c>
      <c r="F653" s="5" t="s">
        <v>103</v>
      </c>
      <c r="G653" s="7">
        <v>45901</v>
      </c>
      <c r="H653" s="18">
        <f t="shared" si="31"/>
        <v>0.57808219178082187</v>
      </c>
      <c r="I653" s="5" t="s">
        <v>888</v>
      </c>
      <c r="J653" s="28">
        <v>23500</v>
      </c>
      <c r="K653" s="28"/>
      <c r="L653" s="28"/>
    </row>
    <row r="654" spans="1:12" ht="15" customHeight="1" x14ac:dyDescent="0.35">
      <c r="A654" s="10">
        <f t="shared" si="32"/>
        <v>650</v>
      </c>
      <c r="B654" s="3">
        <v>9364</v>
      </c>
      <c r="C654" s="5" t="s">
        <v>1667</v>
      </c>
      <c r="D654" s="5" t="s">
        <v>830</v>
      </c>
      <c r="E654" s="5" t="s">
        <v>35</v>
      </c>
      <c r="F654" s="5" t="s">
        <v>36</v>
      </c>
      <c r="G654" s="7">
        <v>45901</v>
      </c>
      <c r="H654" s="18">
        <f t="shared" si="31"/>
        <v>0.57808219178082187</v>
      </c>
      <c r="I654" s="5" t="s">
        <v>888</v>
      </c>
      <c r="J654" s="28">
        <v>19999.5</v>
      </c>
      <c r="K654" s="28"/>
      <c r="L654" s="28"/>
    </row>
    <row r="655" spans="1:12" ht="15" customHeight="1" x14ac:dyDescent="0.35">
      <c r="A655" s="10">
        <f t="shared" si="32"/>
        <v>651</v>
      </c>
      <c r="B655" s="3">
        <v>9385</v>
      </c>
      <c r="C655" s="5" t="s">
        <v>1676</v>
      </c>
      <c r="D655" s="5" t="s">
        <v>669</v>
      </c>
      <c r="E655" s="5" t="s">
        <v>103</v>
      </c>
      <c r="F655" s="5" t="s">
        <v>103</v>
      </c>
      <c r="G655" s="7">
        <v>45915</v>
      </c>
      <c r="H655" s="18">
        <f t="shared" si="31"/>
        <v>0.53972602739726028</v>
      </c>
      <c r="I655" s="5" t="s">
        <v>888</v>
      </c>
      <c r="J655" s="28">
        <v>24000</v>
      </c>
      <c r="K655" s="28"/>
      <c r="L655" s="28"/>
    </row>
    <row r="656" spans="1:12" ht="15" customHeight="1" x14ac:dyDescent="0.35">
      <c r="A656" s="10">
        <f t="shared" si="32"/>
        <v>652</v>
      </c>
      <c r="B656" s="3">
        <v>9387</v>
      </c>
      <c r="C656" s="5" t="s">
        <v>1677</v>
      </c>
      <c r="D656" s="5" t="s">
        <v>1678</v>
      </c>
      <c r="E656" s="5" t="s">
        <v>631</v>
      </c>
      <c r="F656" s="5" t="s">
        <v>632</v>
      </c>
      <c r="G656" s="7">
        <v>45915</v>
      </c>
      <c r="H656" s="18">
        <f t="shared" si="31"/>
        <v>0.53972602739726028</v>
      </c>
      <c r="I656" s="5" t="s">
        <v>888</v>
      </c>
      <c r="J656" s="28">
        <v>20000</v>
      </c>
      <c r="K656" s="28"/>
      <c r="L656" s="28"/>
    </row>
    <row r="657" spans="1:12" ht="15" customHeight="1" x14ac:dyDescent="0.35">
      <c r="A657" s="10">
        <f t="shared" si="32"/>
        <v>653</v>
      </c>
      <c r="B657" s="3">
        <v>9388</v>
      </c>
      <c r="C657" s="5" t="s">
        <v>1679</v>
      </c>
      <c r="D657" s="5" t="s">
        <v>488</v>
      </c>
      <c r="E657" s="5" t="s">
        <v>94</v>
      </c>
      <c r="F657" s="5" t="s">
        <v>94</v>
      </c>
      <c r="G657" s="7">
        <v>45918</v>
      </c>
      <c r="H657" s="18">
        <f t="shared" si="31"/>
        <v>0.53150684931506853</v>
      </c>
      <c r="I657" s="5" t="s">
        <v>888</v>
      </c>
      <c r="J657" s="28">
        <v>23500</v>
      </c>
      <c r="K657" s="28"/>
      <c r="L657" s="28"/>
    </row>
    <row r="658" spans="1:12" ht="15" customHeight="1" x14ac:dyDescent="0.35">
      <c r="A658" s="10">
        <f t="shared" si="32"/>
        <v>654</v>
      </c>
      <c r="B658" s="3">
        <v>9391</v>
      </c>
      <c r="C658" s="5" t="s">
        <v>1680</v>
      </c>
      <c r="D658" s="5" t="s">
        <v>669</v>
      </c>
      <c r="E658" s="5" t="s">
        <v>103</v>
      </c>
      <c r="F658" s="5" t="s">
        <v>103</v>
      </c>
      <c r="G658" s="7">
        <v>45922</v>
      </c>
      <c r="H658" s="18">
        <f t="shared" si="31"/>
        <v>0.52054794520547942</v>
      </c>
      <c r="I658" s="5" t="s">
        <v>888</v>
      </c>
      <c r="J658" s="28">
        <v>23500</v>
      </c>
      <c r="K658" s="28"/>
      <c r="L658" s="28"/>
    </row>
    <row r="659" spans="1:12" ht="15" customHeight="1" x14ac:dyDescent="0.35">
      <c r="A659" s="10">
        <f t="shared" si="32"/>
        <v>655</v>
      </c>
      <c r="B659" s="3">
        <v>9393</v>
      </c>
      <c r="C659" s="5" t="s">
        <v>1681</v>
      </c>
      <c r="D659" s="5" t="s">
        <v>21</v>
      </c>
      <c r="E659" s="5" t="s">
        <v>950</v>
      </c>
      <c r="F659" s="5" t="s">
        <v>950</v>
      </c>
      <c r="G659" s="7">
        <v>45922</v>
      </c>
      <c r="H659" s="18">
        <f t="shared" si="31"/>
        <v>0.52054794520547942</v>
      </c>
      <c r="I659" s="5" t="s">
        <v>888</v>
      </c>
      <c r="J659" s="28">
        <v>27000</v>
      </c>
      <c r="K659" s="28"/>
      <c r="L659" s="28"/>
    </row>
    <row r="660" spans="1:12" ht="15" customHeight="1" x14ac:dyDescent="0.35">
      <c r="A660" s="10">
        <f t="shared" si="32"/>
        <v>656</v>
      </c>
      <c r="B660" s="3">
        <v>9410</v>
      </c>
      <c r="C660" s="5" t="s">
        <v>1690</v>
      </c>
      <c r="D660" s="5" t="s">
        <v>455</v>
      </c>
      <c r="E660" s="5" t="s">
        <v>68</v>
      </c>
      <c r="F660" s="5" t="s">
        <v>254</v>
      </c>
      <c r="G660" s="7">
        <v>45931</v>
      </c>
      <c r="H660" s="18">
        <f t="shared" si="31"/>
        <v>0.49589041095890413</v>
      </c>
      <c r="I660" s="5" t="s">
        <v>888</v>
      </c>
      <c r="J660" s="28">
        <v>20000</v>
      </c>
      <c r="K660" s="28"/>
      <c r="L660" s="28"/>
    </row>
    <row r="661" spans="1:12" ht="15" customHeight="1" x14ac:dyDescent="0.35">
      <c r="A661" s="10">
        <f t="shared" si="32"/>
        <v>657</v>
      </c>
      <c r="B661" s="3">
        <v>9412</v>
      </c>
      <c r="C661" s="5" t="s">
        <v>1069</v>
      </c>
      <c r="D661" s="5" t="s">
        <v>455</v>
      </c>
      <c r="E661" s="5" t="s">
        <v>68</v>
      </c>
      <c r="F661" s="5" t="s">
        <v>254</v>
      </c>
      <c r="G661" s="7">
        <v>45931</v>
      </c>
      <c r="H661" s="18">
        <f t="shared" si="31"/>
        <v>0.49589041095890413</v>
      </c>
      <c r="I661" s="5" t="s">
        <v>888</v>
      </c>
      <c r="J661" s="28">
        <v>20000</v>
      </c>
      <c r="K661" s="28"/>
      <c r="L661" s="28"/>
    </row>
    <row r="662" spans="1:12" ht="15" customHeight="1" x14ac:dyDescent="0.35">
      <c r="A662" s="10">
        <f t="shared" si="32"/>
        <v>658</v>
      </c>
      <c r="B662" s="3">
        <v>9414</v>
      </c>
      <c r="C662" s="5" t="s">
        <v>1691</v>
      </c>
      <c r="D662" s="5" t="s">
        <v>733</v>
      </c>
      <c r="E662" s="5" t="s">
        <v>165</v>
      </c>
      <c r="F662" s="5" t="s">
        <v>165</v>
      </c>
      <c r="G662" s="7">
        <v>45936</v>
      </c>
      <c r="H662" s="18">
        <f t="shared" si="31"/>
        <v>0.48219178082191783</v>
      </c>
      <c r="I662" s="5" t="s">
        <v>1075</v>
      </c>
      <c r="J662" s="28">
        <v>30000.25</v>
      </c>
      <c r="K662" s="28"/>
      <c r="L662" s="28"/>
    </row>
    <row r="663" spans="1:12" ht="15" customHeight="1" x14ac:dyDescent="0.35">
      <c r="A663" s="10">
        <f t="shared" si="32"/>
        <v>659</v>
      </c>
      <c r="B663" s="3">
        <v>9415</v>
      </c>
      <c r="C663" s="5" t="s">
        <v>1692</v>
      </c>
      <c r="D663" s="5" t="s">
        <v>455</v>
      </c>
      <c r="E663" s="5" t="s">
        <v>68</v>
      </c>
      <c r="F663" s="5" t="s">
        <v>254</v>
      </c>
      <c r="G663" s="7">
        <v>45931</v>
      </c>
      <c r="H663" s="18">
        <f t="shared" si="31"/>
        <v>0.49589041095890413</v>
      </c>
      <c r="I663" s="5" t="s">
        <v>888</v>
      </c>
      <c r="J663" s="28">
        <v>20000</v>
      </c>
      <c r="K663" s="28"/>
      <c r="L663" s="28"/>
    </row>
    <row r="664" spans="1:12" ht="15" customHeight="1" x14ac:dyDescent="0.35">
      <c r="A664" s="10">
        <f t="shared" si="32"/>
        <v>660</v>
      </c>
      <c r="B664" s="3">
        <v>9416</v>
      </c>
      <c r="C664" s="5" t="s">
        <v>1693</v>
      </c>
      <c r="D664" s="5" t="s">
        <v>807</v>
      </c>
      <c r="E664" s="5" t="s">
        <v>87</v>
      </c>
      <c r="F664" s="5" t="s">
        <v>808</v>
      </c>
      <c r="G664" s="7">
        <v>45931</v>
      </c>
      <c r="H664" s="18">
        <f t="shared" si="31"/>
        <v>0.49589041095890413</v>
      </c>
      <c r="I664" s="5" t="s">
        <v>888</v>
      </c>
      <c r="J664" s="28">
        <v>25000</v>
      </c>
      <c r="K664" s="28"/>
      <c r="L664" s="28"/>
    </row>
    <row r="665" spans="1:12" ht="15" customHeight="1" x14ac:dyDescent="0.35">
      <c r="A665" s="10">
        <f t="shared" si="32"/>
        <v>661</v>
      </c>
      <c r="B665" s="3">
        <v>9417</v>
      </c>
      <c r="C665" s="5" t="s">
        <v>1694</v>
      </c>
      <c r="D665" s="5" t="s">
        <v>1458</v>
      </c>
      <c r="E665" s="5" t="s">
        <v>1459</v>
      </c>
      <c r="F665" s="5" t="s">
        <v>1460</v>
      </c>
      <c r="G665" s="7">
        <v>45943</v>
      </c>
      <c r="H665" s="18">
        <f t="shared" si="31"/>
        <v>0.46301369863013697</v>
      </c>
      <c r="I665" s="5" t="s">
        <v>888</v>
      </c>
      <c r="J665" s="28">
        <v>20000</v>
      </c>
      <c r="K665" s="28"/>
      <c r="L665" s="28"/>
    </row>
    <row r="666" spans="1:12" ht="15" customHeight="1" x14ac:dyDescent="0.35">
      <c r="A666" s="10">
        <f t="shared" si="32"/>
        <v>662</v>
      </c>
      <c r="B666" s="3">
        <v>9418</v>
      </c>
      <c r="C666" s="5" t="s">
        <v>1695</v>
      </c>
      <c r="D666" s="5" t="s">
        <v>669</v>
      </c>
      <c r="E666" s="5" t="s">
        <v>103</v>
      </c>
      <c r="F666" s="5" t="s">
        <v>103</v>
      </c>
      <c r="G666" s="7">
        <v>45943</v>
      </c>
      <c r="H666" s="18">
        <f t="shared" si="31"/>
        <v>0.46301369863013697</v>
      </c>
      <c r="I666" s="5" t="s">
        <v>888</v>
      </c>
      <c r="J666" s="28">
        <v>24000</v>
      </c>
      <c r="K666" s="28"/>
      <c r="L666" s="28"/>
    </row>
    <row r="667" spans="1:12" ht="15" customHeight="1" x14ac:dyDescent="0.35">
      <c r="A667" s="10">
        <f t="shared" si="32"/>
        <v>663</v>
      </c>
      <c r="B667" s="3">
        <v>9419</v>
      </c>
      <c r="C667" s="5" t="s">
        <v>1696</v>
      </c>
      <c r="D667" s="5" t="s">
        <v>669</v>
      </c>
      <c r="E667" s="5" t="s">
        <v>103</v>
      </c>
      <c r="F667" s="5" t="s">
        <v>103</v>
      </c>
      <c r="G667" s="7">
        <v>45943</v>
      </c>
      <c r="H667" s="18">
        <f t="shared" si="31"/>
        <v>0.46301369863013697</v>
      </c>
      <c r="I667" s="5" t="s">
        <v>888</v>
      </c>
      <c r="J667" s="28">
        <v>23500</v>
      </c>
      <c r="K667" s="28"/>
      <c r="L667" s="28"/>
    </row>
    <row r="668" spans="1:12" ht="15" customHeight="1" x14ac:dyDescent="0.35">
      <c r="A668" s="10">
        <f t="shared" si="32"/>
        <v>664</v>
      </c>
      <c r="B668" s="3">
        <v>9422</v>
      </c>
      <c r="C668" s="5" t="s">
        <v>1698</v>
      </c>
      <c r="D668" s="5" t="s">
        <v>693</v>
      </c>
      <c r="E668" s="5" t="s">
        <v>181</v>
      </c>
      <c r="F668" s="5" t="s">
        <v>181</v>
      </c>
      <c r="G668" s="7">
        <v>45945</v>
      </c>
      <c r="H668" s="18">
        <f t="shared" si="31"/>
        <v>0.45753424657534247</v>
      </c>
      <c r="I668" s="5" t="s">
        <v>1075</v>
      </c>
      <c r="J668" s="28">
        <v>25784.25</v>
      </c>
      <c r="K668" s="28"/>
      <c r="L668" s="28"/>
    </row>
    <row r="669" spans="1:12" ht="15" customHeight="1" x14ac:dyDescent="0.35">
      <c r="A669" s="10">
        <f t="shared" si="32"/>
        <v>665</v>
      </c>
      <c r="B669" s="3">
        <v>9431</v>
      </c>
      <c r="C669" s="5" t="s">
        <v>1701</v>
      </c>
      <c r="D669" s="5" t="s">
        <v>1702</v>
      </c>
      <c r="E669" s="5" t="s">
        <v>505</v>
      </c>
      <c r="F669" s="5" t="s">
        <v>505</v>
      </c>
      <c r="G669" s="7">
        <v>45946</v>
      </c>
      <c r="H669" s="18">
        <f t="shared" si="31"/>
        <v>0.45479452054794522</v>
      </c>
      <c r="I669" s="5" t="s">
        <v>1075</v>
      </c>
      <c r="J669" s="28">
        <v>25000.25</v>
      </c>
      <c r="K669" s="28"/>
      <c r="L669" s="28"/>
    </row>
    <row r="670" spans="1:12" ht="15" customHeight="1" x14ac:dyDescent="0.35">
      <c r="A670" s="10">
        <f t="shared" si="32"/>
        <v>666</v>
      </c>
      <c r="B670" s="3">
        <v>9432</v>
      </c>
      <c r="C670" s="5" t="s">
        <v>1703</v>
      </c>
      <c r="D670" s="5" t="s">
        <v>1373</v>
      </c>
      <c r="E670" s="5" t="s">
        <v>263</v>
      </c>
      <c r="F670" s="5" t="s">
        <v>1374</v>
      </c>
      <c r="G670" s="7">
        <v>45951</v>
      </c>
      <c r="H670" s="18">
        <f t="shared" si="31"/>
        <v>0.44109589041095892</v>
      </c>
      <c r="I670" s="5" t="s">
        <v>888</v>
      </c>
      <c r="J670" s="28">
        <v>23000</v>
      </c>
      <c r="K670" s="28"/>
      <c r="L670" s="28"/>
    </row>
    <row r="671" spans="1:12" ht="15" customHeight="1" x14ac:dyDescent="0.35">
      <c r="A671" s="10">
        <f t="shared" si="32"/>
        <v>667</v>
      </c>
      <c r="B671" s="3">
        <v>9434</v>
      </c>
      <c r="C671" s="5" t="s">
        <v>1704</v>
      </c>
      <c r="D671" s="5" t="s">
        <v>21</v>
      </c>
      <c r="E671" s="5" t="s">
        <v>198</v>
      </c>
      <c r="F671" s="5" t="s">
        <v>198</v>
      </c>
      <c r="G671" s="7">
        <v>45951</v>
      </c>
      <c r="H671" s="18">
        <f t="shared" si="31"/>
        <v>0.44109589041095892</v>
      </c>
      <c r="I671" s="5" t="s">
        <v>888</v>
      </c>
      <c r="J671" s="28">
        <v>25000</v>
      </c>
      <c r="K671" s="28"/>
      <c r="L671" s="28"/>
    </row>
    <row r="672" spans="1:12" ht="15" customHeight="1" x14ac:dyDescent="0.35">
      <c r="A672" s="10">
        <f t="shared" si="32"/>
        <v>668</v>
      </c>
      <c r="B672" s="3">
        <v>9436</v>
      </c>
      <c r="C672" s="5" t="s">
        <v>1705</v>
      </c>
      <c r="D672" s="5" t="s">
        <v>733</v>
      </c>
      <c r="E672" s="5" t="s">
        <v>165</v>
      </c>
      <c r="F672" s="5" t="s">
        <v>165</v>
      </c>
      <c r="G672" s="7">
        <v>45952</v>
      </c>
      <c r="H672" s="18">
        <f t="shared" si="31"/>
        <v>0.43835616438356162</v>
      </c>
      <c r="I672" s="5" t="s">
        <v>888</v>
      </c>
      <c r="J672" s="28">
        <v>23500</v>
      </c>
      <c r="K672" s="28"/>
      <c r="L672" s="28"/>
    </row>
    <row r="673" spans="1:12" ht="15" customHeight="1" x14ac:dyDescent="0.35">
      <c r="A673" s="10">
        <f t="shared" si="32"/>
        <v>669</v>
      </c>
      <c r="B673" s="3">
        <v>9437</v>
      </c>
      <c r="C673" s="5" t="s">
        <v>1706</v>
      </c>
      <c r="D673" s="5" t="s">
        <v>797</v>
      </c>
      <c r="E673" s="5" t="s">
        <v>1646</v>
      </c>
      <c r="F673" s="5" t="s">
        <v>1647</v>
      </c>
      <c r="G673" s="7">
        <v>45953</v>
      </c>
      <c r="H673" s="18">
        <f t="shared" si="31"/>
        <v>0.43561643835616437</v>
      </c>
      <c r="I673" s="5" t="s">
        <v>888</v>
      </c>
      <c r="J673" s="28">
        <v>28000</v>
      </c>
      <c r="K673" s="28"/>
      <c r="L673" s="28"/>
    </row>
    <row r="674" spans="1:12" ht="15" customHeight="1" x14ac:dyDescent="0.35">
      <c r="A674" s="10">
        <f t="shared" si="32"/>
        <v>670</v>
      </c>
      <c r="B674" s="3">
        <v>9438</v>
      </c>
      <c r="C674" s="5" t="s">
        <v>1707</v>
      </c>
      <c r="D674" s="5" t="s">
        <v>21</v>
      </c>
      <c r="E674" s="5" t="s">
        <v>117</v>
      </c>
      <c r="F674" s="5" t="s">
        <v>176</v>
      </c>
      <c r="G674" s="7">
        <v>45954</v>
      </c>
      <c r="H674" s="18">
        <f t="shared" si="31"/>
        <v>0.43287671232876712</v>
      </c>
      <c r="I674" s="5" t="s">
        <v>1075</v>
      </c>
      <c r="J674" s="28">
        <v>25000.25</v>
      </c>
      <c r="K674" s="28"/>
      <c r="L674" s="28"/>
    </row>
    <row r="675" spans="1:12" ht="15" customHeight="1" x14ac:dyDescent="0.35">
      <c r="A675" s="10">
        <f t="shared" si="32"/>
        <v>671</v>
      </c>
      <c r="B675" s="3">
        <v>9439</v>
      </c>
      <c r="C675" s="5" t="s">
        <v>1708</v>
      </c>
      <c r="D675" s="5" t="s">
        <v>1709</v>
      </c>
      <c r="E675" s="5" t="s">
        <v>1710</v>
      </c>
      <c r="F675" s="5" t="s">
        <v>57</v>
      </c>
      <c r="G675" s="7">
        <v>45955</v>
      </c>
      <c r="H675" s="18">
        <f t="shared" si="31"/>
        <v>0.43013698630136987</v>
      </c>
      <c r="I675" s="5" t="s">
        <v>1075</v>
      </c>
      <c r="J675" s="28">
        <v>32000.25</v>
      </c>
      <c r="K675" s="28"/>
      <c r="L675" s="28"/>
    </row>
    <row r="676" spans="1:12" ht="15" customHeight="1" x14ac:dyDescent="0.35">
      <c r="A676" s="10">
        <f t="shared" si="32"/>
        <v>672</v>
      </c>
      <c r="B676" s="3">
        <v>9440</v>
      </c>
      <c r="C676" s="5" t="s">
        <v>1711</v>
      </c>
      <c r="D676" s="5" t="s">
        <v>488</v>
      </c>
      <c r="E676" s="5" t="s">
        <v>94</v>
      </c>
      <c r="F676" s="5" t="s">
        <v>94</v>
      </c>
      <c r="G676" s="7">
        <v>45962</v>
      </c>
      <c r="H676" s="18">
        <f t="shared" si="31"/>
        <v>0.41095890410958902</v>
      </c>
      <c r="I676" s="5" t="s">
        <v>888</v>
      </c>
      <c r="J676" s="28">
        <v>23500</v>
      </c>
      <c r="K676" s="28"/>
      <c r="L676" s="28"/>
    </row>
    <row r="677" spans="1:12" ht="15" customHeight="1" x14ac:dyDescent="0.35">
      <c r="A677" s="10">
        <f t="shared" si="32"/>
        <v>673</v>
      </c>
      <c r="B677" s="3">
        <v>9450</v>
      </c>
      <c r="C677" s="5" t="s">
        <v>1716</v>
      </c>
      <c r="D677" s="5" t="s">
        <v>576</v>
      </c>
      <c r="E677" s="5" t="s">
        <v>24</v>
      </c>
      <c r="F677" s="5" t="s">
        <v>24</v>
      </c>
      <c r="G677" s="7">
        <v>45966</v>
      </c>
      <c r="H677" s="18">
        <f t="shared" si="31"/>
        <v>0.4</v>
      </c>
      <c r="I677" s="5" t="s">
        <v>1075</v>
      </c>
      <c r="J677" s="28">
        <v>40000</v>
      </c>
      <c r="K677" s="28"/>
      <c r="L677" s="28"/>
    </row>
    <row r="678" spans="1:12" ht="15" customHeight="1" x14ac:dyDescent="0.35">
      <c r="A678" s="10">
        <f t="shared" si="32"/>
        <v>674</v>
      </c>
      <c r="B678" s="3">
        <v>9451</v>
      </c>
      <c r="C678" s="5" t="s">
        <v>1717</v>
      </c>
      <c r="D678" s="5" t="s">
        <v>488</v>
      </c>
      <c r="E678" s="5" t="s">
        <v>228</v>
      </c>
      <c r="F678" s="5" t="s">
        <v>228</v>
      </c>
      <c r="G678" s="7">
        <v>45971</v>
      </c>
      <c r="H678" s="18">
        <f t="shared" si="31"/>
        <v>0.38630136986301372</v>
      </c>
      <c r="I678" s="5" t="s">
        <v>888</v>
      </c>
      <c r="J678" s="28">
        <v>23500</v>
      </c>
      <c r="K678" s="28"/>
      <c r="L678" s="28"/>
    </row>
    <row r="679" spans="1:12" ht="15" customHeight="1" x14ac:dyDescent="0.35">
      <c r="A679" s="10">
        <f t="shared" si="32"/>
        <v>675</v>
      </c>
      <c r="B679" s="3">
        <v>9452</v>
      </c>
      <c r="C679" s="5" t="s">
        <v>1718</v>
      </c>
      <c r="D679" s="5" t="s">
        <v>488</v>
      </c>
      <c r="E679" s="5" t="s">
        <v>228</v>
      </c>
      <c r="F679" s="5" t="s">
        <v>228</v>
      </c>
      <c r="G679" s="7">
        <v>45971</v>
      </c>
      <c r="H679" s="18">
        <f t="shared" si="31"/>
        <v>0.38630136986301372</v>
      </c>
      <c r="I679" s="5" t="s">
        <v>888</v>
      </c>
      <c r="J679" s="28">
        <v>23500</v>
      </c>
      <c r="K679" s="28"/>
      <c r="L679" s="28"/>
    </row>
    <row r="680" spans="1:12" ht="15" customHeight="1" x14ac:dyDescent="0.35">
      <c r="A680" s="10">
        <f t="shared" si="32"/>
        <v>676</v>
      </c>
      <c r="B680" s="3">
        <v>9455</v>
      </c>
      <c r="C680" s="5" t="s">
        <v>1720</v>
      </c>
      <c r="D680" s="5" t="s">
        <v>488</v>
      </c>
      <c r="E680" s="5" t="s">
        <v>228</v>
      </c>
      <c r="F680" s="5" t="s">
        <v>228</v>
      </c>
      <c r="G680" s="7">
        <v>45973</v>
      </c>
      <c r="H680" s="18">
        <f t="shared" si="31"/>
        <v>0.38082191780821917</v>
      </c>
      <c r="I680" s="5" t="s">
        <v>888</v>
      </c>
      <c r="J680" s="28">
        <v>23500</v>
      </c>
      <c r="K680" s="28"/>
      <c r="L680" s="28"/>
    </row>
    <row r="681" spans="1:12" ht="15" customHeight="1" x14ac:dyDescent="0.35">
      <c r="A681" s="10">
        <f t="shared" si="32"/>
        <v>677</v>
      </c>
      <c r="B681" s="3">
        <v>9456</v>
      </c>
      <c r="C681" s="5" t="s">
        <v>1721</v>
      </c>
      <c r="D681" s="5" t="s">
        <v>780</v>
      </c>
      <c r="E681" s="5" t="s">
        <v>407</v>
      </c>
      <c r="F681" s="5" t="s">
        <v>408</v>
      </c>
      <c r="G681" s="7">
        <v>45973</v>
      </c>
      <c r="H681" s="18">
        <f t="shared" si="31"/>
        <v>0.38082191780821917</v>
      </c>
      <c r="I681" s="5" t="s">
        <v>1075</v>
      </c>
      <c r="J681" s="28">
        <v>90000</v>
      </c>
      <c r="K681" s="28"/>
      <c r="L681" s="28"/>
    </row>
    <row r="682" spans="1:12" ht="15" customHeight="1" x14ac:dyDescent="0.35">
      <c r="A682" s="10">
        <f t="shared" si="32"/>
        <v>678</v>
      </c>
      <c r="B682" s="3">
        <v>9457</v>
      </c>
      <c r="C682" s="5" t="s">
        <v>1722</v>
      </c>
      <c r="D682" s="5" t="s">
        <v>1373</v>
      </c>
      <c r="E682" s="5" t="s">
        <v>263</v>
      </c>
      <c r="F682" s="5" t="s">
        <v>1374</v>
      </c>
      <c r="G682" s="7">
        <v>45974</v>
      </c>
      <c r="H682" s="18">
        <f t="shared" si="31"/>
        <v>0.37808219178082192</v>
      </c>
      <c r="I682" s="5" t="s">
        <v>888</v>
      </c>
      <c r="J682" s="28">
        <v>25000</v>
      </c>
      <c r="K682" s="28"/>
      <c r="L682" s="28"/>
    </row>
    <row r="683" spans="1:12" ht="15" customHeight="1" x14ac:dyDescent="0.35">
      <c r="A683" s="10">
        <f t="shared" si="32"/>
        <v>679</v>
      </c>
      <c r="B683" s="3">
        <v>9459</v>
      </c>
      <c r="C683" s="5" t="s">
        <v>1724</v>
      </c>
      <c r="D683" s="5" t="s">
        <v>1725</v>
      </c>
      <c r="E683" s="5" t="s">
        <v>1646</v>
      </c>
      <c r="F683" s="5" t="s">
        <v>1647</v>
      </c>
      <c r="G683" s="7">
        <v>45978</v>
      </c>
      <c r="H683" s="18">
        <f t="shared" si="31"/>
        <v>0.36712328767123287</v>
      </c>
      <c r="I683" s="5" t="s">
        <v>1075</v>
      </c>
      <c r="J683" s="28">
        <v>60000</v>
      </c>
      <c r="K683" s="28"/>
      <c r="L683" s="28"/>
    </row>
    <row r="684" spans="1:12" ht="15" customHeight="1" x14ac:dyDescent="0.35">
      <c r="A684" s="10">
        <f t="shared" si="32"/>
        <v>680</v>
      </c>
      <c r="B684" s="3">
        <v>9460</v>
      </c>
      <c r="C684" s="5" t="s">
        <v>1726</v>
      </c>
      <c r="D684" s="5" t="s">
        <v>21</v>
      </c>
      <c r="E684" s="5" t="s">
        <v>950</v>
      </c>
      <c r="F684" s="5" t="s">
        <v>950</v>
      </c>
      <c r="G684" s="7">
        <v>45978</v>
      </c>
      <c r="H684" s="18">
        <f t="shared" si="31"/>
        <v>0.36712328767123287</v>
      </c>
      <c r="I684" s="5" t="s">
        <v>1075</v>
      </c>
      <c r="J684" s="28">
        <v>28000.25</v>
      </c>
      <c r="K684" s="28"/>
      <c r="L684" s="28"/>
    </row>
    <row r="685" spans="1:12" ht="15" customHeight="1" x14ac:dyDescent="0.35">
      <c r="A685" s="10">
        <f t="shared" si="32"/>
        <v>681</v>
      </c>
      <c r="B685" s="3">
        <v>9461</v>
      </c>
      <c r="C685" s="5" t="s">
        <v>1727</v>
      </c>
      <c r="D685" s="5" t="s">
        <v>21</v>
      </c>
      <c r="E685" s="5" t="s">
        <v>1315</v>
      </c>
      <c r="F685" s="5" t="s">
        <v>1315</v>
      </c>
      <c r="G685" s="7">
        <v>45978</v>
      </c>
      <c r="H685" s="18">
        <f t="shared" si="31"/>
        <v>0.36712328767123287</v>
      </c>
      <c r="I685" s="5" t="s">
        <v>1075</v>
      </c>
      <c r="J685" s="28">
        <v>35000.25</v>
      </c>
      <c r="K685" s="28"/>
      <c r="L685" s="28"/>
    </row>
    <row r="686" spans="1:12" ht="15" customHeight="1" x14ac:dyDescent="0.35">
      <c r="A686" s="10">
        <f t="shared" si="32"/>
        <v>682</v>
      </c>
      <c r="B686" s="3">
        <v>9464</v>
      </c>
      <c r="C686" s="5" t="s">
        <v>1731</v>
      </c>
      <c r="D686" s="5" t="s">
        <v>599</v>
      </c>
      <c r="E686" s="5" t="s">
        <v>54</v>
      </c>
      <c r="F686" s="5" t="s">
        <v>54</v>
      </c>
      <c r="G686" s="7">
        <v>45985</v>
      </c>
      <c r="H686" s="18">
        <f t="shared" si="31"/>
        <v>0.34794520547945207</v>
      </c>
      <c r="I686" s="5" t="s">
        <v>1075</v>
      </c>
      <c r="J686" s="28">
        <v>23489.25</v>
      </c>
      <c r="K686" s="28"/>
      <c r="L686" s="28"/>
    </row>
    <row r="687" spans="1:12" ht="15" customHeight="1" x14ac:dyDescent="0.35">
      <c r="A687" s="10">
        <f t="shared" si="32"/>
        <v>683</v>
      </c>
      <c r="B687" s="3">
        <v>9465</v>
      </c>
      <c r="C687" s="5" t="s">
        <v>1732</v>
      </c>
      <c r="D687" s="5" t="s">
        <v>21</v>
      </c>
      <c r="E687" s="5" t="s">
        <v>950</v>
      </c>
      <c r="F687" s="5" t="s">
        <v>950</v>
      </c>
      <c r="G687" s="7">
        <v>45985</v>
      </c>
      <c r="H687" s="18">
        <f t="shared" si="31"/>
        <v>0.34794520547945207</v>
      </c>
      <c r="I687" s="5" t="s">
        <v>1075</v>
      </c>
      <c r="J687" s="28">
        <v>28000.25</v>
      </c>
      <c r="K687" s="28"/>
      <c r="L687" s="28"/>
    </row>
    <row r="688" spans="1:12" ht="15" customHeight="1" x14ac:dyDescent="0.35">
      <c r="A688" s="10">
        <f t="shared" si="32"/>
        <v>684</v>
      </c>
      <c r="B688" s="3">
        <v>9466</v>
      </c>
      <c r="C688" s="5" t="s">
        <v>1733</v>
      </c>
      <c r="D688" s="5" t="s">
        <v>797</v>
      </c>
      <c r="E688" s="5" t="s">
        <v>662</v>
      </c>
      <c r="F688" s="5" t="s">
        <v>662</v>
      </c>
      <c r="G688" s="7">
        <v>45986</v>
      </c>
      <c r="H688" s="18">
        <f t="shared" si="31"/>
        <v>0.34520547945205482</v>
      </c>
      <c r="I688" s="5" t="s">
        <v>888</v>
      </c>
      <c r="J688" s="28">
        <v>25000</v>
      </c>
      <c r="K688" s="28"/>
      <c r="L688" s="28"/>
    </row>
    <row r="689" spans="1:12" ht="15" customHeight="1" x14ac:dyDescent="0.35">
      <c r="A689" s="10">
        <f t="shared" si="32"/>
        <v>685</v>
      </c>
      <c r="B689" s="3">
        <v>9471</v>
      </c>
      <c r="C689" s="5" t="s">
        <v>1735</v>
      </c>
      <c r="D689" s="5" t="s">
        <v>678</v>
      </c>
      <c r="E689" s="5" t="s">
        <v>87</v>
      </c>
      <c r="F689" s="5" t="s">
        <v>678</v>
      </c>
      <c r="G689" s="7">
        <v>45992</v>
      </c>
      <c r="H689" s="18">
        <f t="shared" si="31"/>
        <v>0.32876712328767121</v>
      </c>
      <c r="I689" s="5" t="s">
        <v>1075</v>
      </c>
      <c r="J689" s="28">
        <v>26213.25</v>
      </c>
      <c r="K689" s="28"/>
      <c r="L689" s="28"/>
    </row>
    <row r="690" spans="1:12" ht="15" customHeight="1" x14ac:dyDescent="0.35">
      <c r="A690" s="10">
        <f t="shared" si="32"/>
        <v>686</v>
      </c>
      <c r="B690" s="3">
        <v>9475</v>
      </c>
      <c r="C690" s="5" t="s">
        <v>1738</v>
      </c>
      <c r="D690" s="5" t="s">
        <v>1739</v>
      </c>
      <c r="E690" s="5" t="s">
        <v>973</v>
      </c>
      <c r="F690" s="5" t="s">
        <v>973</v>
      </c>
      <c r="G690" s="7">
        <v>45996</v>
      </c>
      <c r="H690" s="18">
        <f t="shared" si="31"/>
        <v>0.31780821917808222</v>
      </c>
      <c r="I690" s="5" t="s">
        <v>888</v>
      </c>
      <c r="J690" s="28">
        <v>24500</v>
      </c>
      <c r="K690" s="28"/>
      <c r="L690" s="28"/>
    </row>
    <row r="691" spans="1:12" ht="15" customHeight="1" x14ac:dyDescent="0.35">
      <c r="A691" s="10">
        <f t="shared" si="32"/>
        <v>687</v>
      </c>
      <c r="B691" s="3">
        <v>9476</v>
      </c>
      <c r="C691" s="5" t="s">
        <v>1740</v>
      </c>
      <c r="D691" s="5" t="s">
        <v>722</v>
      </c>
      <c r="E691" s="5" t="s">
        <v>424</v>
      </c>
      <c r="F691" s="5" t="s">
        <v>424</v>
      </c>
      <c r="G691" s="7">
        <v>45996</v>
      </c>
      <c r="H691" s="18">
        <f t="shared" si="31"/>
        <v>0.31780821917808222</v>
      </c>
      <c r="I691" s="5" t="s">
        <v>1075</v>
      </c>
      <c r="J691" s="28">
        <v>130000</v>
      </c>
      <c r="K691" s="28"/>
      <c r="L691" s="28"/>
    </row>
    <row r="692" spans="1:12" ht="15" customHeight="1" x14ac:dyDescent="0.35">
      <c r="A692" s="10">
        <f t="shared" si="32"/>
        <v>688</v>
      </c>
      <c r="B692" s="3">
        <v>9477</v>
      </c>
      <c r="C692" s="5" t="s">
        <v>1741</v>
      </c>
      <c r="D692" s="5" t="s">
        <v>21</v>
      </c>
      <c r="E692" s="5" t="s">
        <v>198</v>
      </c>
      <c r="F692" s="5" t="s">
        <v>198</v>
      </c>
      <c r="G692" s="7">
        <v>45999</v>
      </c>
      <c r="H692" s="18">
        <f t="shared" si="31"/>
        <v>0.30958904109589042</v>
      </c>
      <c r="I692" s="5" t="s">
        <v>888</v>
      </c>
      <c r="J692" s="28">
        <v>20000</v>
      </c>
      <c r="K692" s="28"/>
      <c r="L692" s="28"/>
    </row>
    <row r="693" spans="1:12" ht="15" customHeight="1" x14ac:dyDescent="0.35">
      <c r="A693" s="10">
        <f t="shared" si="32"/>
        <v>689</v>
      </c>
      <c r="B693" s="3">
        <v>9478</v>
      </c>
      <c r="C693" s="5" t="s">
        <v>1742</v>
      </c>
      <c r="D693" s="5" t="s">
        <v>21</v>
      </c>
      <c r="E693" s="5" t="s">
        <v>24</v>
      </c>
      <c r="F693" s="5" t="s">
        <v>152</v>
      </c>
      <c r="G693" s="7">
        <v>45999</v>
      </c>
      <c r="H693" s="18">
        <f t="shared" si="31"/>
        <v>0.30958904109589042</v>
      </c>
      <c r="I693" s="5" t="s">
        <v>1075</v>
      </c>
      <c r="J693" s="28">
        <v>27552.65</v>
      </c>
      <c r="K693" s="28"/>
      <c r="L693" s="28"/>
    </row>
    <row r="694" spans="1:12" ht="15" customHeight="1" x14ac:dyDescent="0.35">
      <c r="A694" s="10">
        <f t="shared" si="32"/>
        <v>690</v>
      </c>
      <c r="B694" s="3">
        <v>9483</v>
      </c>
      <c r="C694" s="5" t="s">
        <v>1746</v>
      </c>
      <c r="D694" s="5" t="s">
        <v>733</v>
      </c>
      <c r="E694" s="5" t="s">
        <v>165</v>
      </c>
      <c r="F694" s="5" t="s">
        <v>165</v>
      </c>
      <c r="G694" s="7">
        <v>46013</v>
      </c>
      <c r="H694" s="18">
        <f t="shared" si="31"/>
        <v>0.27123287671232876</v>
      </c>
      <c r="I694" s="5" t="s">
        <v>888</v>
      </c>
      <c r="J694" s="28">
        <v>23500</v>
      </c>
      <c r="K694" s="28"/>
      <c r="L694" s="28"/>
    </row>
    <row r="695" spans="1:12" ht="15" customHeight="1" x14ac:dyDescent="0.35">
      <c r="A695" s="10">
        <f t="shared" si="32"/>
        <v>691</v>
      </c>
      <c r="B695" s="3">
        <v>9485</v>
      </c>
      <c r="C695" s="5" t="s">
        <v>527</v>
      </c>
      <c r="D695" s="5" t="s">
        <v>455</v>
      </c>
      <c r="E695" s="5" t="s">
        <v>24</v>
      </c>
      <c r="F695" s="5" t="s">
        <v>152</v>
      </c>
      <c r="G695" s="7">
        <v>46023</v>
      </c>
      <c r="H695" s="18">
        <f t="shared" si="31"/>
        <v>0.24383561643835616</v>
      </c>
      <c r="I695" s="5" t="s">
        <v>888</v>
      </c>
      <c r="J695" s="28">
        <v>20000</v>
      </c>
      <c r="K695" s="28"/>
      <c r="L695" s="28"/>
    </row>
    <row r="696" spans="1:12" ht="15" customHeight="1" x14ac:dyDescent="0.35">
      <c r="A696" s="10">
        <f t="shared" si="32"/>
        <v>692</v>
      </c>
      <c r="B696" s="3">
        <v>9486</v>
      </c>
      <c r="C696" s="5" t="s">
        <v>1748</v>
      </c>
      <c r="D696" s="5" t="s">
        <v>455</v>
      </c>
      <c r="E696" s="5" t="s">
        <v>24</v>
      </c>
      <c r="F696" s="5" t="s">
        <v>152</v>
      </c>
      <c r="G696" s="7">
        <v>46023</v>
      </c>
      <c r="H696" s="18">
        <f t="shared" si="31"/>
        <v>0.24383561643835616</v>
      </c>
      <c r="I696" s="5" t="s">
        <v>888</v>
      </c>
      <c r="J696" s="28">
        <v>20000</v>
      </c>
      <c r="K696" s="28"/>
      <c r="L696" s="28"/>
    </row>
    <row r="697" spans="1:12" ht="15" customHeight="1" x14ac:dyDescent="0.35">
      <c r="A697" s="10">
        <f t="shared" si="32"/>
        <v>693</v>
      </c>
      <c r="B697" s="3">
        <v>9495</v>
      </c>
      <c r="C697" s="5" t="s">
        <v>1754</v>
      </c>
      <c r="D697" s="5" t="s">
        <v>1458</v>
      </c>
      <c r="E697" s="5" t="s">
        <v>1459</v>
      </c>
      <c r="F697" s="5" t="s">
        <v>1460</v>
      </c>
      <c r="G697" s="7">
        <v>46027</v>
      </c>
      <c r="H697" s="18">
        <f t="shared" si="31"/>
        <v>0.23287671232876711</v>
      </c>
      <c r="I697" s="5" t="s">
        <v>888</v>
      </c>
      <c r="J697" s="28">
        <v>20000</v>
      </c>
      <c r="K697" s="28"/>
      <c r="L697" s="28"/>
    </row>
    <row r="698" spans="1:12" ht="15" customHeight="1" x14ac:dyDescent="0.35">
      <c r="A698" s="10">
        <f t="shared" si="32"/>
        <v>694</v>
      </c>
      <c r="B698" s="3">
        <v>9499</v>
      </c>
      <c r="C698" s="5" t="s">
        <v>1756</v>
      </c>
      <c r="D698" s="5" t="s">
        <v>455</v>
      </c>
      <c r="E698" s="5" t="s">
        <v>68</v>
      </c>
      <c r="F698" s="5" t="s">
        <v>254</v>
      </c>
      <c r="G698" s="7">
        <v>46023</v>
      </c>
      <c r="H698" s="18">
        <f t="shared" si="31"/>
        <v>0.24383561643835616</v>
      </c>
      <c r="I698" s="5" t="s">
        <v>888</v>
      </c>
      <c r="J698" s="28">
        <v>20000</v>
      </c>
      <c r="K698" s="28"/>
      <c r="L698" s="28"/>
    </row>
    <row r="699" spans="1:12" ht="15" customHeight="1" x14ac:dyDescent="0.35">
      <c r="A699" s="10">
        <f t="shared" si="32"/>
        <v>695</v>
      </c>
      <c r="B699" s="3">
        <v>9500</v>
      </c>
      <c r="C699" s="5" t="s">
        <v>1757</v>
      </c>
      <c r="D699" s="5" t="s">
        <v>669</v>
      </c>
      <c r="E699" s="5" t="s">
        <v>103</v>
      </c>
      <c r="F699" s="5" t="s">
        <v>103</v>
      </c>
      <c r="G699" s="7">
        <v>46030</v>
      </c>
      <c r="H699" s="18">
        <f t="shared" si="31"/>
        <v>0.22465753424657534</v>
      </c>
      <c r="I699" s="5" t="s">
        <v>1075</v>
      </c>
      <c r="J699" s="28">
        <v>24581.25</v>
      </c>
      <c r="K699" s="28"/>
      <c r="L699" s="28"/>
    </row>
    <row r="700" spans="1:12" ht="15" customHeight="1" x14ac:dyDescent="0.35">
      <c r="A700" s="10">
        <f t="shared" si="32"/>
        <v>696</v>
      </c>
      <c r="B700" s="3">
        <v>9501</v>
      </c>
      <c r="C700" s="5" t="s">
        <v>1758</v>
      </c>
      <c r="D700" s="5" t="s">
        <v>669</v>
      </c>
      <c r="E700" s="5" t="s">
        <v>103</v>
      </c>
      <c r="F700" s="5" t="s">
        <v>103</v>
      </c>
      <c r="G700" s="7">
        <v>46030</v>
      </c>
      <c r="H700" s="18">
        <f t="shared" si="31"/>
        <v>0.22465753424657534</v>
      </c>
      <c r="I700" s="5" t="s">
        <v>888</v>
      </c>
      <c r="J700" s="28">
        <v>23500</v>
      </c>
      <c r="K700" s="28"/>
      <c r="L700" s="28"/>
    </row>
    <row r="701" spans="1:12" ht="15" customHeight="1" x14ac:dyDescent="0.35">
      <c r="A701" s="10">
        <f t="shared" si="32"/>
        <v>697</v>
      </c>
      <c r="B701" s="3">
        <v>9508</v>
      </c>
      <c r="C701" s="5" t="s">
        <v>1762</v>
      </c>
      <c r="D701" s="5" t="s">
        <v>249</v>
      </c>
      <c r="E701" s="5" t="s">
        <v>165</v>
      </c>
      <c r="F701" s="5" t="s">
        <v>165</v>
      </c>
      <c r="G701" s="7">
        <v>46034</v>
      </c>
      <c r="H701" s="18">
        <f t="shared" si="31"/>
        <v>0.21369863013698631</v>
      </c>
      <c r="I701" s="5" t="s">
        <v>1075</v>
      </c>
      <c r="J701" s="28">
        <v>27053.05</v>
      </c>
      <c r="K701" s="28"/>
      <c r="L701" s="28"/>
    </row>
    <row r="702" spans="1:12" ht="15" customHeight="1" x14ac:dyDescent="0.35">
      <c r="A702" s="10">
        <f t="shared" si="32"/>
        <v>698</v>
      </c>
      <c r="B702" s="3">
        <v>9509</v>
      </c>
      <c r="C702" s="5" t="s">
        <v>1763</v>
      </c>
      <c r="D702" s="5" t="s">
        <v>1645</v>
      </c>
      <c r="E702" s="5" t="s">
        <v>1646</v>
      </c>
      <c r="F702" s="5" t="s">
        <v>1647</v>
      </c>
      <c r="G702" s="7">
        <v>46034</v>
      </c>
      <c r="H702" s="18">
        <f t="shared" si="31"/>
        <v>0.21369863013698631</v>
      </c>
      <c r="I702" s="5" t="s">
        <v>1075</v>
      </c>
      <c r="J702" s="28">
        <v>55000</v>
      </c>
      <c r="K702" s="28"/>
      <c r="L702" s="28"/>
    </row>
    <row r="703" spans="1:12" ht="15" customHeight="1" x14ac:dyDescent="0.35">
      <c r="A703" s="10">
        <f t="shared" si="32"/>
        <v>699</v>
      </c>
      <c r="B703" s="3">
        <v>9516</v>
      </c>
      <c r="C703" s="5" t="s">
        <v>1767</v>
      </c>
      <c r="D703" s="5" t="s">
        <v>985</v>
      </c>
      <c r="E703" s="5" t="s">
        <v>51</v>
      </c>
      <c r="F703" s="5" t="s">
        <v>51</v>
      </c>
      <c r="G703" s="7">
        <v>46023</v>
      </c>
      <c r="H703" s="18">
        <f t="shared" si="31"/>
        <v>0.24383561643835616</v>
      </c>
      <c r="I703" s="5" t="s">
        <v>888</v>
      </c>
      <c r="J703" s="28">
        <v>24000</v>
      </c>
      <c r="K703" s="28"/>
      <c r="L703" s="28"/>
    </row>
    <row r="704" spans="1:12" ht="15" customHeight="1" x14ac:dyDescent="0.35">
      <c r="A704" s="10">
        <f t="shared" si="32"/>
        <v>700</v>
      </c>
      <c r="B704" s="3">
        <v>9518</v>
      </c>
      <c r="C704" s="5" t="s">
        <v>1768</v>
      </c>
      <c r="D704" s="5" t="s">
        <v>21</v>
      </c>
      <c r="E704" s="5" t="s">
        <v>68</v>
      </c>
      <c r="F704" s="5" t="s">
        <v>179</v>
      </c>
      <c r="G704" s="7">
        <v>46041</v>
      </c>
      <c r="H704" s="18">
        <f t="shared" si="31"/>
        <v>0.19452054794520549</v>
      </c>
      <c r="I704" s="5" t="s">
        <v>1075</v>
      </c>
      <c r="J704" s="28">
        <v>21814.25</v>
      </c>
      <c r="K704" s="28"/>
      <c r="L704" s="28"/>
    </row>
    <row r="705" spans="1:12" ht="15" customHeight="1" x14ac:dyDescent="0.35">
      <c r="A705" s="10">
        <f t="shared" si="32"/>
        <v>701</v>
      </c>
      <c r="B705" s="3">
        <v>9519</v>
      </c>
      <c r="C705" s="5" t="s">
        <v>1769</v>
      </c>
      <c r="D705" s="5" t="s">
        <v>1152</v>
      </c>
      <c r="E705" s="5" t="s">
        <v>112</v>
      </c>
      <c r="F705" s="5" t="s">
        <v>112</v>
      </c>
      <c r="G705" s="7">
        <v>46041</v>
      </c>
      <c r="H705" s="18">
        <f t="shared" si="31"/>
        <v>0.19452054794520549</v>
      </c>
      <c r="I705" s="5" t="s">
        <v>888</v>
      </c>
      <c r="J705" s="28">
        <v>25000.2</v>
      </c>
      <c r="K705" s="28"/>
      <c r="L705" s="28"/>
    </row>
    <row r="706" spans="1:12" ht="15" customHeight="1" x14ac:dyDescent="0.35">
      <c r="A706" s="10">
        <f t="shared" si="32"/>
        <v>702</v>
      </c>
      <c r="B706" s="3">
        <v>9525</v>
      </c>
      <c r="C706" s="5" t="s">
        <v>1776</v>
      </c>
      <c r="D706" s="5" t="s">
        <v>797</v>
      </c>
      <c r="E706" s="5" t="s">
        <v>263</v>
      </c>
      <c r="F706" s="5" t="s">
        <v>546</v>
      </c>
      <c r="G706" s="7">
        <v>46041</v>
      </c>
      <c r="H706" s="18">
        <f t="shared" si="31"/>
        <v>0.19452054794520549</v>
      </c>
      <c r="I706" s="5" t="s">
        <v>1075</v>
      </c>
      <c r="J706" s="28">
        <v>48053.25</v>
      </c>
      <c r="K706" s="28"/>
      <c r="L706" s="28"/>
    </row>
    <row r="707" spans="1:12" ht="15" customHeight="1" x14ac:dyDescent="0.35">
      <c r="A707" s="10">
        <f t="shared" si="32"/>
        <v>703</v>
      </c>
      <c r="B707" s="3">
        <v>9530</v>
      </c>
      <c r="C707" s="5" t="s">
        <v>1778</v>
      </c>
      <c r="D707" s="5" t="s">
        <v>669</v>
      </c>
      <c r="E707" s="5" t="s">
        <v>103</v>
      </c>
      <c r="F707" s="5" t="s">
        <v>103</v>
      </c>
      <c r="G707" s="7">
        <v>46055</v>
      </c>
      <c r="H707" s="18">
        <f t="shared" si="31"/>
        <v>0.15616438356164383</v>
      </c>
      <c r="I707" s="5" t="s">
        <v>888</v>
      </c>
      <c r="J707" s="28">
        <v>24000</v>
      </c>
      <c r="K707" s="28"/>
      <c r="L707" s="28"/>
    </row>
    <row r="708" spans="1:12" ht="15" customHeight="1" x14ac:dyDescent="0.35">
      <c r="A708" s="10">
        <f t="shared" si="32"/>
        <v>704</v>
      </c>
      <c r="B708" s="3">
        <v>9534</v>
      </c>
      <c r="C708" s="5" t="s">
        <v>1782</v>
      </c>
      <c r="D708" s="5" t="s">
        <v>669</v>
      </c>
      <c r="E708" s="5" t="s">
        <v>117</v>
      </c>
      <c r="F708" s="5" t="s">
        <v>176</v>
      </c>
      <c r="G708" s="7">
        <v>46055</v>
      </c>
      <c r="H708" s="18">
        <f t="shared" si="31"/>
        <v>0.15616438356164383</v>
      </c>
      <c r="I708" s="5" t="s">
        <v>888</v>
      </c>
      <c r="J708" s="28">
        <v>23500</v>
      </c>
      <c r="K708" s="28"/>
      <c r="L708" s="28"/>
    </row>
    <row r="709" spans="1:12" ht="15" customHeight="1" x14ac:dyDescent="0.35">
      <c r="A709" s="10">
        <f t="shared" si="32"/>
        <v>705</v>
      </c>
      <c r="B709" s="3">
        <v>9535</v>
      </c>
      <c r="C709" s="5" t="s">
        <v>1783</v>
      </c>
      <c r="D709" s="5" t="s">
        <v>669</v>
      </c>
      <c r="E709" s="5" t="s">
        <v>117</v>
      </c>
      <c r="F709" s="5" t="s">
        <v>176</v>
      </c>
      <c r="G709" s="7">
        <v>46055</v>
      </c>
      <c r="H709" s="18">
        <f t="shared" ref="H709:H738" si="33">($H$3-G709)/365</f>
        <v>0.15616438356164383</v>
      </c>
      <c r="I709" s="5" t="s">
        <v>888</v>
      </c>
      <c r="J709" s="28">
        <v>23500</v>
      </c>
      <c r="K709" s="28"/>
      <c r="L709" s="28"/>
    </row>
    <row r="710" spans="1:12" ht="15" customHeight="1" x14ac:dyDescent="0.35">
      <c r="A710" s="10">
        <f t="shared" ref="A710:A738" si="34">+A709+1</f>
        <v>706</v>
      </c>
      <c r="B710" s="3">
        <v>9544</v>
      </c>
      <c r="C710" s="5" t="s">
        <v>1789</v>
      </c>
      <c r="D710" s="5" t="s">
        <v>1790</v>
      </c>
      <c r="E710" s="5" t="s">
        <v>190</v>
      </c>
      <c r="F710" s="5" t="s">
        <v>190</v>
      </c>
      <c r="G710" s="7">
        <v>46060</v>
      </c>
      <c r="H710" s="18">
        <f t="shared" si="33"/>
        <v>0.14246575342465753</v>
      </c>
      <c r="I710" s="5" t="s">
        <v>888</v>
      </c>
      <c r="J710" s="28">
        <v>24000</v>
      </c>
      <c r="K710" s="28"/>
      <c r="L710" s="28"/>
    </row>
    <row r="711" spans="1:12" ht="15" customHeight="1" x14ac:dyDescent="0.35">
      <c r="A711" s="10">
        <f t="shared" si="34"/>
        <v>707</v>
      </c>
      <c r="B711" s="3">
        <v>9553</v>
      </c>
      <c r="C711" s="5" t="s">
        <v>1795</v>
      </c>
      <c r="D711" s="5" t="s">
        <v>1796</v>
      </c>
      <c r="E711" s="5" t="s">
        <v>24</v>
      </c>
      <c r="F711" s="5" t="s">
        <v>24</v>
      </c>
      <c r="G711" s="7">
        <v>46062</v>
      </c>
      <c r="H711" s="18">
        <f t="shared" si="33"/>
        <v>0.13698630136986301</v>
      </c>
      <c r="I711" s="5" t="s">
        <v>1075</v>
      </c>
      <c r="J711" s="28">
        <v>30053.25</v>
      </c>
      <c r="K711" s="28"/>
      <c r="L711" s="28"/>
    </row>
    <row r="712" spans="1:12" ht="15" customHeight="1" x14ac:dyDescent="0.35">
      <c r="A712" s="10">
        <f t="shared" si="34"/>
        <v>708</v>
      </c>
      <c r="B712" s="3">
        <v>9554</v>
      </c>
      <c r="C712" s="5" t="s">
        <v>1797</v>
      </c>
      <c r="D712" s="5" t="s">
        <v>669</v>
      </c>
      <c r="E712" s="5" t="s">
        <v>103</v>
      </c>
      <c r="F712" s="5" t="s">
        <v>103</v>
      </c>
      <c r="G712" s="7">
        <v>46062</v>
      </c>
      <c r="H712" s="18">
        <f t="shared" si="33"/>
        <v>0.13698630136986301</v>
      </c>
      <c r="I712" s="5" t="s">
        <v>888</v>
      </c>
      <c r="J712" s="28">
        <v>24500</v>
      </c>
      <c r="K712" s="28"/>
      <c r="L712" s="28"/>
    </row>
    <row r="713" spans="1:12" ht="15" customHeight="1" x14ac:dyDescent="0.35">
      <c r="A713" s="10">
        <f t="shared" si="34"/>
        <v>709</v>
      </c>
      <c r="B713" s="3">
        <v>9555</v>
      </c>
      <c r="C713" s="5" t="s">
        <v>1798</v>
      </c>
      <c r="D713" s="5" t="s">
        <v>1799</v>
      </c>
      <c r="E713" s="5" t="s">
        <v>87</v>
      </c>
      <c r="F713" s="5" t="s">
        <v>808</v>
      </c>
      <c r="G713" s="7">
        <v>46062</v>
      </c>
      <c r="H713" s="18">
        <f t="shared" si="33"/>
        <v>0.13698630136986301</v>
      </c>
      <c r="I713" s="5" t="s">
        <v>888</v>
      </c>
      <c r="J713" s="28">
        <v>22999.5</v>
      </c>
      <c r="K713" s="28"/>
      <c r="L713" s="28"/>
    </row>
    <row r="714" spans="1:12" ht="15" customHeight="1" x14ac:dyDescent="0.35">
      <c r="A714" s="10">
        <f t="shared" si="34"/>
        <v>710</v>
      </c>
      <c r="B714" s="3">
        <v>9556</v>
      </c>
      <c r="C714" s="5" t="s">
        <v>1800</v>
      </c>
      <c r="D714" s="5" t="s">
        <v>669</v>
      </c>
      <c r="E714" s="5" t="s">
        <v>103</v>
      </c>
      <c r="F714" s="5" t="s">
        <v>103</v>
      </c>
      <c r="G714" s="7">
        <v>46063</v>
      </c>
      <c r="H714" s="18">
        <f t="shared" si="33"/>
        <v>0.13424657534246576</v>
      </c>
      <c r="I714" s="5" t="s">
        <v>888</v>
      </c>
      <c r="J714" s="28">
        <v>24000</v>
      </c>
      <c r="K714" s="28"/>
      <c r="L714" s="28"/>
    </row>
    <row r="715" spans="1:12" ht="15" customHeight="1" x14ac:dyDescent="0.35">
      <c r="A715" s="10">
        <f t="shared" si="34"/>
        <v>711</v>
      </c>
      <c r="B715" s="3">
        <v>9557</v>
      </c>
      <c r="C715" s="5" t="s">
        <v>1801</v>
      </c>
      <c r="D715" s="5" t="s">
        <v>716</v>
      </c>
      <c r="E715" s="5" t="s">
        <v>1802</v>
      </c>
      <c r="F715" s="5" t="s">
        <v>1803</v>
      </c>
      <c r="G715" s="7">
        <v>46064</v>
      </c>
      <c r="H715" s="18">
        <f t="shared" si="33"/>
        <v>0.13150684931506848</v>
      </c>
      <c r="I715" s="5" t="s">
        <v>1075</v>
      </c>
      <c r="J715" s="28">
        <v>30052.75</v>
      </c>
      <c r="K715" s="28"/>
      <c r="L715" s="28"/>
    </row>
    <row r="716" spans="1:12" ht="15" customHeight="1" x14ac:dyDescent="0.35">
      <c r="A716" s="10">
        <f t="shared" si="34"/>
        <v>712</v>
      </c>
      <c r="B716" s="3">
        <v>9560</v>
      </c>
      <c r="C716" s="5" t="s">
        <v>1805</v>
      </c>
      <c r="D716" s="5" t="s">
        <v>1152</v>
      </c>
      <c r="E716" s="5" t="s">
        <v>112</v>
      </c>
      <c r="F716" s="5" t="s">
        <v>112</v>
      </c>
      <c r="G716" s="7">
        <v>46058</v>
      </c>
      <c r="H716" s="18">
        <f t="shared" si="33"/>
        <v>0.14794520547945206</v>
      </c>
      <c r="I716" s="5" t="s">
        <v>888</v>
      </c>
      <c r="J716" s="28">
        <v>24000</v>
      </c>
      <c r="K716" s="28"/>
      <c r="L716" s="28"/>
    </row>
    <row r="717" spans="1:12" ht="15" customHeight="1" x14ac:dyDescent="0.35">
      <c r="A717" s="10">
        <f t="shared" si="34"/>
        <v>713</v>
      </c>
      <c r="B717" s="3">
        <v>9562</v>
      </c>
      <c r="C717" s="5" t="s">
        <v>1807</v>
      </c>
      <c r="D717" s="5" t="s">
        <v>930</v>
      </c>
      <c r="E717" s="5" t="s">
        <v>561</v>
      </c>
      <c r="F717" s="5" t="s">
        <v>561</v>
      </c>
      <c r="G717" s="7">
        <v>46058</v>
      </c>
      <c r="H717" s="18">
        <f t="shared" si="33"/>
        <v>0.14794520547945206</v>
      </c>
      <c r="I717" s="5" t="s">
        <v>888</v>
      </c>
      <c r="J717" s="28">
        <v>24500.2</v>
      </c>
      <c r="K717" s="28"/>
      <c r="L717" s="28"/>
    </row>
    <row r="718" spans="1:12" ht="15" customHeight="1" x14ac:dyDescent="0.35">
      <c r="A718" s="10">
        <f t="shared" si="34"/>
        <v>714</v>
      </c>
      <c r="B718" s="3">
        <v>9563</v>
      </c>
      <c r="C718" s="5" t="s">
        <v>1808</v>
      </c>
      <c r="D718" s="5" t="s">
        <v>1809</v>
      </c>
      <c r="E718" s="5" t="s">
        <v>1061</v>
      </c>
      <c r="F718" s="5" t="s">
        <v>1247</v>
      </c>
      <c r="G718" s="7">
        <v>46069</v>
      </c>
      <c r="H718" s="18">
        <f t="shared" si="33"/>
        <v>0.11780821917808219</v>
      </c>
      <c r="I718" s="5" t="s">
        <v>1075</v>
      </c>
      <c r="J718" s="28">
        <v>30053.25</v>
      </c>
      <c r="K718" s="28"/>
      <c r="L718" s="28"/>
    </row>
    <row r="719" spans="1:12" ht="15" customHeight="1" x14ac:dyDescent="0.35">
      <c r="A719" s="10">
        <f t="shared" si="34"/>
        <v>715</v>
      </c>
      <c r="B719" s="3">
        <v>9564</v>
      </c>
      <c r="C719" s="5" t="s">
        <v>1810</v>
      </c>
      <c r="D719" s="5" t="s">
        <v>1615</v>
      </c>
      <c r="E719" s="5" t="s">
        <v>424</v>
      </c>
      <c r="F719" s="5" t="s">
        <v>424</v>
      </c>
      <c r="G719" s="7">
        <v>46069</v>
      </c>
      <c r="H719" s="18">
        <f t="shared" si="33"/>
        <v>0.11780821917808219</v>
      </c>
      <c r="I719" s="5" t="s">
        <v>1075</v>
      </c>
      <c r="J719" s="28">
        <v>32053.25</v>
      </c>
      <c r="K719" s="28"/>
      <c r="L719" s="28"/>
    </row>
    <row r="720" spans="1:12" ht="15" customHeight="1" x14ac:dyDescent="0.35">
      <c r="A720" s="10">
        <f t="shared" si="34"/>
        <v>716</v>
      </c>
      <c r="B720" s="3">
        <v>9569</v>
      </c>
      <c r="C720" s="5" t="s">
        <v>1814</v>
      </c>
      <c r="D720" s="5" t="s">
        <v>21</v>
      </c>
      <c r="E720" s="5" t="s">
        <v>950</v>
      </c>
      <c r="F720" s="5" t="s">
        <v>950</v>
      </c>
      <c r="G720" s="7">
        <v>46069</v>
      </c>
      <c r="H720" s="18">
        <f t="shared" si="33"/>
        <v>0.11780821917808219</v>
      </c>
      <c r="I720" s="5" t="s">
        <v>1075</v>
      </c>
      <c r="J720" s="28">
        <v>28053.25</v>
      </c>
      <c r="K720" s="28"/>
      <c r="L720" s="28"/>
    </row>
    <row r="721" spans="1:12" ht="15" customHeight="1" x14ac:dyDescent="0.35">
      <c r="A721" s="10">
        <f t="shared" si="34"/>
        <v>717</v>
      </c>
      <c r="B721" s="3">
        <v>9574</v>
      </c>
      <c r="C721" s="5" t="s">
        <v>1816</v>
      </c>
      <c r="D721" s="5" t="s">
        <v>797</v>
      </c>
      <c r="E721" s="5" t="s">
        <v>1026</v>
      </c>
      <c r="F721" s="5" t="s">
        <v>1027</v>
      </c>
      <c r="G721" s="7">
        <v>46076</v>
      </c>
      <c r="H721" s="18">
        <f t="shared" si="33"/>
        <v>9.8630136986301367E-2</v>
      </c>
      <c r="I721" s="5" t="s">
        <v>1075</v>
      </c>
      <c r="J721" s="28">
        <v>36053.25</v>
      </c>
      <c r="K721" s="28"/>
      <c r="L721" s="28"/>
    </row>
    <row r="722" spans="1:12" ht="15" customHeight="1" x14ac:dyDescent="0.35">
      <c r="A722" s="10">
        <f t="shared" si="34"/>
        <v>718</v>
      </c>
      <c r="B722" s="3">
        <v>9581</v>
      </c>
      <c r="C722" s="5" t="s">
        <v>1825</v>
      </c>
      <c r="D722" s="5" t="s">
        <v>1826</v>
      </c>
      <c r="E722" s="5" t="s">
        <v>322</v>
      </c>
      <c r="F722" s="5" t="s">
        <v>322</v>
      </c>
      <c r="G722" s="7">
        <v>46078</v>
      </c>
      <c r="H722" s="18">
        <f t="shared" si="33"/>
        <v>9.3150684931506855E-2</v>
      </c>
      <c r="I722" s="5" t="s">
        <v>1075</v>
      </c>
      <c r="J722" s="28">
        <v>44999.5</v>
      </c>
      <c r="K722" s="28"/>
      <c r="L722" s="28"/>
    </row>
    <row r="723" spans="1:12" ht="15" customHeight="1" x14ac:dyDescent="0.35">
      <c r="A723" s="10">
        <f t="shared" si="34"/>
        <v>719</v>
      </c>
      <c r="B723" s="3">
        <v>9589</v>
      </c>
      <c r="C723" s="5" t="s">
        <v>1833</v>
      </c>
      <c r="D723" s="5" t="s">
        <v>1834</v>
      </c>
      <c r="E723" s="5" t="s">
        <v>632</v>
      </c>
      <c r="F723" s="5" t="s">
        <v>632</v>
      </c>
      <c r="G723" s="7">
        <v>46083</v>
      </c>
      <c r="H723" s="18">
        <f t="shared" si="33"/>
        <v>7.9452054794520555E-2</v>
      </c>
      <c r="I723" s="5" t="s">
        <v>1075</v>
      </c>
      <c r="J723" s="28">
        <v>28000.25</v>
      </c>
      <c r="K723" s="28"/>
      <c r="L723" s="28"/>
    </row>
    <row r="724" spans="1:12" ht="15" customHeight="1" x14ac:dyDescent="0.35">
      <c r="A724" s="10">
        <f t="shared" si="34"/>
        <v>720</v>
      </c>
      <c r="B724" s="3">
        <v>9601</v>
      </c>
      <c r="C724" s="5" t="s">
        <v>1844</v>
      </c>
      <c r="D724" s="5" t="s">
        <v>669</v>
      </c>
      <c r="E724" s="5" t="s">
        <v>103</v>
      </c>
      <c r="F724" s="5" t="s">
        <v>103</v>
      </c>
      <c r="G724" s="7">
        <v>46082</v>
      </c>
      <c r="H724" s="18">
        <f t="shared" si="33"/>
        <v>8.2191780821917804E-2</v>
      </c>
      <c r="I724" s="5" t="s">
        <v>888</v>
      </c>
      <c r="J724" s="28">
        <v>23500</v>
      </c>
      <c r="K724" s="28"/>
      <c r="L724" s="28"/>
    </row>
    <row r="725" spans="1:12" ht="15" customHeight="1" x14ac:dyDescent="0.35">
      <c r="A725" s="10">
        <f t="shared" si="34"/>
        <v>721</v>
      </c>
      <c r="B725" s="3">
        <v>9602</v>
      </c>
      <c r="C725" s="5" t="s">
        <v>1845</v>
      </c>
      <c r="D725" s="5" t="s">
        <v>778</v>
      </c>
      <c r="E725" s="5" t="s">
        <v>314</v>
      </c>
      <c r="F725" s="5" t="s">
        <v>315</v>
      </c>
      <c r="G725" s="7">
        <v>46082</v>
      </c>
      <c r="H725" s="18">
        <f t="shared" si="33"/>
        <v>8.2191780821917804E-2</v>
      </c>
      <c r="I725" s="5" t="s">
        <v>888</v>
      </c>
      <c r="J725" s="28">
        <v>23500</v>
      </c>
      <c r="K725" s="28"/>
      <c r="L725" s="28"/>
    </row>
    <row r="726" spans="1:12" ht="15" customHeight="1" x14ac:dyDescent="0.35">
      <c r="A726" s="10">
        <f t="shared" si="34"/>
        <v>722</v>
      </c>
      <c r="B726" s="3">
        <v>9614</v>
      </c>
      <c r="C726" s="5" t="s">
        <v>1856</v>
      </c>
      <c r="D726" s="5" t="s">
        <v>455</v>
      </c>
      <c r="E726" s="5" t="s">
        <v>561</v>
      </c>
      <c r="F726" s="5" t="s">
        <v>561</v>
      </c>
      <c r="G726" s="7">
        <v>46090</v>
      </c>
      <c r="H726" s="18">
        <f t="shared" si="33"/>
        <v>6.0273972602739728E-2</v>
      </c>
      <c r="I726" s="5" t="s">
        <v>888</v>
      </c>
      <c r="J726" s="28">
        <v>22499.5</v>
      </c>
      <c r="K726" s="28"/>
      <c r="L726" s="28"/>
    </row>
    <row r="727" spans="1:12" ht="15" customHeight="1" x14ac:dyDescent="0.35">
      <c r="A727" s="10">
        <f t="shared" si="34"/>
        <v>723</v>
      </c>
      <c r="B727" s="3">
        <v>9628</v>
      </c>
      <c r="C727" s="5" t="s">
        <v>1867</v>
      </c>
      <c r="D727" s="5" t="s">
        <v>797</v>
      </c>
      <c r="E727" s="5" t="s">
        <v>1868</v>
      </c>
      <c r="F727" s="5" t="s">
        <v>1869</v>
      </c>
      <c r="G727" s="7">
        <v>46104</v>
      </c>
      <c r="H727" s="18">
        <f t="shared" si="33"/>
        <v>2.1917808219178082E-2</v>
      </c>
      <c r="I727" s="5" t="s">
        <v>888</v>
      </c>
      <c r="J727" s="28">
        <v>28000</v>
      </c>
      <c r="K727" s="28"/>
      <c r="L727" s="28"/>
    </row>
    <row r="728" spans="1:12" ht="15" customHeight="1" x14ac:dyDescent="0.35">
      <c r="A728" s="10">
        <f t="shared" si="34"/>
        <v>724</v>
      </c>
      <c r="B728" s="3">
        <v>9629</v>
      </c>
      <c r="C728" s="5" t="s">
        <v>1870</v>
      </c>
      <c r="D728" s="5" t="s">
        <v>830</v>
      </c>
      <c r="E728" s="5" t="s">
        <v>35</v>
      </c>
      <c r="F728" s="5" t="s">
        <v>36</v>
      </c>
      <c r="G728" s="7">
        <v>46104</v>
      </c>
      <c r="H728" s="18">
        <f t="shared" si="33"/>
        <v>2.1917808219178082E-2</v>
      </c>
      <c r="I728" s="5" t="s">
        <v>888</v>
      </c>
      <c r="J728" s="28">
        <v>24000</v>
      </c>
      <c r="K728" s="28"/>
      <c r="L728" s="28"/>
    </row>
    <row r="729" spans="1:12" ht="15" customHeight="1" x14ac:dyDescent="0.35">
      <c r="A729" s="10">
        <f t="shared" si="34"/>
        <v>725</v>
      </c>
      <c r="B729" s="3">
        <v>9631</v>
      </c>
      <c r="C729" s="5" t="s">
        <v>1871</v>
      </c>
      <c r="D729" s="5" t="s">
        <v>1373</v>
      </c>
      <c r="E729" s="5" t="s">
        <v>263</v>
      </c>
      <c r="F729" s="5" t="s">
        <v>1374</v>
      </c>
      <c r="G729" s="7">
        <v>46104</v>
      </c>
      <c r="H729" s="18">
        <f t="shared" si="33"/>
        <v>2.1917808219178082E-2</v>
      </c>
      <c r="I729" s="5" t="s">
        <v>888</v>
      </c>
      <c r="J729" s="28">
        <v>23000</v>
      </c>
      <c r="K729" s="28"/>
      <c r="L729" s="28"/>
    </row>
    <row r="730" spans="1:12" ht="15" customHeight="1" x14ac:dyDescent="0.35">
      <c r="A730" s="10">
        <f t="shared" si="34"/>
        <v>726</v>
      </c>
      <c r="B730" s="3">
        <v>9632</v>
      </c>
      <c r="C730" s="5" t="s">
        <v>1872</v>
      </c>
      <c r="D730" s="5" t="s">
        <v>716</v>
      </c>
      <c r="E730" s="5" t="s">
        <v>1646</v>
      </c>
      <c r="F730" s="5" t="s">
        <v>1647</v>
      </c>
      <c r="G730" s="7">
        <v>46082</v>
      </c>
      <c r="H730" s="18">
        <f t="shared" si="33"/>
        <v>8.2191780821917804E-2</v>
      </c>
      <c r="I730" s="5" t="s">
        <v>888</v>
      </c>
      <c r="J730" s="28">
        <v>42491.9</v>
      </c>
      <c r="K730" s="28"/>
      <c r="L730" s="28"/>
    </row>
    <row r="731" spans="1:12" ht="15" customHeight="1" x14ac:dyDescent="0.35">
      <c r="A731" s="10">
        <f t="shared" si="34"/>
        <v>727</v>
      </c>
      <c r="B731" s="3">
        <v>9633</v>
      </c>
      <c r="C731" s="5" t="s">
        <v>1873</v>
      </c>
      <c r="D731" s="5" t="s">
        <v>427</v>
      </c>
      <c r="E731" s="5" t="s">
        <v>1646</v>
      </c>
      <c r="F731" s="5" t="s">
        <v>1647</v>
      </c>
      <c r="G731" s="7">
        <v>46082</v>
      </c>
      <c r="H731" s="18">
        <f t="shared" si="33"/>
        <v>8.2191780821917804E-2</v>
      </c>
      <c r="I731" s="5" t="s">
        <v>888</v>
      </c>
      <c r="J731" s="28">
        <v>23200</v>
      </c>
      <c r="K731" s="28"/>
      <c r="L731" s="28"/>
    </row>
    <row r="732" spans="1:12" ht="15" customHeight="1" x14ac:dyDescent="0.35">
      <c r="A732" s="10">
        <f t="shared" si="34"/>
        <v>728</v>
      </c>
      <c r="B732" s="3">
        <v>9634</v>
      </c>
      <c r="C732" s="5" t="s">
        <v>1874</v>
      </c>
      <c r="D732" s="5" t="s">
        <v>904</v>
      </c>
      <c r="E732" s="5" t="s">
        <v>190</v>
      </c>
      <c r="F732" s="5" t="s">
        <v>190</v>
      </c>
      <c r="G732" s="7">
        <v>46113</v>
      </c>
      <c r="H732" s="18">
        <f t="shared" si="33"/>
        <v>-2.7397260273972603E-3</v>
      </c>
      <c r="I732" s="5" t="s">
        <v>888</v>
      </c>
      <c r="J732" s="28">
        <v>24000</v>
      </c>
      <c r="K732" s="28"/>
      <c r="L732" s="28"/>
    </row>
    <row r="733" spans="1:12" ht="15" customHeight="1" x14ac:dyDescent="0.35">
      <c r="A733" s="10">
        <f t="shared" si="34"/>
        <v>729</v>
      </c>
      <c r="B733" s="3">
        <v>9635</v>
      </c>
      <c r="C733" s="5" t="s">
        <v>1875</v>
      </c>
      <c r="D733" s="5" t="s">
        <v>1478</v>
      </c>
      <c r="E733" s="5" t="s">
        <v>117</v>
      </c>
      <c r="F733" s="5" t="s">
        <v>176</v>
      </c>
      <c r="G733" s="7">
        <v>46113</v>
      </c>
      <c r="H733" s="18">
        <f t="shared" si="33"/>
        <v>-2.7397260273972603E-3</v>
      </c>
      <c r="I733" s="5" t="s">
        <v>888</v>
      </c>
      <c r="J733" s="28">
        <v>20000</v>
      </c>
      <c r="K733" s="28"/>
      <c r="L733" s="28"/>
    </row>
    <row r="734" spans="1:12" ht="15" customHeight="1" x14ac:dyDescent="0.35">
      <c r="A734" s="10">
        <f t="shared" si="34"/>
        <v>730</v>
      </c>
      <c r="B734" s="3">
        <v>9642</v>
      </c>
      <c r="C734" s="5" t="s">
        <v>1877</v>
      </c>
      <c r="D734" s="5" t="s">
        <v>455</v>
      </c>
      <c r="E734" s="5" t="s">
        <v>68</v>
      </c>
      <c r="F734" s="5" t="s">
        <v>254</v>
      </c>
      <c r="G734" s="7">
        <v>46119</v>
      </c>
      <c r="H734" s="18">
        <f t="shared" si="33"/>
        <v>-1.9178082191780823E-2</v>
      </c>
      <c r="I734" s="5" t="s">
        <v>888</v>
      </c>
      <c r="J734" s="28">
        <v>20000</v>
      </c>
      <c r="K734" s="28"/>
      <c r="L734" s="28"/>
    </row>
    <row r="735" spans="1:12" ht="15" customHeight="1" x14ac:dyDescent="0.35">
      <c r="A735" s="10">
        <f t="shared" si="34"/>
        <v>731</v>
      </c>
      <c r="B735" s="3">
        <v>9643</v>
      </c>
      <c r="C735" s="5" t="s">
        <v>1878</v>
      </c>
      <c r="D735" s="5" t="s">
        <v>1187</v>
      </c>
      <c r="E735" s="5" t="s">
        <v>800</v>
      </c>
      <c r="F735" s="5" t="s">
        <v>801</v>
      </c>
      <c r="G735" s="7">
        <v>46120</v>
      </c>
      <c r="H735" s="18">
        <f t="shared" si="33"/>
        <v>-2.1917808219178082E-2</v>
      </c>
      <c r="I735" s="5" t="s">
        <v>888</v>
      </c>
      <c r="J735" s="28">
        <v>22000</v>
      </c>
      <c r="K735" s="28"/>
      <c r="L735" s="28"/>
    </row>
    <row r="736" spans="1:12" ht="15" customHeight="1" x14ac:dyDescent="0.35">
      <c r="A736" s="10">
        <f t="shared" si="34"/>
        <v>732</v>
      </c>
      <c r="B736" s="3">
        <v>9645</v>
      </c>
      <c r="C736" s="5" t="s">
        <v>1880</v>
      </c>
      <c r="D736" s="5" t="s">
        <v>249</v>
      </c>
      <c r="E736" s="5" t="s">
        <v>165</v>
      </c>
      <c r="F736" s="5" t="s">
        <v>165</v>
      </c>
      <c r="G736" s="7">
        <v>46125</v>
      </c>
      <c r="H736" s="18">
        <f t="shared" si="33"/>
        <v>-3.5616438356164383E-2</v>
      </c>
      <c r="I736" s="5" t="s">
        <v>888</v>
      </c>
      <c r="J736" s="28">
        <v>20000</v>
      </c>
      <c r="K736" s="28"/>
      <c r="L736" s="28"/>
    </row>
    <row r="737" spans="1:12" ht="15" customHeight="1" x14ac:dyDescent="0.35">
      <c r="A737" s="10">
        <f t="shared" si="34"/>
        <v>733</v>
      </c>
      <c r="B737" s="3">
        <v>9651</v>
      </c>
      <c r="C737" s="5" t="s">
        <v>1885</v>
      </c>
      <c r="D737" s="5" t="s">
        <v>812</v>
      </c>
      <c r="E737" s="5" t="s">
        <v>35</v>
      </c>
      <c r="F737" s="5" t="s">
        <v>84</v>
      </c>
      <c r="G737" s="7">
        <v>46137</v>
      </c>
      <c r="H737" s="18">
        <f t="shared" si="33"/>
        <v>-6.8493150684931503E-2</v>
      </c>
      <c r="I737" s="5" t="s">
        <v>888</v>
      </c>
      <c r="J737" s="28">
        <v>23000</v>
      </c>
      <c r="K737" s="28"/>
      <c r="L737" s="28"/>
    </row>
    <row r="738" spans="1:12" ht="15" customHeight="1" x14ac:dyDescent="0.35">
      <c r="A738" s="10">
        <f t="shared" si="34"/>
        <v>734</v>
      </c>
      <c r="B738" s="3">
        <v>9652</v>
      </c>
      <c r="C738" s="5" t="s">
        <v>1886</v>
      </c>
      <c r="D738" s="5" t="s">
        <v>1615</v>
      </c>
      <c r="E738" s="5" t="s">
        <v>424</v>
      </c>
      <c r="F738" s="5" t="s">
        <v>424</v>
      </c>
      <c r="G738" s="7">
        <v>46139</v>
      </c>
      <c r="H738" s="18">
        <f t="shared" si="33"/>
        <v>-7.3972602739726029E-2</v>
      </c>
      <c r="I738" s="5" t="s">
        <v>888</v>
      </c>
      <c r="J738" s="28">
        <v>26000</v>
      </c>
      <c r="K738" s="28"/>
      <c r="L738" s="28"/>
    </row>
    <row r="739" spans="1:12" x14ac:dyDescent="0.35">
      <c r="L739" s="39">
        <f>SUM(L5:L738)</f>
        <v>69.317159635534111</v>
      </c>
    </row>
    <row r="740" spans="1:12" x14ac:dyDescent="0.35">
      <c r="A740" s="1"/>
      <c r="L740" s="16">
        <f>+L739/599*100</f>
        <v>11.572146850673475</v>
      </c>
    </row>
  </sheetData>
  <sortState xmlns:xlrd2="http://schemas.microsoft.com/office/spreadsheetml/2017/richdata2" ref="B5:I812">
    <sortCondition descending="1" sortBy="cellColor" ref="B5:B812" dxfId="6"/>
  </sortState>
  <mergeCells count="2">
    <mergeCell ref="A1:I1"/>
    <mergeCell ref="A2:I2"/>
  </mergeCells>
  <conditionalFormatting sqref="B1:B738 B813:B1048576">
    <cfRule type="duplicateValues" dxfId="3" priority="1"/>
    <cfRule type="duplicateValues" dxfId="2" priority="2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EEB7-C758-46EC-9BEA-AEB4AE99148C}">
  <dimension ref="A3:L602"/>
  <sheetViews>
    <sheetView workbookViewId="0">
      <selection activeCell="D12" sqref="D12"/>
    </sheetView>
  </sheetViews>
  <sheetFormatPr defaultRowHeight="14.5" x14ac:dyDescent="0.35"/>
  <cols>
    <col min="1" max="1" width="7" customWidth="1"/>
    <col min="2" max="2" width="9.1796875" style="1"/>
    <col min="3" max="3" width="20.81640625" customWidth="1"/>
    <col min="4" max="4" width="20.26953125" customWidth="1"/>
    <col min="5" max="5" width="20.7265625" customWidth="1"/>
    <col min="6" max="6" width="23" customWidth="1"/>
    <col min="7" max="7" width="14.26953125" bestFit="1" customWidth="1"/>
    <col min="8" max="8" width="10.81640625" style="1" customWidth="1"/>
    <col min="9" max="9" width="18.7265625" customWidth="1"/>
    <col min="11" max="11" width="12.26953125" customWidth="1"/>
    <col min="12" max="12" width="11.81640625" customWidth="1"/>
  </cols>
  <sheetData>
    <row r="3" spans="1:12" ht="29" x14ac:dyDescent="0.35">
      <c r="A3" s="9" t="s">
        <v>2</v>
      </c>
      <c r="B3" s="4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4" t="s">
        <v>1892</v>
      </c>
      <c r="I3" s="25" t="s">
        <v>9</v>
      </c>
      <c r="J3" s="27" t="s">
        <v>1905</v>
      </c>
      <c r="K3" s="6" t="s">
        <v>1906</v>
      </c>
      <c r="L3" s="6" t="s">
        <v>1907</v>
      </c>
    </row>
    <row r="4" spans="1:12" ht="15.75" customHeight="1" x14ac:dyDescent="0.35">
      <c r="A4" s="10">
        <v>1</v>
      </c>
      <c r="B4" s="20">
        <v>44</v>
      </c>
      <c r="C4" s="13" t="s">
        <v>30</v>
      </c>
      <c r="D4" s="13" t="s">
        <v>31</v>
      </c>
      <c r="E4" s="5" t="s">
        <v>16</v>
      </c>
      <c r="F4" s="5" t="s">
        <v>20</v>
      </c>
      <c r="G4" s="7">
        <v>37515</v>
      </c>
      <c r="H4" s="18">
        <v>23.553424657534247</v>
      </c>
      <c r="I4" s="26" t="s">
        <v>21</v>
      </c>
      <c r="J4" s="28">
        <v>44444.53125</v>
      </c>
      <c r="K4" s="28">
        <v>4500</v>
      </c>
      <c r="L4" s="31">
        <f>+K4/J4</f>
        <v>0.10124980224647999</v>
      </c>
    </row>
    <row r="5" spans="1:12" ht="15.75" customHeight="1" x14ac:dyDescent="0.35">
      <c r="A5" s="10">
        <f>+A4+1</f>
        <v>2</v>
      </c>
      <c r="B5" s="21">
        <v>47</v>
      </c>
      <c r="C5" s="13" t="s">
        <v>32</v>
      </c>
      <c r="D5" s="13" t="s">
        <v>31</v>
      </c>
      <c r="E5" s="5" t="s">
        <v>16</v>
      </c>
      <c r="F5" s="5" t="s">
        <v>20</v>
      </c>
      <c r="G5" s="7">
        <v>37515</v>
      </c>
      <c r="H5" s="18">
        <v>23.553424657534247</v>
      </c>
      <c r="I5" s="26" t="s">
        <v>21</v>
      </c>
      <c r="J5" s="28">
        <v>51182.1875</v>
      </c>
      <c r="K5" s="28">
        <v>4500</v>
      </c>
      <c r="L5" s="31">
        <f t="shared" ref="L5:L68" si="0">+K5/J5</f>
        <v>8.7921212824285791E-2</v>
      </c>
    </row>
    <row r="6" spans="1:12" ht="15.75" customHeight="1" x14ac:dyDescent="0.35">
      <c r="A6" s="10">
        <f t="shared" ref="A6:A69" si="1">+A5+1</f>
        <v>3</v>
      </c>
      <c r="B6" s="21">
        <v>228</v>
      </c>
      <c r="C6" s="13" t="s">
        <v>72</v>
      </c>
      <c r="D6" s="13" t="s">
        <v>31</v>
      </c>
      <c r="E6" s="5" t="s">
        <v>16</v>
      </c>
      <c r="F6" s="5" t="s">
        <v>20</v>
      </c>
      <c r="G6" s="7">
        <v>37550</v>
      </c>
      <c r="H6" s="18">
        <v>23.457534246575342</v>
      </c>
      <c r="I6" s="26" t="s">
        <v>21</v>
      </c>
      <c r="J6" s="28">
        <v>48956.875</v>
      </c>
      <c r="K6" s="28">
        <v>4500</v>
      </c>
      <c r="L6" s="31">
        <f t="shared" si="0"/>
        <v>9.191763158902605E-2</v>
      </c>
    </row>
    <row r="7" spans="1:12" ht="15.75" customHeight="1" x14ac:dyDescent="0.35">
      <c r="A7" s="10">
        <f t="shared" si="1"/>
        <v>4</v>
      </c>
      <c r="B7" s="3">
        <v>386</v>
      </c>
      <c r="C7" s="5" t="s">
        <v>108</v>
      </c>
      <c r="D7" s="5" t="s">
        <v>109</v>
      </c>
      <c r="E7" s="5" t="s">
        <v>16</v>
      </c>
      <c r="F7" s="5" t="s">
        <v>110</v>
      </c>
      <c r="G7" s="7">
        <v>37787</v>
      </c>
      <c r="H7" s="18">
        <v>22.80821917808219</v>
      </c>
      <c r="I7" s="26" t="s">
        <v>13</v>
      </c>
      <c r="J7" s="28">
        <v>41508.364499999996</v>
      </c>
      <c r="K7" s="28">
        <v>4500</v>
      </c>
      <c r="L7" s="31">
        <f t="shared" si="0"/>
        <v>0.10841188406736672</v>
      </c>
    </row>
    <row r="8" spans="1:12" ht="15.75" customHeight="1" x14ac:dyDescent="0.35">
      <c r="A8" s="10">
        <f t="shared" si="1"/>
        <v>5</v>
      </c>
      <c r="B8" s="21">
        <v>483</v>
      </c>
      <c r="C8" s="13" t="s">
        <v>123</v>
      </c>
      <c r="D8" s="13" t="s">
        <v>124</v>
      </c>
      <c r="E8" s="5" t="s">
        <v>16</v>
      </c>
      <c r="F8" s="5" t="s">
        <v>20</v>
      </c>
      <c r="G8" s="7">
        <v>37825</v>
      </c>
      <c r="H8" s="18">
        <v>22.704109589041096</v>
      </c>
      <c r="I8" s="26" t="s">
        <v>21</v>
      </c>
      <c r="J8" s="28">
        <v>51182.1875</v>
      </c>
      <c r="K8" s="28">
        <v>4500</v>
      </c>
      <c r="L8" s="31">
        <f t="shared" si="0"/>
        <v>8.7921212824285791E-2</v>
      </c>
    </row>
    <row r="9" spans="1:12" ht="15.75" customHeight="1" x14ac:dyDescent="0.35">
      <c r="A9" s="10">
        <f t="shared" si="1"/>
        <v>6</v>
      </c>
      <c r="B9" s="21">
        <v>533</v>
      </c>
      <c r="C9" s="13" t="s">
        <v>133</v>
      </c>
      <c r="D9" s="13" t="s">
        <v>31</v>
      </c>
      <c r="E9" s="5" t="s">
        <v>16</v>
      </c>
      <c r="F9" s="5" t="s">
        <v>20</v>
      </c>
      <c r="G9" s="7">
        <v>37869</v>
      </c>
      <c r="H9" s="18">
        <v>22.583561643835615</v>
      </c>
      <c r="I9" s="26" t="s">
        <v>21</v>
      </c>
      <c r="J9" s="28">
        <v>43456.875</v>
      </c>
      <c r="K9" s="28">
        <v>4500</v>
      </c>
      <c r="L9" s="31">
        <f t="shared" si="0"/>
        <v>0.10355093411571817</v>
      </c>
    </row>
    <row r="10" spans="1:12" ht="15.75" customHeight="1" x14ac:dyDescent="0.35">
      <c r="A10" s="10">
        <f t="shared" si="1"/>
        <v>7</v>
      </c>
      <c r="B10" s="21">
        <v>581</v>
      </c>
      <c r="C10" s="13" t="s">
        <v>140</v>
      </c>
      <c r="D10" s="13" t="s">
        <v>31</v>
      </c>
      <c r="E10" s="5" t="s">
        <v>16</v>
      </c>
      <c r="F10" s="5" t="s">
        <v>141</v>
      </c>
      <c r="G10" s="7">
        <v>37942</v>
      </c>
      <c r="H10" s="18">
        <v>22.383561643835616</v>
      </c>
      <c r="I10" s="26" t="s">
        <v>21</v>
      </c>
      <c r="J10" s="28">
        <v>45055.53125</v>
      </c>
      <c r="K10" s="28">
        <v>4500</v>
      </c>
      <c r="L10" s="31">
        <f t="shared" si="0"/>
        <v>9.9876749316988686E-2</v>
      </c>
    </row>
    <row r="11" spans="1:12" ht="15.75" customHeight="1" x14ac:dyDescent="0.35">
      <c r="A11" s="10">
        <f t="shared" si="1"/>
        <v>8</v>
      </c>
      <c r="B11" s="3">
        <v>779</v>
      </c>
      <c r="C11" s="5" t="s">
        <v>158</v>
      </c>
      <c r="D11" s="5" t="s">
        <v>109</v>
      </c>
      <c r="E11" s="5" t="s">
        <v>16</v>
      </c>
      <c r="F11" s="5" t="s">
        <v>41</v>
      </c>
      <c r="G11" s="7">
        <v>38268</v>
      </c>
      <c r="H11" s="18">
        <v>21.490410958904111</v>
      </c>
      <c r="I11" s="26" t="s">
        <v>13</v>
      </c>
      <c r="J11" s="28">
        <v>41508.364499999996</v>
      </c>
      <c r="K11" s="28">
        <v>4500</v>
      </c>
      <c r="L11" s="31">
        <f t="shared" si="0"/>
        <v>0.10841188406736672</v>
      </c>
    </row>
    <row r="12" spans="1:12" ht="15.75" customHeight="1" x14ac:dyDescent="0.35">
      <c r="A12" s="10">
        <f t="shared" si="1"/>
        <v>9</v>
      </c>
      <c r="B12" s="21">
        <v>870</v>
      </c>
      <c r="C12" s="13" t="s">
        <v>168</v>
      </c>
      <c r="D12" s="13" t="s">
        <v>31</v>
      </c>
      <c r="E12" s="5" t="s">
        <v>16</v>
      </c>
      <c r="F12" s="5" t="s">
        <v>20</v>
      </c>
      <c r="G12" s="7">
        <v>38417</v>
      </c>
      <c r="H12" s="18">
        <v>21.082191780821919</v>
      </c>
      <c r="I12" s="26" t="s">
        <v>21</v>
      </c>
      <c r="J12" s="28">
        <v>45656.875</v>
      </c>
      <c r="K12" s="28">
        <v>4500</v>
      </c>
      <c r="L12" s="31">
        <f t="shared" si="0"/>
        <v>9.8561279106377742E-2</v>
      </c>
    </row>
    <row r="13" spans="1:12" ht="15.75" customHeight="1" x14ac:dyDescent="0.35">
      <c r="A13" s="10">
        <f t="shared" si="1"/>
        <v>10</v>
      </c>
      <c r="B13" s="21">
        <v>876</v>
      </c>
      <c r="C13" s="13" t="s">
        <v>169</v>
      </c>
      <c r="D13" s="13" t="s">
        <v>31</v>
      </c>
      <c r="E13" s="5" t="s">
        <v>16</v>
      </c>
      <c r="F13" s="5" t="s">
        <v>20</v>
      </c>
      <c r="G13" s="7">
        <v>37603</v>
      </c>
      <c r="H13" s="18">
        <v>23.312328767123287</v>
      </c>
      <c r="I13" s="26" t="s">
        <v>21</v>
      </c>
      <c r="J13" s="28">
        <v>43456.875</v>
      </c>
      <c r="K13" s="28">
        <v>4500</v>
      </c>
      <c r="L13" s="31">
        <f t="shared" si="0"/>
        <v>0.10355093411571817</v>
      </c>
    </row>
    <row r="14" spans="1:12" ht="15.75" customHeight="1" x14ac:dyDescent="0.35">
      <c r="A14" s="10">
        <f t="shared" si="1"/>
        <v>11</v>
      </c>
      <c r="B14" s="3">
        <v>885</v>
      </c>
      <c r="C14" s="5" t="s">
        <v>171</v>
      </c>
      <c r="D14" s="5" t="s">
        <v>109</v>
      </c>
      <c r="E14" s="5" t="s">
        <v>16</v>
      </c>
      <c r="F14" s="5" t="s">
        <v>41</v>
      </c>
      <c r="G14" s="7">
        <v>38474</v>
      </c>
      <c r="H14" s="18">
        <v>20.926027397260274</v>
      </c>
      <c r="I14" s="26" t="s">
        <v>13</v>
      </c>
      <c r="J14" s="28">
        <v>41508.364499999996</v>
      </c>
      <c r="K14" s="28">
        <v>4500</v>
      </c>
      <c r="L14" s="31">
        <f t="shared" si="0"/>
        <v>0.10841188406736672</v>
      </c>
    </row>
    <row r="15" spans="1:12" ht="15.75" customHeight="1" x14ac:dyDescent="0.35">
      <c r="A15" s="10">
        <f t="shared" si="1"/>
        <v>12</v>
      </c>
      <c r="B15" s="21">
        <v>1127</v>
      </c>
      <c r="C15" s="13" t="s">
        <v>200</v>
      </c>
      <c r="D15" s="13" t="s">
        <v>124</v>
      </c>
      <c r="E15" s="5" t="s">
        <v>16</v>
      </c>
      <c r="F15" s="5" t="s">
        <v>20</v>
      </c>
      <c r="G15" s="7">
        <v>38804</v>
      </c>
      <c r="H15" s="18">
        <v>20.021917808219179</v>
      </c>
      <c r="I15" s="26" t="s">
        <v>21</v>
      </c>
      <c r="J15" s="28">
        <v>52332.1875</v>
      </c>
      <c r="K15" s="28">
        <v>4500</v>
      </c>
      <c r="L15" s="31">
        <f t="shared" si="0"/>
        <v>8.5989143870586343E-2</v>
      </c>
    </row>
    <row r="16" spans="1:12" ht="15.75" customHeight="1" x14ac:dyDescent="0.35">
      <c r="A16" s="10">
        <f t="shared" si="1"/>
        <v>13</v>
      </c>
      <c r="B16" s="3">
        <v>1143</v>
      </c>
      <c r="C16" s="5" t="s">
        <v>203</v>
      </c>
      <c r="D16" s="5" t="s">
        <v>204</v>
      </c>
      <c r="E16" s="5" t="s">
        <v>16</v>
      </c>
      <c r="F16" s="5" t="s">
        <v>141</v>
      </c>
      <c r="G16" s="7">
        <v>38817</v>
      </c>
      <c r="H16" s="18">
        <v>19.986301369863014</v>
      </c>
      <c r="I16" s="26" t="s">
        <v>13</v>
      </c>
      <c r="J16" s="28">
        <v>48055.142</v>
      </c>
      <c r="K16" s="28">
        <v>4500</v>
      </c>
      <c r="L16" s="31">
        <f t="shared" si="0"/>
        <v>9.3642424363245047E-2</v>
      </c>
    </row>
    <row r="17" spans="1:12" ht="15.75" customHeight="1" x14ac:dyDescent="0.35">
      <c r="A17" s="10">
        <f t="shared" si="1"/>
        <v>14</v>
      </c>
      <c r="B17" s="3">
        <v>1297</v>
      </c>
      <c r="C17" s="5" t="s">
        <v>209</v>
      </c>
      <c r="D17" s="5" t="s">
        <v>109</v>
      </c>
      <c r="E17" s="5" t="s">
        <v>16</v>
      </c>
      <c r="F17" s="5" t="s">
        <v>48</v>
      </c>
      <c r="G17" s="7">
        <v>38985</v>
      </c>
      <c r="H17" s="18">
        <v>19.526027397260275</v>
      </c>
      <c r="I17" s="26" t="s">
        <v>13</v>
      </c>
      <c r="J17" s="28">
        <v>42307.107499999998</v>
      </c>
      <c r="K17" s="28">
        <v>4500</v>
      </c>
      <c r="L17" s="31">
        <f t="shared" si="0"/>
        <v>0.10636510661949651</v>
      </c>
    </row>
    <row r="18" spans="1:12" ht="15.75" customHeight="1" x14ac:dyDescent="0.35">
      <c r="A18" s="10">
        <f t="shared" si="1"/>
        <v>15</v>
      </c>
      <c r="B18" s="3">
        <v>1668</v>
      </c>
      <c r="C18" s="5" t="s">
        <v>236</v>
      </c>
      <c r="D18" s="5" t="s">
        <v>237</v>
      </c>
      <c r="E18" s="5" t="s">
        <v>16</v>
      </c>
      <c r="F18" s="5" t="s">
        <v>238</v>
      </c>
      <c r="G18" s="7">
        <v>39254</v>
      </c>
      <c r="H18" s="18">
        <v>18.789041095890411</v>
      </c>
      <c r="I18" s="26" t="s">
        <v>13</v>
      </c>
      <c r="J18" s="28">
        <v>42067.707499999997</v>
      </c>
      <c r="K18" s="28">
        <v>4500</v>
      </c>
      <c r="L18" s="31">
        <f t="shared" si="0"/>
        <v>0.10697041192463365</v>
      </c>
    </row>
    <row r="19" spans="1:12" ht="15.75" customHeight="1" x14ac:dyDescent="0.35">
      <c r="A19" s="10">
        <f t="shared" si="1"/>
        <v>16</v>
      </c>
      <c r="B19" s="3">
        <v>1949</v>
      </c>
      <c r="C19" s="5" t="s">
        <v>286</v>
      </c>
      <c r="D19" s="5" t="s">
        <v>237</v>
      </c>
      <c r="E19" s="5" t="s">
        <v>16</v>
      </c>
      <c r="F19" s="5" t="s">
        <v>141</v>
      </c>
      <c r="G19" s="7">
        <v>39550</v>
      </c>
      <c r="H19" s="18">
        <v>17.978082191780821</v>
      </c>
      <c r="I19" s="26" t="s">
        <v>13</v>
      </c>
      <c r="J19" s="28">
        <v>46588.502</v>
      </c>
      <c r="K19" s="28">
        <v>4500</v>
      </c>
      <c r="L19" s="31">
        <f t="shared" si="0"/>
        <v>9.6590356135511715E-2</v>
      </c>
    </row>
    <row r="20" spans="1:12" ht="15.75" customHeight="1" x14ac:dyDescent="0.35">
      <c r="A20" s="10">
        <f t="shared" si="1"/>
        <v>17</v>
      </c>
      <c r="B20" s="21">
        <v>1958</v>
      </c>
      <c r="C20" s="13" t="s">
        <v>287</v>
      </c>
      <c r="D20" s="13" t="s">
        <v>38</v>
      </c>
      <c r="E20" s="5" t="s">
        <v>16</v>
      </c>
      <c r="F20" s="5" t="s">
        <v>20</v>
      </c>
      <c r="G20" s="7">
        <v>39559</v>
      </c>
      <c r="H20" s="18">
        <v>17.953424657534246</v>
      </c>
      <c r="I20" s="26" t="s">
        <v>21</v>
      </c>
      <c r="J20" s="28">
        <v>44444.53125</v>
      </c>
      <c r="K20" s="28">
        <v>4500</v>
      </c>
      <c r="L20" s="31">
        <f t="shared" si="0"/>
        <v>0.10124980224647999</v>
      </c>
    </row>
    <row r="21" spans="1:12" ht="15.75" customHeight="1" x14ac:dyDescent="0.35">
      <c r="A21" s="10">
        <f t="shared" si="1"/>
        <v>18</v>
      </c>
      <c r="B21" s="21">
        <v>2008</v>
      </c>
      <c r="C21" s="13" t="s">
        <v>294</v>
      </c>
      <c r="D21" s="13" t="s">
        <v>295</v>
      </c>
      <c r="E21" s="5" t="s">
        <v>16</v>
      </c>
      <c r="F21" s="5" t="s">
        <v>20</v>
      </c>
      <c r="G21" s="7">
        <v>39608</v>
      </c>
      <c r="H21" s="18">
        <v>17.81917808219178</v>
      </c>
      <c r="I21" s="26" t="s">
        <v>21</v>
      </c>
      <c r="J21" s="28">
        <v>42469.21875</v>
      </c>
      <c r="K21" s="28">
        <v>4500</v>
      </c>
      <c r="L21" s="31">
        <f t="shared" si="0"/>
        <v>0.10595909537422324</v>
      </c>
    </row>
    <row r="22" spans="1:12" ht="15.75" customHeight="1" x14ac:dyDescent="0.35">
      <c r="A22" s="10">
        <f t="shared" si="1"/>
        <v>19</v>
      </c>
      <c r="B22" s="3">
        <v>2013</v>
      </c>
      <c r="C22" s="5" t="s">
        <v>296</v>
      </c>
      <c r="D22" s="5" t="s">
        <v>237</v>
      </c>
      <c r="E22" s="5" t="s">
        <v>16</v>
      </c>
      <c r="F22" s="5" t="s">
        <v>20</v>
      </c>
      <c r="G22" s="7">
        <v>39611</v>
      </c>
      <c r="H22" s="18">
        <v>17.81095890410959</v>
      </c>
      <c r="I22" s="26" t="s">
        <v>13</v>
      </c>
      <c r="J22" s="28">
        <v>41842.084499999997</v>
      </c>
      <c r="K22" s="28">
        <v>4500</v>
      </c>
      <c r="L22" s="31">
        <f t="shared" si="0"/>
        <v>0.10754722317909378</v>
      </c>
    </row>
    <row r="23" spans="1:12" ht="15.75" customHeight="1" x14ac:dyDescent="0.35">
      <c r="A23" s="10">
        <f t="shared" si="1"/>
        <v>20</v>
      </c>
      <c r="B23" s="3">
        <v>2049</v>
      </c>
      <c r="C23" s="5" t="s">
        <v>301</v>
      </c>
      <c r="D23" s="5" t="s">
        <v>237</v>
      </c>
      <c r="E23" s="5" t="s">
        <v>16</v>
      </c>
      <c r="F23" s="5" t="s">
        <v>302</v>
      </c>
      <c r="G23" s="7">
        <v>39636</v>
      </c>
      <c r="H23" s="18">
        <v>17.742465753424657</v>
      </c>
      <c r="I23" s="26" t="s">
        <v>13</v>
      </c>
      <c r="J23" s="28">
        <v>42647.307500000003</v>
      </c>
      <c r="K23" s="28">
        <v>4500</v>
      </c>
      <c r="L23" s="31">
        <f t="shared" si="0"/>
        <v>0.105516626108225</v>
      </c>
    </row>
    <row r="24" spans="1:12" ht="15.75" customHeight="1" x14ac:dyDescent="0.35">
      <c r="A24" s="10">
        <f t="shared" si="1"/>
        <v>21</v>
      </c>
      <c r="B24" s="3">
        <v>2106</v>
      </c>
      <c r="C24" s="5" t="s">
        <v>304</v>
      </c>
      <c r="D24" s="5" t="s">
        <v>237</v>
      </c>
      <c r="E24" s="5" t="s">
        <v>16</v>
      </c>
      <c r="F24" s="5" t="s">
        <v>20</v>
      </c>
      <c r="G24" s="7">
        <v>39706</v>
      </c>
      <c r="H24" s="18">
        <v>17.550684931506851</v>
      </c>
      <c r="I24" s="26" t="s">
        <v>13</v>
      </c>
      <c r="J24" s="28">
        <v>42647.307500000003</v>
      </c>
      <c r="K24" s="28">
        <v>4500</v>
      </c>
      <c r="L24" s="31">
        <f t="shared" si="0"/>
        <v>0.105516626108225</v>
      </c>
    </row>
    <row r="25" spans="1:12" ht="15.75" customHeight="1" x14ac:dyDescent="0.35">
      <c r="A25" s="10">
        <f t="shared" si="1"/>
        <v>22</v>
      </c>
      <c r="B25" s="21">
        <v>2236</v>
      </c>
      <c r="C25" s="13" t="s">
        <v>316</v>
      </c>
      <c r="D25" s="13" t="s">
        <v>317</v>
      </c>
      <c r="E25" s="5" t="s">
        <v>16</v>
      </c>
      <c r="F25" s="5" t="s">
        <v>20</v>
      </c>
      <c r="G25" s="7">
        <v>39783</v>
      </c>
      <c r="H25" s="18">
        <v>17.339726027397262</v>
      </c>
      <c r="I25" s="26" t="s">
        <v>21</v>
      </c>
      <c r="J25" s="28">
        <v>50069.53125</v>
      </c>
      <c r="K25" s="28">
        <v>4500</v>
      </c>
      <c r="L25" s="31">
        <f t="shared" si="0"/>
        <v>8.9875017553714368E-2</v>
      </c>
    </row>
    <row r="26" spans="1:12" ht="15.75" customHeight="1" x14ac:dyDescent="0.35">
      <c r="A26" s="10">
        <f t="shared" si="1"/>
        <v>23</v>
      </c>
      <c r="B26" s="21">
        <v>2242</v>
      </c>
      <c r="C26" s="13" t="s">
        <v>319</v>
      </c>
      <c r="D26" s="13" t="s">
        <v>38</v>
      </c>
      <c r="E26" s="5" t="s">
        <v>16</v>
      </c>
      <c r="F26" s="5" t="s">
        <v>20</v>
      </c>
      <c r="G26" s="7">
        <v>39753</v>
      </c>
      <c r="H26" s="18">
        <v>17.421917808219177</v>
      </c>
      <c r="I26" s="26" t="s">
        <v>21</v>
      </c>
      <c r="J26" s="28">
        <v>43456.875</v>
      </c>
      <c r="K26" s="28">
        <v>4500</v>
      </c>
      <c r="L26" s="31">
        <f t="shared" si="0"/>
        <v>0.10355093411571817</v>
      </c>
    </row>
    <row r="27" spans="1:12" ht="15.75" customHeight="1" x14ac:dyDescent="0.35">
      <c r="A27" s="10">
        <f t="shared" si="1"/>
        <v>24</v>
      </c>
      <c r="B27" s="3">
        <v>2266</v>
      </c>
      <c r="C27" s="5" t="s">
        <v>325</v>
      </c>
      <c r="D27" s="5" t="s">
        <v>237</v>
      </c>
      <c r="E27" s="5" t="s">
        <v>16</v>
      </c>
      <c r="F27" s="5" t="s">
        <v>326</v>
      </c>
      <c r="G27" s="7">
        <v>39853</v>
      </c>
      <c r="H27" s="18">
        <v>17.147945205479452</v>
      </c>
      <c r="I27" s="26" t="s">
        <v>13</v>
      </c>
      <c r="J27" s="28">
        <v>50305.142</v>
      </c>
      <c r="K27" s="28">
        <v>4500</v>
      </c>
      <c r="L27" s="31">
        <f t="shared" si="0"/>
        <v>8.9454076086297504E-2</v>
      </c>
    </row>
    <row r="28" spans="1:12" ht="15.75" customHeight="1" x14ac:dyDescent="0.35">
      <c r="A28" s="10">
        <f t="shared" si="1"/>
        <v>25</v>
      </c>
      <c r="B28" s="21">
        <v>2386</v>
      </c>
      <c r="C28" s="13" t="s">
        <v>336</v>
      </c>
      <c r="D28" s="13" t="s">
        <v>317</v>
      </c>
      <c r="E28" s="5" t="s">
        <v>16</v>
      </c>
      <c r="F28" s="5" t="s">
        <v>20</v>
      </c>
      <c r="G28" s="7">
        <v>40042</v>
      </c>
      <c r="H28" s="18">
        <v>16.63013698630137</v>
      </c>
      <c r="I28" s="26" t="s">
        <v>21</v>
      </c>
      <c r="J28" s="28">
        <v>50069.53125</v>
      </c>
      <c r="K28" s="28">
        <v>4500</v>
      </c>
      <c r="L28" s="31">
        <f t="shared" si="0"/>
        <v>8.9875017553714368E-2</v>
      </c>
    </row>
    <row r="29" spans="1:12" ht="15.75" customHeight="1" x14ac:dyDescent="0.35">
      <c r="A29" s="10">
        <f t="shared" si="1"/>
        <v>26</v>
      </c>
      <c r="B29" s="21">
        <v>2479</v>
      </c>
      <c r="C29" s="13" t="s">
        <v>348</v>
      </c>
      <c r="D29" s="13" t="s">
        <v>38</v>
      </c>
      <c r="E29" s="5" t="s">
        <v>16</v>
      </c>
      <c r="F29" s="5" t="s">
        <v>20</v>
      </c>
      <c r="G29" s="7">
        <v>40135</v>
      </c>
      <c r="H29" s="18">
        <v>16.375342465753423</v>
      </c>
      <c r="I29" s="26" t="s">
        <v>21</v>
      </c>
      <c r="J29" s="28">
        <v>42469.21875</v>
      </c>
      <c r="K29" s="28">
        <v>4500</v>
      </c>
      <c r="L29" s="31">
        <f t="shared" si="0"/>
        <v>0.10595909537422324</v>
      </c>
    </row>
    <row r="30" spans="1:12" ht="15.75" customHeight="1" x14ac:dyDescent="0.35">
      <c r="A30" s="10">
        <f t="shared" si="1"/>
        <v>27</v>
      </c>
      <c r="B30" s="21">
        <v>2556</v>
      </c>
      <c r="C30" s="13" t="s">
        <v>349</v>
      </c>
      <c r="D30" s="13" t="s">
        <v>295</v>
      </c>
      <c r="E30" s="5" t="s">
        <v>16</v>
      </c>
      <c r="F30" s="5" t="s">
        <v>20</v>
      </c>
      <c r="G30" s="7">
        <v>40148</v>
      </c>
      <c r="H30" s="18">
        <v>16.339726027397262</v>
      </c>
      <c r="I30" s="26" t="s">
        <v>21</v>
      </c>
      <c r="J30" s="28">
        <v>44444.53125</v>
      </c>
      <c r="K30" s="28">
        <v>4500</v>
      </c>
      <c r="L30" s="31">
        <f t="shared" si="0"/>
        <v>0.10124980224647999</v>
      </c>
    </row>
    <row r="31" spans="1:12" ht="15.75" customHeight="1" x14ac:dyDescent="0.35">
      <c r="A31" s="10">
        <f t="shared" si="1"/>
        <v>28</v>
      </c>
      <c r="B31" s="3">
        <v>2574</v>
      </c>
      <c r="C31" s="5" t="s">
        <v>350</v>
      </c>
      <c r="D31" s="5" t="s">
        <v>237</v>
      </c>
      <c r="E31" s="5" t="s">
        <v>16</v>
      </c>
      <c r="F31" s="5" t="s">
        <v>141</v>
      </c>
      <c r="G31" s="7">
        <v>40179</v>
      </c>
      <c r="H31" s="18">
        <v>16.254794520547946</v>
      </c>
      <c r="I31" s="26" t="s">
        <v>13</v>
      </c>
      <c r="J31" s="28">
        <v>45208.982000000004</v>
      </c>
      <c r="K31" s="28">
        <v>4500</v>
      </c>
      <c r="L31" s="31">
        <f t="shared" si="0"/>
        <v>9.9537742300855159E-2</v>
      </c>
    </row>
    <row r="32" spans="1:12" ht="15.75" customHeight="1" x14ac:dyDescent="0.35">
      <c r="A32" s="10">
        <f t="shared" si="1"/>
        <v>29</v>
      </c>
      <c r="B32" s="3">
        <v>2585</v>
      </c>
      <c r="C32" s="5" t="s">
        <v>351</v>
      </c>
      <c r="D32" s="5" t="s">
        <v>129</v>
      </c>
      <c r="E32" s="5" t="s">
        <v>16</v>
      </c>
      <c r="F32" s="5" t="s">
        <v>20</v>
      </c>
      <c r="G32" s="7">
        <v>39995</v>
      </c>
      <c r="H32" s="18">
        <v>16.758904109589039</v>
      </c>
      <c r="I32" s="26" t="s">
        <v>21</v>
      </c>
      <c r="J32" s="28">
        <v>46111</v>
      </c>
      <c r="K32" s="28">
        <v>4500</v>
      </c>
      <c r="L32" s="31">
        <f t="shared" si="0"/>
        <v>9.7590596603847238E-2</v>
      </c>
    </row>
    <row r="33" spans="1:12" ht="15.75" customHeight="1" x14ac:dyDescent="0.35">
      <c r="A33" s="10">
        <f t="shared" si="1"/>
        <v>30</v>
      </c>
      <c r="B33" s="3">
        <v>2587</v>
      </c>
      <c r="C33" s="5" t="s">
        <v>352</v>
      </c>
      <c r="D33" s="5" t="s">
        <v>237</v>
      </c>
      <c r="E33" s="5" t="s">
        <v>16</v>
      </c>
      <c r="F33" s="5" t="s">
        <v>353</v>
      </c>
      <c r="G33" s="7">
        <v>40210</v>
      </c>
      <c r="H33" s="18">
        <v>16.169863013698631</v>
      </c>
      <c r="I33" s="26" t="s">
        <v>13</v>
      </c>
      <c r="J33" s="28">
        <v>42861.890500000001</v>
      </c>
      <c r="K33" s="28">
        <v>4500</v>
      </c>
      <c r="L33" s="31">
        <f t="shared" si="0"/>
        <v>0.10498836956340038</v>
      </c>
    </row>
    <row r="34" spans="1:12" ht="15.75" customHeight="1" x14ac:dyDescent="0.35">
      <c r="A34" s="10">
        <f t="shared" si="1"/>
        <v>31</v>
      </c>
      <c r="B34" s="3">
        <v>2608</v>
      </c>
      <c r="C34" s="5" t="s">
        <v>356</v>
      </c>
      <c r="D34" s="5" t="s">
        <v>237</v>
      </c>
      <c r="E34" s="5" t="s">
        <v>16</v>
      </c>
      <c r="F34" s="5" t="s">
        <v>141</v>
      </c>
      <c r="G34" s="7">
        <v>40245</v>
      </c>
      <c r="H34" s="18">
        <v>16.073972602739726</v>
      </c>
      <c r="I34" s="26" t="s">
        <v>13</v>
      </c>
      <c r="J34" s="28">
        <v>47458.982000000004</v>
      </c>
      <c r="K34" s="28">
        <v>4500</v>
      </c>
      <c r="L34" s="31">
        <f t="shared" si="0"/>
        <v>9.4818721564655553E-2</v>
      </c>
    </row>
    <row r="35" spans="1:12" ht="15.75" customHeight="1" x14ac:dyDescent="0.35">
      <c r="A35" s="10">
        <f t="shared" si="1"/>
        <v>32</v>
      </c>
      <c r="B35" s="21">
        <v>2627</v>
      </c>
      <c r="C35" s="13" t="s">
        <v>359</v>
      </c>
      <c r="D35" s="13" t="s">
        <v>317</v>
      </c>
      <c r="E35" s="5" t="s">
        <v>16</v>
      </c>
      <c r="F35" s="5" t="s">
        <v>20</v>
      </c>
      <c r="G35" s="7">
        <v>40245</v>
      </c>
      <c r="H35" s="18">
        <v>16.073972602739726</v>
      </c>
      <c r="I35" s="26" t="s">
        <v>21</v>
      </c>
      <c r="J35" s="28">
        <v>51182.1875</v>
      </c>
      <c r="K35" s="28">
        <v>4500</v>
      </c>
      <c r="L35" s="31">
        <f t="shared" si="0"/>
        <v>8.7921212824285791E-2</v>
      </c>
    </row>
    <row r="36" spans="1:12" ht="15.75" customHeight="1" x14ac:dyDescent="0.35">
      <c r="A36" s="10">
        <f t="shared" si="1"/>
        <v>33</v>
      </c>
      <c r="B36" s="3">
        <v>2688</v>
      </c>
      <c r="C36" s="5" t="s">
        <v>366</v>
      </c>
      <c r="D36" s="5" t="s">
        <v>367</v>
      </c>
      <c r="E36" s="5" t="s">
        <v>16</v>
      </c>
      <c r="F36" s="5" t="s">
        <v>368</v>
      </c>
      <c r="G36" s="7">
        <v>40002</v>
      </c>
      <c r="H36" s="18">
        <v>16.739726027397261</v>
      </c>
      <c r="I36" s="26" t="s">
        <v>13</v>
      </c>
      <c r="J36" s="28">
        <v>42647.307500000003</v>
      </c>
      <c r="K36" s="28">
        <v>4500</v>
      </c>
      <c r="L36" s="31">
        <f t="shared" si="0"/>
        <v>0.105516626108225</v>
      </c>
    </row>
    <row r="37" spans="1:12" ht="15.75" customHeight="1" x14ac:dyDescent="0.35">
      <c r="A37" s="10">
        <f t="shared" si="1"/>
        <v>34</v>
      </c>
      <c r="B37" s="3">
        <v>2707</v>
      </c>
      <c r="C37" s="5" t="s">
        <v>369</v>
      </c>
      <c r="D37" s="5" t="s">
        <v>367</v>
      </c>
      <c r="E37" s="5" t="s">
        <v>16</v>
      </c>
      <c r="F37" s="5" t="s">
        <v>141</v>
      </c>
      <c r="G37" s="7">
        <v>40154</v>
      </c>
      <c r="H37" s="18">
        <v>16.323287671232876</v>
      </c>
      <c r="I37" s="26" t="s">
        <v>13</v>
      </c>
      <c r="J37" s="28">
        <v>46108.982000000004</v>
      </c>
      <c r="K37" s="28">
        <v>4500</v>
      </c>
      <c r="L37" s="31">
        <f t="shared" si="0"/>
        <v>9.7594867741820884E-2</v>
      </c>
    </row>
    <row r="38" spans="1:12" ht="15.75" customHeight="1" x14ac:dyDescent="0.35">
      <c r="A38" s="10">
        <f t="shared" si="1"/>
        <v>35</v>
      </c>
      <c r="B38" s="3">
        <v>2722</v>
      </c>
      <c r="C38" s="5" t="s">
        <v>371</v>
      </c>
      <c r="D38" s="5" t="s">
        <v>129</v>
      </c>
      <c r="E38" s="5" t="s">
        <v>16</v>
      </c>
      <c r="F38" s="5" t="s">
        <v>20</v>
      </c>
      <c r="G38" s="7">
        <v>39748</v>
      </c>
      <c r="H38" s="18">
        <v>17.435616438356163</v>
      </c>
      <c r="I38" s="26" t="s">
        <v>21</v>
      </c>
      <c r="J38" s="28">
        <v>46505.7</v>
      </c>
      <c r="K38" s="28">
        <v>4500</v>
      </c>
      <c r="L38" s="31">
        <f t="shared" si="0"/>
        <v>9.6762332359259198E-2</v>
      </c>
    </row>
    <row r="39" spans="1:12" ht="15.75" customHeight="1" x14ac:dyDescent="0.35">
      <c r="A39" s="10">
        <f t="shared" si="1"/>
        <v>36</v>
      </c>
      <c r="B39" s="21">
        <v>2727</v>
      </c>
      <c r="C39" s="13" t="s">
        <v>372</v>
      </c>
      <c r="D39" s="13" t="s">
        <v>295</v>
      </c>
      <c r="E39" s="5" t="s">
        <v>16</v>
      </c>
      <c r="F39" s="5" t="s">
        <v>20</v>
      </c>
      <c r="G39" s="7">
        <v>39995</v>
      </c>
      <c r="H39" s="18">
        <v>16.758904109589039</v>
      </c>
      <c r="I39" s="26" t="s">
        <v>21</v>
      </c>
      <c r="J39" s="28">
        <v>43456.875</v>
      </c>
      <c r="K39" s="28">
        <v>4500</v>
      </c>
      <c r="L39" s="31">
        <f t="shared" si="0"/>
        <v>0.10355093411571817</v>
      </c>
    </row>
    <row r="40" spans="1:12" ht="15.75" customHeight="1" x14ac:dyDescent="0.35">
      <c r="A40" s="10">
        <f t="shared" si="1"/>
        <v>37</v>
      </c>
      <c r="B40" s="21">
        <v>2872</v>
      </c>
      <c r="C40" s="13" t="s">
        <v>384</v>
      </c>
      <c r="D40" s="13" t="s">
        <v>295</v>
      </c>
      <c r="E40" s="5" t="s">
        <v>16</v>
      </c>
      <c r="F40" s="5" t="s">
        <v>20</v>
      </c>
      <c r="G40" s="7">
        <v>40365</v>
      </c>
      <c r="H40" s="18">
        <v>15.745205479452055</v>
      </c>
      <c r="I40" s="26" t="s">
        <v>21</v>
      </c>
      <c r="J40" s="28">
        <v>46694.53125</v>
      </c>
      <c r="K40" s="28">
        <v>4500</v>
      </c>
      <c r="L40" s="31">
        <f t="shared" si="0"/>
        <v>9.6371028459569338E-2</v>
      </c>
    </row>
    <row r="41" spans="1:12" ht="15.75" customHeight="1" x14ac:dyDescent="0.35">
      <c r="A41" s="10">
        <f t="shared" si="1"/>
        <v>38</v>
      </c>
      <c r="B41" s="21">
        <v>3009</v>
      </c>
      <c r="C41" s="13" t="s">
        <v>419</v>
      </c>
      <c r="D41" s="13" t="s">
        <v>295</v>
      </c>
      <c r="E41" s="5" t="s">
        <v>16</v>
      </c>
      <c r="F41" s="5" t="s">
        <v>20</v>
      </c>
      <c r="G41" s="7">
        <v>39783</v>
      </c>
      <c r="H41" s="18">
        <v>17.339726027397262</v>
      </c>
      <c r="I41" s="26" t="s">
        <v>21</v>
      </c>
      <c r="J41" s="28">
        <v>45656.875</v>
      </c>
      <c r="K41" s="28">
        <v>4500</v>
      </c>
      <c r="L41" s="31">
        <f t="shared" si="0"/>
        <v>9.8561279106377742E-2</v>
      </c>
    </row>
    <row r="42" spans="1:12" ht="15.75" customHeight="1" x14ac:dyDescent="0.35">
      <c r="A42" s="10">
        <f t="shared" si="1"/>
        <v>39</v>
      </c>
      <c r="B42" s="3">
        <v>3067</v>
      </c>
      <c r="C42" s="5" t="s">
        <v>433</v>
      </c>
      <c r="D42" s="5" t="s">
        <v>367</v>
      </c>
      <c r="E42" s="5" t="s">
        <v>16</v>
      </c>
      <c r="F42" s="5" t="s">
        <v>434</v>
      </c>
      <c r="G42" s="7">
        <v>40452</v>
      </c>
      <c r="H42" s="18">
        <v>15.506849315068493</v>
      </c>
      <c r="I42" s="26" t="s">
        <v>13</v>
      </c>
      <c r="J42" s="28">
        <v>41273.5245</v>
      </c>
      <c r="K42" s="28">
        <v>4500</v>
      </c>
      <c r="L42" s="31">
        <f t="shared" si="0"/>
        <v>0.1090287309967919</v>
      </c>
    </row>
    <row r="43" spans="1:12" ht="15.75" customHeight="1" x14ac:dyDescent="0.35">
      <c r="A43" s="10">
        <f t="shared" si="1"/>
        <v>40</v>
      </c>
      <c r="B43" s="21">
        <v>3072</v>
      </c>
      <c r="C43" s="13" t="s">
        <v>437</v>
      </c>
      <c r="D43" s="13" t="s">
        <v>295</v>
      </c>
      <c r="E43" s="5" t="s">
        <v>16</v>
      </c>
      <c r="F43" s="5" t="s">
        <v>20</v>
      </c>
      <c r="G43" s="7">
        <v>40422</v>
      </c>
      <c r="H43" s="18">
        <v>15.58904109589041</v>
      </c>
      <c r="I43" s="26" t="s">
        <v>21</v>
      </c>
      <c r="J43" s="28">
        <v>45432.1875</v>
      </c>
      <c r="K43" s="28">
        <v>4500</v>
      </c>
      <c r="L43" s="31">
        <f t="shared" si="0"/>
        <v>9.9048719588947814E-2</v>
      </c>
    </row>
    <row r="44" spans="1:12" ht="15.75" customHeight="1" x14ac:dyDescent="0.35">
      <c r="A44" s="10">
        <f t="shared" si="1"/>
        <v>41</v>
      </c>
      <c r="B44" s="3">
        <v>3082</v>
      </c>
      <c r="C44" s="5" t="s">
        <v>438</v>
      </c>
      <c r="D44" s="5" t="s">
        <v>367</v>
      </c>
      <c r="E44" s="5" t="s">
        <v>16</v>
      </c>
      <c r="F44" s="5" t="s">
        <v>439</v>
      </c>
      <c r="G44" s="7">
        <v>40452</v>
      </c>
      <c r="H44" s="18">
        <v>15.506849315068493</v>
      </c>
      <c r="I44" s="26" t="s">
        <v>13</v>
      </c>
      <c r="J44" s="28">
        <v>41273.5245</v>
      </c>
      <c r="K44" s="28">
        <v>4500</v>
      </c>
      <c r="L44" s="31">
        <f t="shared" si="0"/>
        <v>0.1090287309967919</v>
      </c>
    </row>
    <row r="45" spans="1:12" ht="15.75" customHeight="1" x14ac:dyDescent="0.35">
      <c r="A45" s="10">
        <f t="shared" si="1"/>
        <v>42</v>
      </c>
      <c r="B45" s="21">
        <v>3111</v>
      </c>
      <c r="C45" s="13" t="s">
        <v>440</v>
      </c>
      <c r="D45" s="13" t="s">
        <v>295</v>
      </c>
      <c r="E45" s="5" t="s">
        <v>16</v>
      </c>
      <c r="F45" s="5" t="s">
        <v>20</v>
      </c>
      <c r="G45" s="7">
        <v>40391</v>
      </c>
      <c r="H45" s="18">
        <v>15.673972602739726</v>
      </c>
      <c r="I45" s="26" t="s">
        <v>21</v>
      </c>
      <c r="J45" s="28">
        <v>43456.875</v>
      </c>
      <c r="K45" s="28">
        <v>4500</v>
      </c>
      <c r="L45" s="31">
        <f t="shared" si="0"/>
        <v>0.10355093411571817</v>
      </c>
    </row>
    <row r="46" spans="1:12" ht="15.75" customHeight="1" x14ac:dyDescent="0.35">
      <c r="A46" s="10">
        <f t="shared" si="1"/>
        <v>43</v>
      </c>
      <c r="B46" s="3">
        <v>3148</v>
      </c>
      <c r="C46" s="5" t="s">
        <v>443</v>
      </c>
      <c r="D46" s="5" t="s">
        <v>129</v>
      </c>
      <c r="E46" s="5" t="s">
        <v>16</v>
      </c>
      <c r="F46" s="5" t="s">
        <v>20</v>
      </c>
      <c r="G46" s="7">
        <v>40513</v>
      </c>
      <c r="H46" s="18">
        <v>15.33972602739726</v>
      </c>
      <c r="I46" s="26" t="s">
        <v>21</v>
      </c>
      <c r="J46" s="28">
        <v>44005.7</v>
      </c>
      <c r="K46" s="28">
        <v>4500</v>
      </c>
      <c r="L46" s="31">
        <f t="shared" si="0"/>
        <v>0.10225948002190625</v>
      </c>
    </row>
    <row r="47" spans="1:12" ht="15.75" customHeight="1" x14ac:dyDescent="0.35">
      <c r="A47" s="10">
        <f t="shared" si="1"/>
        <v>44</v>
      </c>
      <c r="B47" s="21">
        <v>3190</v>
      </c>
      <c r="C47" s="13" t="s">
        <v>446</v>
      </c>
      <c r="D47" s="13" t="s">
        <v>295</v>
      </c>
      <c r="E47" s="5" t="s">
        <v>16</v>
      </c>
      <c r="F47" s="5" t="s">
        <v>20</v>
      </c>
      <c r="G47" s="7">
        <v>40518</v>
      </c>
      <c r="H47" s="18">
        <v>15.326027397260274</v>
      </c>
      <c r="I47" s="26" t="s">
        <v>21</v>
      </c>
      <c r="J47" s="28">
        <v>40691.4375</v>
      </c>
      <c r="K47" s="28">
        <v>4500</v>
      </c>
      <c r="L47" s="31">
        <f t="shared" si="0"/>
        <v>0.11058837624008737</v>
      </c>
    </row>
    <row r="48" spans="1:12" ht="15.75" customHeight="1" x14ac:dyDescent="0.35">
      <c r="A48" s="10">
        <f t="shared" si="1"/>
        <v>45</v>
      </c>
      <c r="B48" s="3">
        <v>3219</v>
      </c>
      <c r="C48" s="5" t="s">
        <v>450</v>
      </c>
      <c r="D48" s="5" t="s">
        <v>367</v>
      </c>
      <c r="E48" s="5" t="s">
        <v>16</v>
      </c>
      <c r="F48" s="5" t="s">
        <v>451</v>
      </c>
      <c r="G48" s="7">
        <v>40544</v>
      </c>
      <c r="H48" s="18">
        <v>15.254794520547945</v>
      </c>
      <c r="I48" s="26" t="s">
        <v>13</v>
      </c>
      <c r="J48" s="28">
        <v>42067.707499999997</v>
      </c>
      <c r="K48" s="28">
        <v>4500</v>
      </c>
      <c r="L48" s="31">
        <f t="shared" si="0"/>
        <v>0.10697041192463365</v>
      </c>
    </row>
    <row r="49" spans="1:12" ht="15.75" customHeight="1" x14ac:dyDescent="0.35">
      <c r="A49" s="10">
        <f t="shared" si="1"/>
        <v>46</v>
      </c>
      <c r="B49" s="3">
        <v>3333</v>
      </c>
      <c r="C49" s="5" t="s">
        <v>464</v>
      </c>
      <c r="D49" s="5" t="s">
        <v>367</v>
      </c>
      <c r="E49" s="5" t="s">
        <v>16</v>
      </c>
      <c r="F49" s="5" t="s">
        <v>439</v>
      </c>
      <c r="G49" s="7">
        <v>40609</v>
      </c>
      <c r="H49" s="18">
        <v>15.076712328767123</v>
      </c>
      <c r="I49" s="26" t="s">
        <v>13</v>
      </c>
      <c r="J49" s="28">
        <v>42067.707499999997</v>
      </c>
      <c r="K49" s="28">
        <v>4500</v>
      </c>
      <c r="L49" s="31">
        <f t="shared" si="0"/>
        <v>0.10697041192463365</v>
      </c>
    </row>
    <row r="50" spans="1:12" ht="15.75" customHeight="1" x14ac:dyDescent="0.35">
      <c r="A50" s="10">
        <f t="shared" si="1"/>
        <v>47</v>
      </c>
      <c r="B50" s="3">
        <v>3489</v>
      </c>
      <c r="C50" s="5" t="s">
        <v>479</v>
      </c>
      <c r="D50" s="5" t="s">
        <v>367</v>
      </c>
      <c r="E50" s="5" t="s">
        <v>16</v>
      </c>
      <c r="F50" s="5" t="s">
        <v>480</v>
      </c>
      <c r="G50" s="7">
        <v>40749</v>
      </c>
      <c r="H50" s="18">
        <v>14.693150684931506</v>
      </c>
      <c r="I50" s="26" t="s">
        <v>13</v>
      </c>
      <c r="J50" s="28">
        <v>41273.5245</v>
      </c>
      <c r="K50" s="28">
        <v>4500</v>
      </c>
      <c r="L50" s="31">
        <f t="shared" si="0"/>
        <v>0.1090287309967919</v>
      </c>
    </row>
    <row r="51" spans="1:12" ht="15.75" customHeight="1" x14ac:dyDescent="0.35">
      <c r="A51" s="10">
        <f t="shared" si="1"/>
        <v>48</v>
      </c>
      <c r="B51" s="3">
        <v>3502</v>
      </c>
      <c r="C51" s="5" t="s">
        <v>481</v>
      </c>
      <c r="D51" s="5" t="s">
        <v>367</v>
      </c>
      <c r="E51" s="5" t="s">
        <v>16</v>
      </c>
      <c r="F51" s="5" t="s">
        <v>141</v>
      </c>
      <c r="G51" s="7">
        <v>40749</v>
      </c>
      <c r="H51" s="18">
        <v>14.693150684931506</v>
      </c>
      <c r="I51" s="26" t="s">
        <v>13</v>
      </c>
      <c r="J51" s="28">
        <v>44758.982000000004</v>
      </c>
      <c r="K51" s="28">
        <v>4500</v>
      </c>
      <c r="L51" s="31">
        <f t="shared" si="0"/>
        <v>0.10053847962851344</v>
      </c>
    </row>
    <row r="52" spans="1:12" ht="15.75" customHeight="1" x14ac:dyDescent="0.35">
      <c r="A52" s="10">
        <f t="shared" si="1"/>
        <v>49</v>
      </c>
      <c r="B52" s="3">
        <v>3529</v>
      </c>
      <c r="C52" s="5" t="s">
        <v>482</v>
      </c>
      <c r="D52" s="5" t="s">
        <v>367</v>
      </c>
      <c r="E52" s="5" t="s">
        <v>16</v>
      </c>
      <c r="F52" s="5" t="s">
        <v>483</v>
      </c>
      <c r="G52" s="7">
        <v>40771</v>
      </c>
      <c r="H52" s="18">
        <v>14.632876712328768</v>
      </c>
      <c r="I52" s="26" t="s">
        <v>13</v>
      </c>
      <c r="J52" s="28">
        <v>42861.890500000001</v>
      </c>
      <c r="K52" s="28">
        <v>4500</v>
      </c>
      <c r="L52" s="31">
        <f t="shared" si="0"/>
        <v>0.10498836956340038</v>
      </c>
    </row>
    <row r="53" spans="1:12" ht="15.75" customHeight="1" x14ac:dyDescent="0.35">
      <c r="A53" s="10">
        <f t="shared" si="1"/>
        <v>50</v>
      </c>
      <c r="B53" s="3">
        <v>3625</v>
      </c>
      <c r="C53" s="5" t="s">
        <v>496</v>
      </c>
      <c r="D53" s="5" t="s">
        <v>367</v>
      </c>
      <c r="E53" s="5" t="s">
        <v>16</v>
      </c>
      <c r="F53" s="5" t="s">
        <v>497</v>
      </c>
      <c r="G53" s="7">
        <v>40848</v>
      </c>
      <c r="H53" s="18">
        <v>14.421917808219177</v>
      </c>
      <c r="I53" s="26" t="s">
        <v>13</v>
      </c>
      <c r="J53" s="28">
        <v>41273.5245</v>
      </c>
      <c r="K53" s="28">
        <v>4500</v>
      </c>
      <c r="L53" s="31">
        <f t="shared" si="0"/>
        <v>0.1090287309967919</v>
      </c>
    </row>
    <row r="54" spans="1:12" ht="15.75" customHeight="1" x14ac:dyDescent="0.35">
      <c r="A54" s="10">
        <f t="shared" si="1"/>
        <v>51</v>
      </c>
      <c r="B54" s="3">
        <v>3690</v>
      </c>
      <c r="C54" s="5" t="s">
        <v>510</v>
      </c>
      <c r="D54" s="5" t="s">
        <v>367</v>
      </c>
      <c r="E54" s="5" t="s">
        <v>16</v>
      </c>
      <c r="F54" s="5" t="s">
        <v>141</v>
      </c>
      <c r="G54" s="7">
        <v>40903</v>
      </c>
      <c r="H54" s="18">
        <v>14.271232876712329</v>
      </c>
      <c r="I54" s="26" t="s">
        <v>13</v>
      </c>
      <c r="J54" s="28">
        <v>44758.982000000004</v>
      </c>
      <c r="K54" s="28">
        <v>4500</v>
      </c>
      <c r="L54" s="31">
        <f t="shared" si="0"/>
        <v>0.10053847962851344</v>
      </c>
    </row>
    <row r="55" spans="1:12" ht="15.75" customHeight="1" x14ac:dyDescent="0.35">
      <c r="A55" s="10">
        <f t="shared" si="1"/>
        <v>52</v>
      </c>
      <c r="B55" s="21">
        <v>3695</v>
      </c>
      <c r="C55" s="13" t="s">
        <v>511</v>
      </c>
      <c r="D55" s="13" t="s">
        <v>38</v>
      </c>
      <c r="E55" s="5" t="s">
        <v>16</v>
      </c>
      <c r="F55" s="5" t="s">
        <v>20</v>
      </c>
      <c r="G55" s="7">
        <v>40903</v>
      </c>
      <c r="H55" s="18">
        <v>14.271232876712329</v>
      </c>
      <c r="I55" s="26" t="s">
        <v>21</v>
      </c>
      <c r="J55" s="28">
        <v>42751.4375</v>
      </c>
      <c r="K55" s="28">
        <v>4500</v>
      </c>
      <c r="L55" s="31">
        <f t="shared" si="0"/>
        <v>0.10525961846312186</v>
      </c>
    </row>
    <row r="56" spans="1:12" ht="15.75" customHeight="1" x14ac:dyDescent="0.35">
      <c r="A56" s="10">
        <f t="shared" si="1"/>
        <v>53</v>
      </c>
      <c r="B56" s="3">
        <v>3722</v>
      </c>
      <c r="C56" s="5" t="s">
        <v>512</v>
      </c>
      <c r="D56" s="5" t="s">
        <v>367</v>
      </c>
      <c r="E56" s="5" t="s">
        <v>16</v>
      </c>
      <c r="F56" s="5" t="s">
        <v>368</v>
      </c>
      <c r="G56" s="7">
        <v>40938</v>
      </c>
      <c r="H56" s="18">
        <v>14.175342465753424</v>
      </c>
      <c r="I56" s="26" t="s">
        <v>13</v>
      </c>
      <c r="J56" s="28">
        <v>42067.707499999997</v>
      </c>
      <c r="K56" s="28">
        <v>4500</v>
      </c>
      <c r="L56" s="31">
        <f t="shared" si="0"/>
        <v>0.10697041192463365</v>
      </c>
    </row>
    <row r="57" spans="1:12" ht="15.75" customHeight="1" x14ac:dyDescent="0.35">
      <c r="A57" s="10">
        <f t="shared" si="1"/>
        <v>54</v>
      </c>
      <c r="B57" s="3">
        <v>3723</v>
      </c>
      <c r="C57" s="5" t="s">
        <v>513</v>
      </c>
      <c r="D57" s="5" t="s">
        <v>129</v>
      </c>
      <c r="E57" s="5" t="s">
        <v>16</v>
      </c>
      <c r="F57" s="5" t="s">
        <v>20</v>
      </c>
      <c r="G57" s="7">
        <v>40939</v>
      </c>
      <c r="H57" s="18">
        <v>14.172602739726027</v>
      </c>
      <c r="I57" s="26" t="s">
        <v>21</v>
      </c>
      <c r="J57" s="28">
        <v>44209</v>
      </c>
      <c r="K57" s="28">
        <v>4500</v>
      </c>
      <c r="L57" s="31">
        <f t="shared" si="0"/>
        <v>0.10178922843764844</v>
      </c>
    </row>
    <row r="58" spans="1:12" ht="15.75" customHeight="1" x14ac:dyDescent="0.35">
      <c r="A58" s="10">
        <f t="shared" si="1"/>
        <v>55</v>
      </c>
      <c r="B58" s="3">
        <v>3772</v>
      </c>
      <c r="C58" s="5" t="s">
        <v>514</v>
      </c>
      <c r="D58" s="5" t="s">
        <v>367</v>
      </c>
      <c r="E58" s="5" t="s">
        <v>16</v>
      </c>
      <c r="F58" s="5" t="s">
        <v>480</v>
      </c>
      <c r="G58" s="7">
        <v>40941</v>
      </c>
      <c r="H58" s="18">
        <v>14.167123287671233</v>
      </c>
      <c r="I58" s="26" t="s">
        <v>13</v>
      </c>
      <c r="J58" s="28">
        <v>41273.5245</v>
      </c>
      <c r="K58" s="28">
        <v>4500</v>
      </c>
      <c r="L58" s="31">
        <f t="shared" si="0"/>
        <v>0.1090287309967919</v>
      </c>
    </row>
    <row r="59" spans="1:12" ht="15.75" customHeight="1" x14ac:dyDescent="0.35">
      <c r="A59" s="10">
        <f t="shared" si="1"/>
        <v>56</v>
      </c>
      <c r="B59" s="3">
        <v>3825</v>
      </c>
      <c r="C59" s="5" t="s">
        <v>515</v>
      </c>
      <c r="D59" s="5" t="s">
        <v>237</v>
      </c>
      <c r="E59" s="5" t="s">
        <v>16</v>
      </c>
      <c r="F59" s="5" t="s">
        <v>144</v>
      </c>
      <c r="G59" s="7">
        <v>40941</v>
      </c>
      <c r="H59" s="18">
        <v>14.167123287671233</v>
      </c>
      <c r="I59" s="26" t="s">
        <v>13</v>
      </c>
      <c r="J59" s="28">
        <v>42067.707499999997</v>
      </c>
      <c r="K59" s="28">
        <v>4500</v>
      </c>
      <c r="L59" s="31">
        <f t="shared" si="0"/>
        <v>0.10697041192463365</v>
      </c>
    </row>
    <row r="60" spans="1:12" ht="15.75" customHeight="1" x14ac:dyDescent="0.35">
      <c r="A60" s="10">
        <f t="shared" si="1"/>
        <v>57</v>
      </c>
      <c r="B60" s="3">
        <v>3826</v>
      </c>
      <c r="C60" s="5" t="s">
        <v>516</v>
      </c>
      <c r="D60" s="5" t="s">
        <v>367</v>
      </c>
      <c r="E60" s="5" t="s">
        <v>16</v>
      </c>
      <c r="F60" s="5" t="s">
        <v>517</v>
      </c>
      <c r="G60" s="7">
        <v>40941</v>
      </c>
      <c r="H60" s="18">
        <v>14.167123287671233</v>
      </c>
      <c r="I60" s="26" t="s">
        <v>13</v>
      </c>
      <c r="J60" s="28">
        <v>42861.890500000001</v>
      </c>
      <c r="K60" s="28">
        <v>4500</v>
      </c>
      <c r="L60" s="31">
        <f t="shared" si="0"/>
        <v>0.10498836956340038</v>
      </c>
    </row>
    <row r="61" spans="1:12" ht="15.75" customHeight="1" x14ac:dyDescent="0.35">
      <c r="A61" s="10">
        <f t="shared" si="1"/>
        <v>58</v>
      </c>
      <c r="B61" s="21">
        <v>3882</v>
      </c>
      <c r="C61" s="13" t="s">
        <v>528</v>
      </c>
      <c r="D61" s="13" t="s">
        <v>38</v>
      </c>
      <c r="E61" s="5" t="s">
        <v>16</v>
      </c>
      <c r="F61" s="5" t="s">
        <v>20</v>
      </c>
      <c r="G61" s="7">
        <v>41001</v>
      </c>
      <c r="H61" s="18">
        <v>14.002739726027396</v>
      </c>
      <c r="I61" s="26" t="s">
        <v>21</v>
      </c>
      <c r="J61" s="28">
        <v>44444.53125</v>
      </c>
      <c r="K61" s="28">
        <v>4500</v>
      </c>
      <c r="L61" s="31">
        <f t="shared" si="0"/>
        <v>0.10124980224647999</v>
      </c>
    </row>
    <row r="62" spans="1:12" ht="15.75" customHeight="1" x14ac:dyDescent="0.35">
      <c r="A62" s="10">
        <f t="shared" si="1"/>
        <v>59</v>
      </c>
      <c r="B62" s="21">
        <v>3890</v>
      </c>
      <c r="C62" s="13" t="s">
        <v>529</v>
      </c>
      <c r="D62" s="13" t="s">
        <v>38</v>
      </c>
      <c r="E62" s="5" t="s">
        <v>16</v>
      </c>
      <c r="F62" s="5" t="s">
        <v>20</v>
      </c>
      <c r="G62" s="7">
        <v>41003</v>
      </c>
      <c r="H62" s="18">
        <v>13.997260273972604</v>
      </c>
      <c r="I62" s="26" t="s">
        <v>21</v>
      </c>
      <c r="J62" s="28">
        <v>47732.1875</v>
      </c>
      <c r="K62" s="28">
        <v>4500</v>
      </c>
      <c r="L62" s="31">
        <f t="shared" si="0"/>
        <v>9.4276006101752616E-2</v>
      </c>
    </row>
    <row r="63" spans="1:12" ht="15.75" customHeight="1" x14ac:dyDescent="0.35">
      <c r="A63" s="10">
        <f t="shared" si="1"/>
        <v>60</v>
      </c>
      <c r="B63" s="21">
        <v>3911</v>
      </c>
      <c r="C63" s="13" t="s">
        <v>530</v>
      </c>
      <c r="D63" s="13" t="s">
        <v>295</v>
      </c>
      <c r="E63" s="5" t="s">
        <v>16</v>
      </c>
      <c r="F63" s="5" t="s">
        <v>20</v>
      </c>
      <c r="G63" s="7">
        <v>41005</v>
      </c>
      <c r="H63" s="18">
        <v>13.991780821917809</v>
      </c>
      <c r="I63" s="26" t="s">
        <v>21</v>
      </c>
      <c r="J63" s="28">
        <v>44444.53125</v>
      </c>
      <c r="K63" s="28">
        <v>4500</v>
      </c>
      <c r="L63" s="31">
        <f t="shared" si="0"/>
        <v>0.10124980224647999</v>
      </c>
    </row>
    <row r="64" spans="1:12" ht="15.75" customHeight="1" x14ac:dyDescent="0.35">
      <c r="A64" s="10">
        <f t="shared" si="1"/>
        <v>61</v>
      </c>
      <c r="B64" s="21">
        <v>4000</v>
      </c>
      <c r="C64" s="13" t="s">
        <v>547</v>
      </c>
      <c r="D64" s="13" t="s">
        <v>295</v>
      </c>
      <c r="E64" s="5" t="s">
        <v>16</v>
      </c>
      <c r="F64" s="5" t="s">
        <v>20</v>
      </c>
      <c r="G64" s="7">
        <v>41137</v>
      </c>
      <c r="H64" s="18">
        <v>13.63013698630137</v>
      </c>
      <c r="I64" s="26" t="s">
        <v>21</v>
      </c>
      <c r="J64" s="28">
        <v>41394.21875</v>
      </c>
      <c r="K64" s="28">
        <v>4500</v>
      </c>
      <c r="L64" s="31">
        <f t="shared" si="0"/>
        <v>0.10871083295901073</v>
      </c>
    </row>
    <row r="65" spans="1:12" ht="15.75" customHeight="1" x14ac:dyDescent="0.35">
      <c r="A65" s="10">
        <f t="shared" si="1"/>
        <v>62</v>
      </c>
      <c r="B65" s="21">
        <v>4019</v>
      </c>
      <c r="C65" s="13" t="s">
        <v>551</v>
      </c>
      <c r="D65" s="13" t="s">
        <v>38</v>
      </c>
      <c r="E65" s="5" t="s">
        <v>16</v>
      </c>
      <c r="F65" s="5" t="s">
        <v>20</v>
      </c>
      <c r="G65" s="7">
        <v>41169</v>
      </c>
      <c r="H65" s="18">
        <v>13.542465753424658</v>
      </c>
      <c r="I65" s="26" t="s">
        <v>21</v>
      </c>
      <c r="J65" s="28">
        <v>44282.1875</v>
      </c>
      <c r="K65" s="28">
        <v>4500</v>
      </c>
      <c r="L65" s="31">
        <f t="shared" si="0"/>
        <v>0.10162099602690133</v>
      </c>
    </row>
    <row r="66" spans="1:12" ht="15.75" customHeight="1" x14ac:dyDescent="0.35">
      <c r="A66" s="10">
        <f t="shared" si="1"/>
        <v>63</v>
      </c>
      <c r="B66" s="3">
        <v>4115</v>
      </c>
      <c r="C66" s="5" t="s">
        <v>562</v>
      </c>
      <c r="D66" s="5" t="s">
        <v>563</v>
      </c>
      <c r="E66" s="5" t="s">
        <v>16</v>
      </c>
      <c r="F66" s="5" t="s">
        <v>20</v>
      </c>
      <c r="G66" s="7">
        <v>41246</v>
      </c>
      <c r="H66" s="18">
        <v>13.331506849315069</v>
      </c>
      <c r="I66" s="26" t="s">
        <v>13</v>
      </c>
      <c r="J66" s="28">
        <v>39934.5245</v>
      </c>
      <c r="K66" s="28">
        <v>4500</v>
      </c>
      <c r="L66" s="31">
        <f t="shared" si="0"/>
        <v>0.11268445177054756</v>
      </c>
    </row>
    <row r="67" spans="1:12" ht="15.75" customHeight="1" x14ac:dyDescent="0.35">
      <c r="A67" s="10">
        <f t="shared" si="1"/>
        <v>64</v>
      </c>
      <c r="B67" s="3">
        <v>4166</v>
      </c>
      <c r="C67" s="5" t="s">
        <v>566</v>
      </c>
      <c r="D67" s="5" t="s">
        <v>129</v>
      </c>
      <c r="E67" s="5" t="s">
        <v>16</v>
      </c>
      <c r="F67" s="5" t="s">
        <v>20</v>
      </c>
      <c r="G67" s="7">
        <v>41316</v>
      </c>
      <c r="H67" s="18">
        <v>13.139726027397261</v>
      </c>
      <c r="I67" s="26" t="s">
        <v>21</v>
      </c>
      <c r="J67" s="28">
        <v>46005.7</v>
      </c>
      <c r="K67" s="28">
        <v>4500</v>
      </c>
      <c r="L67" s="31">
        <f t="shared" si="0"/>
        <v>9.7813966530234303E-2</v>
      </c>
    </row>
    <row r="68" spans="1:12" ht="15.75" customHeight="1" x14ac:dyDescent="0.35">
      <c r="A68" s="10">
        <f t="shared" si="1"/>
        <v>65</v>
      </c>
      <c r="B68" s="3">
        <v>4169</v>
      </c>
      <c r="C68" s="5" t="s">
        <v>567</v>
      </c>
      <c r="D68" s="5" t="s">
        <v>563</v>
      </c>
      <c r="E68" s="5" t="s">
        <v>16</v>
      </c>
      <c r="F68" s="5" t="s">
        <v>141</v>
      </c>
      <c r="G68" s="7">
        <v>41316</v>
      </c>
      <c r="H68" s="18">
        <v>13.139726027397261</v>
      </c>
      <c r="I68" s="26" t="s">
        <v>13</v>
      </c>
      <c r="J68" s="28">
        <v>46154.982000000004</v>
      </c>
      <c r="K68" s="28">
        <v>4500</v>
      </c>
      <c r="L68" s="31">
        <f t="shared" si="0"/>
        <v>9.7497600584049618E-2</v>
      </c>
    </row>
    <row r="69" spans="1:12" ht="15.75" customHeight="1" x14ac:dyDescent="0.35">
      <c r="A69" s="10">
        <f t="shared" si="1"/>
        <v>66</v>
      </c>
      <c r="B69" s="3">
        <v>4171</v>
      </c>
      <c r="C69" s="5" t="s">
        <v>568</v>
      </c>
      <c r="D69" s="5" t="s">
        <v>129</v>
      </c>
      <c r="E69" s="5" t="s">
        <v>16</v>
      </c>
      <c r="F69" s="5" t="s">
        <v>20</v>
      </c>
      <c r="G69" s="7">
        <v>41316</v>
      </c>
      <c r="H69" s="18">
        <v>13.139726027397261</v>
      </c>
      <c r="I69" s="26" t="s">
        <v>21</v>
      </c>
      <c r="J69" s="28">
        <v>43505.7</v>
      </c>
      <c r="K69" s="28">
        <v>4500</v>
      </c>
      <c r="L69" s="31">
        <f t="shared" ref="L69:L132" si="2">+K69/J69</f>
        <v>0.10343472234672699</v>
      </c>
    </row>
    <row r="70" spans="1:12" ht="15.75" customHeight="1" x14ac:dyDescent="0.35">
      <c r="A70" s="10">
        <f t="shared" ref="A70:A133" si="3">+A69+1</f>
        <v>67</v>
      </c>
      <c r="B70" s="3">
        <v>4196</v>
      </c>
      <c r="C70" s="5" t="s">
        <v>569</v>
      </c>
      <c r="D70" s="5" t="s">
        <v>563</v>
      </c>
      <c r="E70" s="5" t="s">
        <v>16</v>
      </c>
      <c r="F70" s="5" t="s">
        <v>141</v>
      </c>
      <c r="G70" s="7">
        <v>41334</v>
      </c>
      <c r="H70" s="18">
        <v>13.09041095890411</v>
      </c>
      <c r="I70" s="26" t="s">
        <v>13</v>
      </c>
      <c r="J70" s="28">
        <v>45254.982000000004</v>
      </c>
      <c r="K70" s="28">
        <v>4500</v>
      </c>
      <c r="L70" s="31">
        <f t="shared" si="2"/>
        <v>9.9436565901186297E-2</v>
      </c>
    </row>
    <row r="71" spans="1:12" ht="15.75" customHeight="1" x14ac:dyDescent="0.35">
      <c r="A71" s="10">
        <f t="shared" si="3"/>
        <v>68</v>
      </c>
      <c r="B71" s="3">
        <v>4269</v>
      </c>
      <c r="C71" s="5" t="s">
        <v>572</v>
      </c>
      <c r="D71" s="5" t="s">
        <v>204</v>
      </c>
      <c r="E71" s="5" t="s">
        <v>16</v>
      </c>
      <c r="F71" s="5" t="s">
        <v>483</v>
      </c>
      <c r="G71" s="7">
        <v>41386</v>
      </c>
      <c r="H71" s="18">
        <v>12.947945205479453</v>
      </c>
      <c r="I71" s="26" t="s">
        <v>13</v>
      </c>
      <c r="J71" s="28">
        <v>41843.250500000002</v>
      </c>
      <c r="K71" s="28">
        <v>4500</v>
      </c>
      <c r="L71" s="31">
        <f t="shared" si="2"/>
        <v>0.10754422627850099</v>
      </c>
    </row>
    <row r="72" spans="1:12" ht="15.75" customHeight="1" x14ac:dyDescent="0.35">
      <c r="A72" s="10">
        <f t="shared" si="3"/>
        <v>69</v>
      </c>
      <c r="B72" s="3">
        <v>4270</v>
      </c>
      <c r="C72" s="5" t="s">
        <v>573</v>
      </c>
      <c r="D72" s="5" t="s">
        <v>367</v>
      </c>
      <c r="E72" s="5" t="s">
        <v>16</v>
      </c>
      <c r="F72" s="5" t="s">
        <v>574</v>
      </c>
      <c r="G72" s="7">
        <v>41386</v>
      </c>
      <c r="H72" s="18">
        <v>12.947945205479453</v>
      </c>
      <c r="I72" s="26" t="s">
        <v>13</v>
      </c>
      <c r="J72" s="28">
        <v>41843.250500000002</v>
      </c>
      <c r="K72" s="28">
        <v>4500</v>
      </c>
      <c r="L72" s="31">
        <f t="shared" si="2"/>
        <v>0.10754422627850099</v>
      </c>
    </row>
    <row r="73" spans="1:12" ht="15.75" customHeight="1" x14ac:dyDescent="0.35">
      <c r="A73" s="10">
        <f t="shared" si="3"/>
        <v>70</v>
      </c>
      <c r="B73" s="21">
        <v>4283</v>
      </c>
      <c r="C73" s="13" t="s">
        <v>577</v>
      </c>
      <c r="D73" s="13" t="s">
        <v>38</v>
      </c>
      <c r="E73" s="5" t="s">
        <v>16</v>
      </c>
      <c r="F73" s="5" t="s">
        <v>20</v>
      </c>
      <c r="G73" s="7">
        <v>41400</v>
      </c>
      <c r="H73" s="18">
        <v>12.90958904109589</v>
      </c>
      <c r="I73" s="26" t="s">
        <v>21</v>
      </c>
      <c r="J73" s="28">
        <v>39661.4375</v>
      </c>
      <c r="K73" s="28">
        <v>4500</v>
      </c>
      <c r="L73" s="31">
        <f t="shared" si="2"/>
        <v>0.11346033536984129</v>
      </c>
    </row>
    <row r="74" spans="1:12" ht="15.75" customHeight="1" x14ac:dyDescent="0.35">
      <c r="A74" s="10">
        <f t="shared" si="3"/>
        <v>71</v>
      </c>
      <c r="B74" s="3">
        <v>4288</v>
      </c>
      <c r="C74" s="5" t="s">
        <v>578</v>
      </c>
      <c r="D74" s="5" t="s">
        <v>563</v>
      </c>
      <c r="E74" s="5" t="s">
        <v>16</v>
      </c>
      <c r="F74" s="5" t="s">
        <v>20</v>
      </c>
      <c r="G74" s="7">
        <v>41400</v>
      </c>
      <c r="H74" s="18">
        <v>12.90958904109589</v>
      </c>
      <c r="I74" s="26" t="s">
        <v>13</v>
      </c>
      <c r="J74" s="28">
        <v>39934.5245</v>
      </c>
      <c r="K74" s="28">
        <v>4500</v>
      </c>
      <c r="L74" s="31">
        <f t="shared" si="2"/>
        <v>0.11268445177054756</v>
      </c>
    </row>
    <row r="75" spans="1:12" ht="15.75" customHeight="1" x14ac:dyDescent="0.35">
      <c r="A75" s="10">
        <f t="shared" si="3"/>
        <v>72</v>
      </c>
      <c r="B75" s="3">
        <v>4307</v>
      </c>
      <c r="C75" s="5" t="s">
        <v>579</v>
      </c>
      <c r="D75" s="5" t="s">
        <v>367</v>
      </c>
      <c r="E75" s="5" t="s">
        <v>16</v>
      </c>
      <c r="F75" s="5" t="s">
        <v>20</v>
      </c>
      <c r="G75" s="7">
        <v>41400</v>
      </c>
      <c r="H75" s="18">
        <v>12.90958904109589</v>
      </c>
      <c r="I75" s="26" t="s">
        <v>13</v>
      </c>
      <c r="J75" s="28">
        <v>40292.964500000002</v>
      </c>
      <c r="K75" s="28">
        <v>4500</v>
      </c>
      <c r="L75" s="31">
        <f t="shared" si="2"/>
        <v>0.1116820282607898</v>
      </c>
    </row>
    <row r="76" spans="1:12" ht="15.75" customHeight="1" x14ac:dyDescent="0.35">
      <c r="A76" s="10">
        <f t="shared" si="3"/>
        <v>73</v>
      </c>
      <c r="B76" s="3">
        <v>4340</v>
      </c>
      <c r="C76" s="5" t="s">
        <v>584</v>
      </c>
      <c r="D76" s="5" t="s">
        <v>129</v>
      </c>
      <c r="E76" s="5" t="s">
        <v>16</v>
      </c>
      <c r="F76" s="5" t="s">
        <v>20</v>
      </c>
      <c r="G76" s="7">
        <v>41428</v>
      </c>
      <c r="H76" s="18">
        <v>12.832876712328767</v>
      </c>
      <c r="I76" s="26" t="s">
        <v>21</v>
      </c>
      <c r="J76" s="28">
        <v>43005.7</v>
      </c>
      <c r="K76" s="28">
        <v>4500</v>
      </c>
      <c r="L76" s="31">
        <f t="shared" si="2"/>
        <v>0.10463729226590894</v>
      </c>
    </row>
    <row r="77" spans="1:12" ht="15.75" customHeight="1" x14ac:dyDescent="0.35">
      <c r="A77" s="10">
        <f t="shared" si="3"/>
        <v>74</v>
      </c>
      <c r="B77" s="3">
        <v>4384</v>
      </c>
      <c r="C77" s="5" t="s">
        <v>587</v>
      </c>
      <c r="D77" s="5" t="s">
        <v>563</v>
      </c>
      <c r="E77" s="5" t="s">
        <v>16</v>
      </c>
      <c r="F77" s="5" t="s">
        <v>141</v>
      </c>
      <c r="G77" s="7">
        <v>41470</v>
      </c>
      <c r="H77" s="18">
        <v>12.717808219178082</v>
      </c>
      <c r="I77" s="26" t="s">
        <v>13</v>
      </c>
      <c r="J77" s="28">
        <v>44290.982000000004</v>
      </c>
      <c r="K77" s="28">
        <v>4500</v>
      </c>
      <c r="L77" s="31">
        <f t="shared" si="2"/>
        <v>0.10160081797238092</v>
      </c>
    </row>
    <row r="78" spans="1:12" ht="15.75" customHeight="1" x14ac:dyDescent="0.35">
      <c r="A78" s="10">
        <f t="shared" si="3"/>
        <v>75</v>
      </c>
      <c r="B78" s="3">
        <v>4388</v>
      </c>
      <c r="C78" s="5" t="s">
        <v>588</v>
      </c>
      <c r="D78" s="5" t="s">
        <v>563</v>
      </c>
      <c r="E78" s="5" t="s">
        <v>16</v>
      </c>
      <c r="F78" s="5" t="s">
        <v>589</v>
      </c>
      <c r="G78" s="7">
        <v>41470</v>
      </c>
      <c r="H78" s="18">
        <v>12.717808219178082</v>
      </c>
      <c r="I78" s="26" t="s">
        <v>13</v>
      </c>
      <c r="J78" s="28">
        <v>39862.707500000004</v>
      </c>
      <c r="K78" s="28">
        <v>4500</v>
      </c>
      <c r="L78" s="31">
        <f t="shared" si="2"/>
        <v>0.11288746505740985</v>
      </c>
    </row>
    <row r="79" spans="1:12" ht="15.75" customHeight="1" x14ac:dyDescent="0.35">
      <c r="A79" s="10">
        <f t="shared" si="3"/>
        <v>76</v>
      </c>
      <c r="B79" s="3">
        <v>4392</v>
      </c>
      <c r="C79" s="5" t="s">
        <v>590</v>
      </c>
      <c r="D79" s="5" t="s">
        <v>563</v>
      </c>
      <c r="E79" s="5" t="s">
        <v>16</v>
      </c>
      <c r="F79" s="5" t="s">
        <v>48</v>
      </c>
      <c r="G79" s="7">
        <v>41470</v>
      </c>
      <c r="H79" s="18">
        <v>12.717808219178082</v>
      </c>
      <c r="I79" s="26" t="s">
        <v>13</v>
      </c>
      <c r="J79" s="28">
        <v>39110.5245</v>
      </c>
      <c r="K79" s="28">
        <v>4500</v>
      </c>
      <c r="L79" s="31">
        <f t="shared" si="2"/>
        <v>0.1150585438965412</v>
      </c>
    </row>
    <row r="80" spans="1:12" ht="15.75" customHeight="1" x14ac:dyDescent="0.35">
      <c r="A80" s="10">
        <f t="shared" si="3"/>
        <v>77</v>
      </c>
      <c r="B80" s="3">
        <v>4398</v>
      </c>
      <c r="C80" s="5" t="s">
        <v>591</v>
      </c>
      <c r="D80" s="5" t="s">
        <v>563</v>
      </c>
      <c r="E80" s="5" t="s">
        <v>16</v>
      </c>
      <c r="F80" s="5" t="s">
        <v>368</v>
      </c>
      <c r="G80" s="7">
        <v>41470</v>
      </c>
      <c r="H80" s="18">
        <v>12.717808219178082</v>
      </c>
      <c r="I80" s="26" t="s">
        <v>13</v>
      </c>
      <c r="J80" s="28">
        <v>39862.707500000004</v>
      </c>
      <c r="K80" s="28">
        <v>4500</v>
      </c>
      <c r="L80" s="31">
        <f t="shared" si="2"/>
        <v>0.11288746505740985</v>
      </c>
    </row>
    <row r="81" spans="1:12" ht="15.75" customHeight="1" x14ac:dyDescent="0.35">
      <c r="A81" s="10">
        <f t="shared" si="3"/>
        <v>78</v>
      </c>
      <c r="B81" s="3">
        <v>4400</v>
      </c>
      <c r="C81" s="5" t="s">
        <v>592</v>
      </c>
      <c r="D81" s="5" t="s">
        <v>563</v>
      </c>
      <c r="E81" s="5" t="s">
        <v>16</v>
      </c>
      <c r="F81" s="5" t="s">
        <v>451</v>
      </c>
      <c r="G81" s="7">
        <v>41470</v>
      </c>
      <c r="H81" s="18">
        <v>12.717808219178082</v>
      </c>
      <c r="I81" s="26" t="s">
        <v>13</v>
      </c>
      <c r="J81" s="28">
        <v>39862.707500000004</v>
      </c>
      <c r="K81" s="28">
        <v>4500</v>
      </c>
      <c r="L81" s="31">
        <f t="shared" si="2"/>
        <v>0.11288746505740985</v>
      </c>
    </row>
    <row r="82" spans="1:12" ht="15.75" customHeight="1" x14ac:dyDescent="0.35">
      <c r="A82" s="10">
        <f t="shared" si="3"/>
        <v>79</v>
      </c>
      <c r="B82" s="3">
        <v>4421</v>
      </c>
      <c r="C82" s="5" t="s">
        <v>595</v>
      </c>
      <c r="D82" s="5" t="s">
        <v>563</v>
      </c>
      <c r="E82" s="5" t="s">
        <v>16</v>
      </c>
      <c r="F82" s="5" t="s">
        <v>20</v>
      </c>
      <c r="G82" s="7">
        <v>41498</v>
      </c>
      <c r="H82" s="18">
        <v>12.641095890410959</v>
      </c>
      <c r="I82" s="26" t="s">
        <v>13</v>
      </c>
      <c r="J82" s="28">
        <v>39862.707500000004</v>
      </c>
      <c r="K82" s="28">
        <v>4500</v>
      </c>
      <c r="L82" s="31">
        <f t="shared" si="2"/>
        <v>0.11288746505740985</v>
      </c>
    </row>
    <row r="83" spans="1:12" ht="15.75" customHeight="1" x14ac:dyDescent="0.35">
      <c r="A83" s="10">
        <f t="shared" si="3"/>
        <v>80</v>
      </c>
      <c r="B83" s="3">
        <v>4442</v>
      </c>
      <c r="C83" s="5" t="s">
        <v>596</v>
      </c>
      <c r="D83" s="5" t="s">
        <v>597</v>
      </c>
      <c r="E83" s="5" t="s">
        <v>16</v>
      </c>
      <c r="F83" s="5" t="s">
        <v>41</v>
      </c>
      <c r="G83" s="7">
        <v>41498</v>
      </c>
      <c r="H83" s="18">
        <v>12.641095890410959</v>
      </c>
      <c r="I83" s="26" t="s">
        <v>13</v>
      </c>
      <c r="J83" s="28">
        <v>36292.444499999998</v>
      </c>
      <c r="K83" s="28">
        <v>4500</v>
      </c>
      <c r="L83" s="31">
        <f t="shared" si="2"/>
        <v>0.12399275006124209</v>
      </c>
    </row>
    <row r="84" spans="1:12" ht="15.75" customHeight="1" x14ac:dyDescent="0.35">
      <c r="A84" s="10">
        <f t="shared" si="3"/>
        <v>81</v>
      </c>
      <c r="B84" s="21">
        <v>4485</v>
      </c>
      <c r="C84" s="13" t="s">
        <v>601</v>
      </c>
      <c r="D84" s="13" t="s">
        <v>38</v>
      </c>
      <c r="E84" s="5" t="s">
        <v>16</v>
      </c>
      <c r="F84" s="5" t="s">
        <v>20</v>
      </c>
      <c r="G84" s="7">
        <v>41526</v>
      </c>
      <c r="H84" s="18">
        <v>12.564383561643835</v>
      </c>
      <c r="I84" s="26" t="s">
        <v>21</v>
      </c>
      <c r="J84" s="28">
        <v>45662.1875</v>
      </c>
      <c r="K84" s="28">
        <v>4500</v>
      </c>
      <c r="L84" s="31">
        <f t="shared" si="2"/>
        <v>9.8549812139420614E-2</v>
      </c>
    </row>
    <row r="85" spans="1:12" ht="15.75" customHeight="1" x14ac:dyDescent="0.35">
      <c r="A85" s="10">
        <f t="shared" si="3"/>
        <v>82</v>
      </c>
      <c r="B85" s="3">
        <v>4522</v>
      </c>
      <c r="C85" s="5" t="s">
        <v>605</v>
      </c>
      <c r="D85" s="5" t="s">
        <v>563</v>
      </c>
      <c r="E85" s="5" t="s">
        <v>16</v>
      </c>
      <c r="F85" s="5" t="s">
        <v>144</v>
      </c>
      <c r="G85" s="7">
        <v>41555</v>
      </c>
      <c r="H85" s="18">
        <v>12.484931506849316</v>
      </c>
      <c r="I85" s="26" t="s">
        <v>13</v>
      </c>
      <c r="J85" s="28">
        <v>39862.707500000004</v>
      </c>
      <c r="K85" s="28">
        <v>4500</v>
      </c>
      <c r="L85" s="31">
        <f t="shared" si="2"/>
        <v>0.11288746505740985</v>
      </c>
    </row>
    <row r="86" spans="1:12" ht="15.75" customHeight="1" x14ac:dyDescent="0.35">
      <c r="A86" s="10">
        <f t="shared" si="3"/>
        <v>83</v>
      </c>
      <c r="B86" s="21">
        <v>4523</v>
      </c>
      <c r="C86" s="13" t="s">
        <v>606</v>
      </c>
      <c r="D86" s="13" t="s">
        <v>38</v>
      </c>
      <c r="E86" s="5" t="s">
        <v>16</v>
      </c>
      <c r="F86" s="5" t="s">
        <v>20</v>
      </c>
      <c r="G86" s="7">
        <v>41555</v>
      </c>
      <c r="H86" s="18">
        <v>12.484931506849316</v>
      </c>
      <c r="I86" s="26" t="s">
        <v>21</v>
      </c>
      <c r="J86" s="28">
        <v>41476.875</v>
      </c>
      <c r="K86" s="28">
        <v>4500</v>
      </c>
      <c r="L86" s="31">
        <f t="shared" si="2"/>
        <v>0.10849419104018805</v>
      </c>
    </row>
    <row r="87" spans="1:12" ht="15.75" customHeight="1" x14ac:dyDescent="0.35">
      <c r="A87" s="10">
        <f t="shared" si="3"/>
        <v>84</v>
      </c>
      <c r="B87" s="3">
        <v>4604</v>
      </c>
      <c r="C87" s="5" t="s">
        <v>608</v>
      </c>
      <c r="D87" s="5" t="s">
        <v>609</v>
      </c>
      <c r="E87" s="5" t="s">
        <v>16</v>
      </c>
      <c r="F87" s="5" t="s">
        <v>20</v>
      </c>
      <c r="G87" s="7">
        <v>41654</v>
      </c>
      <c r="H87" s="18">
        <v>12.213698630136987</v>
      </c>
      <c r="I87" s="26" t="s">
        <v>13</v>
      </c>
      <c r="J87" s="28">
        <v>40990.982000000004</v>
      </c>
      <c r="K87" s="28">
        <v>4500</v>
      </c>
      <c r="L87" s="31">
        <f t="shared" si="2"/>
        <v>0.10978024385949084</v>
      </c>
    </row>
    <row r="88" spans="1:12" ht="15.75" customHeight="1" x14ac:dyDescent="0.35">
      <c r="A88" s="10">
        <f t="shared" si="3"/>
        <v>85</v>
      </c>
      <c r="B88" s="3">
        <v>4706</v>
      </c>
      <c r="C88" s="5" t="s">
        <v>615</v>
      </c>
      <c r="D88" s="5" t="s">
        <v>204</v>
      </c>
      <c r="E88" s="5" t="s">
        <v>16</v>
      </c>
      <c r="F88" s="5" t="s">
        <v>574</v>
      </c>
      <c r="G88" s="7">
        <v>41750</v>
      </c>
      <c r="H88" s="18">
        <v>11.950684931506849</v>
      </c>
      <c r="I88" s="26" t="s">
        <v>13</v>
      </c>
      <c r="J88" s="28">
        <v>40987.250500000002</v>
      </c>
      <c r="K88" s="28">
        <v>4500</v>
      </c>
      <c r="L88" s="31">
        <f t="shared" si="2"/>
        <v>0.10979023830837348</v>
      </c>
    </row>
    <row r="89" spans="1:12" ht="15.75" customHeight="1" x14ac:dyDescent="0.35">
      <c r="A89" s="10">
        <f t="shared" si="3"/>
        <v>86</v>
      </c>
      <c r="B89" s="3">
        <v>4724</v>
      </c>
      <c r="C89" s="5" t="s">
        <v>616</v>
      </c>
      <c r="D89" s="5" t="s">
        <v>204</v>
      </c>
      <c r="E89" s="5" t="s">
        <v>16</v>
      </c>
      <c r="F89" s="5" t="s">
        <v>517</v>
      </c>
      <c r="G89" s="7">
        <v>41772</v>
      </c>
      <c r="H89" s="18">
        <v>11.890410958904109</v>
      </c>
      <c r="I89" s="26" t="s">
        <v>13</v>
      </c>
      <c r="J89" s="28">
        <v>40987.250500000002</v>
      </c>
      <c r="K89" s="28">
        <v>4500</v>
      </c>
      <c r="L89" s="31">
        <f t="shared" si="2"/>
        <v>0.10979023830837348</v>
      </c>
    </row>
    <row r="90" spans="1:12" ht="15.75" customHeight="1" x14ac:dyDescent="0.35">
      <c r="A90" s="10">
        <f t="shared" si="3"/>
        <v>87</v>
      </c>
      <c r="B90" s="3">
        <v>4733</v>
      </c>
      <c r="C90" s="5" t="s">
        <v>617</v>
      </c>
      <c r="D90" s="5" t="s">
        <v>563</v>
      </c>
      <c r="E90" s="5" t="s">
        <v>16</v>
      </c>
      <c r="F90" s="5" t="s">
        <v>497</v>
      </c>
      <c r="G90" s="7">
        <v>41778</v>
      </c>
      <c r="H90" s="18">
        <v>11.873972602739727</v>
      </c>
      <c r="I90" s="26" t="s">
        <v>13</v>
      </c>
      <c r="J90" s="28">
        <v>39110.5245</v>
      </c>
      <c r="K90" s="28">
        <v>4500</v>
      </c>
      <c r="L90" s="31">
        <f t="shared" si="2"/>
        <v>0.1150585438965412</v>
      </c>
    </row>
    <row r="91" spans="1:12" ht="15.75" customHeight="1" x14ac:dyDescent="0.35">
      <c r="A91" s="10">
        <f t="shared" si="3"/>
        <v>88</v>
      </c>
      <c r="B91" s="3">
        <v>4758</v>
      </c>
      <c r="C91" s="5" t="s">
        <v>619</v>
      </c>
      <c r="D91" s="5" t="s">
        <v>563</v>
      </c>
      <c r="E91" s="5" t="s">
        <v>16</v>
      </c>
      <c r="F91" s="5" t="s">
        <v>620</v>
      </c>
      <c r="G91" s="7">
        <v>41792</v>
      </c>
      <c r="H91" s="18">
        <v>11.835616438356164</v>
      </c>
      <c r="I91" s="26" t="s">
        <v>13</v>
      </c>
      <c r="J91" s="28">
        <v>38286.5245</v>
      </c>
      <c r="K91" s="28">
        <v>4500</v>
      </c>
      <c r="L91" s="31">
        <f t="shared" si="2"/>
        <v>0.11753482612400611</v>
      </c>
    </row>
    <row r="92" spans="1:12" ht="15.75" customHeight="1" x14ac:dyDescent="0.35">
      <c r="A92" s="10">
        <f t="shared" si="3"/>
        <v>89</v>
      </c>
      <c r="B92" s="3">
        <v>4798</v>
      </c>
      <c r="C92" s="5" t="s">
        <v>624</v>
      </c>
      <c r="D92" s="5" t="s">
        <v>563</v>
      </c>
      <c r="E92" s="5" t="s">
        <v>16</v>
      </c>
      <c r="F92" s="5" t="s">
        <v>326</v>
      </c>
      <c r="G92" s="7">
        <v>41834</v>
      </c>
      <c r="H92" s="18">
        <v>11.72054794520548</v>
      </c>
      <c r="I92" s="26" t="s">
        <v>13</v>
      </c>
      <c r="J92" s="28">
        <v>43776.982000000004</v>
      </c>
      <c r="K92" s="28">
        <v>4500</v>
      </c>
      <c r="L92" s="31">
        <f t="shared" si="2"/>
        <v>0.10279374672287823</v>
      </c>
    </row>
    <row r="93" spans="1:12" ht="15.75" customHeight="1" x14ac:dyDescent="0.35">
      <c r="A93" s="10">
        <f t="shared" si="3"/>
        <v>90</v>
      </c>
      <c r="B93" s="3">
        <v>4815</v>
      </c>
      <c r="C93" s="5" t="s">
        <v>625</v>
      </c>
      <c r="D93" s="5" t="s">
        <v>563</v>
      </c>
      <c r="E93" s="5" t="s">
        <v>16</v>
      </c>
      <c r="F93" s="5" t="s">
        <v>626</v>
      </c>
      <c r="G93" s="7">
        <v>41834</v>
      </c>
      <c r="H93" s="18">
        <v>11.72054794520548</v>
      </c>
      <c r="I93" s="26" t="s">
        <v>13</v>
      </c>
      <c r="J93" s="28">
        <v>39022.707500000004</v>
      </c>
      <c r="K93" s="28">
        <v>4500</v>
      </c>
      <c r="L93" s="31">
        <f t="shared" si="2"/>
        <v>0.11531747252545199</v>
      </c>
    </row>
    <row r="94" spans="1:12" ht="15.75" customHeight="1" x14ac:dyDescent="0.35">
      <c r="A94" s="10">
        <f t="shared" si="3"/>
        <v>91</v>
      </c>
      <c r="B94" s="3">
        <v>4832</v>
      </c>
      <c r="C94" s="5" t="s">
        <v>633</v>
      </c>
      <c r="D94" s="5" t="s">
        <v>563</v>
      </c>
      <c r="E94" s="5" t="s">
        <v>16</v>
      </c>
      <c r="F94" s="5" t="s">
        <v>141</v>
      </c>
      <c r="G94" s="7">
        <v>41844</v>
      </c>
      <c r="H94" s="18">
        <v>11.693150684931506</v>
      </c>
      <c r="I94" s="26" t="s">
        <v>13</v>
      </c>
      <c r="J94" s="28">
        <v>41726.982000000004</v>
      </c>
      <c r="K94" s="28">
        <v>4500</v>
      </c>
      <c r="L94" s="31">
        <f t="shared" si="2"/>
        <v>0.10784388863781233</v>
      </c>
    </row>
    <row r="95" spans="1:12" ht="15.75" customHeight="1" x14ac:dyDescent="0.35">
      <c r="A95" s="10">
        <f t="shared" si="3"/>
        <v>92</v>
      </c>
      <c r="B95" s="3">
        <v>4938</v>
      </c>
      <c r="C95" s="5" t="s">
        <v>644</v>
      </c>
      <c r="D95" s="5" t="s">
        <v>563</v>
      </c>
      <c r="E95" s="5" t="s">
        <v>16</v>
      </c>
      <c r="F95" s="5" t="s">
        <v>645</v>
      </c>
      <c r="G95" s="7">
        <v>41918</v>
      </c>
      <c r="H95" s="18">
        <v>11.490410958904109</v>
      </c>
      <c r="I95" s="26" t="s">
        <v>13</v>
      </c>
      <c r="J95" s="28">
        <v>39022.707500000004</v>
      </c>
      <c r="K95" s="28">
        <v>4500</v>
      </c>
      <c r="L95" s="31">
        <f t="shared" si="2"/>
        <v>0.11531747252545199</v>
      </c>
    </row>
    <row r="96" spans="1:12" ht="15.75" customHeight="1" x14ac:dyDescent="0.35">
      <c r="A96" s="10">
        <f t="shared" si="3"/>
        <v>93</v>
      </c>
      <c r="B96" s="3">
        <v>4974</v>
      </c>
      <c r="C96" s="5" t="s">
        <v>650</v>
      </c>
      <c r="D96" s="5" t="s">
        <v>651</v>
      </c>
      <c r="E96" s="5" t="s">
        <v>16</v>
      </c>
      <c r="F96" s="5" t="s">
        <v>20</v>
      </c>
      <c r="G96" s="7">
        <v>41925</v>
      </c>
      <c r="H96" s="18">
        <v>11.471232876712328</v>
      </c>
      <c r="I96" s="26" t="s">
        <v>13</v>
      </c>
      <c r="J96" s="28">
        <v>39022.707500000004</v>
      </c>
      <c r="K96" s="28">
        <v>4500</v>
      </c>
      <c r="L96" s="31">
        <f t="shared" si="2"/>
        <v>0.11531747252545199</v>
      </c>
    </row>
    <row r="97" spans="1:12" ht="15.75" customHeight="1" x14ac:dyDescent="0.35">
      <c r="A97" s="10">
        <f t="shared" si="3"/>
        <v>94</v>
      </c>
      <c r="B97" s="3">
        <v>4981</v>
      </c>
      <c r="C97" s="5" t="s">
        <v>652</v>
      </c>
      <c r="D97" s="5" t="s">
        <v>563</v>
      </c>
      <c r="E97" s="5" t="s">
        <v>16</v>
      </c>
      <c r="F97" s="5" t="s">
        <v>141</v>
      </c>
      <c r="G97" s="7">
        <v>41925</v>
      </c>
      <c r="H97" s="18">
        <v>11.471232876712328</v>
      </c>
      <c r="I97" s="26" t="s">
        <v>13</v>
      </c>
      <c r="J97" s="28">
        <v>45576.982000000004</v>
      </c>
      <c r="K97" s="28">
        <v>4500</v>
      </c>
      <c r="L97" s="31">
        <f t="shared" si="2"/>
        <v>9.8734049569144347E-2</v>
      </c>
    </row>
    <row r="98" spans="1:12" ht="15.75" customHeight="1" x14ac:dyDescent="0.35">
      <c r="A98" s="10">
        <f t="shared" si="3"/>
        <v>95</v>
      </c>
      <c r="B98" s="3">
        <v>5021</v>
      </c>
      <c r="C98" s="5" t="s">
        <v>655</v>
      </c>
      <c r="D98" s="5" t="s">
        <v>563</v>
      </c>
      <c r="E98" s="5" t="s">
        <v>16</v>
      </c>
      <c r="F98" s="5" t="s">
        <v>656</v>
      </c>
      <c r="G98" s="7">
        <v>41960</v>
      </c>
      <c r="H98" s="18">
        <v>11.375342465753425</v>
      </c>
      <c r="I98" s="26" t="s">
        <v>13</v>
      </c>
      <c r="J98" s="28">
        <v>37742.684500000003</v>
      </c>
      <c r="K98" s="28">
        <v>4500</v>
      </c>
      <c r="L98" s="31">
        <f t="shared" si="2"/>
        <v>0.11922840305649164</v>
      </c>
    </row>
    <row r="99" spans="1:12" ht="15.75" customHeight="1" x14ac:dyDescent="0.35">
      <c r="A99" s="10">
        <f t="shared" si="3"/>
        <v>96</v>
      </c>
      <c r="B99" s="3">
        <v>5041</v>
      </c>
      <c r="C99" s="5" t="s">
        <v>657</v>
      </c>
      <c r="D99" s="5" t="s">
        <v>563</v>
      </c>
      <c r="E99" s="5" t="s">
        <v>16</v>
      </c>
      <c r="F99" s="5" t="s">
        <v>658</v>
      </c>
      <c r="G99" s="7">
        <v>41960</v>
      </c>
      <c r="H99" s="18">
        <v>11.375342465753425</v>
      </c>
      <c r="I99" s="26" t="s">
        <v>13</v>
      </c>
      <c r="J99" s="28">
        <v>37742.684500000003</v>
      </c>
      <c r="K99" s="28">
        <v>4500</v>
      </c>
      <c r="L99" s="31">
        <f t="shared" si="2"/>
        <v>0.11922840305649164</v>
      </c>
    </row>
    <row r="100" spans="1:12" ht="15.75" customHeight="1" x14ac:dyDescent="0.35">
      <c r="A100" s="10">
        <f t="shared" si="3"/>
        <v>97</v>
      </c>
      <c r="B100" s="3">
        <v>5083</v>
      </c>
      <c r="C100" s="5" t="s">
        <v>667</v>
      </c>
      <c r="D100" s="5" t="s">
        <v>563</v>
      </c>
      <c r="E100" s="5" t="s">
        <v>16</v>
      </c>
      <c r="F100" s="5" t="s">
        <v>20</v>
      </c>
      <c r="G100" s="7">
        <v>42009</v>
      </c>
      <c r="H100" s="18">
        <v>11.241095890410959</v>
      </c>
      <c r="I100" s="26" t="s">
        <v>13</v>
      </c>
      <c r="J100" s="28">
        <v>37742.684500000003</v>
      </c>
      <c r="K100" s="28">
        <v>4500</v>
      </c>
      <c r="L100" s="31">
        <f t="shared" si="2"/>
        <v>0.11922840305649164</v>
      </c>
    </row>
    <row r="101" spans="1:12" ht="15.75" customHeight="1" x14ac:dyDescent="0.35">
      <c r="A101" s="10">
        <f t="shared" si="3"/>
        <v>98</v>
      </c>
      <c r="B101" s="3">
        <v>5186</v>
      </c>
      <c r="C101" s="5" t="s">
        <v>679</v>
      </c>
      <c r="D101" s="5" t="s">
        <v>563</v>
      </c>
      <c r="E101" s="5" t="s">
        <v>16</v>
      </c>
      <c r="F101" s="5" t="s">
        <v>368</v>
      </c>
      <c r="G101" s="7">
        <v>42093</v>
      </c>
      <c r="H101" s="18">
        <v>11.010958904109589</v>
      </c>
      <c r="I101" s="26" t="s">
        <v>13</v>
      </c>
      <c r="J101" s="28">
        <v>38468.307499999995</v>
      </c>
      <c r="K101" s="28">
        <v>4500</v>
      </c>
      <c r="L101" s="31">
        <f t="shared" si="2"/>
        <v>0.11697941220834841</v>
      </c>
    </row>
    <row r="102" spans="1:12" ht="15.75" customHeight="1" x14ac:dyDescent="0.35">
      <c r="A102" s="10">
        <f t="shared" si="3"/>
        <v>99</v>
      </c>
      <c r="B102" s="3">
        <v>5204</v>
      </c>
      <c r="C102" s="5" t="s">
        <v>680</v>
      </c>
      <c r="D102" s="5" t="s">
        <v>563</v>
      </c>
      <c r="E102" s="5" t="s">
        <v>16</v>
      </c>
      <c r="F102" s="5" t="s">
        <v>681</v>
      </c>
      <c r="G102" s="7">
        <v>42100</v>
      </c>
      <c r="H102" s="18">
        <v>10.991780821917809</v>
      </c>
      <c r="I102" s="26" t="s">
        <v>13</v>
      </c>
      <c r="J102" s="28">
        <v>38468.307499999995</v>
      </c>
      <c r="K102" s="28">
        <v>4500</v>
      </c>
      <c r="L102" s="31">
        <f t="shared" si="2"/>
        <v>0.11697941220834841</v>
      </c>
    </row>
    <row r="103" spans="1:12" ht="15.75" customHeight="1" x14ac:dyDescent="0.35">
      <c r="A103" s="10">
        <f t="shared" si="3"/>
        <v>100</v>
      </c>
      <c r="B103" s="3">
        <v>5214</v>
      </c>
      <c r="C103" s="5" t="s">
        <v>682</v>
      </c>
      <c r="D103" s="5" t="s">
        <v>563</v>
      </c>
      <c r="E103" s="5" t="s">
        <v>16</v>
      </c>
      <c r="F103" s="5" t="s">
        <v>683</v>
      </c>
      <c r="G103" s="7">
        <v>42100</v>
      </c>
      <c r="H103" s="18">
        <v>10.991780821917809</v>
      </c>
      <c r="I103" s="26" t="s">
        <v>13</v>
      </c>
      <c r="J103" s="28">
        <v>36654.25</v>
      </c>
      <c r="K103" s="28">
        <v>4500</v>
      </c>
      <c r="L103" s="31">
        <f t="shared" si="2"/>
        <v>0.12276884672309486</v>
      </c>
    </row>
    <row r="104" spans="1:12" ht="15.75" customHeight="1" x14ac:dyDescent="0.35">
      <c r="A104" s="10">
        <f t="shared" si="3"/>
        <v>101</v>
      </c>
      <c r="B104" s="3">
        <v>5215</v>
      </c>
      <c r="C104" s="5" t="s">
        <v>684</v>
      </c>
      <c r="D104" s="5" t="s">
        <v>563</v>
      </c>
      <c r="E104" s="5" t="s">
        <v>16</v>
      </c>
      <c r="F104" s="5" t="s">
        <v>20</v>
      </c>
      <c r="G104" s="7">
        <v>42100</v>
      </c>
      <c r="H104" s="18">
        <v>10.991780821917809</v>
      </c>
      <c r="I104" s="26" t="s">
        <v>13</v>
      </c>
      <c r="J104" s="28">
        <v>44106.741999999998</v>
      </c>
      <c r="K104" s="28">
        <v>4500</v>
      </c>
      <c r="L104" s="31">
        <f t="shared" si="2"/>
        <v>0.10202521872959922</v>
      </c>
    </row>
    <row r="105" spans="1:12" ht="15.75" customHeight="1" x14ac:dyDescent="0.35">
      <c r="A105" s="10">
        <f t="shared" si="3"/>
        <v>102</v>
      </c>
      <c r="B105" s="3">
        <v>5252</v>
      </c>
      <c r="C105" s="5" t="s">
        <v>687</v>
      </c>
      <c r="D105" s="5" t="s">
        <v>563</v>
      </c>
      <c r="E105" s="5" t="s">
        <v>16</v>
      </c>
      <c r="F105" s="5" t="s">
        <v>688</v>
      </c>
      <c r="G105" s="7">
        <v>42114</v>
      </c>
      <c r="H105" s="18">
        <v>10.953424657534246</v>
      </c>
      <c r="I105" s="26" t="s">
        <v>13</v>
      </c>
      <c r="J105" s="28">
        <v>38468.307499999995</v>
      </c>
      <c r="K105" s="28">
        <v>4500</v>
      </c>
      <c r="L105" s="31">
        <f t="shared" si="2"/>
        <v>0.11697941220834841</v>
      </c>
    </row>
    <row r="106" spans="1:12" ht="15.75" customHeight="1" x14ac:dyDescent="0.35">
      <c r="A106" s="10">
        <f t="shared" si="3"/>
        <v>103</v>
      </c>
      <c r="B106" s="3">
        <v>5259</v>
      </c>
      <c r="C106" s="5" t="s">
        <v>689</v>
      </c>
      <c r="D106" s="5" t="s">
        <v>563</v>
      </c>
      <c r="E106" s="5" t="s">
        <v>16</v>
      </c>
      <c r="F106" s="5" t="s">
        <v>141</v>
      </c>
      <c r="G106" s="7">
        <v>42114</v>
      </c>
      <c r="H106" s="18">
        <v>10.953424657534246</v>
      </c>
      <c r="I106" s="26" t="s">
        <v>13</v>
      </c>
      <c r="J106" s="28">
        <v>44106.741999999998</v>
      </c>
      <c r="K106" s="28">
        <v>4500</v>
      </c>
      <c r="L106" s="31">
        <f t="shared" si="2"/>
        <v>0.10202521872959922</v>
      </c>
    </row>
    <row r="107" spans="1:12" ht="15.75" customHeight="1" x14ac:dyDescent="0.35">
      <c r="A107" s="10">
        <f t="shared" si="3"/>
        <v>104</v>
      </c>
      <c r="B107" s="3">
        <v>5536</v>
      </c>
      <c r="C107" s="5" t="s">
        <v>695</v>
      </c>
      <c r="D107" s="5" t="s">
        <v>563</v>
      </c>
      <c r="E107" s="5" t="s">
        <v>16</v>
      </c>
      <c r="F107" s="5" t="s">
        <v>20</v>
      </c>
      <c r="G107" s="7">
        <v>42170</v>
      </c>
      <c r="H107" s="18">
        <v>10.8</v>
      </c>
      <c r="I107" s="26" t="s">
        <v>13</v>
      </c>
      <c r="J107" s="28">
        <v>37628.307499999995</v>
      </c>
      <c r="K107" s="28">
        <v>4500</v>
      </c>
      <c r="L107" s="31">
        <f t="shared" si="2"/>
        <v>0.11959081603657036</v>
      </c>
    </row>
    <row r="108" spans="1:12" ht="15.75" customHeight="1" x14ac:dyDescent="0.35">
      <c r="A108" s="10">
        <f t="shared" si="3"/>
        <v>105</v>
      </c>
      <c r="B108" s="3">
        <v>5540</v>
      </c>
      <c r="C108" s="5" t="s">
        <v>696</v>
      </c>
      <c r="D108" s="5" t="s">
        <v>563</v>
      </c>
      <c r="E108" s="5" t="s">
        <v>16</v>
      </c>
      <c r="F108" s="5" t="s">
        <v>697</v>
      </c>
      <c r="G108" s="7">
        <v>42170</v>
      </c>
      <c r="H108" s="18">
        <v>10.8</v>
      </c>
      <c r="I108" s="26" t="s">
        <v>13</v>
      </c>
      <c r="J108" s="28">
        <v>37628.307499999995</v>
      </c>
      <c r="K108" s="28">
        <v>4500</v>
      </c>
      <c r="L108" s="31">
        <f t="shared" si="2"/>
        <v>0.11959081603657036</v>
      </c>
    </row>
    <row r="109" spans="1:12" ht="15.75" customHeight="1" x14ac:dyDescent="0.35">
      <c r="A109" s="10">
        <f t="shared" si="3"/>
        <v>106</v>
      </c>
      <c r="B109" s="3">
        <v>5541</v>
      </c>
      <c r="C109" s="5" t="s">
        <v>698</v>
      </c>
      <c r="D109" s="5" t="s">
        <v>204</v>
      </c>
      <c r="E109" s="5" t="s">
        <v>16</v>
      </c>
      <c r="F109" s="5" t="s">
        <v>658</v>
      </c>
      <c r="G109" s="7">
        <v>42170</v>
      </c>
      <c r="H109" s="18">
        <v>10.8</v>
      </c>
      <c r="I109" s="26" t="s">
        <v>13</v>
      </c>
      <c r="J109" s="28">
        <v>37252.25</v>
      </c>
      <c r="K109" s="28">
        <v>4500</v>
      </c>
      <c r="L109" s="31">
        <f t="shared" si="2"/>
        <v>0.12079807259964163</v>
      </c>
    </row>
    <row r="110" spans="1:12" ht="15.75" customHeight="1" x14ac:dyDescent="0.35">
      <c r="A110" s="10">
        <f t="shared" si="3"/>
        <v>107</v>
      </c>
      <c r="B110" s="3">
        <v>5555</v>
      </c>
      <c r="C110" s="5" t="s">
        <v>701</v>
      </c>
      <c r="D110" s="5" t="s">
        <v>563</v>
      </c>
      <c r="E110" s="5" t="s">
        <v>16</v>
      </c>
      <c r="F110" s="5" t="s">
        <v>302</v>
      </c>
      <c r="G110" s="7">
        <v>42170</v>
      </c>
      <c r="H110" s="18">
        <v>10.8</v>
      </c>
      <c r="I110" s="26" t="s">
        <v>13</v>
      </c>
      <c r="J110" s="28">
        <v>37628.307499999995</v>
      </c>
      <c r="K110" s="28">
        <v>4500</v>
      </c>
      <c r="L110" s="31">
        <f t="shared" si="2"/>
        <v>0.11959081603657036</v>
      </c>
    </row>
    <row r="111" spans="1:12" ht="15.75" customHeight="1" x14ac:dyDescent="0.35">
      <c r="A111" s="10">
        <f t="shared" si="3"/>
        <v>108</v>
      </c>
      <c r="B111" s="3">
        <v>5603</v>
      </c>
      <c r="C111" s="5" t="s">
        <v>709</v>
      </c>
      <c r="D111" s="5" t="s">
        <v>563</v>
      </c>
      <c r="E111" s="5" t="s">
        <v>16</v>
      </c>
      <c r="F111" s="5" t="s">
        <v>589</v>
      </c>
      <c r="G111" s="7">
        <v>42221</v>
      </c>
      <c r="H111" s="18">
        <v>10.66027397260274</v>
      </c>
      <c r="I111" s="26" t="s">
        <v>13</v>
      </c>
      <c r="J111" s="28">
        <v>37628.307499999995</v>
      </c>
      <c r="K111" s="28">
        <v>4500</v>
      </c>
      <c r="L111" s="31">
        <f t="shared" si="2"/>
        <v>0.11959081603657036</v>
      </c>
    </row>
    <row r="112" spans="1:12" ht="15.75" customHeight="1" x14ac:dyDescent="0.35">
      <c r="A112" s="10">
        <f t="shared" si="3"/>
        <v>109</v>
      </c>
      <c r="B112" s="3">
        <v>5616</v>
      </c>
      <c r="C112" s="5" t="s">
        <v>710</v>
      </c>
      <c r="D112" s="5" t="s">
        <v>563</v>
      </c>
      <c r="E112" s="5" t="s">
        <v>16</v>
      </c>
      <c r="F112" s="5" t="s">
        <v>711</v>
      </c>
      <c r="G112" s="7">
        <v>42221</v>
      </c>
      <c r="H112" s="18">
        <v>10.66027397260274</v>
      </c>
      <c r="I112" s="26" t="s">
        <v>13</v>
      </c>
      <c r="J112" s="28">
        <v>37628.307499999995</v>
      </c>
      <c r="K112" s="28">
        <v>4500</v>
      </c>
      <c r="L112" s="31">
        <f t="shared" si="2"/>
        <v>0.11959081603657036</v>
      </c>
    </row>
    <row r="113" spans="1:12" ht="15.75" customHeight="1" x14ac:dyDescent="0.35">
      <c r="A113" s="10">
        <f t="shared" si="3"/>
        <v>110</v>
      </c>
      <c r="B113" s="3">
        <v>5666</v>
      </c>
      <c r="C113" s="5" t="s">
        <v>717</v>
      </c>
      <c r="D113" s="5" t="s">
        <v>563</v>
      </c>
      <c r="E113" s="5" t="s">
        <v>16</v>
      </c>
      <c r="F113" s="5" t="s">
        <v>718</v>
      </c>
      <c r="G113" s="7">
        <v>42268</v>
      </c>
      <c r="H113" s="18">
        <v>10.531506849315068</v>
      </c>
      <c r="I113" s="26" t="s">
        <v>13</v>
      </c>
      <c r="J113" s="28">
        <v>36918.684500000003</v>
      </c>
      <c r="K113" s="28">
        <v>4500</v>
      </c>
      <c r="L113" s="31">
        <f t="shared" si="2"/>
        <v>0.12188950015269367</v>
      </c>
    </row>
    <row r="114" spans="1:12" ht="15.75" customHeight="1" x14ac:dyDescent="0.35">
      <c r="A114" s="10">
        <f t="shared" si="3"/>
        <v>111</v>
      </c>
      <c r="B114" s="3">
        <v>5685</v>
      </c>
      <c r="C114" s="5" t="s">
        <v>726</v>
      </c>
      <c r="D114" s="5" t="s">
        <v>563</v>
      </c>
      <c r="E114" s="5" t="s">
        <v>16</v>
      </c>
      <c r="F114" s="5" t="s">
        <v>483</v>
      </c>
      <c r="G114" s="7">
        <v>42282</v>
      </c>
      <c r="H114" s="18">
        <v>10.493150684931507</v>
      </c>
      <c r="I114" s="26" t="s">
        <v>13</v>
      </c>
      <c r="J114" s="28">
        <v>38337.93</v>
      </c>
      <c r="K114" s="28">
        <v>4500</v>
      </c>
      <c r="L114" s="31">
        <f t="shared" si="2"/>
        <v>0.11737722928702723</v>
      </c>
    </row>
    <row r="115" spans="1:12" ht="15.75" customHeight="1" x14ac:dyDescent="0.35">
      <c r="A115" s="10">
        <f t="shared" si="3"/>
        <v>112</v>
      </c>
      <c r="B115" s="3">
        <v>5690</v>
      </c>
      <c r="C115" s="5" t="s">
        <v>727</v>
      </c>
      <c r="D115" s="5" t="s">
        <v>563</v>
      </c>
      <c r="E115" s="5" t="s">
        <v>16</v>
      </c>
      <c r="F115" s="5" t="s">
        <v>141</v>
      </c>
      <c r="G115" s="7">
        <v>42282</v>
      </c>
      <c r="H115" s="18">
        <v>10.493150684931507</v>
      </c>
      <c r="I115" s="26" t="s">
        <v>13</v>
      </c>
      <c r="J115" s="28">
        <v>44492.741999999998</v>
      </c>
      <c r="K115" s="28">
        <v>4500</v>
      </c>
      <c r="L115" s="31">
        <f t="shared" si="2"/>
        <v>0.1011400915681933</v>
      </c>
    </row>
    <row r="116" spans="1:12" ht="15.75" customHeight="1" x14ac:dyDescent="0.35">
      <c r="A116" s="10">
        <f t="shared" si="3"/>
        <v>113</v>
      </c>
      <c r="B116" s="3">
        <v>5691</v>
      </c>
      <c r="C116" s="5" t="s">
        <v>728</v>
      </c>
      <c r="D116" s="5" t="s">
        <v>563</v>
      </c>
      <c r="E116" s="5" t="s">
        <v>16</v>
      </c>
      <c r="F116" s="5" t="s">
        <v>729</v>
      </c>
      <c r="G116" s="7">
        <v>42282</v>
      </c>
      <c r="H116" s="18">
        <v>10.493150684931507</v>
      </c>
      <c r="I116" s="26" t="s">
        <v>13</v>
      </c>
      <c r="J116" s="28">
        <v>37628.307499999995</v>
      </c>
      <c r="K116" s="28">
        <v>4500</v>
      </c>
      <c r="L116" s="31">
        <f t="shared" si="2"/>
        <v>0.11959081603657036</v>
      </c>
    </row>
    <row r="117" spans="1:12" ht="15.75" customHeight="1" x14ac:dyDescent="0.35">
      <c r="A117" s="10">
        <f t="shared" si="3"/>
        <v>114</v>
      </c>
      <c r="B117" s="3">
        <v>5697</v>
      </c>
      <c r="C117" s="5" t="s">
        <v>730</v>
      </c>
      <c r="D117" s="5" t="s">
        <v>563</v>
      </c>
      <c r="E117" s="5" t="s">
        <v>16</v>
      </c>
      <c r="F117" s="5" t="s">
        <v>656</v>
      </c>
      <c r="G117" s="7">
        <v>42289</v>
      </c>
      <c r="H117" s="18">
        <v>10.473972602739726</v>
      </c>
      <c r="I117" s="26" t="s">
        <v>13</v>
      </c>
      <c r="J117" s="28">
        <v>37628.307499999995</v>
      </c>
      <c r="K117" s="28">
        <v>4500</v>
      </c>
      <c r="L117" s="31">
        <f t="shared" si="2"/>
        <v>0.11959081603657036</v>
      </c>
    </row>
    <row r="118" spans="1:12" ht="15.75" customHeight="1" x14ac:dyDescent="0.35">
      <c r="A118" s="10">
        <f t="shared" si="3"/>
        <v>115</v>
      </c>
      <c r="B118" s="21">
        <v>5727</v>
      </c>
      <c r="C118" s="13" t="s">
        <v>737</v>
      </c>
      <c r="D118" s="13" t="s">
        <v>38</v>
      </c>
      <c r="E118" s="5" t="s">
        <v>16</v>
      </c>
      <c r="F118" s="5" t="s">
        <v>20</v>
      </c>
      <c r="G118" s="7">
        <v>42310</v>
      </c>
      <c r="H118" s="18">
        <v>10.416438356164383</v>
      </c>
      <c r="I118" s="26" t="s">
        <v>21</v>
      </c>
      <c r="J118" s="28">
        <v>39716.875</v>
      </c>
      <c r="K118" s="28">
        <v>4500</v>
      </c>
      <c r="L118" s="31">
        <f t="shared" si="2"/>
        <v>0.1133019654743733</v>
      </c>
    </row>
    <row r="119" spans="1:12" ht="15.75" customHeight="1" x14ac:dyDescent="0.35">
      <c r="A119" s="10">
        <f t="shared" si="3"/>
        <v>116</v>
      </c>
      <c r="B119" s="3">
        <v>5751</v>
      </c>
      <c r="C119" s="5" t="s">
        <v>738</v>
      </c>
      <c r="D119" s="5" t="s">
        <v>563</v>
      </c>
      <c r="E119" s="5" t="s">
        <v>16</v>
      </c>
      <c r="F119" s="5" t="s">
        <v>739</v>
      </c>
      <c r="G119" s="7">
        <v>42324</v>
      </c>
      <c r="H119" s="18">
        <v>10.378082191780821</v>
      </c>
      <c r="I119" s="26" t="s">
        <v>13</v>
      </c>
      <c r="J119" s="28">
        <v>37628.307499999995</v>
      </c>
      <c r="K119" s="28">
        <v>4500</v>
      </c>
      <c r="L119" s="31">
        <f t="shared" si="2"/>
        <v>0.11959081603657036</v>
      </c>
    </row>
    <row r="120" spans="1:12" ht="15.75" customHeight="1" x14ac:dyDescent="0.35">
      <c r="A120" s="10">
        <f t="shared" si="3"/>
        <v>117</v>
      </c>
      <c r="B120" s="3">
        <v>5779</v>
      </c>
      <c r="C120" s="5" t="s">
        <v>742</v>
      </c>
      <c r="D120" s="5" t="s">
        <v>563</v>
      </c>
      <c r="E120" s="5" t="s">
        <v>16</v>
      </c>
      <c r="F120" s="5" t="s">
        <v>407</v>
      </c>
      <c r="G120" s="7">
        <v>42345</v>
      </c>
      <c r="H120" s="18">
        <v>10.32054794520548</v>
      </c>
      <c r="I120" s="26" t="s">
        <v>13</v>
      </c>
      <c r="J120" s="28">
        <v>36918.684500000003</v>
      </c>
      <c r="K120" s="28">
        <v>4500</v>
      </c>
      <c r="L120" s="31">
        <f t="shared" si="2"/>
        <v>0.12188950015269367</v>
      </c>
    </row>
    <row r="121" spans="1:12" ht="15.75" customHeight="1" x14ac:dyDescent="0.35">
      <c r="A121" s="10">
        <f t="shared" si="3"/>
        <v>118</v>
      </c>
      <c r="B121" s="3">
        <v>5780</v>
      </c>
      <c r="C121" s="5" t="s">
        <v>743</v>
      </c>
      <c r="D121" s="5" t="s">
        <v>563</v>
      </c>
      <c r="E121" s="5" t="s">
        <v>16</v>
      </c>
      <c r="F121" s="5" t="s">
        <v>353</v>
      </c>
      <c r="G121" s="7">
        <v>42345</v>
      </c>
      <c r="H121" s="18">
        <v>10.32054794520548</v>
      </c>
      <c r="I121" s="26" t="s">
        <v>13</v>
      </c>
      <c r="J121" s="28">
        <v>38337.930500000002</v>
      </c>
      <c r="K121" s="28">
        <v>4500</v>
      </c>
      <c r="L121" s="31">
        <f t="shared" si="2"/>
        <v>0.11737722775620348</v>
      </c>
    </row>
    <row r="122" spans="1:12" ht="15.75" customHeight="1" x14ac:dyDescent="0.35">
      <c r="A122" s="10">
        <f t="shared" si="3"/>
        <v>119</v>
      </c>
      <c r="B122" s="3">
        <v>5805</v>
      </c>
      <c r="C122" s="5" t="s">
        <v>744</v>
      </c>
      <c r="D122" s="5" t="s">
        <v>563</v>
      </c>
      <c r="E122" s="5" t="s">
        <v>16</v>
      </c>
      <c r="F122" s="5" t="s">
        <v>656</v>
      </c>
      <c r="G122" s="7">
        <v>42373</v>
      </c>
      <c r="H122" s="18">
        <v>10.243835616438357</v>
      </c>
      <c r="I122" s="26" t="s">
        <v>13</v>
      </c>
      <c r="J122" s="28">
        <v>37628.307499999995</v>
      </c>
      <c r="K122" s="28">
        <v>4500</v>
      </c>
      <c r="L122" s="31">
        <f t="shared" si="2"/>
        <v>0.11959081603657036</v>
      </c>
    </row>
    <row r="123" spans="1:12" ht="15.75" customHeight="1" x14ac:dyDescent="0.35">
      <c r="A123" s="10">
        <f t="shared" si="3"/>
        <v>120</v>
      </c>
      <c r="B123" s="3">
        <v>5809</v>
      </c>
      <c r="C123" s="5" t="s">
        <v>745</v>
      </c>
      <c r="D123" s="5" t="s">
        <v>563</v>
      </c>
      <c r="E123" s="5" t="s">
        <v>16</v>
      </c>
      <c r="F123" s="5" t="s">
        <v>434</v>
      </c>
      <c r="G123" s="7">
        <v>42373</v>
      </c>
      <c r="H123" s="18">
        <v>10.243835616438357</v>
      </c>
      <c r="I123" s="26" t="s">
        <v>13</v>
      </c>
      <c r="J123" s="28">
        <v>36918.684500000003</v>
      </c>
      <c r="K123" s="28">
        <v>4500</v>
      </c>
      <c r="L123" s="31">
        <f t="shared" si="2"/>
        <v>0.12188950015269367</v>
      </c>
    </row>
    <row r="124" spans="1:12" ht="15.75" customHeight="1" x14ac:dyDescent="0.35">
      <c r="A124" s="10">
        <f t="shared" si="3"/>
        <v>121</v>
      </c>
      <c r="B124" s="3">
        <v>5833</v>
      </c>
      <c r="C124" s="5" t="s">
        <v>751</v>
      </c>
      <c r="D124" s="5" t="s">
        <v>204</v>
      </c>
      <c r="E124" s="5" t="s">
        <v>16</v>
      </c>
      <c r="F124" s="5" t="s">
        <v>517</v>
      </c>
      <c r="G124" s="7">
        <v>42415</v>
      </c>
      <c r="H124" s="18">
        <v>10.128767123287671</v>
      </c>
      <c r="I124" s="26" t="s">
        <v>13</v>
      </c>
      <c r="J124" s="28">
        <v>37968.5075</v>
      </c>
      <c r="K124" s="28">
        <v>4500</v>
      </c>
      <c r="L124" s="31">
        <f t="shared" si="2"/>
        <v>0.11851927548113393</v>
      </c>
    </row>
    <row r="125" spans="1:12" ht="15.75" customHeight="1" x14ac:dyDescent="0.35">
      <c r="A125" s="10">
        <f t="shared" si="3"/>
        <v>122</v>
      </c>
      <c r="B125" s="3">
        <v>5835</v>
      </c>
      <c r="C125" s="5" t="s">
        <v>752</v>
      </c>
      <c r="D125" s="5" t="s">
        <v>563</v>
      </c>
      <c r="E125" s="5" t="s">
        <v>16</v>
      </c>
      <c r="F125" s="5" t="s">
        <v>20</v>
      </c>
      <c r="G125" s="7">
        <v>42415</v>
      </c>
      <c r="H125" s="18">
        <v>10.128767123287671</v>
      </c>
      <c r="I125" s="26" t="s">
        <v>13</v>
      </c>
      <c r="J125" s="28">
        <v>37628.307499999995</v>
      </c>
      <c r="K125" s="28">
        <v>4500</v>
      </c>
      <c r="L125" s="31">
        <f t="shared" si="2"/>
        <v>0.11959081603657036</v>
      </c>
    </row>
    <row r="126" spans="1:12" ht="15.75" customHeight="1" x14ac:dyDescent="0.35">
      <c r="A126" s="10">
        <f t="shared" si="3"/>
        <v>123</v>
      </c>
      <c r="B126" s="3">
        <v>5875</v>
      </c>
      <c r="C126" s="5" t="s">
        <v>758</v>
      </c>
      <c r="D126" s="5" t="s">
        <v>563</v>
      </c>
      <c r="E126" s="5" t="s">
        <v>16</v>
      </c>
      <c r="F126" s="5" t="s">
        <v>589</v>
      </c>
      <c r="G126" s="7">
        <v>42464</v>
      </c>
      <c r="H126" s="18">
        <v>9.9945205479452053</v>
      </c>
      <c r="I126" s="26" t="s">
        <v>13</v>
      </c>
      <c r="J126" s="28">
        <v>37628.307499999995</v>
      </c>
      <c r="K126" s="28">
        <v>4000</v>
      </c>
      <c r="L126" s="31">
        <f t="shared" si="2"/>
        <v>0.10630294758806254</v>
      </c>
    </row>
    <row r="127" spans="1:12" ht="15.75" customHeight="1" x14ac:dyDescent="0.35">
      <c r="A127" s="10">
        <f t="shared" si="3"/>
        <v>124</v>
      </c>
      <c r="B127" s="3">
        <v>5901</v>
      </c>
      <c r="C127" s="5" t="s">
        <v>762</v>
      </c>
      <c r="D127" s="5" t="s">
        <v>563</v>
      </c>
      <c r="E127" s="5" t="s">
        <v>16</v>
      </c>
      <c r="F127" s="5" t="s">
        <v>763</v>
      </c>
      <c r="G127" s="7">
        <v>42527</v>
      </c>
      <c r="H127" s="18">
        <v>9.8219178082191778</v>
      </c>
      <c r="I127" s="26" t="s">
        <v>13</v>
      </c>
      <c r="J127" s="28">
        <v>35843.307499999995</v>
      </c>
      <c r="K127" s="28">
        <v>4000</v>
      </c>
      <c r="L127" s="31">
        <f t="shared" si="2"/>
        <v>0.11159684412494579</v>
      </c>
    </row>
    <row r="128" spans="1:12" ht="15.75" customHeight="1" x14ac:dyDescent="0.35">
      <c r="A128" s="10">
        <f t="shared" si="3"/>
        <v>125</v>
      </c>
      <c r="B128" s="3">
        <v>5989</v>
      </c>
      <c r="C128" s="5" t="s">
        <v>776</v>
      </c>
      <c r="D128" s="5" t="s">
        <v>563</v>
      </c>
      <c r="E128" s="5" t="s">
        <v>16</v>
      </c>
      <c r="F128" s="5" t="s">
        <v>368</v>
      </c>
      <c r="G128" s="7">
        <v>42601</v>
      </c>
      <c r="H128" s="18">
        <v>9.6191780821917803</v>
      </c>
      <c r="I128" s="26" t="s">
        <v>13</v>
      </c>
      <c r="J128" s="28">
        <v>35843.307499999995</v>
      </c>
      <c r="K128" s="28">
        <v>4000</v>
      </c>
      <c r="L128" s="31">
        <f t="shared" si="2"/>
        <v>0.11159684412494579</v>
      </c>
    </row>
    <row r="129" spans="1:12" ht="15.75" customHeight="1" x14ac:dyDescent="0.35">
      <c r="A129" s="10">
        <f t="shared" si="3"/>
        <v>126</v>
      </c>
      <c r="B129" s="3">
        <v>6017</v>
      </c>
      <c r="C129" s="5" t="s">
        <v>782</v>
      </c>
      <c r="D129" s="5" t="s">
        <v>563</v>
      </c>
      <c r="E129" s="5" t="s">
        <v>16</v>
      </c>
      <c r="F129" s="5" t="s">
        <v>480</v>
      </c>
      <c r="G129" s="7">
        <v>42622</v>
      </c>
      <c r="H129" s="18">
        <v>9.5616438356164384</v>
      </c>
      <c r="I129" s="26" t="s">
        <v>13</v>
      </c>
      <c r="J129" s="28">
        <v>35843.307499999995</v>
      </c>
      <c r="K129" s="28">
        <v>4000</v>
      </c>
      <c r="L129" s="31">
        <f t="shared" si="2"/>
        <v>0.11159684412494579</v>
      </c>
    </row>
    <row r="130" spans="1:12" ht="15.75" customHeight="1" x14ac:dyDescent="0.35">
      <c r="A130" s="10">
        <f t="shared" si="3"/>
        <v>127</v>
      </c>
      <c r="B130" s="3">
        <v>6019</v>
      </c>
      <c r="C130" s="5" t="s">
        <v>783</v>
      </c>
      <c r="D130" s="5" t="s">
        <v>651</v>
      </c>
      <c r="E130" s="5" t="s">
        <v>16</v>
      </c>
      <c r="F130" s="5" t="s">
        <v>20</v>
      </c>
      <c r="G130" s="7">
        <v>42622</v>
      </c>
      <c r="H130" s="18">
        <v>9.5616438356164384</v>
      </c>
      <c r="I130" s="26" t="s">
        <v>13</v>
      </c>
      <c r="J130" s="28">
        <v>36518.930500000002</v>
      </c>
      <c r="K130" s="28">
        <v>4000</v>
      </c>
      <c r="L130" s="31">
        <f t="shared" si="2"/>
        <v>0.10953223287850666</v>
      </c>
    </row>
    <row r="131" spans="1:12" ht="15.75" customHeight="1" x14ac:dyDescent="0.35">
      <c r="A131" s="10">
        <f t="shared" si="3"/>
        <v>128</v>
      </c>
      <c r="B131" s="21">
        <v>6020</v>
      </c>
      <c r="C131" s="13" t="s">
        <v>784</v>
      </c>
      <c r="D131" s="13" t="s">
        <v>295</v>
      </c>
      <c r="E131" s="5" t="s">
        <v>16</v>
      </c>
      <c r="F131" s="5" t="s">
        <v>20</v>
      </c>
      <c r="G131" s="7">
        <v>42622</v>
      </c>
      <c r="H131" s="18">
        <v>9.5616438356164384</v>
      </c>
      <c r="I131" s="26" t="s">
        <v>21</v>
      </c>
      <c r="J131" s="28">
        <v>38707.03125</v>
      </c>
      <c r="K131" s="28">
        <v>4000</v>
      </c>
      <c r="L131" s="31">
        <f t="shared" si="2"/>
        <v>0.10334039761832678</v>
      </c>
    </row>
    <row r="132" spans="1:12" ht="15.75" customHeight="1" x14ac:dyDescent="0.35">
      <c r="A132" s="10">
        <f t="shared" si="3"/>
        <v>129</v>
      </c>
      <c r="B132" s="3">
        <v>6035</v>
      </c>
      <c r="C132" s="5" t="s">
        <v>785</v>
      </c>
      <c r="D132" s="5" t="s">
        <v>563</v>
      </c>
      <c r="E132" s="5" t="s">
        <v>16</v>
      </c>
      <c r="F132" s="5" t="s">
        <v>353</v>
      </c>
      <c r="G132" s="7">
        <v>42628</v>
      </c>
      <c r="H132" s="18">
        <v>9.5452054794520542</v>
      </c>
      <c r="I132" s="26" t="s">
        <v>13</v>
      </c>
      <c r="J132" s="28">
        <v>36518.930500000002</v>
      </c>
      <c r="K132" s="28">
        <v>4000</v>
      </c>
      <c r="L132" s="31">
        <f t="shared" si="2"/>
        <v>0.10953223287850666</v>
      </c>
    </row>
    <row r="133" spans="1:12" ht="15.75" customHeight="1" x14ac:dyDescent="0.35">
      <c r="A133" s="10">
        <f t="shared" si="3"/>
        <v>130</v>
      </c>
      <c r="B133" s="3">
        <v>6147</v>
      </c>
      <c r="C133" s="5" t="s">
        <v>802</v>
      </c>
      <c r="D133" s="5" t="s">
        <v>563</v>
      </c>
      <c r="E133" s="5" t="s">
        <v>16</v>
      </c>
      <c r="F133" s="5" t="s">
        <v>439</v>
      </c>
      <c r="G133" s="7">
        <v>42744</v>
      </c>
      <c r="H133" s="18">
        <v>9.2273972602739729</v>
      </c>
      <c r="I133" s="26" t="s">
        <v>13</v>
      </c>
      <c r="J133" s="28">
        <v>35843.307499999995</v>
      </c>
      <c r="K133" s="28">
        <v>4000</v>
      </c>
      <c r="L133" s="31">
        <f t="shared" ref="L133:L196" si="4">+K133/J133</f>
        <v>0.11159684412494579</v>
      </c>
    </row>
    <row r="134" spans="1:12" ht="15.75" customHeight="1" x14ac:dyDescent="0.35">
      <c r="A134" s="10">
        <f t="shared" ref="A134:A197" si="5">+A133+1</f>
        <v>131</v>
      </c>
      <c r="B134" s="3">
        <v>6259</v>
      </c>
      <c r="C134" s="5" t="s">
        <v>816</v>
      </c>
      <c r="D134" s="5" t="s">
        <v>563</v>
      </c>
      <c r="E134" s="5" t="s">
        <v>16</v>
      </c>
      <c r="F134" s="5" t="s">
        <v>817</v>
      </c>
      <c r="G134" s="7">
        <v>42905</v>
      </c>
      <c r="H134" s="18">
        <v>8.786301369863013</v>
      </c>
      <c r="I134" s="26" t="s">
        <v>13</v>
      </c>
      <c r="J134" s="28">
        <v>34656.807499999995</v>
      </c>
      <c r="K134" s="28">
        <v>4000</v>
      </c>
      <c r="L134" s="31">
        <f t="shared" si="4"/>
        <v>0.11541743999357126</v>
      </c>
    </row>
    <row r="135" spans="1:12" ht="15.75" customHeight="1" x14ac:dyDescent="0.35">
      <c r="A135" s="10">
        <f t="shared" si="5"/>
        <v>132</v>
      </c>
      <c r="B135" s="3">
        <v>6260</v>
      </c>
      <c r="C135" s="5" t="s">
        <v>818</v>
      </c>
      <c r="D135" s="5" t="s">
        <v>563</v>
      </c>
      <c r="E135" s="5" t="s">
        <v>16</v>
      </c>
      <c r="F135" s="5" t="s">
        <v>819</v>
      </c>
      <c r="G135" s="7">
        <v>42905</v>
      </c>
      <c r="H135" s="18">
        <v>8.786301369863013</v>
      </c>
      <c r="I135" s="26" t="s">
        <v>13</v>
      </c>
      <c r="J135" s="28">
        <v>34656.807499999995</v>
      </c>
      <c r="K135" s="28">
        <v>4000</v>
      </c>
      <c r="L135" s="31">
        <f t="shared" si="4"/>
        <v>0.11541743999357126</v>
      </c>
    </row>
    <row r="136" spans="1:12" ht="15.75" customHeight="1" x14ac:dyDescent="0.35">
      <c r="A136" s="10">
        <f t="shared" si="5"/>
        <v>133</v>
      </c>
      <c r="B136" s="3">
        <v>6282</v>
      </c>
      <c r="C136" s="5" t="s">
        <v>820</v>
      </c>
      <c r="D136" s="5" t="s">
        <v>563</v>
      </c>
      <c r="E136" s="5" t="s">
        <v>16</v>
      </c>
      <c r="F136" s="5" t="s">
        <v>247</v>
      </c>
      <c r="G136" s="7">
        <v>42887</v>
      </c>
      <c r="H136" s="18">
        <v>8.8356164383561637</v>
      </c>
      <c r="I136" s="26" t="s">
        <v>13</v>
      </c>
      <c r="J136" s="28">
        <v>41186.342000000004</v>
      </c>
      <c r="K136" s="28">
        <v>4000</v>
      </c>
      <c r="L136" s="31">
        <f t="shared" si="4"/>
        <v>9.7119574251095173E-2</v>
      </c>
    </row>
    <row r="137" spans="1:12" ht="15.75" customHeight="1" x14ac:dyDescent="0.35">
      <c r="A137" s="10">
        <f t="shared" si="5"/>
        <v>134</v>
      </c>
      <c r="B137" s="3">
        <v>6308</v>
      </c>
      <c r="C137" s="5" t="s">
        <v>822</v>
      </c>
      <c r="D137" s="5" t="s">
        <v>563</v>
      </c>
      <c r="E137" s="5" t="s">
        <v>16</v>
      </c>
      <c r="F137" s="5" t="s">
        <v>353</v>
      </c>
      <c r="G137" s="7">
        <v>42926</v>
      </c>
      <c r="H137" s="18">
        <v>8.7287671232876711</v>
      </c>
      <c r="I137" s="26" t="s">
        <v>13</v>
      </c>
      <c r="J137" s="28">
        <v>35309.830499999996</v>
      </c>
      <c r="K137" s="28">
        <v>4000</v>
      </c>
      <c r="L137" s="31">
        <f t="shared" si="4"/>
        <v>0.11328290006942969</v>
      </c>
    </row>
    <row r="138" spans="1:12" ht="15.75" customHeight="1" x14ac:dyDescent="0.35">
      <c r="A138" s="10">
        <f t="shared" si="5"/>
        <v>135</v>
      </c>
      <c r="B138" s="3">
        <v>6321</v>
      </c>
      <c r="C138" s="5" t="s">
        <v>823</v>
      </c>
      <c r="D138" s="5" t="s">
        <v>563</v>
      </c>
      <c r="E138" s="5" t="s">
        <v>16</v>
      </c>
      <c r="F138" s="5" t="s">
        <v>368</v>
      </c>
      <c r="G138" s="7">
        <v>42930</v>
      </c>
      <c r="H138" s="18">
        <v>8.7178082191780817</v>
      </c>
      <c r="I138" s="26" t="s">
        <v>13</v>
      </c>
      <c r="J138" s="28">
        <v>34656.807499999995</v>
      </c>
      <c r="K138" s="28">
        <v>4000</v>
      </c>
      <c r="L138" s="31">
        <f t="shared" si="4"/>
        <v>0.11541743999357126</v>
      </c>
    </row>
    <row r="139" spans="1:12" ht="15.75" customHeight="1" x14ac:dyDescent="0.35">
      <c r="A139" s="10">
        <f t="shared" si="5"/>
        <v>136</v>
      </c>
      <c r="B139" s="3">
        <v>6343</v>
      </c>
      <c r="C139" s="5" t="s">
        <v>824</v>
      </c>
      <c r="D139" s="5" t="s">
        <v>563</v>
      </c>
      <c r="E139" s="5" t="s">
        <v>16</v>
      </c>
      <c r="F139" s="5" t="s">
        <v>825</v>
      </c>
      <c r="G139" s="7">
        <v>42933</v>
      </c>
      <c r="H139" s="18">
        <v>8.7095890410958905</v>
      </c>
      <c r="I139" s="26" t="s">
        <v>13</v>
      </c>
      <c r="J139" s="28">
        <v>34003.784500000002</v>
      </c>
      <c r="K139" s="28">
        <v>4000</v>
      </c>
      <c r="L139" s="31">
        <f t="shared" si="4"/>
        <v>0.11763396512526421</v>
      </c>
    </row>
    <row r="140" spans="1:12" ht="15.75" customHeight="1" x14ac:dyDescent="0.35">
      <c r="A140" s="10">
        <f t="shared" si="5"/>
        <v>137</v>
      </c>
      <c r="B140" s="3">
        <v>6349</v>
      </c>
      <c r="C140" s="5" t="s">
        <v>826</v>
      </c>
      <c r="D140" s="5" t="s">
        <v>563</v>
      </c>
      <c r="E140" s="5" t="s">
        <v>16</v>
      </c>
      <c r="F140" s="5" t="s">
        <v>825</v>
      </c>
      <c r="G140" s="7">
        <v>42940</v>
      </c>
      <c r="H140" s="18">
        <v>8.6904109589041099</v>
      </c>
      <c r="I140" s="26" t="s">
        <v>13</v>
      </c>
      <c r="J140" s="28">
        <v>34656.807499999995</v>
      </c>
      <c r="K140" s="28">
        <v>4000</v>
      </c>
      <c r="L140" s="31">
        <f t="shared" si="4"/>
        <v>0.11541743999357126</v>
      </c>
    </row>
    <row r="141" spans="1:12" ht="15.75" customHeight="1" x14ac:dyDescent="0.35">
      <c r="A141" s="10">
        <f t="shared" si="5"/>
        <v>138</v>
      </c>
      <c r="B141" s="3">
        <v>6412</v>
      </c>
      <c r="C141" s="5" t="s">
        <v>834</v>
      </c>
      <c r="D141" s="5" t="s">
        <v>563</v>
      </c>
      <c r="E141" s="5" t="s">
        <v>16</v>
      </c>
      <c r="F141" s="5" t="s">
        <v>517</v>
      </c>
      <c r="G141" s="7">
        <v>42809</v>
      </c>
      <c r="H141" s="18">
        <v>9.0493150684931507</v>
      </c>
      <c r="I141" s="26" t="s">
        <v>13</v>
      </c>
      <c r="J141" s="28">
        <v>34656.807499999995</v>
      </c>
      <c r="K141" s="28">
        <v>4000</v>
      </c>
      <c r="L141" s="31">
        <f t="shared" si="4"/>
        <v>0.11541743999357126</v>
      </c>
    </row>
    <row r="142" spans="1:12" ht="15.75" customHeight="1" x14ac:dyDescent="0.35">
      <c r="A142" s="10">
        <f t="shared" si="5"/>
        <v>139</v>
      </c>
      <c r="B142" s="3">
        <v>6475</v>
      </c>
      <c r="C142" s="5" t="s">
        <v>837</v>
      </c>
      <c r="D142" s="5" t="s">
        <v>563</v>
      </c>
      <c r="E142" s="5" t="s">
        <v>16</v>
      </c>
      <c r="F142" s="5" t="s">
        <v>439</v>
      </c>
      <c r="G142" s="7">
        <v>42837</v>
      </c>
      <c r="H142" s="18">
        <v>8.9726027397260282</v>
      </c>
      <c r="I142" s="26" t="s">
        <v>13</v>
      </c>
      <c r="J142" s="28">
        <v>34656.807499999995</v>
      </c>
      <c r="K142" s="28">
        <v>4000</v>
      </c>
      <c r="L142" s="31">
        <f t="shared" si="4"/>
        <v>0.11541743999357126</v>
      </c>
    </row>
    <row r="143" spans="1:12" ht="15.75" customHeight="1" x14ac:dyDescent="0.35">
      <c r="A143" s="10">
        <f t="shared" si="5"/>
        <v>140</v>
      </c>
      <c r="B143" s="3">
        <v>6495</v>
      </c>
      <c r="C143" s="5" t="s">
        <v>842</v>
      </c>
      <c r="D143" s="5" t="s">
        <v>563</v>
      </c>
      <c r="E143" s="5" t="s">
        <v>16</v>
      </c>
      <c r="F143" s="5" t="s">
        <v>144</v>
      </c>
      <c r="G143" s="7">
        <v>42894</v>
      </c>
      <c r="H143" s="18">
        <v>8.8164383561643831</v>
      </c>
      <c r="I143" s="26" t="s">
        <v>13</v>
      </c>
      <c r="J143" s="28">
        <v>35110.407500000001</v>
      </c>
      <c r="K143" s="28">
        <v>4000</v>
      </c>
      <c r="L143" s="31">
        <f t="shared" si="4"/>
        <v>0.11392633366616436</v>
      </c>
    </row>
    <row r="144" spans="1:12" ht="15.75" customHeight="1" x14ac:dyDescent="0.35">
      <c r="A144" s="10">
        <f t="shared" si="5"/>
        <v>141</v>
      </c>
      <c r="B144" s="3">
        <v>6524</v>
      </c>
      <c r="C144" s="5" t="s">
        <v>848</v>
      </c>
      <c r="D144" s="5" t="s">
        <v>563</v>
      </c>
      <c r="E144" s="5" t="s">
        <v>16</v>
      </c>
      <c r="F144" s="5" t="s">
        <v>247</v>
      </c>
      <c r="G144" s="7">
        <v>43132</v>
      </c>
      <c r="H144" s="18">
        <v>8.1643835616438363</v>
      </c>
      <c r="I144" s="26" t="s">
        <v>13</v>
      </c>
      <c r="J144" s="28">
        <v>45602.902000000002</v>
      </c>
      <c r="K144" s="28">
        <v>4000</v>
      </c>
      <c r="L144" s="31">
        <f t="shared" si="4"/>
        <v>8.7713716113943796E-2</v>
      </c>
    </row>
    <row r="145" spans="1:12" ht="15.75" customHeight="1" x14ac:dyDescent="0.35">
      <c r="A145" s="10">
        <f t="shared" si="5"/>
        <v>142</v>
      </c>
      <c r="B145" s="3">
        <v>6542</v>
      </c>
      <c r="C145" s="5" t="s">
        <v>849</v>
      </c>
      <c r="D145" s="5" t="s">
        <v>563</v>
      </c>
      <c r="E145" s="5" t="s">
        <v>16</v>
      </c>
      <c r="F145" s="5" t="s">
        <v>850</v>
      </c>
      <c r="G145" s="7">
        <v>42930</v>
      </c>
      <c r="H145" s="18">
        <v>8.7178082191780817</v>
      </c>
      <c r="I145" s="26" t="s">
        <v>13</v>
      </c>
      <c r="J145" s="28">
        <v>34448.744500000001</v>
      </c>
      <c r="K145" s="28">
        <v>4000</v>
      </c>
      <c r="L145" s="31">
        <f t="shared" si="4"/>
        <v>0.11611453648187381</v>
      </c>
    </row>
    <row r="146" spans="1:12" ht="15.75" customHeight="1" x14ac:dyDescent="0.35">
      <c r="A146" s="10">
        <f t="shared" si="5"/>
        <v>143</v>
      </c>
      <c r="B146" s="3">
        <v>6579</v>
      </c>
      <c r="C146" s="5" t="s">
        <v>856</v>
      </c>
      <c r="D146" s="5" t="s">
        <v>563</v>
      </c>
      <c r="E146" s="5" t="s">
        <v>16</v>
      </c>
      <c r="F146" s="5" t="s">
        <v>620</v>
      </c>
      <c r="G146" s="7">
        <v>43164</v>
      </c>
      <c r="H146" s="18">
        <v>8.0767123287671225</v>
      </c>
      <c r="I146" s="26" t="s">
        <v>13</v>
      </c>
      <c r="J146" s="28">
        <v>34427.907500000001</v>
      </c>
      <c r="K146" s="28">
        <v>4000</v>
      </c>
      <c r="L146" s="31">
        <f t="shared" si="4"/>
        <v>0.11618481314904194</v>
      </c>
    </row>
    <row r="147" spans="1:12" ht="15.75" customHeight="1" x14ac:dyDescent="0.35">
      <c r="A147" s="10">
        <f t="shared" si="5"/>
        <v>144</v>
      </c>
      <c r="B147" s="3">
        <v>6694</v>
      </c>
      <c r="C147" s="5" t="s">
        <v>874</v>
      </c>
      <c r="D147" s="5" t="s">
        <v>563</v>
      </c>
      <c r="E147" s="5" t="s">
        <v>16</v>
      </c>
      <c r="F147" s="5" t="s">
        <v>656</v>
      </c>
      <c r="G147" s="7">
        <v>43017</v>
      </c>
      <c r="H147" s="18">
        <v>8.4794520547945211</v>
      </c>
      <c r="I147" s="26" t="s">
        <v>13</v>
      </c>
      <c r="J147" s="28">
        <v>35110.407500000001</v>
      </c>
      <c r="K147" s="28">
        <v>4000</v>
      </c>
      <c r="L147" s="31">
        <f t="shared" si="4"/>
        <v>0.11392633366616436</v>
      </c>
    </row>
    <row r="148" spans="1:12" ht="15.75" customHeight="1" x14ac:dyDescent="0.35">
      <c r="A148" s="10">
        <f t="shared" si="5"/>
        <v>145</v>
      </c>
      <c r="B148" s="3">
        <v>6708</v>
      </c>
      <c r="C148" s="5" t="s">
        <v>875</v>
      </c>
      <c r="D148" s="5" t="s">
        <v>563</v>
      </c>
      <c r="E148" s="5" t="s">
        <v>16</v>
      </c>
      <c r="F148" s="5" t="s">
        <v>711</v>
      </c>
      <c r="G148" s="7">
        <v>43255</v>
      </c>
      <c r="H148" s="18">
        <v>7.8273972602739725</v>
      </c>
      <c r="I148" s="26" t="s">
        <v>13</v>
      </c>
      <c r="J148" s="28">
        <v>33779.244500000001</v>
      </c>
      <c r="K148" s="28">
        <v>4000</v>
      </c>
      <c r="L148" s="31">
        <f t="shared" si="4"/>
        <v>0.1184159106933253</v>
      </c>
    </row>
    <row r="149" spans="1:12" ht="15.75" customHeight="1" x14ac:dyDescent="0.35">
      <c r="A149" s="10">
        <f t="shared" si="5"/>
        <v>146</v>
      </c>
      <c r="B149" s="3">
        <v>6779</v>
      </c>
      <c r="C149" s="5" t="s">
        <v>896</v>
      </c>
      <c r="D149" s="5" t="s">
        <v>563</v>
      </c>
      <c r="E149" s="5" t="s">
        <v>16</v>
      </c>
      <c r="F149" s="5" t="s">
        <v>897</v>
      </c>
      <c r="G149" s="7">
        <v>43322</v>
      </c>
      <c r="H149" s="18">
        <v>7.6438356164383565</v>
      </c>
      <c r="I149" s="26" t="s">
        <v>13</v>
      </c>
      <c r="J149" s="28">
        <v>34427.907500000001</v>
      </c>
      <c r="K149" s="28">
        <v>4000</v>
      </c>
      <c r="L149" s="31">
        <f t="shared" si="4"/>
        <v>0.11618481314904194</v>
      </c>
    </row>
    <row r="150" spans="1:12" ht="15.75" customHeight="1" x14ac:dyDescent="0.35">
      <c r="A150" s="10">
        <f t="shared" si="5"/>
        <v>147</v>
      </c>
      <c r="B150" s="3">
        <v>6800</v>
      </c>
      <c r="C150" s="5" t="s">
        <v>898</v>
      </c>
      <c r="D150" s="5" t="s">
        <v>563</v>
      </c>
      <c r="E150" s="5" t="s">
        <v>16</v>
      </c>
      <c r="F150" s="5" t="s">
        <v>574</v>
      </c>
      <c r="G150" s="7">
        <v>43330</v>
      </c>
      <c r="H150" s="18">
        <v>7.6219178082191785</v>
      </c>
      <c r="I150" s="26" t="s">
        <v>13</v>
      </c>
      <c r="J150" s="28">
        <v>34511.610499999995</v>
      </c>
      <c r="K150" s="28">
        <v>4000</v>
      </c>
      <c r="L150" s="31">
        <f t="shared" si="4"/>
        <v>0.11590302341874195</v>
      </c>
    </row>
    <row r="151" spans="1:12" ht="15.75" customHeight="1" x14ac:dyDescent="0.35">
      <c r="A151" s="10">
        <f t="shared" si="5"/>
        <v>148</v>
      </c>
      <c r="B151" s="3">
        <v>6815</v>
      </c>
      <c r="C151" s="5" t="s">
        <v>899</v>
      </c>
      <c r="D151" s="5" t="s">
        <v>563</v>
      </c>
      <c r="E151" s="5" t="s">
        <v>16</v>
      </c>
      <c r="F151" s="5" t="s">
        <v>451</v>
      </c>
      <c r="G151" s="7">
        <v>43331</v>
      </c>
      <c r="H151" s="18">
        <v>7.6191780821917812</v>
      </c>
      <c r="I151" s="26" t="s">
        <v>13</v>
      </c>
      <c r="J151" s="28">
        <v>35186.25</v>
      </c>
      <c r="K151" s="28">
        <v>4000</v>
      </c>
      <c r="L151" s="31">
        <f t="shared" si="4"/>
        <v>0.11368077018721802</v>
      </c>
    </row>
    <row r="152" spans="1:12" ht="15.75" customHeight="1" x14ac:dyDescent="0.35">
      <c r="A152" s="10">
        <f t="shared" si="5"/>
        <v>149</v>
      </c>
      <c r="B152" s="21">
        <v>6819</v>
      </c>
      <c r="C152" s="13" t="s">
        <v>900</v>
      </c>
      <c r="D152" s="13" t="s">
        <v>295</v>
      </c>
      <c r="E152" s="5" t="s">
        <v>16</v>
      </c>
      <c r="F152" s="5" t="s">
        <v>20</v>
      </c>
      <c r="G152" s="7">
        <v>43331</v>
      </c>
      <c r="H152" s="18">
        <v>7.6191780821917812</v>
      </c>
      <c r="I152" s="26" t="s">
        <v>21</v>
      </c>
      <c r="J152" s="28">
        <v>35589.21875</v>
      </c>
      <c r="K152" s="28">
        <v>4000</v>
      </c>
      <c r="L152" s="31">
        <f t="shared" si="4"/>
        <v>0.11239358829701762</v>
      </c>
    </row>
    <row r="153" spans="1:12" ht="15.75" customHeight="1" x14ac:dyDescent="0.35">
      <c r="A153" s="10">
        <f t="shared" si="5"/>
        <v>150</v>
      </c>
      <c r="B153" s="3">
        <v>6822</v>
      </c>
      <c r="C153" s="5" t="s">
        <v>901</v>
      </c>
      <c r="D153" s="5" t="s">
        <v>563</v>
      </c>
      <c r="E153" s="5" t="s">
        <v>16</v>
      </c>
      <c r="F153" s="5" t="s">
        <v>439</v>
      </c>
      <c r="G153" s="7">
        <v>43331</v>
      </c>
      <c r="H153" s="18">
        <v>7.6191780821917812</v>
      </c>
      <c r="I153" s="26" t="s">
        <v>13</v>
      </c>
      <c r="J153" s="28">
        <v>33873.5075</v>
      </c>
      <c r="K153" s="28">
        <v>4000</v>
      </c>
      <c r="L153" s="31">
        <f t="shared" si="4"/>
        <v>0.11808638358457564</v>
      </c>
    </row>
    <row r="154" spans="1:12" ht="15.75" customHeight="1" x14ac:dyDescent="0.35">
      <c r="A154" s="10">
        <f t="shared" si="5"/>
        <v>151</v>
      </c>
      <c r="B154" s="3">
        <v>6828</v>
      </c>
      <c r="C154" s="5" t="s">
        <v>902</v>
      </c>
      <c r="D154" s="5" t="s">
        <v>563</v>
      </c>
      <c r="E154" s="5" t="s">
        <v>16</v>
      </c>
      <c r="F154" s="5" t="s">
        <v>729</v>
      </c>
      <c r="G154" s="7">
        <v>43150</v>
      </c>
      <c r="H154" s="18">
        <v>8.1150684931506856</v>
      </c>
      <c r="I154" s="26" t="s">
        <v>13</v>
      </c>
      <c r="J154" s="28">
        <v>33873.5075</v>
      </c>
      <c r="K154" s="28">
        <v>4000</v>
      </c>
      <c r="L154" s="31">
        <f t="shared" si="4"/>
        <v>0.11808638358457564</v>
      </c>
    </row>
    <row r="155" spans="1:12" ht="15.75" customHeight="1" x14ac:dyDescent="0.35">
      <c r="A155" s="10">
        <f t="shared" si="5"/>
        <v>152</v>
      </c>
      <c r="B155" s="21">
        <v>6872</v>
      </c>
      <c r="C155" s="13" t="s">
        <v>908</v>
      </c>
      <c r="D155" s="13" t="s">
        <v>317</v>
      </c>
      <c r="E155" s="5" t="s">
        <v>16</v>
      </c>
      <c r="F155" s="5" t="s">
        <v>20</v>
      </c>
      <c r="G155" s="7">
        <v>43367</v>
      </c>
      <c r="H155" s="18">
        <v>7.5205479452054798</v>
      </c>
      <c r="I155" s="26" t="s">
        <v>21</v>
      </c>
      <c r="J155" s="28">
        <v>43822.1875</v>
      </c>
      <c r="K155" s="28">
        <v>4000</v>
      </c>
      <c r="L155" s="31">
        <f t="shared" si="4"/>
        <v>9.1277962789967984E-2</v>
      </c>
    </row>
    <row r="156" spans="1:12" ht="15.75" customHeight="1" x14ac:dyDescent="0.35">
      <c r="A156" s="10">
        <f t="shared" si="5"/>
        <v>153</v>
      </c>
      <c r="B156" s="3">
        <v>6908</v>
      </c>
      <c r="C156" s="5" t="s">
        <v>914</v>
      </c>
      <c r="D156" s="5" t="s">
        <v>563</v>
      </c>
      <c r="E156" s="5" t="s">
        <v>16</v>
      </c>
      <c r="F156" s="5" t="s">
        <v>480</v>
      </c>
      <c r="G156" s="7">
        <v>43419</v>
      </c>
      <c r="H156" s="18">
        <v>7.3780821917808215</v>
      </c>
      <c r="I156" s="26" t="s">
        <v>13</v>
      </c>
      <c r="J156" s="28">
        <v>33873.5075</v>
      </c>
      <c r="K156" s="28">
        <v>4000</v>
      </c>
      <c r="L156" s="31">
        <f t="shared" si="4"/>
        <v>0.11808638358457564</v>
      </c>
    </row>
    <row r="157" spans="1:12" ht="15.75" customHeight="1" x14ac:dyDescent="0.35">
      <c r="A157" s="10">
        <f t="shared" si="5"/>
        <v>154</v>
      </c>
      <c r="B157" s="3">
        <v>6967</v>
      </c>
      <c r="C157" s="5" t="s">
        <v>918</v>
      </c>
      <c r="D157" s="5" t="s">
        <v>563</v>
      </c>
      <c r="E157" s="5" t="s">
        <v>16</v>
      </c>
      <c r="F157" s="5" t="s">
        <v>919</v>
      </c>
      <c r="G157" s="7">
        <v>43466</v>
      </c>
      <c r="H157" s="18">
        <v>7.2493150684931509</v>
      </c>
      <c r="I157" s="26" t="s">
        <v>13</v>
      </c>
      <c r="J157" s="28">
        <v>41830.661999999997</v>
      </c>
      <c r="K157" s="28">
        <v>4000</v>
      </c>
      <c r="L157" s="31">
        <f t="shared" si="4"/>
        <v>9.5623636078243285E-2</v>
      </c>
    </row>
    <row r="158" spans="1:12" ht="15.75" customHeight="1" x14ac:dyDescent="0.35">
      <c r="A158" s="10">
        <f t="shared" si="5"/>
        <v>155</v>
      </c>
      <c r="B158" s="3">
        <v>7040</v>
      </c>
      <c r="C158" s="5" t="s">
        <v>921</v>
      </c>
      <c r="D158" s="5" t="s">
        <v>563</v>
      </c>
      <c r="E158" s="5" t="s">
        <v>16</v>
      </c>
      <c r="F158" s="5" t="s">
        <v>141</v>
      </c>
      <c r="G158" s="7">
        <v>43563</v>
      </c>
      <c r="H158" s="18">
        <v>6.9835616438356167</v>
      </c>
      <c r="I158" s="26" t="s">
        <v>13</v>
      </c>
      <c r="J158" s="28">
        <v>42730.661999999997</v>
      </c>
      <c r="K158" s="28">
        <v>4000</v>
      </c>
      <c r="L158" s="31">
        <f t="shared" si="4"/>
        <v>9.3609595844782373E-2</v>
      </c>
    </row>
    <row r="159" spans="1:12" ht="15.75" customHeight="1" x14ac:dyDescent="0.35">
      <c r="A159" s="10">
        <f t="shared" si="5"/>
        <v>156</v>
      </c>
      <c r="B159" s="3">
        <v>7041</v>
      </c>
      <c r="C159" s="5" t="s">
        <v>922</v>
      </c>
      <c r="D159" s="5" t="s">
        <v>563</v>
      </c>
      <c r="E159" s="5" t="s">
        <v>16</v>
      </c>
      <c r="F159" s="5" t="s">
        <v>141</v>
      </c>
      <c r="G159" s="7">
        <v>43563</v>
      </c>
      <c r="H159" s="18">
        <v>6.9835616438356167</v>
      </c>
      <c r="I159" s="26" t="s">
        <v>13</v>
      </c>
      <c r="J159" s="28">
        <v>39911.610499999995</v>
      </c>
      <c r="K159" s="28">
        <v>4000</v>
      </c>
      <c r="L159" s="31">
        <f t="shared" si="4"/>
        <v>0.10022146312537301</v>
      </c>
    </row>
    <row r="160" spans="1:12" ht="15.75" customHeight="1" x14ac:dyDescent="0.35">
      <c r="A160" s="10">
        <f t="shared" si="5"/>
        <v>157</v>
      </c>
      <c r="B160" s="3">
        <v>7065</v>
      </c>
      <c r="C160" s="5" t="s">
        <v>927</v>
      </c>
      <c r="D160" s="5" t="s">
        <v>563</v>
      </c>
      <c r="E160" s="5" t="s">
        <v>16</v>
      </c>
      <c r="F160" s="5" t="s">
        <v>238</v>
      </c>
      <c r="G160" s="7">
        <v>43617</v>
      </c>
      <c r="H160" s="18">
        <v>6.8356164383561646</v>
      </c>
      <c r="I160" s="26" t="s">
        <v>13</v>
      </c>
      <c r="J160" s="28">
        <v>32403.5075</v>
      </c>
      <c r="K160" s="28">
        <v>4000</v>
      </c>
      <c r="L160" s="31">
        <f t="shared" si="4"/>
        <v>0.12344342661052975</v>
      </c>
    </row>
    <row r="161" spans="1:12" ht="15.75" customHeight="1" x14ac:dyDescent="0.35">
      <c r="A161" s="10">
        <f t="shared" si="5"/>
        <v>158</v>
      </c>
      <c r="B161" s="3">
        <v>7070</v>
      </c>
      <c r="C161" s="5" t="s">
        <v>928</v>
      </c>
      <c r="D161" s="5" t="s">
        <v>563</v>
      </c>
      <c r="E161" s="5" t="s">
        <v>16</v>
      </c>
      <c r="F161" s="5" t="s">
        <v>589</v>
      </c>
      <c r="G161" s="7">
        <v>44044</v>
      </c>
      <c r="H161" s="18">
        <v>5.6657534246575345</v>
      </c>
      <c r="I161" s="26" t="s">
        <v>13</v>
      </c>
      <c r="J161" s="28">
        <v>31054.25</v>
      </c>
      <c r="K161" s="28">
        <v>4000</v>
      </c>
      <c r="L161" s="31">
        <f t="shared" si="4"/>
        <v>0.12880684608386936</v>
      </c>
    </row>
    <row r="162" spans="1:12" ht="15.75" customHeight="1" x14ac:dyDescent="0.35">
      <c r="A162" s="10">
        <f t="shared" si="5"/>
        <v>159</v>
      </c>
      <c r="B162" s="3">
        <v>7120</v>
      </c>
      <c r="C162" s="5" t="s">
        <v>932</v>
      </c>
      <c r="D162" s="5" t="s">
        <v>563</v>
      </c>
      <c r="E162" s="5" t="s">
        <v>16</v>
      </c>
      <c r="F162" s="5" t="s">
        <v>729</v>
      </c>
      <c r="G162" s="7">
        <v>44044</v>
      </c>
      <c r="H162" s="18">
        <v>5.6657534246575345</v>
      </c>
      <c r="I162" s="26" t="s">
        <v>13</v>
      </c>
      <c r="J162" s="28">
        <v>31054.25</v>
      </c>
      <c r="K162" s="28">
        <v>4000</v>
      </c>
      <c r="L162" s="31">
        <f t="shared" si="4"/>
        <v>0.12880684608386936</v>
      </c>
    </row>
    <row r="163" spans="1:12" ht="15.75" customHeight="1" x14ac:dyDescent="0.35">
      <c r="A163" s="10">
        <f t="shared" si="5"/>
        <v>160</v>
      </c>
      <c r="B163" s="3">
        <v>7133</v>
      </c>
      <c r="C163" s="5" t="s">
        <v>933</v>
      </c>
      <c r="D163" s="5" t="s">
        <v>563</v>
      </c>
      <c r="E163" s="5" t="s">
        <v>16</v>
      </c>
      <c r="F163" s="5" t="s">
        <v>353</v>
      </c>
      <c r="G163" s="7">
        <v>43679</v>
      </c>
      <c r="H163" s="18">
        <v>6.6657534246575345</v>
      </c>
      <c r="I163" s="26" t="s">
        <v>13</v>
      </c>
      <c r="J163" s="28">
        <v>33013.610499999995</v>
      </c>
      <c r="K163" s="28">
        <v>4000</v>
      </c>
      <c r="L163" s="31">
        <f t="shared" si="4"/>
        <v>0.12116214916874968</v>
      </c>
    </row>
    <row r="164" spans="1:12" ht="15.75" customHeight="1" x14ac:dyDescent="0.35">
      <c r="A164" s="10">
        <f t="shared" si="5"/>
        <v>161</v>
      </c>
      <c r="B164" s="3">
        <v>7147</v>
      </c>
      <c r="C164" s="5" t="s">
        <v>934</v>
      </c>
      <c r="D164" s="5" t="s">
        <v>563</v>
      </c>
      <c r="E164" s="5" t="s">
        <v>16</v>
      </c>
      <c r="F164" s="5" t="s">
        <v>497</v>
      </c>
      <c r="G164" s="7">
        <v>43684</v>
      </c>
      <c r="H164" s="18">
        <v>6.6520547945205477</v>
      </c>
      <c r="I164" s="26" t="s">
        <v>13</v>
      </c>
      <c r="J164" s="28">
        <v>31793.404500000001</v>
      </c>
      <c r="K164" s="28">
        <v>4000</v>
      </c>
      <c r="L164" s="31">
        <f t="shared" si="4"/>
        <v>0.12581225769640367</v>
      </c>
    </row>
    <row r="165" spans="1:12" ht="15.75" customHeight="1" x14ac:dyDescent="0.35">
      <c r="A165" s="10">
        <f t="shared" si="5"/>
        <v>162</v>
      </c>
      <c r="B165" s="3">
        <v>7159</v>
      </c>
      <c r="C165" s="5" t="s">
        <v>935</v>
      </c>
      <c r="D165" s="5" t="s">
        <v>563</v>
      </c>
      <c r="E165" s="5" t="s">
        <v>16</v>
      </c>
      <c r="F165" s="5" t="s">
        <v>626</v>
      </c>
      <c r="G165" s="7">
        <v>43710</v>
      </c>
      <c r="H165" s="18">
        <v>6.580821917808219</v>
      </c>
      <c r="I165" s="26" t="s">
        <v>13</v>
      </c>
      <c r="J165" s="28">
        <v>32403.5075</v>
      </c>
      <c r="K165" s="28">
        <v>4000</v>
      </c>
      <c r="L165" s="31">
        <f t="shared" si="4"/>
        <v>0.12344342661052975</v>
      </c>
    </row>
    <row r="166" spans="1:12" ht="15.75" customHeight="1" x14ac:dyDescent="0.35">
      <c r="A166" s="10">
        <f t="shared" si="5"/>
        <v>163</v>
      </c>
      <c r="B166" s="3">
        <v>7211</v>
      </c>
      <c r="C166" s="5" t="s">
        <v>946</v>
      </c>
      <c r="D166" s="5" t="s">
        <v>563</v>
      </c>
      <c r="E166" s="5" t="s">
        <v>16</v>
      </c>
      <c r="F166" s="5" t="s">
        <v>238</v>
      </c>
      <c r="G166" s="7">
        <v>43831</v>
      </c>
      <c r="H166" s="18">
        <v>6.2493150684931509</v>
      </c>
      <c r="I166" s="26" t="s">
        <v>13</v>
      </c>
      <c r="J166" s="28">
        <v>31395.5075</v>
      </c>
      <c r="K166" s="28">
        <v>4000</v>
      </c>
      <c r="L166" s="31">
        <f t="shared" si="4"/>
        <v>0.12740676353137467</v>
      </c>
    </row>
    <row r="167" spans="1:12" ht="15.75" customHeight="1" x14ac:dyDescent="0.35">
      <c r="A167" s="10">
        <f t="shared" si="5"/>
        <v>164</v>
      </c>
      <c r="B167" s="3">
        <v>7216</v>
      </c>
      <c r="C167" s="5" t="s">
        <v>310</v>
      </c>
      <c r="D167" s="5" t="s">
        <v>563</v>
      </c>
      <c r="E167" s="5" t="s">
        <v>16</v>
      </c>
      <c r="F167" s="5" t="s">
        <v>947</v>
      </c>
      <c r="G167" s="7">
        <v>43833</v>
      </c>
      <c r="H167" s="18">
        <v>6.2438356164383562</v>
      </c>
      <c r="I167" s="26" t="s">
        <v>13</v>
      </c>
      <c r="J167" s="28">
        <v>30878.25</v>
      </c>
      <c r="K167" s="28">
        <v>4000</v>
      </c>
      <c r="L167" s="31">
        <f t="shared" si="4"/>
        <v>0.12954101997360601</v>
      </c>
    </row>
    <row r="168" spans="1:12" ht="15.75" customHeight="1" x14ac:dyDescent="0.35">
      <c r="A168" s="10">
        <f t="shared" si="5"/>
        <v>165</v>
      </c>
      <c r="B168" s="3">
        <v>7243</v>
      </c>
      <c r="C168" s="5" t="s">
        <v>948</v>
      </c>
      <c r="D168" s="5" t="s">
        <v>563</v>
      </c>
      <c r="E168" s="5" t="s">
        <v>16</v>
      </c>
      <c r="F168" s="5" t="s">
        <v>483</v>
      </c>
      <c r="G168" s="7">
        <v>43892</v>
      </c>
      <c r="H168" s="18">
        <v>6.0821917808219181</v>
      </c>
      <c r="I168" s="26" t="s">
        <v>13</v>
      </c>
      <c r="J168" s="28">
        <v>31986.410500000002</v>
      </c>
      <c r="K168" s="28">
        <v>4000</v>
      </c>
      <c r="L168" s="31">
        <f t="shared" si="4"/>
        <v>0.12505310653722773</v>
      </c>
    </row>
    <row r="169" spans="1:12" ht="15.75" customHeight="1" x14ac:dyDescent="0.35">
      <c r="A169" s="10">
        <f t="shared" si="5"/>
        <v>166</v>
      </c>
      <c r="B169" s="3">
        <v>7301</v>
      </c>
      <c r="C169" s="5" t="s">
        <v>951</v>
      </c>
      <c r="D169" s="5" t="s">
        <v>563</v>
      </c>
      <c r="E169" s="5" t="s">
        <v>16</v>
      </c>
      <c r="F169" s="5" t="s">
        <v>718</v>
      </c>
      <c r="G169" s="7">
        <v>44053</v>
      </c>
      <c r="H169" s="18">
        <v>5.6410958904109592</v>
      </c>
      <c r="I169" s="26" t="s">
        <v>13</v>
      </c>
      <c r="J169" s="28">
        <v>29998.25</v>
      </c>
      <c r="K169" s="28">
        <v>4000</v>
      </c>
      <c r="L169" s="31">
        <f t="shared" si="4"/>
        <v>0.13334111156484127</v>
      </c>
    </row>
    <row r="170" spans="1:12" ht="15.75" customHeight="1" x14ac:dyDescent="0.35">
      <c r="A170" s="10">
        <f t="shared" si="5"/>
        <v>167</v>
      </c>
      <c r="B170" s="3">
        <v>7365</v>
      </c>
      <c r="C170" s="5" t="s">
        <v>954</v>
      </c>
      <c r="D170" s="5" t="s">
        <v>563</v>
      </c>
      <c r="E170" s="5" t="s">
        <v>16</v>
      </c>
      <c r="F170" s="5" t="s">
        <v>955</v>
      </c>
      <c r="G170" s="7">
        <v>44125</v>
      </c>
      <c r="H170" s="18">
        <v>5.4438356164383563</v>
      </c>
      <c r="I170" s="26" t="s">
        <v>13</v>
      </c>
      <c r="J170" s="28">
        <v>29998.25</v>
      </c>
      <c r="K170" s="28">
        <v>4000</v>
      </c>
      <c r="L170" s="31">
        <f t="shared" si="4"/>
        <v>0.13334111156484127</v>
      </c>
    </row>
    <row r="171" spans="1:12" ht="15.75" customHeight="1" x14ac:dyDescent="0.35">
      <c r="A171" s="10">
        <f t="shared" si="5"/>
        <v>168</v>
      </c>
      <c r="B171" s="3">
        <v>7371</v>
      </c>
      <c r="C171" s="5" t="s">
        <v>957</v>
      </c>
      <c r="D171" s="5" t="s">
        <v>563</v>
      </c>
      <c r="E171" s="5" t="s">
        <v>16</v>
      </c>
      <c r="F171" s="5" t="s">
        <v>958</v>
      </c>
      <c r="G171" s="7">
        <v>44130</v>
      </c>
      <c r="H171" s="18">
        <v>5.4301369863013695</v>
      </c>
      <c r="I171" s="26" t="s">
        <v>13</v>
      </c>
      <c r="J171" s="28">
        <v>29998.25</v>
      </c>
      <c r="K171" s="28">
        <v>4000</v>
      </c>
      <c r="L171" s="31">
        <f t="shared" si="4"/>
        <v>0.13334111156484127</v>
      </c>
    </row>
    <row r="172" spans="1:12" ht="15.75" customHeight="1" x14ac:dyDescent="0.35">
      <c r="A172" s="10">
        <f t="shared" si="5"/>
        <v>169</v>
      </c>
      <c r="B172" s="3">
        <v>7378</v>
      </c>
      <c r="C172" s="5" t="s">
        <v>959</v>
      </c>
      <c r="D172" s="5" t="s">
        <v>563</v>
      </c>
      <c r="E172" s="5" t="s">
        <v>16</v>
      </c>
      <c r="F172" s="5" t="s">
        <v>688</v>
      </c>
      <c r="G172" s="7">
        <v>44130</v>
      </c>
      <c r="H172" s="18">
        <v>5.4301369863013695</v>
      </c>
      <c r="I172" s="26" t="s">
        <v>13</v>
      </c>
      <c r="J172" s="28">
        <v>30471.5075</v>
      </c>
      <c r="K172" s="28">
        <v>4000</v>
      </c>
      <c r="L172" s="31">
        <f t="shared" si="4"/>
        <v>0.13127017099498606</v>
      </c>
    </row>
    <row r="173" spans="1:12" ht="15.75" customHeight="1" x14ac:dyDescent="0.35">
      <c r="A173" s="10">
        <f t="shared" si="5"/>
        <v>170</v>
      </c>
      <c r="B173" s="3">
        <v>7383</v>
      </c>
      <c r="C173" s="5" t="s">
        <v>960</v>
      </c>
      <c r="D173" s="5" t="s">
        <v>563</v>
      </c>
      <c r="E173" s="5" t="s">
        <v>16</v>
      </c>
      <c r="F173" s="5" t="s">
        <v>711</v>
      </c>
      <c r="G173" s="7">
        <v>44130</v>
      </c>
      <c r="H173" s="18">
        <v>5.4301369863013695</v>
      </c>
      <c r="I173" s="26" t="s">
        <v>13</v>
      </c>
      <c r="J173" s="28">
        <v>29998.25</v>
      </c>
      <c r="K173" s="28">
        <v>4000</v>
      </c>
      <c r="L173" s="31">
        <f t="shared" si="4"/>
        <v>0.13334111156484127</v>
      </c>
    </row>
    <row r="174" spans="1:12" ht="15.75" customHeight="1" x14ac:dyDescent="0.35">
      <c r="A174" s="10">
        <f t="shared" si="5"/>
        <v>171</v>
      </c>
      <c r="B174" s="3">
        <v>7393</v>
      </c>
      <c r="C174" s="5" t="s">
        <v>961</v>
      </c>
      <c r="D174" s="5" t="s">
        <v>563</v>
      </c>
      <c r="E174" s="5" t="s">
        <v>16</v>
      </c>
      <c r="F174" s="5" t="s">
        <v>958</v>
      </c>
      <c r="G174" s="7">
        <v>44133</v>
      </c>
      <c r="H174" s="18">
        <v>5.4219178082191783</v>
      </c>
      <c r="I174" s="26" t="s">
        <v>13</v>
      </c>
      <c r="J174" s="28">
        <v>29898.2045</v>
      </c>
      <c r="K174" s="28">
        <v>4000</v>
      </c>
      <c r="L174" s="31">
        <f t="shared" si="4"/>
        <v>0.13378729816367402</v>
      </c>
    </row>
    <row r="175" spans="1:12" ht="15.75" customHeight="1" x14ac:dyDescent="0.35">
      <c r="A175" s="10">
        <f t="shared" si="5"/>
        <v>172</v>
      </c>
      <c r="B175" s="3">
        <v>7394</v>
      </c>
      <c r="C175" s="5" t="s">
        <v>962</v>
      </c>
      <c r="D175" s="5" t="s">
        <v>563</v>
      </c>
      <c r="E175" s="5" t="s">
        <v>16</v>
      </c>
      <c r="F175" s="5" t="s">
        <v>353</v>
      </c>
      <c r="G175" s="7">
        <v>44133</v>
      </c>
      <c r="H175" s="18">
        <v>5.4219178082191783</v>
      </c>
      <c r="I175" s="26" t="s">
        <v>13</v>
      </c>
      <c r="J175" s="28">
        <v>30471.5075</v>
      </c>
      <c r="K175" s="28">
        <v>4000</v>
      </c>
      <c r="L175" s="31">
        <f t="shared" si="4"/>
        <v>0.13127017099498606</v>
      </c>
    </row>
    <row r="176" spans="1:12" ht="15.75" customHeight="1" x14ac:dyDescent="0.35">
      <c r="A176" s="10">
        <f t="shared" si="5"/>
        <v>173</v>
      </c>
      <c r="B176" s="3">
        <v>7402</v>
      </c>
      <c r="C176" s="5" t="s">
        <v>963</v>
      </c>
      <c r="D176" s="5" t="s">
        <v>563</v>
      </c>
      <c r="E176" s="5" t="s">
        <v>16</v>
      </c>
      <c r="F176" s="5" t="s">
        <v>683</v>
      </c>
      <c r="G176" s="7">
        <v>44145</v>
      </c>
      <c r="H176" s="18">
        <v>5.3890410958904109</v>
      </c>
      <c r="I176" s="26" t="s">
        <v>13</v>
      </c>
      <c r="J176" s="28">
        <v>29898.2045</v>
      </c>
      <c r="K176" s="28">
        <v>4000</v>
      </c>
      <c r="L176" s="31">
        <f t="shared" si="4"/>
        <v>0.13378729816367402</v>
      </c>
    </row>
    <row r="177" spans="1:12" ht="15.75" customHeight="1" x14ac:dyDescent="0.35">
      <c r="A177" s="10">
        <f t="shared" si="5"/>
        <v>174</v>
      </c>
      <c r="B177" s="3">
        <v>7425</v>
      </c>
      <c r="C177" s="5" t="s">
        <v>975</v>
      </c>
      <c r="D177" s="5" t="s">
        <v>563</v>
      </c>
      <c r="E177" s="5" t="s">
        <v>16</v>
      </c>
      <c r="F177" s="5" t="s">
        <v>434</v>
      </c>
      <c r="G177" s="7">
        <v>44621</v>
      </c>
      <c r="H177" s="18">
        <v>4.0849315068493155</v>
      </c>
      <c r="I177" s="26" t="s">
        <v>13</v>
      </c>
      <c r="J177" s="28">
        <v>28003.004499999999</v>
      </c>
      <c r="K177" s="28">
        <v>3500</v>
      </c>
      <c r="L177" s="31">
        <f t="shared" si="4"/>
        <v>0.12498658849267406</v>
      </c>
    </row>
    <row r="178" spans="1:12" ht="15.75" customHeight="1" x14ac:dyDescent="0.35">
      <c r="A178" s="10">
        <f t="shared" si="5"/>
        <v>175</v>
      </c>
      <c r="B178" s="3">
        <v>7443</v>
      </c>
      <c r="C178" s="5" t="s">
        <v>977</v>
      </c>
      <c r="D178" s="5" t="s">
        <v>563</v>
      </c>
      <c r="E178" s="5" t="s">
        <v>16</v>
      </c>
      <c r="F178" s="5" t="s">
        <v>141</v>
      </c>
      <c r="G178" s="7">
        <v>44236</v>
      </c>
      <c r="H178" s="18">
        <v>5.13972602739726</v>
      </c>
      <c r="I178" s="26" t="s">
        <v>13</v>
      </c>
      <c r="J178" s="28">
        <v>38531.462</v>
      </c>
      <c r="K178" s="28">
        <v>4000</v>
      </c>
      <c r="L178" s="31">
        <f t="shared" si="4"/>
        <v>0.10381126986564901</v>
      </c>
    </row>
    <row r="179" spans="1:12" ht="15.75" customHeight="1" x14ac:dyDescent="0.35">
      <c r="A179" s="10">
        <f t="shared" si="5"/>
        <v>176</v>
      </c>
      <c r="B179" s="3">
        <v>7444</v>
      </c>
      <c r="C179" s="5" t="s">
        <v>978</v>
      </c>
      <c r="D179" s="5" t="s">
        <v>563</v>
      </c>
      <c r="E179" s="5" t="s">
        <v>16</v>
      </c>
      <c r="F179" s="5" t="s">
        <v>141</v>
      </c>
      <c r="G179" s="7">
        <v>44236</v>
      </c>
      <c r="H179" s="18">
        <v>5.13972602739726</v>
      </c>
      <c r="I179" s="26" t="s">
        <v>13</v>
      </c>
      <c r="J179" s="28">
        <v>40581.462</v>
      </c>
      <c r="K179" s="28">
        <v>4000</v>
      </c>
      <c r="L179" s="31">
        <f t="shared" si="4"/>
        <v>9.8567173356149659E-2</v>
      </c>
    </row>
    <row r="180" spans="1:12" ht="15.75" customHeight="1" x14ac:dyDescent="0.35">
      <c r="A180" s="10">
        <f t="shared" si="5"/>
        <v>177</v>
      </c>
      <c r="B180" s="3">
        <v>7484</v>
      </c>
      <c r="C180" s="5" t="s">
        <v>983</v>
      </c>
      <c r="D180" s="5" t="s">
        <v>563</v>
      </c>
      <c r="E180" s="5" t="s">
        <v>16</v>
      </c>
      <c r="F180" s="5" t="s">
        <v>141</v>
      </c>
      <c r="G180" s="7">
        <v>44289</v>
      </c>
      <c r="H180" s="18">
        <v>4.9945205479452053</v>
      </c>
      <c r="I180" s="26" t="s">
        <v>13</v>
      </c>
      <c r="J180" s="28">
        <v>38531.462</v>
      </c>
      <c r="K180" s="28">
        <v>3500</v>
      </c>
      <c r="L180" s="31">
        <f t="shared" si="4"/>
        <v>9.0834861132442893E-2</v>
      </c>
    </row>
    <row r="181" spans="1:12" ht="15.75" customHeight="1" x14ac:dyDescent="0.35">
      <c r="A181" s="10">
        <f t="shared" si="5"/>
        <v>178</v>
      </c>
      <c r="B181" s="3">
        <v>7504</v>
      </c>
      <c r="C181" s="5" t="s">
        <v>988</v>
      </c>
      <c r="D181" s="5" t="s">
        <v>563</v>
      </c>
      <c r="E181" s="5" t="s">
        <v>16</v>
      </c>
      <c r="F181" s="5" t="s">
        <v>517</v>
      </c>
      <c r="G181" s="7">
        <v>44305</v>
      </c>
      <c r="H181" s="18">
        <v>4.9506849315068493</v>
      </c>
      <c r="I181" s="26" t="s">
        <v>13</v>
      </c>
      <c r="J181" s="28">
        <v>29898.2045</v>
      </c>
      <c r="K181" s="28">
        <v>3500</v>
      </c>
      <c r="L181" s="31">
        <f t="shared" si="4"/>
        <v>0.11706388589321476</v>
      </c>
    </row>
    <row r="182" spans="1:12" ht="15.75" customHeight="1" x14ac:dyDescent="0.35">
      <c r="A182" s="10">
        <f t="shared" si="5"/>
        <v>179</v>
      </c>
      <c r="B182" s="3">
        <v>7505</v>
      </c>
      <c r="C182" s="5" t="s">
        <v>989</v>
      </c>
      <c r="D182" s="5" t="s">
        <v>563</v>
      </c>
      <c r="E182" s="5" t="s">
        <v>16</v>
      </c>
      <c r="F182" s="5" t="s">
        <v>990</v>
      </c>
      <c r="G182" s="7">
        <v>44305</v>
      </c>
      <c r="H182" s="18">
        <v>4.9506849315068493</v>
      </c>
      <c r="I182" s="26" t="s">
        <v>13</v>
      </c>
      <c r="J182" s="28">
        <v>29898.2045</v>
      </c>
      <c r="K182" s="28">
        <v>3500</v>
      </c>
      <c r="L182" s="31">
        <f t="shared" si="4"/>
        <v>0.11706388589321476</v>
      </c>
    </row>
    <row r="183" spans="1:12" ht="15.75" customHeight="1" x14ac:dyDescent="0.35">
      <c r="A183" s="10">
        <f t="shared" si="5"/>
        <v>180</v>
      </c>
      <c r="B183" s="3">
        <v>7518</v>
      </c>
      <c r="C183" s="5" t="s">
        <v>991</v>
      </c>
      <c r="D183" s="5" t="s">
        <v>563</v>
      </c>
      <c r="E183" s="5" t="s">
        <v>16</v>
      </c>
      <c r="F183" s="5" t="s">
        <v>992</v>
      </c>
      <c r="G183" s="7">
        <v>44310</v>
      </c>
      <c r="H183" s="18">
        <v>4.9369863013698634</v>
      </c>
      <c r="I183" s="26" t="s">
        <v>13</v>
      </c>
      <c r="J183" s="28">
        <v>29898.2045</v>
      </c>
      <c r="K183" s="28">
        <v>3500</v>
      </c>
      <c r="L183" s="31">
        <f t="shared" si="4"/>
        <v>0.11706388589321476</v>
      </c>
    </row>
    <row r="184" spans="1:12" ht="15.75" customHeight="1" x14ac:dyDescent="0.35">
      <c r="A184" s="10">
        <f t="shared" si="5"/>
        <v>181</v>
      </c>
      <c r="B184" s="3">
        <v>7523</v>
      </c>
      <c r="C184" s="5" t="s">
        <v>993</v>
      </c>
      <c r="D184" s="5" t="s">
        <v>563</v>
      </c>
      <c r="E184" s="5" t="s">
        <v>16</v>
      </c>
      <c r="F184" s="5" t="s">
        <v>353</v>
      </c>
      <c r="G184" s="7">
        <v>44312</v>
      </c>
      <c r="H184" s="18">
        <v>4.9315068493150687</v>
      </c>
      <c r="I184" s="26" t="s">
        <v>13</v>
      </c>
      <c r="J184" s="28">
        <v>30471.5075</v>
      </c>
      <c r="K184" s="28">
        <v>3500</v>
      </c>
      <c r="L184" s="31">
        <f t="shared" si="4"/>
        <v>0.1148613996206128</v>
      </c>
    </row>
    <row r="185" spans="1:12" ht="15.75" customHeight="1" x14ac:dyDescent="0.35">
      <c r="A185" s="10">
        <f t="shared" si="5"/>
        <v>182</v>
      </c>
      <c r="B185" s="3">
        <v>7534</v>
      </c>
      <c r="C185" s="5" t="s">
        <v>994</v>
      </c>
      <c r="D185" s="5" t="s">
        <v>563</v>
      </c>
      <c r="E185" s="5" t="s">
        <v>16</v>
      </c>
      <c r="F185" s="5" t="s">
        <v>958</v>
      </c>
      <c r="G185" s="7">
        <v>44316</v>
      </c>
      <c r="H185" s="18">
        <v>4.9205479452054792</v>
      </c>
      <c r="I185" s="26" t="s">
        <v>13</v>
      </c>
      <c r="J185" s="28">
        <v>29898.2045</v>
      </c>
      <c r="K185" s="28">
        <v>3500</v>
      </c>
      <c r="L185" s="31">
        <f t="shared" si="4"/>
        <v>0.11706388589321476</v>
      </c>
    </row>
    <row r="186" spans="1:12" ht="15.75" customHeight="1" x14ac:dyDescent="0.35">
      <c r="A186" s="10">
        <f t="shared" si="5"/>
        <v>183</v>
      </c>
      <c r="B186" s="3">
        <v>7535</v>
      </c>
      <c r="C186" s="5" t="s">
        <v>995</v>
      </c>
      <c r="D186" s="5" t="s">
        <v>563</v>
      </c>
      <c r="E186" s="5" t="s">
        <v>16</v>
      </c>
      <c r="F186" s="5" t="s">
        <v>990</v>
      </c>
      <c r="G186" s="7">
        <v>44316</v>
      </c>
      <c r="H186" s="18">
        <v>4.9205479452054792</v>
      </c>
      <c r="I186" s="26" t="s">
        <v>13</v>
      </c>
      <c r="J186" s="28">
        <v>29898.2045</v>
      </c>
      <c r="K186" s="28">
        <v>3500</v>
      </c>
      <c r="L186" s="31">
        <f t="shared" si="4"/>
        <v>0.11706388589321476</v>
      </c>
    </row>
    <row r="187" spans="1:12" ht="15.75" customHeight="1" x14ac:dyDescent="0.35">
      <c r="A187" s="10">
        <f t="shared" si="5"/>
        <v>184</v>
      </c>
      <c r="B187" s="3">
        <v>7544</v>
      </c>
      <c r="C187" s="5" t="s">
        <v>996</v>
      </c>
      <c r="D187" s="5" t="s">
        <v>563</v>
      </c>
      <c r="E187" s="5" t="s">
        <v>16</v>
      </c>
      <c r="F187" s="5" t="s">
        <v>574</v>
      </c>
      <c r="G187" s="7">
        <v>44319</v>
      </c>
      <c r="H187" s="18">
        <v>4.912328767123288</v>
      </c>
      <c r="I187" s="26" t="s">
        <v>13</v>
      </c>
      <c r="J187" s="28">
        <v>29403.804499999998</v>
      </c>
      <c r="K187" s="28">
        <v>3500</v>
      </c>
      <c r="L187" s="31">
        <f t="shared" si="4"/>
        <v>0.11903221571208583</v>
      </c>
    </row>
    <row r="188" spans="1:12" ht="15.75" customHeight="1" x14ac:dyDescent="0.35">
      <c r="A188" s="10">
        <f t="shared" si="5"/>
        <v>185</v>
      </c>
      <c r="B188" s="3">
        <v>7551</v>
      </c>
      <c r="C188" s="5" t="s">
        <v>997</v>
      </c>
      <c r="D188" s="5" t="s">
        <v>563</v>
      </c>
      <c r="E188" s="5" t="s">
        <v>16</v>
      </c>
      <c r="F188" s="5" t="s">
        <v>589</v>
      </c>
      <c r="G188" s="7">
        <v>44319</v>
      </c>
      <c r="H188" s="18">
        <v>4.912328767123288</v>
      </c>
      <c r="I188" s="26" t="s">
        <v>13</v>
      </c>
      <c r="J188" s="28">
        <v>29967.5075</v>
      </c>
      <c r="K188" s="28">
        <v>3500</v>
      </c>
      <c r="L188" s="31">
        <f t="shared" si="4"/>
        <v>0.11679316339538749</v>
      </c>
    </row>
    <row r="189" spans="1:12" ht="15.75" customHeight="1" x14ac:dyDescent="0.35">
      <c r="A189" s="10">
        <f t="shared" si="5"/>
        <v>186</v>
      </c>
      <c r="B189" s="3">
        <v>7572</v>
      </c>
      <c r="C189" s="5" t="s">
        <v>998</v>
      </c>
      <c r="D189" s="5" t="s">
        <v>563</v>
      </c>
      <c r="E189" s="5" t="s">
        <v>16</v>
      </c>
      <c r="F189" s="5" t="s">
        <v>958</v>
      </c>
      <c r="G189" s="7">
        <v>44335</v>
      </c>
      <c r="H189" s="18">
        <v>4.8684931506849312</v>
      </c>
      <c r="I189" s="26" t="s">
        <v>13</v>
      </c>
      <c r="J189" s="28">
        <v>29967.5075</v>
      </c>
      <c r="K189" s="28">
        <v>3500</v>
      </c>
      <c r="L189" s="31">
        <f t="shared" si="4"/>
        <v>0.11679316339538749</v>
      </c>
    </row>
    <row r="190" spans="1:12" ht="15.75" customHeight="1" x14ac:dyDescent="0.35">
      <c r="A190" s="10">
        <f t="shared" si="5"/>
        <v>187</v>
      </c>
      <c r="B190" s="3">
        <v>7601</v>
      </c>
      <c r="C190" s="5" t="s">
        <v>1002</v>
      </c>
      <c r="D190" s="5" t="s">
        <v>563</v>
      </c>
      <c r="E190" s="5" t="s">
        <v>16</v>
      </c>
      <c r="F190" s="5" t="s">
        <v>718</v>
      </c>
      <c r="G190" s="7">
        <v>44774</v>
      </c>
      <c r="H190" s="18">
        <v>3.6657534246575341</v>
      </c>
      <c r="I190" s="26" t="s">
        <v>13</v>
      </c>
      <c r="J190" s="28">
        <v>28391.004499999999</v>
      </c>
      <c r="K190" s="28">
        <v>3500</v>
      </c>
      <c r="L190" s="31">
        <f t="shared" si="4"/>
        <v>0.12327848421143395</v>
      </c>
    </row>
    <row r="191" spans="1:12" ht="15.75" customHeight="1" x14ac:dyDescent="0.35">
      <c r="A191" s="10">
        <f t="shared" si="5"/>
        <v>188</v>
      </c>
      <c r="B191" s="3">
        <v>7622</v>
      </c>
      <c r="C191" s="5" t="s">
        <v>1003</v>
      </c>
      <c r="D191" s="5" t="s">
        <v>563</v>
      </c>
      <c r="E191" s="5" t="s">
        <v>16</v>
      </c>
      <c r="F191" s="5" t="s">
        <v>658</v>
      </c>
      <c r="G191" s="7">
        <v>44396</v>
      </c>
      <c r="H191" s="18">
        <v>4.7013698630136984</v>
      </c>
      <c r="I191" s="26" t="s">
        <v>13</v>
      </c>
      <c r="J191" s="28">
        <v>29403.804499999998</v>
      </c>
      <c r="K191" s="28">
        <v>3500</v>
      </c>
      <c r="L191" s="31">
        <f t="shared" si="4"/>
        <v>0.11903221571208583</v>
      </c>
    </row>
    <row r="192" spans="1:12" ht="15.75" customHeight="1" x14ac:dyDescent="0.35">
      <c r="A192" s="10">
        <f t="shared" si="5"/>
        <v>189</v>
      </c>
      <c r="B192" s="3">
        <v>7652</v>
      </c>
      <c r="C192" s="5" t="s">
        <v>1004</v>
      </c>
      <c r="D192" s="5" t="s">
        <v>563</v>
      </c>
      <c r="E192" s="5" t="s">
        <v>16</v>
      </c>
      <c r="F192" s="5" t="s">
        <v>589</v>
      </c>
      <c r="G192" s="7">
        <v>44440</v>
      </c>
      <c r="H192" s="18">
        <v>4.580821917808219</v>
      </c>
      <c r="I192" s="26" t="s">
        <v>13</v>
      </c>
      <c r="J192" s="28">
        <v>29403.804499999998</v>
      </c>
      <c r="K192" s="28">
        <v>3500</v>
      </c>
      <c r="L192" s="31">
        <f t="shared" si="4"/>
        <v>0.11903221571208583</v>
      </c>
    </row>
    <row r="193" spans="1:12" ht="15.75" customHeight="1" x14ac:dyDescent="0.35">
      <c r="A193" s="10">
        <f t="shared" si="5"/>
        <v>190</v>
      </c>
      <c r="B193" s="3">
        <v>7669</v>
      </c>
      <c r="C193" s="5" t="s">
        <v>1005</v>
      </c>
      <c r="D193" s="5" t="s">
        <v>563</v>
      </c>
      <c r="E193" s="5" t="s">
        <v>16</v>
      </c>
      <c r="F193" s="5" t="s">
        <v>958</v>
      </c>
      <c r="G193" s="7">
        <v>44446</v>
      </c>
      <c r="H193" s="18">
        <v>4.5643835616438357</v>
      </c>
      <c r="I193" s="26" t="s">
        <v>13</v>
      </c>
      <c r="J193" s="28">
        <v>31978.804499999998</v>
      </c>
      <c r="K193" s="28">
        <v>3500</v>
      </c>
      <c r="L193" s="31">
        <f t="shared" si="4"/>
        <v>0.10944749357343862</v>
      </c>
    </row>
    <row r="194" spans="1:12" ht="15.75" customHeight="1" x14ac:dyDescent="0.35">
      <c r="A194" s="10">
        <f t="shared" si="5"/>
        <v>191</v>
      </c>
      <c r="B194" s="3">
        <v>7689</v>
      </c>
      <c r="C194" s="5" t="s">
        <v>1006</v>
      </c>
      <c r="D194" s="5" t="s">
        <v>563</v>
      </c>
      <c r="E194" s="5" t="s">
        <v>16</v>
      </c>
      <c r="F194" s="5" t="s">
        <v>645</v>
      </c>
      <c r="G194" s="7">
        <v>44870</v>
      </c>
      <c r="H194" s="18">
        <v>3.4027397260273973</v>
      </c>
      <c r="I194" s="26" t="s">
        <v>13</v>
      </c>
      <c r="J194" s="28">
        <v>28719.5075</v>
      </c>
      <c r="K194" s="28">
        <v>3500</v>
      </c>
      <c r="L194" s="31">
        <f t="shared" si="4"/>
        <v>0.12186838510374873</v>
      </c>
    </row>
    <row r="195" spans="1:12" ht="15.75" customHeight="1" x14ac:dyDescent="0.35">
      <c r="A195" s="10">
        <f t="shared" si="5"/>
        <v>192</v>
      </c>
      <c r="B195" s="3">
        <v>7707</v>
      </c>
      <c r="C195" s="5" t="s">
        <v>1007</v>
      </c>
      <c r="D195" s="5" t="s">
        <v>563</v>
      </c>
      <c r="E195" s="5" t="s">
        <v>16</v>
      </c>
      <c r="F195" s="5" t="s">
        <v>589</v>
      </c>
      <c r="G195" s="7">
        <v>44835</v>
      </c>
      <c r="H195" s="18">
        <v>3.4986301369863013</v>
      </c>
      <c r="I195" s="26" t="s">
        <v>13</v>
      </c>
      <c r="J195" s="28">
        <v>28391.004499999999</v>
      </c>
      <c r="K195" s="28">
        <v>3500</v>
      </c>
      <c r="L195" s="31">
        <f t="shared" si="4"/>
        <v>0.12327848421143395</v>
      </c>
    </row>
    <row r="196" spans="1:12" ht="15.75" customHeight="1" x14ac:dyDescent="0.35">
      <c r="A196" s="10">
        <f t="shared" si="5"/>
        <v>193</v>
      </c>
      <c r="B196" s="3">
        <v>7713</v>
      </c>
      <c r="C196" s="5" t="s">
        <v>1008</v>
      </c>
      <c r="D196" s="5" t="s">
        <v>563</v>
      </c>
      <c r="E196" s="5" t="s">
        <v>16</v>
      </c>
      <c r="F196" s="5" t="s">
        <v>574</v>
      </c>
      <c r="G196" s="7">
        <v>44835</v>
      </c>
      <c r="H196" s="18">
        <v>3.4986301369863013</v>
      </c>
      <c r="I196" s="26" t="s">
        <v>13</v>
      </c>
      <c r="J196" s="28">
        <v>28919.5075</v>
      </c>
      <c r="K196" s="28">
        <v>3500</v>
      </c>
      <c r="L196" s="31">
        <f t="shared" si="4"/>
        <v>0.12102557417341911</v>
      </c>
    </row>
    <row r="197" spans="1:12" ht="15.75" customHeight="1" x14ac:dyDescent="0.35">
      <c r="A197" s="10">
        <f t="shared" si="5"/>
        <v>194</v>
      </c>
      <c r="B197" s="3">
        <v>7733</v>
      </c>
      <c r="C197" s="5" t="s">
        <v>1009</v>
      </c>
      <c r="D197" s="5" t="s">
        <v>563</v>
      </c>
      <c r="E197" s="5" t="s">
        <v>16</v>
      </c>
      <c r="F197" s="5" t="s">
        <v>626</v>
      </c>
      <c r="G197" s="7">
        <v>44477</v>
      </c>
      <c r="H197" s="18">
        <v>4.4794520547945202</v>
      </c>
      <c r="I197" s="26" t="s">
        <v>13</v>
      </c>
      <c r="J197" s="28">
        <v>28415.004499999999</v>
      </c>
      <c r="K197" s="28">
        <v>3500</v>
      </c>
      <c r="L197" s="31">
        <f t="shared" ref="L197:L260" si="6">+K197/J197</f>
        <v>0.12317436022225511</v>
      </c>
    </row>
    <row r="198" spans="1:12" ht="15.75" customHeight="1" x14ac:dyDescent="0.35">
      <c r="A198" s="10">
        <f t="shared" ref="A198:A261" si="7">+A197+1</f>
        <v>195</v>
      </c>
      <c r="B198" s="3">
        <v>7734</v>
      </c>
      <c r="C198" s="5" t="s">
        <v>1010</v>
      </c>
      <c r="D198" s="5" t="s">
        <v>563</v>
      </c>
      <c r="E198" s="5" t="s">
        <v>16</v>
      </c>
      <c r="F198" s="5" t="s">
        <v>697</v>
      </c>
      <c r="G198" s="7">
        <v>44478</v>
      </c>
      <c r="H198" s="18">
        <v>4.4767123287671229</v>
      </c>
      <c r="I198" s="26" t="s">
        <v>13</v>
      </c>
      <c r="J198" s="28">
        <v>29121.953000000001</v>
      </c>
      <c r="K198" s="28">
        <v>3500</v>
      </c>
      <c r="L198" s="31">
        <f t="shared" si="6"/>
        <v>0.12018424725841703</v>
      </c>
    </row>
    <row r="199" spans="1:12" ht="15.75" customHeight="1" x14ac:dyDescent="0.35">
      <c r="A199" s="10">
        <f t="shared" si="7"/>
        <v>196</v>
      </c>
      <c r="B199" s="3">
        <v>7747</v>
      </c>
      <c r="C199" s="5" t="s">
        <v>1011</v>
      </c>
      <c r="D199" s="5" t="s">
        <v>563</v>
      </c>
      <c r="E199" s="5" t="s">
        <v>16</v>
      </c>
      <c r="F199" s="5" t="s">
        <v>711</v>
      </c>
      <c r="G199" s="7">
        <v>44501</v>
      </c>
      <c r="H199" s="18">
        <v>4.4136986301369863</v>
      </c>
      <c r="I199" s="26" t="s">
        <v>13</v>
      </c>
      <c r="J199" s="28">
        <v>28415.004499999999</v>
      </c>
      <c r="K199" s="28">
        <v>3500</v>
      </c>
      <c r="L199" s="31">
        <f t="shared" si="6"/>
        <v>0.12317436022225511</v>
      </c>
    </row>
    <row r="200" spans="1:12" ht="15.75" customHeight="1" x14ac:dyDescent="0.35">
      <c r="A200" s="10">
        <f t="shared" si="7"/>
        <v>197</v>
      </c>
      <c r="B200" s="3">
        <v>7750</v>
      </c>
      <c r="C200" s="5" t="s">
        <v>1012</v>
      </c>
      <c r="D200" s="5" t="s">
        <v>563</v>
      </c>
      <c r="E200" s="5" t="s">
        <v>16</v>
      </c>
      <c r="F200" s="5" t="s">
        <v>711</v>
      </c>
      <c r="G200" s="7">
        <v>44501</v>
      </c>
      <c r="H200" s="18">
        <v>4.4136986301369863</v>
      </c>
      <c r="I200" s="26" t="s">
        <v>13</v>
      </c>
      <c r="J200" s="28">
        <v>29403.804499999998</v>
      </c>
      <c r="K200" s="28">
        <v>3500</v>
      </c>
      <c r="L200" s="31">
        <f t="shared" si="6"/>
        <v>0.11903221571208583</v>
      </c>
    </row>
    <row r="201" spans="1:12" ht="15.75" customHeight="1" x14ac:dyDescent="0.35">
      <c r="A201" s="10">
        <f t="shared" si="7"/>
        <v>198</v>
      </c>
      <c r="B201" s="3">
        <v>7751</v>
      </c>
      <c r="C201" s="5" t="s">
        <v>1013</v>
      </c>
      <c r="D201" s="5" t="s">
        <v>563</v>
      </c>
      <c r="E201" s="5" t="s">
        <v>16</v>
      </c>
      <c r="F201" s="5" t="s">
        <v>407</v>
      </c>
      <c r="G201" s="7">
        <v>44501</v>
      </c>
      <c r="H201" s="18">
        <v>4.4136986301369863</v>
      </c>
      <c r="I201" s="26" t="s">
        <v>13</v>
      </c>
      <c r="J201" s="28">
        <v>32592.5075</v>
      </c>
      <c r="K201" s="28">
        <v>3500</v>
      </c>
      <c r="L201" s="31">
        <f t="shared" si="6"/>
        <v>0.10738664400092568</v>
      </c>
    </row>
    <row r="202" spans="1:12" ht="15.75" customHeight="1" x14ac:dyDescent="0.35">
      <c r="A202" s="10">
        <f t="shared" si="7"/>
        <v>199</v>
      </c>
      <c r="B202" s="3">
        <v>7753</v>
      </c>
      <c r="C202" s="5" t="s">
        <v>1014</v>
      </c>
      <c r="D202" s="5" t="s">
        <v>563</v>
      </c>
      <c r="E202" s="5" t="s">
        <v>16</v>
      </c>
      <c r="F202" s="5" t="s">
        <v>353</v>
      </c>
      <c r="G202" s="7">
        <v>44501</v>
      </c>
      <c r="H202" s="18">
        <v>4.4136986301369863</v>
      </c>
      <c r="I202" s="26" t="s">
        <v>13</v>
      </c>
      <c r="J202" s="28">
        <v>33206.210500000001</v>
      </c>
      <c r="K202" s="28">
        <v>3500</v>
      </c>
      <c r="L202" s="31">
        <f t="shared" si="6"/>
        <v>0.1054019699116224</v>
      </c>
    </row>
    <row r="203" spans="1:12" ht="15.75" customHeight="1" x14ac:dyDescent="0.35">
      <c r="A203" s="10">
        <f t="shared" si="7"/>
        <v>200</v>
      </c>
      <c r="B203" s="3">
        <v>7789</v>
      </c>
      <c r="C203" s="5" t="s">
        <v>1032</v>
      </c>
      <c r="D203" s="5" t="s">
        <v>563</v>
      </c>
      <c r="E203" s="5" t="s">
        <v>16</v>
      </c>
      <c r="F203" s="5" t="s">
        <v>718</v>
      </c>
      <c r="G203" s="7">
        <v>44543</v>
      </c>
      <c r="H203" s="18">
        <v>4.2986301369863016</v>
      </c>
      <c r="I203" s="26" t="s">
        <v>13</v>
      </c>
      <c r="J203" s="28">
        <v>30948.804499999998</v>
      </c>
      <c r="K203" s="28">
        <v>3500</v>
      </c>
      <c r="L203" s="31">
        <f t="shared" si="6"/>
        <v>0.11308999027733042</v>
      </c>
    </row>
    <row r="204" spans="1:12" ht="15.75" customHeight="1" x14ac:dyDescent="0.35">
      <c r="A204" s="10">
        <f t="shared" si="7"/>
        <v>201</v>
      </c>
      <c r="B204" s="3">
        <v>7792</v>
      </c>
      <c r="C204" s="5" t="s">
        <v>1035</v>
      </c>
      <c r="D204" s="5" t="s">
        <v>563</v>
      </c>
      <c r="E204" s="5" t="s">
        <v>16</v>
      </c>
      <c r="F204" s="5" t="s">
        <v>729</v>
      </c>
      <c r="G204" s="7">
        <v>44927</v>
      </c>
      <c r="H204" s="18">
        <v>3.2465753424657535</v>
      </c>
      <c r="I204" s="26" t="s">
        <v>13</v>
      </c>
      <c r="J204" s="28">
        <v>28191.004499999999</v>
      </c>
      <c r="K204" s="28">
        <v>3500</v>
      </c>
      <c r="L204" s="31">
        <f t="shared" si="6"/>
        <v>0.12415307868862921</v>
      </c>
    </row>
    <row r="205" spans="1:12" ht="15.75" customHeight="1" x14ac:dyDescent="0.35">
      <c r="A205" s="10">
        <f t="shared" si="7"/>
        <v>202</v>
      </c>
      <c r="B205" s="3">
        <v>7815</v>
      </c>
      <c r="C205" s="5" t="s">
        <v>1038</v>
      </c>
      <c r="D205" s="5" t="s">
        <v>563</v>
      </c>
      <c r="E205" s="5" t="s">
        <v>16</v>
      </c>
      <c r="F205" s="5" t="s">
        <v>480</v>
      </c>
      <c r="G205" s="7">
        <v>44562</v>
      </c>
      <c r="H205" s="18">
        <v>4.2465753424657535</v>
      </c>
      <c r="I205" s="26" t="s">
        <v>13</v>
      </c>
      <c r="J205" s="28">
        <v>29967.5075</v>
      </c>
      <c r="K205" s="28">
        <v>3500</v>
      </c>
      <c r="L205" s="31">
        <f t="shared" si="6"/>
        <v>0.11679316339538749</v>
      </c>
    </row>
    <row r="206" spans="1:12" ht="15.75" customHeight="1" x14ac:dyDescent="0.35">
      <c r="A206" s="10">
        <f t="shared" si="7"/>
        <v>203</v>
      </c>
      <c r="B206" s="3">
        <v>7817</v>
      </c>
      <c r="C206" s="5" t="s">
        <v>1039</v>
      </c>
      <c r="D206" s="5" t="s">
        <v>563</v>
      </c>
      <c r="E206" s="5" t="s">
        <v>16</v>
      </c>
      <c r="F206" s="5" t="s">
        <v>718</v>
      </c>
      <c r="G206" s="7">
        <v>44562</v>
      </c>
      <c r="H206" s="18">
        <v>4.2465753424657535</v>
      </c>
      <c r="I206" s="26" t="s">
        <v>13</v>
      </c>
      <c r="J206" s="28">
        <v>30948.804499999998</v>
      </c>
      <c r="K206" s="28">
        <v>3500</v>
      </c>
      <c r="L206" s="31">
        <f t="shared" si="6"/>
        <v>0.11308999027733042</v>
      </c>
    </row>
    <row r="207" spans="1:12" ht="15.75" customHeight="1" x14ac:dyDescent="0.35">
      <c r="A207" s="10">
        <f t="shared" si="7"/>
        <v>204</v>
      </c>
      <c r="B207" s="3">
        <v>7818</v>
      </c>
      <c r="C207" s="5" t="s">
        <v>1040</v>
      </c>
      <c r="D207" s="5" t="s">
        <v>563</v>
      </c>
      <c r="E207" s="5" t="s">
        <v>16</v>
      </c>
      <c r="F207" s="5" t="s">
        <v>739</v>
      </c>
      <c r="G207" s="7">
        <v>44562</v>
      </c>
      <c r="H207" s="18">
        <v>4.2465753424657535</v>
      </c>
      <c r="I207" s="26" t="s">
        <v>13</v>
      </c>
      <c r="J207" s="28">
        <v>29967.5075</v>
      </c>
      <c r="K207" s="28">
        <v>3500</v>
      </c>
      <c r="L207" s="31">
        <f t="shared" si="6"/>
        <v>0.11679316339538749</v>
      </c>
    </row>
    <row r="208" spans="1:12" ht="15.75" customHeight="1" x14ac:dyDescent="0.35">
      <c r="A208" s="10">
        <f t="shared" si="7"/>
        <v>205</v>
      </c>
      <c r="B208" s="3">
        <v>7822</v>
      </c>
      <c r="C208" s="5" t="s">
        <v>1041</v>
      </c>
      <c r="D208" s="5" t="s">
        <v>563</v>
      </c>
      <c r="E208" s="5" t="s">
        <v>16</v>
      </c>
      <c r="F208" s="5" t="s">
        <v>718</v>
      </c>
      <c r="G208" s="7">
        <v>44581</v>
      </c>
      <c r="H208" s="18">
        <v>4.1945205479452055</v>
      </c>
      <c r="I208" s="26" t="s">
        <v>13</v>
      </c>
      <c r="J208" s="28">
        <v>28991.804499999998</v>
      </c>
      <c r="K208" s="28">
        <v>3500</v>
      </c>
      <c r="L208" s="31">
        <f t="shared" si="6"/>
        <v>0.12072377212670568</v>
      </c>
    </row>
    <row r="209" spans="1:12" ht="15.75" customHeight="1" x14ac:dyDescent="0.35">
      <c r="A209" s="10">
        <f t="shared" si="7"/>
        <v>206</v>
      </c>
      <c r="B209" s="3">
        <v>7828</v>
      </c>
      <c r="C209" s="5" t="s">
        <v>1042</v>
      </c>
      <c r="D209" s="5" t="s">
        <v>563</v>
      </c>
      <c r="E209" s="5" t="s">
        <v>16</v>
      </c>
      <c r="F209" s="5" t="s">
        <v>718</v>
      </c>
      <c r="G209" s="7">
        <v>44958</v>
      </c>
      <c r="H209" s="18">
        <v>3.1616438356164385</v>
      </c>
      <c r="I209" s="26" t="s">
        <v>13</v>
      </c>
      <c r="J209" s="28">
        <v>28391.004499999999</v>
      </c>
      <c r="K209" s="28">
        <v>3500</v>
      </c>
      <c r="L209" s="31">
        <f t="shared" si="6"/>
        <v>0.12327848421143395</v>
      </c>
    </row>
    <row r="210" spans="1:12" ht="15.75" customHeight="1" x14ac:dyDescent="0.35">
      <c r="A210" s="10">
        <f t="shared" si="7"/>
        <v>207</v>
      </c>
      <c r="B210" s="3">
        <v>7841</v>
      </c>
      <c r="C210" s="5" t="s">
        <v>1043</v>
      </c>
      <c r="D210" s="5" t="s">
        <v>563</v>
      </c>
      <c r="E210" s="5" t="s">
        <v>16</v>
      </c>
      <c r="F210" s="5" t="s">
        <v>144</v>
      </c>
      <c r="G210" s="7">
        <v>44958</v>
      </c>
      <c r="H210" s="18">
        <v>3.1616438356164385</v>
      </c>
      <c r="I210" s="26" t="s">
        <v>13</v>
      </c>
      <c r="J210" s="28">
        <v>28719.5075</v>
      </c>
      <c r="K210" s="28">
        <v>3500</v>
      </c>
      <c r="L210" s="31">
        <f t="shared" si="6"/>
        <v>0.12186838510374873</v>
      </c>
    </row>
    <row r="211" spans="1:12" ht="15.75" customHeight="1" x14ac:dyDescent="0.35">
      <c r="A211" s="10">
        <f t="shared" si="7"/>
        <v>208</v>
      </c>
      <c r="B211" s="3">
        <v>7842</v>
      </c>
      <c r="C211" s="5" t="s">
        <v>1044</v>
      </c>
      <c r="D211" s="5" t="s">
        <v>563</v>
      </c>
      <c r="E211" s="5" t="s">
        <v>16</v>
      </c>
      <c r="F211" s="5" t="s">
        <v>958</v>
      </c>
      <c r="G211" s="7">
        <v>44958</v>
      </c>
      <c r="H211" s="18">
        <v>3.1616438356164385</v>
      </c>
      <c r="I211" s="26" t="s">
        <v>13</v>
      </c>
      <c r="J211" s="28">
        <v>28191.004499999999</v>
      </c>
      <c r="K211" s="28">
        <v>3500</v>
      </c>
      <c r="L211" s="31">
        <f t="shared" si="6"/>
        <v>0.12415307868862921</v>
      </c>
    </row>
    <row r="212" spans="1:12" ht="15.75" customHeight="1" x14ac:dyDescent="0.35">
      <c r="A212" s="10">
        <f t="shared" si="7"/>
        <v>209</v>
      </c>
      <c r="B212" s="3">
        <v>7851</v>
      </c>
      <c r="C212" s="5" t="s">
        <v>1050</v>
      </c>
      <c r="D212" s="5" t="s">
        <v>563</v>
      </c>
      <c r="E212" s="5" t="s">
        <v>16</v>
      </c>
      <c r="F212" s="5" t="s">
        <v>141</v>
      </c>
      <c r="G212" s="7">
        <v>44597</v>
      </c>
      <c r="H212" s="18">
        <v>4.1506849315068495</v>
      </c>
      <c r="I212" s="26" t="s">
        <v>13</v>
      </c>
      <c r="J212" s="28">
        <v>37144.262000000002</v>
      </c>
      <c r="K212" s="28">
        <v>3500</v>
      </c>
      <c r="L212" s="31">
        <f t="shared" si="6"/>
        <v>9.4227205267936126E-2</v>
      </c>
    </row>
    <row r="213" spans="1:12" ht="15.75" customHeight="1" x14ac:dyDescent="0.35">
      <c r="A213" s="10">
        <f t="shared" si="7"/>
        <v>210</v>
      </c>
      <c r="B213" s="3">
        <v>7868</v>
      </c>
      <c r="C213" s="5" t="s">
        <v>1051</v>
      </c>
      <c r="D213" s="5" t="s">
        <v>563</v>
      </c>
      <c r="E213" s="5" t="s">
        <v>16</v>
      </c>
      <c r="F213" s="5" t="s">
        <v>656</v>
      </c>
      <c r="G213" s="7">
        <v>45017</v>
      </c>
      <c r="H213" s="18">
        <v>3</v>
      </c>
      <c r="I213" s="26" t="s">
        <v>13</v>
      </c>
      <c r="J213" s="28">
        <v>28191.004499999999</v>
      </c>
      <c r="K213" s="28">
        <v>3500</v>
      </c>
      <c r="L213" s="31">
        <f t="shared" si="6"/>
        <v>0.12415307868862921</v>
      </c>
    </row>
    <row r="214" spans="1:12" ht="15.75" customHeight="1" x14ac:dyDescent="0.35">
      <c r="A214" s="10">
        <f t="shared" si="7"/>
        <v>211</v>
      </c>
      <c r="B214" s="3">
        <v>7872</v>
      </c>
      <c r="C214" s="5" t="s">
        <v>1052</v>
      </c>
      <c r="D214" s="5" t="s">
        <v>563</v>
      </c>
      <c r="E214" s="5" t="s">
        <v>16</v>
      </c>
      <c r="F214" s="5" t="s">
        <v>825</v>
      </c>
      <c r="G214" s="7">
        <v>45017</v>
      </c>
      <c r="H214" s="18">
        <v>3</v>
      </c>
      <c r="I214" s="26" t="s">
        <v>13</v>
      </c>
      <c r="J214" s="28">
        <v>28719.5075</v>
      </c>
      <c r="K214" s="28">
        <v>3500</v>
      </c>
      <c r="L214" s="31">
        <f t="shared" si="6"/>
        <v>0.12186838510374873</v>
      </c>
    </row>
    <row r="215" spans="1:12" ht="15.75" customHeight="1" x14ac:dyDescent="0.35">
      <c r="A215" s="10">
        <f t="shared" si="7"/>
        <v>212</v>
      </c>
      <c r="B215" s="3">
        <v>7885</v>
      </c>
      <c r="C215" s="5" t="s">
        <v>1056</v>
      </c>
      <c r="D215" s="5" t="s">
        <v>563</v>
      </c>
      <c r="E215" s="5" t="s">
        <v>16</v>
      </c>
      <c r="F215" s="5" t="s">
        <v>1057</v>
      </c>
      <c r="G215" s="7">
        <v>44621</v>
      </c>
      <c r="H215" s="18">
        <v>4.0849315068493155</v>
      </c>
      <c r="I215" s="26" t="s">
        <v>13</v>
      </c>
      <c r="J215" s="28">
        <v>28497.404500000001</v>
      </c>
      <c r="K215" s="28">
        <v>3500</v>
      </c>
      <c r="L215" s="31">
        <f t="shared" si="6"/>
        <v>0.12281820261911923</v>
      </c>
    </row>
    <row r="216" spans="1:12" ht="15.75" customHeight="1" x14ac:dyDescent="0.35">
      <c r="A216" s="10">
        <f t="shared" si="7"/>
        <v>213</v>
      </c>
      <c r="B216" s="3">
        <v>7894</v>
      </c>
      <c r="C216" s="5" t="s">
        <v>1062</v>
      </c>
      <c r="D216" s="5" t="s">
        <v>563</v>
      </c>
      <c r="E216" s="5" t="s">
        <v>16</v>
      </c>
      <c r="F216" s="5" t="s">
        <v>353</v>
      </c>
      <c r="G216" s="7">
        <v>44641</v>
      </c>
      <c r="H216" s="18">
        <v>4.0301369863013701</v>
      </c>
      <c r="I216" s="26" t="s">
        <v>13</v>
      </c>
      <c r="J216" s="28">
        <v>31751.0105</v>
      </c>
      <c r="K216" s="28">
        <v>3500</v>
      </c>
      <c r="L216" s="31">
        <f t="shared" si="6"/>
        <v>0.11023271212108351</v>
      </c>
    </row>
    <row r="217" spans="1:12" ht="15.75" customHeight="1" x14ac:dyDescent="0.35">
      <c r="A217" s="10">
        <f t="shared" si="7"/>
        <v>214</v>
      </c>
      <c r="B217" s="3">
        <v>7901</v>
      </c>
      <c r="C217" s="5" t="s">
        <v>1063</v>
      </c>
      <c r="D217" s="5" t="s">
        <v>563</v>
      </c>
      <c r="E217" s="5" t="s">
        <v>16</v>
      </c>
      <c r="F217" s="5" t="s">
        <v>141</v>
      </c>
      <c r="G217" s="7">
        <v>44648</v>
      </c>
      <c r="H217" s="18">
        <v>4.0109589041095894</v>
      </c>
      <c r="I217" s="26" t="s">
        <v>13</v>
      </c>
      <c r="J217" s="28">
        <v>31476.0105</v>
      </c>
      <c r="K217" s="28">
        <v>3500</v>
      </c>
      <c r="L217" s="31">
        <f t="shared" si="6"/>
        <v>0.11119579465129484</v>
      </c>
    </row>
    <row r="218" spans="1:12" ht="15.75" customHeight="1" x14ac:dyDescent="0.35">
      <c r="A218" s="10">
        <f t="shared" si="7"/>
        <v>215</v>
      </c>
      <c r="B218" s="3">
        <v>7902</v>
      </c>
      <c r="C218" s="5" t="s">
        <v>1064</v>
      </c>
      <c r="D218" s="5" t="s">
        <v>563</v>
      </c>
      <c r="E218" s="5" t="s">
        <v>16</v>
      </c>
      <c r="F218" s="5" t="s">
        <v>110</v>
      </c>
      <c r="G218" s="7">
        <v>44652</v>
      </c>
      <c r="H218" s="18">
        <v>4</v>
      </c>
      <c r="I218" s="26" t="s">
        <v>13</v>
      </c>
      <c r="J218" s="28">
        <v>32739.5075</v>
      </c>
      <c r="K218" s="28">
        <v>3500</v>
      </c>
      <c r="L218" s="31">
        <f t="shared" si="6"/>
        <v>0.10690447924422809</v>
      </c>
    </row>
    <row r="219" spans="1:12" ht="15.75" customHeight="1" x14ac:dyDescent="0.35">
      <c r="A219" s="10">
        <f t="shared" si="7"/>
        <v>216</v>
      </c>
      <c r="B219" s="3">
        <v>7903</v>
      </c>
      <c r="C219" s="5" t="s">
        <v>1065</v>
      </c>
      <c r="D219" s="5" t="s">
        <v>563</v>
      </c>
      <c r="E219" s="5" t="s">
        <v>16</v>
      </c>
      <c r="F219" s="5" t="s">
        <v>681</v>
      </c>
      <c r="G219" s="7">
        <v>44652</v>
      </c>
      <c r="H219" s="18">
        <v>4</v>
      </c>
      <c r="I219" s="26" t="s">
        <v>13</v>
      </c>
      <c r="J219" s="28">
        <v>28539.5075</v>
      </c>
      <c r="K219" s="28">
        <v>3500</v>
      </c>
      <c r="L219" s="31">
        <f t="shared" si="6"/>
        <v>0.12263701467167926</v>
      </c>
    </row>
    <row r="220" spans="1:12" ht="15.75" customHeight="1" x14ac:dyDescent="0.35">
      <c r="A220" s="10">
        <f t="shared" si="7"/>
        <v>217</v>
      </c>
      <c r="B220" s="3">
        <v>7913</v>
      </c>
      <c r="C220" s="5" t="s">
        <v>1067</v>
      </c>
      <c r="D220" s="5" t="s">
        <v>563</v>
      </c>
      <c r="E220" s="5" t="s">
        <v>16</v>
      </c>
      <c r="F220" s="5" t="s">
        <v>368</v>
      </c>
      <c r="G220" s="7">
        <v>44655</v>
      </c>
      <c r="H220" s="18">
        <v>3.9917808219178084</v>
      </c>
      <c r="I220" s="26" t="s">
        <v>13</v>
      </c>
      <c r="J220" s="28">
        <v>31164.5075</v>
      </c>
      <c r="K220" s="28">
        <v>3500</v>
      </c>
      <c r="L220" s="31">
        <f t="shared" si="6"/>
        <v>0.11230724567041529</v>
      </c>
    </row>
    <row r="221" spans="1:12" ht="15.75" customHeight="1" x14ac:dyDescent="0.35">
      <c r="A221" s="10">
        <f t="shared" si="7"/>
        <v>218</v>
      </c>
      <c r="B221" s="3">
        <v>7927</v>
      </c>
      <c r="C221" s="5" t="s">
        <v>1070</v>
      </c>
      <c r="D221" s="5" t="s">
        <v>563</v>
      </c>
      <c r="E221" s="5" t="s">
        <v>16</v>
      </c>
      <c r="F221" s="5" t="s">
        <v>353</v>
      </c>
      <c r="G221" s="7">
        <v>44669</v>
      </c>
      <c r="H221" s="18">
        <v>3.9534246575342467</v>
      </c>
      <c r="I221" s="26" t="s">
        <v>13</v>
      </c>
      <c r="J221" s="28">
        <v>29589.610499999999</v>
      </c>
      <c r="K221" s="28">
        <v>3500</v>
      </c>
      <c r="L221" s="31">
        <f t="shared" si="6"/>
        <v>0.1182847607946715</v>
      </c>
    </row>
    <row r="222" spans="1:12" ht="15.75" customHeight="1" x14ac:dyDescent="0.35">
      <c r="A222" s="10">
        <f t="shared" si="7"/>
        <v>219</v>
      </c>
      <c r="B222" s="3">
        <v>7931</v>
      </c>
      <c r="C222" s="5" t="s">
        <v>1071</v>
      </c>
      <c r="D222" s="5" t="s">
        <v>563</v>
      </c>
      <c r="E222" s="5" t="s">
        <v>16</v>
      </c>
      <c r="F222" s="5" t="s">
        <v>48</v>
      </c>
      <c r="G222" s="7">
        <v>44666</v>
      </c>
      <c r="H222" s="18">
        <v>3.9616438356164383</v>
      </c>
      <c r="I222" s="26" t="s">
        <v>13</v>
      </c>
      <c r="J222" s="28">
        <v>28003.004499999999</v>
      </c>
      <c r="K222" s="28">
        <v>3500</v>
      </c>
      <c r="L222" s="31">
        <f t="shared" si="6"/>
        <v>0.12498658849267406</v>
      </c>
    </row>
    <row r="223" spans="1:12" ht="15.75" customHeight="1" x14ac:dyDescent="0.35">
      <c r="A223" s="10">
        <f t="shared" si="7"/>
        <v>220</v>
      </c>
      <c r="B223" s="3">
        <v>7939</v>
      </c>
      <c r="C223" s="5" t="s">
        <v>1072</v>
      </c>
      <c r="D223" s="5" t="s">
        <v>563</v>
      </c>
      <c r="E223" s="5" t="s">
        <v>16</v>
      </c>
      <c r="F223" s="5" t="s">
        <v>141</v>
      </c>
      <c r="G223" s="7">
        <v>44685</v>
      </c>
      <c r="H223" s="18">
        <v>3.9095890410958902</v>
      </c>
      <c r="I223" s="26" t="s">
        <v>13</v>
      </c>
      <c r="J223" s="28">
        <v>39764.262000000002</v>
      </c>
      <c r="K223" s="28">
        <v>3500</v>
      </c>
      <c r="L223" s="31">
        <f t="shared" si="6"/>
        <v>8.8018734007939081E-2</v>
      </c>
    </row>
    <row r="224" spans="1:12" ht="15.75" customHeight="1" x14ac:dyDescent="0.35">
      <c r="A224" s="10">
        <f t="shared" si="7"/>
        <v>221</v>
      </c>
      <c r="B224" s="3">
        <v>7948</v>
      </c>
      <c r="C224" s="5" t="s">
        <v>1073</v>
      </c>
      <c r="D224" s="5" t="s">
        <v>563</v>
      </c>
      <c r="E224" s="5" t="s">
        <v>16</v>
      </c>
      <c r="F224" s="5" t="s">
        <v>353</v>
      </c>
      <c r="G224" s="7">
        <v>44690</v>
      </c>
      <c r="H224" s="18">
        <v>3.8958904109589043</v>
      </c>
      <c r="I224" s="26" t="s">
        <v>13</v>
      </c>
      <c r="J224" s="28">
        <v>31751.0105</v>
      </c>
      <c r="K224" s="28">
        <v>3500</v>
      </c>
      <c r="L224" s="31">
        <f t="shared" si="6"/>
        <v>0.11023271212108351</v>
      </c>
    </row>
    <row r="225" spans="1:12" ht="15.75" customHeight="1" x14ac:dyDescent="0.35">
      <c r="A225" s="10">
        <f t="shared" si="7"/>
        <v>222</v>
      </c>
      <c r="B225" s="3">
        <v>7955</v>
      </c>
      <c r="C225" s="5" t="s">
        <v>1074</v>
      </c>
      <c r="D225" s="5" t="s">
        <v>563</v>
      </c>
      <c r="E225" s="5" t="s">
        <v>16</v>
      </c>
      <c r="F225" s="5" t="s">
        <v>141</v>
      </c>
      <c r="G225" s="7">
        <v>45108</v>
      </c>
      <c r="H225" s="18">
        <v>2.7506849315068491</v>
      </c>
      <c r="I225" s="26" t="s">
        <v>1075</v>
      </c>
      <c r="J225" s="28">
        <v>29548.0105</v>
      </c>
      <c r="K225" s="28">
        <v>3000</v>
      </c>
      <c r="L225" s="31">
        <f t="shared" si="6"/>
        <v>0.10152967828409293</v>
      </c>
    </row>
    <row r="226" spans="1:12" ht="15.75" customHeight="1" x14ac:dyDescent="0.35">
      <c r="A226" s="10">
        <f t="shared" si="7"/>
        <v>223</v>
      </c>
      <c r="B226" s="3">
        <v>7972</v>
      </c>
      <c r="C226" s="5" t="s">
        <v>1082</v>
      </c>
      <c r="D226" s="5" t="s">
        <v>563</v>
      </c>
      <c r="E226" s="5" t="s">
        <v>16</v>
      </c>
      <c r="F226" s="5" t="s">
        <v>947</v>
      </c>
      <c r="G226" s="7">
        <v>44713</v>
      </c>
      <c r="H226" s="18">
        <v>3.8328767123287673</v>
      </c>
      <c r="I226" s="26" t="s">
        <v>13</v>
      </c>
      <c r="J226" s="28">
        <v>28003.004499999999</v>
      </c>
      <c r="K226" s="28">
        <v>3500</v>
      </c>
      <c r="L226" s="31">
        <f t="shared" si="6"/>
        <v>0.12498658849267406</v>
      </c>
    </row>
    <row r="227" spans="1:12" ht="15.75" customHeight="1" x14ac:dyDescent="0.35">
      <c r="A227" s="10">
        <f t="shared" si="7"/>
        <v>224</v>
      </c>
      <c r="B227" s="3">
        <v>7985</v>
      </c>
      <c r="C227" s="5" t="s">
        <v>1085</v>
      </c>
      <c r="D227" s="5" t="s">
        <v>563</v>
      </c>
      <c r="E227" s="5" t="s">
        <v>16</v>
      </c>
      <c r="F227" s="5" t="s">
        <v>141</v>
      </c>
      <c r="G227" s="7">
        <v>44713</v>
      </c>
      <c r="H227" s="18">
        <v>3.8328767123287673</v>
      </c>
      <c r="I227" s="26" t="s">
        <v>13</v>
      </c>
      <c r="J227" s="28">
        <v>41089.25</v>
      </c>
      <c r="K227" s="28">
        <v>3500</v>
      </c>
      <c r="L227" s="31">
        <f t="shared" si="6"/>
        <v>8.5180430404546204E-2</v>
      </c>
    </row>
    <row r="228" spans="1:12" ht="15.75" customHeight="1" x14ac:dyDescent="0.35">
      <c r="A228" s="10">
        <f t="shared" si="7"/>
        <v>225</v>
      </c>
      <c r="B228" s="3">
        <v>7995</v>
      </c>
      <c r="C228" s="5" t="s">
        <v>1086</v>
      </c>
      <c r="D228" s="5" t="s">
        <v>563</v>
      </c>
      <c r="E228" s="5" t="s">
        <v>16</v>
      </c>
      <c r="F228" s="5" t="s">
        <v>819</v>
      </c>
      <c r="G228" s="7">
        <v>44725</v>
      </c>
      <c r="H228" s="18">
        <v>3.8</v>
      </c>
      <c r="I228" s="26" t="s">
        <v>13</v>
      </c>
      <c r="J228" s="28">
        <v>30114.5075</v>
      </c>
      <c r="K228" s="28">
        <v>3500</v>
      </c>
      <c r="L228" s="31">
        <f t="shared" si="6"/>
        <v>0.11622305295877743</v>
      </c>
    </row>
    <row r="229" spans="1:12" ht="15.75" customHeight="1" x14ac:dyDescent="0.35">
      <c r="A229" s="10">
        <f t="shared" si="7"/>
        <v>226</v>
      </c>
      <c r="B229" s="3">
        <v>8004</v>
      </c>
      <c r="C229" s="5" t="s">
        <v>1089</v>
      </c>
      <c r="D229" s="5" t="s">
        <v>563</v>
      </c>
      <c r="E229" s="5" t="s">
        <v>16</v>
      </c>
      <c r="F229" s="5" t="s">
        <v>819</v>
      </c>
      <c r="G229" s="7">
        <v>45108</v>
      </c>
      <c r="H229" s="18">
        <v>2.7506849315068491</v>
      </c>
      <c r="I229" s="26" t="s">
        <v>1075</v>
      </c>
      <c r="J229" s="28">
        <v>28119.5075</v>
      </c>
      <c r="K229" s="28">
        <v>3000</v>
      </c>
      <c r="L229" s="31">
        <f t="shared" si="6"/>
        <v>0.10668750155030275</v>
      </c>
    </row>
    <row r="230" spans="1:12" ht="15.75" customHeight="1" x14ac:dyDescent="0.35">
      <c r="A230" s="10">
        <f t="shared" si="7"/>
        <v>227</v>
      </c>
      <c r="B230" s="3">
        <v>8035</v>
      </c>
      <c r="C230" s="5" t="s">
        <v>1095</v>
      </c>
      <c r="D230" s="5" t="s">
        <v>563</v>
      </c>
      <c r="E230" s="5" t="s">
        <v>16</v>
      </c>
      <c r="F230" s="5" t="s">
        <v>990</v>
      </c>
      <c r="G230" s="7">
        <v>44774</v>
      </c>
      <c r="H230" s="18">
        <v>3.6657534246575341</v>
      </c>
      <c r="I230" s="26" t="s">
        <v>13</v>
      </c>
      <c r="J230" s="28">
        <v>28003.004499999999</v>
      </c>
      <c r="K230" s="28">
        <v>3500</v>
      </c>
      <c r="L230" s="31">
        <f t="shared" si="6"/>
        <v>0.12498658849267406</v>
      </c>
    </row>
    <row r="231" spans="1:12" ht="15.75" customHeight="1" x14ac:dyDescent="0.35">
      <c r="A231" s="10">
        <f t="shared" si="7"/>
        <v>228</v>
      </c>
      <c r="B231" s="3">
        <v>8039</v>
      </c>
      <c r="C231" s="5" t="s">
        <v>1096</v>
      </c>
      <c r="D231" s="5" t="s">
        <v>563</v>
      </c>
      <c r="E231" s="5" t="s">
        <v>16</v>
      </c>
      <c r="F231" s="5" t="s">
        <v>480</v>
      </c>
      <c r="G231" s="7">
        <v>44774</v>
      </c>
      <c r="H231" s="18">
        <v>3.6657534246575341</v>
      </c>
      <c r="I231" s="26" t="s">
        <v>13</v>
      </c>
      <c r="J231" s="28">
        <v>29548.004499999999</v>
      </c>
      <c r="K231" s="28">
        <v>3500</v>
      </c>
      <c r="L231" s="31">
        <f t="shared" si="6"/>
        <v>0.11845131538408965</v>
      </c>
    </row>
    <row r="232" spans="1:12" ht="15.75" customHeight="1" x14ac:dyDescent="0.35">
      <c r="A232" s="10">
        <f t="shared" si="7"/>
        <v>229</v>
      </c>
      <c r="B232" s="3">
        <v>8053</v>
      </c>
      <c r="C232" s="5" t="s">
        <v>1099</v>
      </c>
      <c r="D232" s="5" t="s">
        <v>563</v>
      </c>
      <c r="E232" s="5" t="s">
        <v>16</v>
      </c>
      <c r="F232" s="5" t="s">
        <v>574</v>
      </c>
      <c r="G232" s="7">
        <v>44789</v>
      </c>
      <c r="H232" s="18">
        <v>3.6246575342465754</v>
      </c>
      <c r="I232" s="26" t="s">
        <v>13</v>
      </c>
      <c r="J232" s="28">
        <v>30114.5075</v>
      </c>
      <c r="K232" s="28">
        <v>3500</v>
      </c>
      <c r="L232" s="31">
        <f t="shared" si="6"/>
        <v>0.11622305295877743</v>
      </c>
    </row>
    <row r="233" spans="1:12" ht="15.75" customHeight="1" x14ac:dyDescent="0.35">
      <c r="A233" s="10">
        <f t="shared" si="7"/>
        <v>230</v>
      </c>
      <c r="B233" s="3">
        <v>8057</v>
      </c>
      <c r="C233" s="5" t="s">
        <v>1100</v>
      </c>
      <c r="D233" s="5" t="s">
        <v>563</v>
      </c>
      <c r="E233" s="5" t="s">
        <v>16</v>
      </c>
      <c r="F233" s="5" t="s">
        <v>20</v>
      </c>
      <c r="G233" s="7">
        <v>44774</v>
      </c>
      <c r="H233" s="18">
        <v>3.6657534246575341</v>
      </c>
      <c r="I233" s="26" t="s">
        <v>13</v>
      </c>
      <c r="J233" s="28">
        <v>29548.004499999999</v>
      </c>
      <c r="K233" s="28">
        <v>3500</v>
      </c>
      <c r="L233" s="31">
        <f t="shared" si="6"/>
        <v>0.11845131538408965</v>
      </c>
    </row>
    <row r="234" spans="1:12" ht="15.75" customHeight="1" x14ac:dyDescent="0.35">
      <c r="A234" s="10">
        <f t="shared" si="7"/>
        <v>231</v>
      </c>
      <c r="B234" s="3">
        <v>8073</v>
      </c>
      <c r="C234" s="5" t="s">
        <v>1105</v>
      </c>
      <c r="D234" s="5" t="s">
        <v>563</v>
      </c>
      <c r="E234" s="5" t="s">
        <v>16</v>
      </c>
      <c r="F234" s="5" t="s">
        <v>434</v>
      </c>
      <c r="G234" s="7">
        <v>44795</v>
      </c>
      <c r="H234" s="18">
        <v>3.6082191780821917</v>
      </c>
      <c r="I234" s="26" t="s">
        <v>13</v>
      </c>
      <c r="J234" s="28">
        <v>31164.5075</v>
      </c>
      <c r="K234" s="28">
        <v>3500</v>
      </c>
      <c r="L234" s="31">
        <f t="shared" si="6"/>
        <v>0.11230724567041529</v>
      </c>
    </row>
    <row r="235" spans="1:12" ht="15.75" customHeight="1" x14ac:dyDescent="0.35">
      <c r="A235" s="10">
        <f t="shared" si="7"/>
        <v>232</v>
      </c>
      <c r="B235" s="3">
        <v>8075</v>
      </c>
      <c r="C235" s="5" t="s">
        <v>1106</v>
      </c>
      <c r="D235" s="5" t="s">
        <v>563</v>
      </c>
      <c r="E235" s="5" t="s">
        <v>16</v>
      </c>
      <c r="F235" s="5" t="s">
        <v>1107</v>
      </c>
      <c r="G235" s="7">
        <v>44795</v>
      </c>
      <c r="H235" s="18">
        <v>3.6082191780821917</v>
      </c>
      <c r="I235" s="26" t="s">
        <v>13</v>
      </c>
      <c r="J235" s="28">
        <v>30114.5075</v>
      </c>
      <c r="K235" s="28">
        <v>3500</v>
      </c>
      <c r="L235" s="31">
        <f t="shared" si="6"/>
        <v>0.11622305295877743</v>
      </c>
    </row>
    <row r="236" spans="1:12" ht="15.75" customHeight="1" x14ac:dyDescent="0.35">
      <c r="A236" s="10">
        <f t="shared" si="7"/>
        <v>233</v>
      </c>
      <c r="B236" s="3">
        <v>8076</v>
      </c>
      <c r="C236" s="5" t="s">
        <v>1108</v>
      </c>
      <c r="D236" s="5" t="s">
        <v>563</v>
      </c>
      <c r="E236" s="5" t="s">
        <v>16</v>
      </c>
      <c r="F236" s="5" t="s">
        <v>110</v>
      </c>
      <c r="G236" s="7">
        <v>44795</v>
      </c>
      <c r="H236" s="18">
        <v>3.6082191780821917</v>
      </c>
      <c r="I236" s="26" t="s">
        <v>13</v>
      </c>
      <c r="J236" s="28">
        <v>29548.004499999999</v>
      </c>
      <c r="K236" s="28">
        <v>3500</v>
      </c>
      <c r="L236" s="31">
        <f t="shared" si="6"/>
        <v>0.11845131538408965</v>
      </c>
    </row>
    <row r="237" spans="1:12" ht="15.75" customHeight="1" x14ac:dyDescent="0.35">
      <c r="A237" s="10">
        <f t="shared" si="7"/>
        <v>234</v>
      </c>
      <c r="B237" s="3">
        <v>8116</v>
      </c>
      <c r="C237" s="5" t="s">
        <v>1114</v>
      </c>
      <c r="D237" s="5" t="s">
        <v>563</v>
      </c>
      <c r="E237" s="5" t="s">
        <v>16</v>
      </c>
      <c r="F237" s="5" t="s">
        <v>825</v>
      </c>
      <c r="G237" s="7">
        <v>44830</v>
      </c>
      <c r="H237" s="18">
        <v>3.5123287671232877</v>
      </c>
      <c r="I237" s="26" t="s">
        <v>13</v>
      </c>
      <c r="J237" s="28">
        <v>30114.5075</v>
      </c>
      <c r="K237" s="28">
        <v>3500</v>
      </c>
      <c r="L237" s="31">
        <f t="shared" si="6"/>
        <v>0.11622305295877743</v>
      </c>
    </row>
    <row r="238" spans="1:12" ht="15.75" customHeight="1" x14ac:dyDescent="0.35">
      <c r="A238" s="10">
        <f t="shared" si="7"/>
        <v>235</v>
      </c>
      <c r="B238" s="3">
        <v>8123</v>
      </c>
      <c r="C238" s="5" t="s">
        <v>1115</v>
      </c>
      <c r="D238" s="5" t="s">
        <v>563</v>
      </c>
      <c r="E238" s="5" t="s">
        <v>16</v>
      </c>
      <c r="F238" s="5" t="s">
        <v>574</v>
      </c>
      <c r="G238" s="7">
        <v>44839</v>
      </c>
      <c r="H238" s="18">
        <v>3.4876712328767123</v>
      </c>
      <c r="I238" s="26" t="s">
        <v>13</v>
      </c>
      <c r="J238" s="28">
        <v>33969.5075</v>
      </c>
      <c r="K238" s="28">
        <v>3500</v>
      </c>
      <c r="L238" s="31">
        <f t="shared" si="6"/>
        <v>0.10303358092548148</v>
      </c>
    </row>
    <row r="239" spans="1:12" ht="15.75" customHeight="1" x14ac:dyDescent="0.35">
      <c r="A239" s="10">
        <f t="shared" si="7"/>
        <v>236</v>
      </c>
      <c r="B239" s="3">
        <v>8142</v>
      </c>
      <c r="C239" s="5" t="s">
        <v>1120</v>
      </c>
      <c r="D239" s="5" t="s">
        <v>563</v>
      </c>
      <c r="E239" s="5" t="s">
        <v>16</v>
      </c>
      <c r="F239" s="5" t="s">
        <v>958</v>
      </c>
      <c r="G239" s="7">
        <v>44846</v>
      </c>
      <c r="H239" s="18">
        <v>3.4684931506849317</v>
      </c>
      <c r="I239" s="26" t="s">
        <v>13</v>
      </c>
      <c r="J239" s="28">
        <v>34135.404500000004</v>
      </c>
      <c r="K239" s="28">
        <v>3500</v>
      </c>
      <c r="L239" s="31">
        <f t="shared" si="6"/>
        <v>0.10253284093938303</v>
      </c>
    </row>
    <row r="240" spans="1:12" ht="15.75" customHeight="1" x14ac:dyDescent="0.35">
      <c r="A240" s="10">
        <f t="shared" si="7"/>
        <v>237</v>
      </c>
      <c r="B240" s="3">
        <v>8150</v>
      </c>
      <c r="C240" s="5" t="s">
        <v>1123</v>
      </c>
      <c r="D240" s="5" t="s">
        <v>563</v>
      </c>
      <c r="E240" s="5" t="s">
        <v>16</v>
      </c>
      <c r="F240" s="5" t="s">
        <v>1124</v>
      </c>
      <c r="G240" s="7">
        <v>44851</v>
      </c>
      <c r="H240" s="18">
        <v>3.4547945205479453</v>
      </c>
      <c r="I240" s="26" t="s">
        <v>13</v>
      </c>
      <c r="J240" s="28">
        <v>33091.004499999995</v>
      </c>
      <c r="K240" s="28">
        <v>3500</v>
      </c>
      <c r="L240" s="31">
        <f t="shared" si="6"/>
        <v>0.10576892581184716</v>
      </c>
    </row>
    <row r="241" spans="1:12" ht="15.75" customHeight="1" x14ac:dyDescent="0.35">
      <c r="A241" s="10">
        <f t="shared" si="7"/>
        <v>238</v>
      </c>
      <c r="B241" s="3">
        <v>8159</v>
      </c>
      <c r="C241" s="5" t="s">
        <v>1129</v>
      </c>
      <c r="D241" s="5" t="s">
        <v>563</v>
      </c>
      <c r="E241" s="5" t="s">
        <v>16</v>
      </c>
      <c r="F241" s="5" t="s">
        <v>574</v>
      </c>
      <c r="G241" s="7">
        <v>44867</v>
      </c>
      <c r="H241" s="18">
        <v>3.4109589041095889</v>
      </c>
      <c r="I241" s="26" t="s">
        <v>13</v>
      </c>
      <c r="J241" s="28">
        <v>30591.004499999999</v>
      </c>
      <c r="K241" s="28">
        <v>3500</v>
      </c>
      <c r="L241" s="31">
        <f t="shared" si="6"/>
        <v>0.11441271894160913</v>
      </c>
    </row>
    <row r="242" spans="1:12" ht="15.75" customHeight="1" x14ac:dyDescent="0.35">
      <c r="A242" s="10">
        <f t="shared" si="7"/>
        <v>239</v>
      </c>
      <c r="B242" s="3">
        <v>8162</v>
      </c>
      <c r="C242" s="5" t="s">
        <v>1130</v>
      </c>
      <c r="D242" s="5" t="s">
        <v>563</v>
      </c>
      <c r="E242" s="5" t="s">
        <v>16</v>
      </c>
      <c r="F242" s="5" t="s">
        <v>451</v>
      </c>
      <c r="G242" s="7">
        <v>44867</v>
      </c>
      <c r="H242" s="18">
        <v>3.4109589041095889</v>
      </c>
      <c r="I242" s="26" t="s">
        <v>13</v>
      </c>
      <c r="J242" s="28">
        <v>28539.5075</v>
      </c>
      <c r="K242" s="28">
        <v>3500</v>
      </c>
      <c r="L242" s="31">
        <f t="shared" si="6"/>
        <v>0.12263701467167926</v>
      </c>
    </row>
    <row r="243" spans="1:12" ht="15.75" customHeight="1" x14ac:dyDescent="0.35">
      <c r="A243" s="10">
        <f t="shared" si="7"/>
        <v>240</v>
      </c>
      <c r="B243" s="3">
        <v>8165</v>
      </c>
      <c r="C243" s="5" t="s">
        <v>1131</v>
      </c>
      <c r="D243" s="5" t="s">
        <v>563</v>
      </c>
      <c r="E243" s="5" t="s">
        <v>16</v>
      </c>
      <c r="F243" s="5" t="s">
        <v>819</v>
      </c>
      <c r="G243" s="7">
        <v>44867</v>
      </c>
      <c r="H243" s="18">
        <v>3.4109589041095889</v>
      </c>
      <c r="I243" s="26" t="s">
        <v>13</v>
      </c>
      <c r="J243" s="28">
        <v>30114.5075</v>
      </c>
      <c r="K243" s="28">
        <v>3500</v>
      </c>
      <c r="L243" s="31">
        <f t="shared" si="6"/>
        <v>0.11622305295877743</v>
      </c>
    </row>
    <row r="244" spans="1:12" ht="15.75" customHeight="1" x14ac:dyDescent="0.35">
      <c r="A244" s="10">
        <f t="shared" si="7"/>
        <v>241</v>
      </c>
      <c r="B244" s="3">
        <v>8177</v>
      </c>
      <c r="C244" s="5" t="s">
        <v>1133</v>
      </c>
      <c r="D244" s="5" t="s">
        <v>563</v>
      </c>
      <c r="E244" s="5" t="s">
        <v>16</v>
      </c>
      <c r="F244" s="5" t="s">
        <v>451</v>
      </c>
      <c r="G244" s="7">
        <v>44872</v>
      </c>
      <c r="H244" s="18">
        <v>3.3972602739726026</v>
      </c>
      <c r="I244" s="26" t="s">
        <v>13</v>
      </c>
      <c r="J244" s="28">
        <v>28003.004499999999</v>
      </c>
      <c r="K244" s="28">
        <v>3500</v>
      </c>
      <c r="L244" s="31">
        <f t="shared" si="6"/>
        <v>0.12498658849267406</v>
      </c>
    </row>
    <row r="245" spans="1:12" ht="15.75" customHeight="1" x14ac:dyDescent="0.35">
      <c r="A245" s="10">
        <f t="shared" si="7"/>
        <v>242</v>
      </c>
      <c r="B245" s="3">
        <v>8185</v>
      </c>
      <c r="C245" s="5" t="s">
        <v>1134</v>
      </c>
      <c r="D245" s="5" t="s">
        <v>563</v>
      </c>
      <c r="E245" s="5" t="s">
        <v>16</v>
      </c>
      <c r="F245" s="5" t="s">
        <v>302</v>
      </c>
      <c r="G245" s="7">
        <v>44879</v>
      </c>
      <c r="H245" s="18">
        <v>3.3780821917808219</v>
      </c>
      <c r="I245" s="26" t="s">
        <v>13</v>
      </c>
      <c r="J245" s="28">
        <v>32172.5075</v>
      </c>
      <c r="K245" s="28">
        <v>3500</v>
      </c>
      <c r="L245" s="31">
        <f t="shared" si="6"/>
        <v>0.10878853629919893</v>
      </c>
    </row>
    <row r="246" spans="1:12" ht="15.75" customHeight="1" x14ac:dyDescent="0.35">
      <c r="A246" s="10">
        <f t="shared" si="7"/>
        <v>243</v>
      </c>
      <c r="B246" s="3">
        <v>8194</v>
      </c>
      <c r="C246" s="5" t="s">
        <v>1137</v>
      </c>
      <c r="D246" s="5" t="s">
        <v>563</v>
      </c>
      <c r="E246" s="5" t="s">
        <v>16</v>
      </c>
      <c r="F246" s="5" t="s">
        <v>990</v>
      </c>
      <c r="G246" s="7">
        <v>44882</v>
      </c>
      <c r="H246" s="18">
        <v>3.3698630136986303</v>
      </c>
      <c r="I246" s="26" t="s">
        <v>13</v>
      </c>
      <c r="J246" s="28">
        <v>29548.004499999999</v>
      </c>
      <c r="K246" s="28">
        <v>3500</v>
      </c>
      <c r="L246" s="31">
        <f t="shared" si="6"/>
        <v>0.11845131538408965</v>
      </c>
    </row>
    <row r="247" spans="1:12" ht="15.75" customHeight="1" x14ac:dyDescent="0.35">
      <c r="A247" s="10">
        <f t="shared" si="7"/>
        <v>244</v>
      </c>
      <c r="B247" s="3">
        <v>8196</v>
      </c>
      <c r="C247" s="5" t="s">
        <v>1138</v>
      </c>
      <c r="D247" s="5" t="s">
        <v>563</v>
      </c>
      <c r="E247" s="5" t="s">
        <v>16</v>
      </c>
      <c r="F247" s="5" t="s">
        <v>825</v>
      </c>
      <c r="G247" s="7">
        <v>45352</v>
      </c>
      <c r="H247" s="18">
        <v>2.0821917808219177</v>
      </c>
      <c r="I247" s="26" t="s">
        <v>13</v>
      </c>
      <c r="J247" s="28">
        <v>27763.1</v>
      </c>
      <c r="K247" s="28">
        <v>3000</v>
      </c>
      <c r="L247" s="31">
        <f t="shared" si="6"/>
        <v>0.10805709737025045</v>
      </c>
    </row>
    <row r="248" spans="1:12" ht="15.75" customHeight="1" x14ac:dyDescent="0.35">
      <c r="A248" s="10">
        <f t="shared" si="7"/>
        <v>245</v>
      </c>
      <c r="B248" s="3">
        <v>8206</v>
      </c>
      <c r="C248" s="5" t="s">
        <v>1139</v>
      </c>
      <c r="D248" s="5" t="s">
        <v>563</v>
      </c>
      <c r="E248" s="5" t="s">
        <v>16</v>
      </c>
      <c r="F248" s="5" t="s">
        <v>729</v>
      </c>
      <c r="G248" s="7">
        <v>44896</v>
      </c>
      <c r="H248" s="18">
        <v>3.3315068493150686</v>
      </c>
      <c r="I248" s="26" t="s">
        <v>13</v>
      </c>
      <c r="J248" s="28">
        <v>30042.404500000001</v>
      </c>
      <c r="K248" s="28">
        <v>3500</v>
      </c>
      <c r="L248" s="31">
        <f t="shared" si="6"/>
        <v>0.1165019930412028</v>
      </c>
    </row>
    <row r="249" spans="1:12" ht="15.75" customHeight="1" x14ac:dyDescent="0.35">
      <c r="A249" s="10">
        <f t="shared" si="7"/>
        <v>246</v>
      </c>
      <c r="B249" s="3">
        <v>8220</v>
      </c>
      <c r="C249" s="5" t="s">
        <v>1142</v>
      </c>
      <c r="D249" s="5" t="s">
        <v>563</v>
      </c>
      <c r="E249" s="5" t="s">
        <v>16</v>
      </c>
      <c r="F249" s="5" t="s">
        <v>990</v>
      </c>
      <c r="G249" s="7">
        <v>44910</v>
      </c>
      <c r="H249" s="18">
        <v>3.2931506849315069</v>
      </c>
      <c r="I249" s="26" t="s">
        <v>13</v>
      </c>
      <c r="J249" s="28">
        <v>28003.004499999999</v>
      </c>
      <c r="K249" s="28">
        <v>3500</v>
      </c>
      <c r="L249" s="31">
        <f t="shared" si="6"/>
        <v>0.12498658849267406</v>
      </c>
    </row>
    <row r="250" spans="1:12" ht="15.75" customHeight="1" x14ac:dyDescent="0.35">
      <c r="A250" s="10">
        <f t="shared" si="7"/>
        <v>247</v>
      </c>
      <c r="B250" s="3">
        <v>8223</v>
      </c>
      <c r="C250" s="5" t="s">
        <v>1143</v>
      </c>
      <c r="D250" s="5" t="s">
        <v>563</v>
      </c>
      <c r="E250" s="5" t="s">
        <v>16</v>
      </c>
      <c r="F250" s="5" t="s">
        <v>439</v>
      </c>
      <c r="G250" s="7">
        <v>44910</v>
      </c>
      <c r="H250" s="18">
        <v>3.2931506849315069</v>
      </c>
      <c r="I250" s="26" t="s">
        <v>13</v>
      </c>
      <c r="J250" s="28">
        <v>31122.5075</v>
      </c>
      <c r="K250" s="28">
        <v>3500</v>
      </c>
      <c r="L250" s="31">
        <f t="shared" si="6"/>
        <v>0.11245880493401761</v>
      </c>
    </row>
    <row r="251" spans="1:12" ht="15.75" customHeight="1" x14ac:dyDescent="0.35">
      <c r="A251" s="10">
        <f t="shared" si="7"/>
        <v>248</v>
      </c>
      <c r="B251" s="3">
        <v>8232</v>
      </c>
      <c r="C251" s="5" t="s">
        <v>1144</v>
      </c>
      <c r="D251" s="5" t="s">
        <v>563</v>
      </c>
      <c r="E251" s="5" t="s">
        <v>16</v>
      </c>
      <c r="F251" s="5" t="s">
        <v>574</v>
      </c>
      <c r="G251" s="7">
        <v>44910</v>
      </c>
      <c r="H251" s="18">
        <v>3.2931506849315069</v>
      </c>
      <c r="I251" s="26" t="s">
        <v>13</v>
      </c>
      <c r="J251" s="28">
        <v>31072.404500000001</v>
      </c>
      <c r="K251" s="28">
        <v>3500</v>
      </c>
      <c r="L251" s="31">
        <f t="shared" si="6"/>
        <v>0.11264014022474508</v>
      </c>
    </row>
    <row r="252" spans="1:12" ht="15.75" customHeight="1" x14ac:dyDescent="0.35">
      <c r="A252" s="10">
        <f t="shared" si="7"/>
        <v>249</v>
      </c>
      <c r="B252" s="3">
        <v>8238</v>
      </c>
      <c r="C252" s="5" t="s">
        <v>1145</v>
      </c>
      <c r="D252" s="5" t="s">
        <v>563</v>
      </c>
      <c r="E252" s="5" t="s">
        <v>16</v>
      </c>
      <c r="F252" s="5" t="s">
        <v>1124</v>
      </c>
      <c r="G252" s="7">
        <v>45352</v>
      </c>
      <c r="H252" s="18">
        <v>2.0821917808219177</v>
      </c>
      <c r="I252" s="26" t="s">
        <v>1075</v>
      </c>
      <c r="J252" s="28">
        <v>27763.1</v>
      </c>
      <c r="K252" s="28">
        <v>3000</v>
      </c>
      <c r="L252" s="31">
        <f t="shared" si="6"/>
        <v>0.10805709737025045</v>
      </c>
    </row>
    <row r="253" spans="1:12" ht="15.75" customHeight="1" x14ac:dyDescent="0.35">
      <c r="A253" s="10">
        <f t="shared" si="7"/>
        <v>250</v>
      </c>
      <c r="B253" s="3">
        <v>8242</v>
      </c>
      <c r="C253" s="5" t="s">
        <v>1146</v>
      </c>
      <c r="D253" s="5" t="s">
        <v>563</v>
      </c>
      <c r="E253" s="5" t="s">
        <v>16</v>
      </c>
      <c r="F253" s="5" t="s">
        <v>1107</v>
      </c>
      <c r="G253" s="7">
        <v>45352</v>
      </c>
      <c r="H253" s="18">
        <v>2.0821917808219177</v>
      </c>
      <c r="I253" s="26" t="s">
        <v>1075</v>
      </c>
      <c r="J253" s="28">
        <v>27763.1</v>
      </c>
      <c r="K253" s="28">
        <v>3000</v>
      </c>
      <c r="L253" s="31">
        <f t="shared" si="6"/>
        <v>0.10805709737025045</v>
      </c>
    </row>
    <row r="254" spans="1:12" ht="15.75" customHeight="1" x14ac:dyDescent="0.35">
      <c r="A254" s="10">
        <f t="shared" si="7"/>
        <v>251</v>
      </c>
      <c r="B254" s="3">
        <v>8244</v>
      </c>
      <c r="C254" s="5" t="s">
        <v>1147</v>
      </c>
      <c r="D254" s="5" t="s">
        <v>563</v>
      </c>
      <c r="E254" s="5" t="s">
        <v>16</v>
      </c>
      <c r="F254" s="5" t="s">
        <v>697</v>
      </c>
      <c r="G254" s="7">
        <v>44928</v>
      </c>
      <c r="H254" s="18">
        <v>3.2438356164383562</v>
      </c>
      <c r="I254" s="26" t="s">
        <v>13</v>
      </c>
      <c r="J254" s="28">
        <v>32172.5075</v>
      </c>
      <c r="K254" s="28">
        <v>3500</v>
      </c>
      <c r="L254" s="31">
        <f t="shared" si="6"/>
        <v>0.10878853629919893</v>
      </c>
    </row>
    <row r="255" spans="1:12" ht="15.75" customHeight="1" x14ac:dyDescent="0.35">
      <c r="A255" s="10">
        <f t="shared" si="7"/>
        <v>252</v>
      </c>
      <c r="B255" s="3">
        <v>8273</v>
      </c>
      <c r="C255" s="5" t="s">
        <v>1150</v>
      </c>
      <c r="D255" s="5" t="s">
        <v>563</v>
      </c>
      <c r="E255" s="5" t="s">
        <v>16</v>
      </c>
      <c r="F255" s="5" t="s">
        <v>483</v>
      </c>
      <c r="G255" s="7">
        <v>44942</v>
      </c>
      <c r="H255" s="18">
        <v>3.2054794520547945</v>
      </c>
      <c r="I255" s="26" t="s">
        <v>13</v>
      </c>
      <c r="J255" s="28">
        <v>30103.210500000001</v>
      </c>
      <c r="K255" s="28">
        <v>3500</v>
      </c>
      <c r="L255" s="31">
        <f t="shared" si="6"/>
        <v>0.11626666863323432</v>
      </c>
    </row>
    <row r="256" spans="1:12" ht="15.75" customHeight="1" x14ac:dyDescent="0.35">
      <c r="A256" s="10">
        <f t="shared" si="7"/>
        <v>253</v>
      </c>
      <c r="B256" s="3">
        <v>8285</v>
      </c>
      <c r="C256" s="5" t="s">
        <v>1153</v>
      </c>
      <c r="D256" s="5" t="s">
        <v>563</v>
      </c>
      <c r="E256" s="5" t="s">
        <v>16</v>
      </c>
      <c r="F256" s="5" t="s">
        <v>763</v>
      </c>
      <c r="G256" s="7">
        <v>44958</v>
      </c>
      <c r="H256" s="18">
        <v>3.1616438356164385</v>
      </c>
      <c r="I256" s="26" t="s">
        <v>13</v>
      </c>
      <c r="J256" s="28">
        <v>29694.5075</v>
      </c>
      <c r="K256" s="28">
        <v>3500</v>
      </c>
      <c r="L256" s="31">
        <f t="shared" si="6"/>
        <v>0.11786691528727998</v>
      </c>
    </row>
    <row r="257" spans="1:12" ht="15.75" customHeight="1" x14ac:dyDescent="0.35">
      <c r="A257" s="10">
        <f t="shared" si="7"/>
        <v>254</v>
      </c>
      <c r="B257" s="3">
        <v>8287</v>
      </c>
      <c r="C257" s="5" t="s">
        <v>1154</v>
      </c>
      <c r="D257" s="5" t="s">
        <v>563</v>
      </c>
      <c r="E257" s="5" t="s">
        <v>16</v>
      </c>
      <c r="F257" s="5" t="s">
        <v>1124</v>
      </c>
      <c r="G257" s="7">
        <v>44958</v>
      </c>
      <c r="H257" s="18">
        <v>3.1616438356164385</v>
      </c>
      <c r="I257" s="26" t="s">
        <v>13</v>
      </c>
      <c r="J257" s="28">
        <v>29136.004499999999</v>
      </c>
      <c r="K257" s="28">
        <v>3500</v>
      </c>
      <c r="L257" s="31">
        <f t="shared" si="6"/>
        <v>0.12012628567516867</v>
      </c>
    </row>
    <row r="258" spans="1:12" ht="15.75" customHeight="1" x14ac:dyDescent="0.35">
      <c r="A258" s="10">
        <f t="shared" si="7"/>
        <v>255</v>
      </c>
      <c r="B258" s="3">
        <v>8293</v>
      </c>
      <c r="C258" s="5" t="s">
        <v>1157</v>
      </c>
      <c r="D258" s="5" t="s">
        <v>563</v>
      </c>
      <c r="E258" s="5" t="s">
        <v>16</v>
      </c>
      <c r="F258" s="5" t="s">
        <v>497</v>
      </c>
      <c r="G258" s="7">
        <v>44958</v>
      </c>
      <c r="H258" s="18">
        <v>3.1616438356164385</v>
      </c>
      <c r="I258" s="26" t="s">
        <v>13</v>
      </c>
      <c r="J258" s="28">
        <v>29019.5075</v>
      </c>
      <c r="K258" s="28">
        <v>3500</v>
      </c>
      <c r="L258" s="31">
        <f t="shared" si="6"/>
        <v>0.12060852514468069</v>
      </c>
    </row>
    <row r="259" spans="1:12" ht="15.75" customHeight="1" x14ac:dyDescent="0.35">
      <c r="A259" s="10">
        <f t="shared" si="7"/>
        <v>256</v>
      </c>
      <c r="B259" s="3">
        <v>8310</v>
      </c>
      <c r="C259" s="5" t="s">
        <v>1164</v>
      </c>
      <c r="D259" s="5" t="s">
        <v>563</v>
      </c>
      <c r="E259" s="5" t="s">
        <v>16</v>
      </c>
      <c r="F259" s="5" t="s">
        <v>990</v>
      </c>
      <c r="G259" s="7">
        <v>44972</v>
      </c>
      <c r="H259" s="18">
        <v>3.1232876712328768</v>
      </c>
      <c r="I259" s="26" t="s">
        <v>13</v>
      </c>
      <c r="J259" s="28">
        <v>31154.804499999998</v>
      </c>
      <c r="K259" s="28">
        <v>3500</v>
      </c>
      <c r="L259" s="31">
        <f t="shared" si="6"/>
        <v>0.11234222317138919</v>
      </c>
    </row>
    <row r="260" spans="1:12" ht="15.75" customHeight="1" x14ac:dyDescent="0.35">
      <c r="A260" s="10">
        <f t="shared" si="7"/>
        <v>257</v>
      </c>
      <c r="B260" s="3">
        <v>8317</v>
      </c>
      <c r="C260" s="5" t="s">
        <v>1165</v>
      </c>
      <c r="D260" s="5" t="s">
        <v>563</v>
      </c>
      <c r="E260" s="5" t="s">
        <v>16</v>
      </c>
      <c r="F260" s="5" t="s">
        <v>897</v>
      </c>
      <c r="G260" s="7">
        <v>44972</v>
      </c>
      <c r="H260" s="18">
        <v>3.1232876712328768</v>
      </c>
      <c r="I260" s="26" t="s">
        <v>13</v>
      </c>
      <c r="J260" s="28">
        <v>29319.5075</v>
      </c>
      <c r="K260" s="28">
        <v>3500</v>
      </c>
      <c r="L260" s="31">
        <f t="shared" si="6"/>
        <v>0.11937444720038357</v>
      </c>
    </row>
    <row r="261" spans="1:12" ht="15.75" customHeight="1" x14ac:dyDescent="0.35">
      <c r="A261" s="10">
        <f t="shared" si="7"/>
        <v>258</v>
      </c>
      <c r="B261" s="3">
        <v>8323</v>
      </c>
      <c r="C261" s="5" t="s">
        <v>1166</v>
      </c>
      <c r="D261" s="5" t="s">
        <v>563</v>
      </c>
      <c r="E261" s="5" t="s">
        <v>16</v>
      </c>
      <c r="F261" s="5" t="s">
        <v>144</v>
      </c>
      <c r="G261" s="7">
        <v>44972</v>
      </c>
      <c r="H261" s="18">
        <v>3.1232876712328768</v>
      </c>
      <c r="I261" s="26" t="s">
        <v>13</v>
      </c>
      <c r="J261" s="28">
        <v>32256.5075</v>
      </c>
      <c r="K261" s="28">
        <v>3500</v>
      </c>
      <c r="L261" s="31">
        <f t="shared" ref="L261:L324" si="8">+K261/J261</f>
        <v>0.10850523727654024</v>
      </c>
    </row>
    <row r="262" spans="1:12" ht="15.75" customHeight="1" x14ac:dyDescent="0.35">
      <c r="A262" s="10">
        <f t="shared" ref="A262:A325" si="9">+A261+1</f>
        <v>259</v>
      </c>
      <c r="B262" s="3">
        <v>8324</v>
      </c>
      <c r="C262" s="5" t="s">
        <v>1167</v>
      </c>
      <c r="D262" s="5" t="s">
        <v>563</v>
      </c>
      <c r="E262" s="5" t="s">
        <v>16</v>
      </c>
      <c r="F262" s="5" t="s">
        <v>825</v>
      </c>
      <c r="G262" s="7">
        <v>44972</v>
      </c>
      <c r="H262" s="18">
        <v>3.1232876712328768</v>
      </c>
      <c r="I262" s="26" t="s">
        <v>13</v>
      </c>
      <c r="J262" s="28">
        <v>29191.004499999999</v>
      </c>
      <c r="K262" s="28">
        <v>3500</v>
      </c>
      <c r="L262" s="31">
        <f t="shared" si="8"/>
        <v>0.11989995068515029</v>
      </c>
    </row>
    <row r="263" spans="1:12" ht="15.75" customHeight="1" x14ac:dyDescent="0.35">
      <c r="A263" s="10">
        <f t="shared" si="9"/>
        <v>260</v>
      </c>
      <c r="B263" s="3">
        <v>8333</v>
      </c>
      <c r="C263" s="5" t="s">
        <v>1168</v>
      </c>
      <c r="D263" s="5" t="s">
        <v>563</v>
      </c>
      <c r="E263" s="5" t="s">
        <v>16</v>
      </c>
      <c r="F263" s="5" t="s">
        <v>353</v>
      </c>
      <c r="G263" s="7">
        <v>44972</v>
      </c>
      <c r="H263" s="18">
        <v>3.1232876712328768</v>
      </c>
      <c r="I263" s="26" t="s">
        <v>13</v>
      </c>
      <c r="J263" s="28">
        <v>33891.010500000004</v>
      </c>
      <c r="K263" s="28">
        <v>3500</v>
      </c>
      <c r="L263" s="31">
        <f t="shared" si="8"/>
        <v>0.10327222317552319</v>
      </c>
    </row>
    <row r="264" spans="1:12" ht="15.75" customHeight="1" x14ac:dyDescent="0.35">
      <c r="A264" s="10">
        <f t="shared" si="9"/>
        <v>261</v>
      </c>
      <c r="B264" s="3">
        <v>8337</v>
      </c>
      <c r="C264" s="5" t="s">
        <v>1169</v>
      </c>
      <c r="D264" s="5" t="s">
        <v>651</v>
      </c>
      <c r="E264" s="5" t="s">
        <v>16</v>
      </c>
      <c r="F264" s="5" t="s">
        <v>20</v>
      </c>
      <c r="G264" s="7">
        <v>44972</v>
      </c>
      <c r="H264" s="18">
        <v>3.1232876712328768</v>
      </c>
      <c r="I264" s="26" t="s">
        <v>13</v>
      </c>
      <c r="J264" s="28">
        <v>31966.7075</v>
      </c>
      <c r="K264" s="28">
        <v>3500</v>
      </c>
      <c r="L264" s="31">
        <f t="shared" si="8"/>
        <v>0.10948891123679222</v>
      </c>
    </row>
    <row r="265" spans="1:12" ht="15.75" customHeight="1" x14ac:dyDescent="0.35">
      <c r="A265" s="10">
        <f t="shared" si="9"/>
        <v>262</v>
      </c>
      <c r="B265" s="3">
        <v>8339</v>
      </c>
      <c r="C265" s="5" t="s">
        <v>1170</v>
      </c>
      <c r="D265" s="5" t="s">
        <v>563</v>
      </c>
      <c r="E265" s="5" t="s">
        <v>16</v>
      </c>
      <c r="F265" s="5" t="s">
        <v>302</v>
      </c>
      <c r="G265" s="7">
        <v>44974</v>
      </c>
      <c r="H265" s="18">
        <v>3.117808219178082</v>
      </c>
      <c r="I265" s="26" t="s">
        <v>13</v>
      </c>
      <c r="J265" s="28">
        <v>30702.5075</v>
      </c>
      <c r="K265" s="28">
        <v>3500</v>
      </c>
      <c r="L265" s="31">
        <f t="shared" si="8"/>
        <v>0.1139972036485945</v>
      </c>
    </row>
    <row r="266" spans="1:12" ht="15.75" customHeight="1" x14ac:dyDescent="0.35">
      <c r="A266" s="10">
        <f t="shared" si="9"/>
        <v>263</v>
      </c>
      <c r="B266" s="3">
        <v>8340</v>
      </c>
      <c r="C266" s="5" t="s">
        <v>1171</v>
      </c>
      <c r="D266" s="5" t="s">
        <v>563</v>
      </c>
      <c r="E266" s="5" t="s">
        <v>16</v>
      </c>
      <c r="F266" s="5" t="s">
        <v>711</v>
      </c>
      <c r="G266" s="7">
        <v>45474</v>
      </c>
      <c r="H266" s="18">
        <v>1.747945205479452</v>
      </c>
      <c r="I266" s="26" t="s">
        <v>1075</v>
      </c>
      <c r="J266" s="28">
        <v>26798.25</v>
      </c>
      <c r="K266" s="28">
        <v>3000</v>
      </c>
      <c r="L266" s="31">
        <f t="shared" si="8"/>
        <v>0.11194760851921301</v>
      </c>
    </row>
    <row r="267" spans="1:12" ht="15.75" customHeight="1" x14ac:dyDescent="0.35">
      <c r="A267" s="10">
        <f t="shared" si="9"/>
        <v>264</v>
      </c>
      <c r="B267" s="3">
        <v>8348</v>
      </c>
      <c r="C267" s="5" t="s">
        <v>1176</v>
      </c>
      <c r="D267" s="5" t="s">
        <v>563</v>
      </c>
      <c r="E267" s="5" t="s">
        <v>16</v>
      </c>
      <c r="F267" s="5" t="s">
        <v>656</v>
      </c>
      <c r="G267" s="7">
        <v>44986</v>
      </c>
      <c r="H267" s="18">
        <v>3.0849315068493151</v>
      </c>
      <c r="I267" s="26" t="s">
        <v>13</v>
      </c>
      <c r="J267" s="28">
        <v>29694.5075</v>
      </c>
      <c r="K267" s="28">
        <v>3500</v>
      </c>
      <c r="L267" s="31">
        <f t="shared" si="8"/>
        <v>0.11786691528727998</v>
      </c>
    </row>
    <row r="268" spans="1:12" ht="15.75" customHeight="1" x14ac:dyDescent="0.35">
      <c r="A268" s="10">
        <f t="shared" si="9"/>
        <v>265</v>
      </c>
      <c r="B268" s="3">
        <v>8362</v>
      </c>
      <c r="C268" s="5" t="s">
        <v>1178</v>
      </c>
      <c r="D268" s="5" t="s">
        <v>563</v>
      </c>
      <c r="E268" s="5" t="s">
        <v>16</v>
      </c>
      <c r="F268" s="5" t="s">
        <v>451</v>
      </c>
      <c r="G268" s="7">
        <v>45414</v>
      </c>
      <c r="H268" s="18">
        <v>1.9123287671232876</v>
      </c>
      <c r="I268" s="26" t="s">
        <v>888</v>
      </c>
      <c r="J268" s="28">
        <v>25800</v>
      </c>
      <c r="K268" s="28">
        <v>3000</v>
      </c>
      <c r="L268" s="31">
        <f t="shared" si="8"/>
        <v>0.11627906976744186</v>
      </c>
    </row>
    <row r="269" spans="1:12" ht="15.75" customHeight="1" x14ac:dyDescent="0.35">
      <c r="A269" s="10">
        <f t="shared" si="9"/>
        <v>266</v>
      </c>
      <c r="B269" s="3">
        <v>8363</v>
      </c>
      <c r="C269" s="5" t="s">
        <v>1179</v>
      </c>
      <c r="D269" s="5" t="s">
        <v>563</v>
      </c>
      <c r="E269" s="5" t="s">
        <v>16</v>
      </c>
      <c r="F269" s="5" t="s">
        <v>302</v>
      </c>
      <c r="G269" s="7">
        <v>45474</v>
      </c>
      <c r="H269" s="18">
        <v>1.747945205479452</v>
      </c>
      <c r="I269" s="26" t="s">
        <v>13</v>
      </c>
      <c r="J269" s="28">
        <v>26798.25</v>
      </c>
      <c r="K269" s="28">
        <v>3000</v>
      </c>
      <c r="L269" s="31">
        <f t="shared" si="8"/>
        <v>0.11194760851921301</v>
      </c>
    </row>
    <row r="270" spans="1:12" ht="15.75" customHeight="1" x14ac:dyDescent="0.35">
      <c r="A270" s="10">
        <f t="shared" si="9"/>
        <v>267</v>
      </c>
      <c r="B270" s="3">
        <v>8374</v>
      </c>
      <c r="C270" s="5" t="s">
        <v>1181</v>
      </c>
      <c r="D270" s="5" t="s">
        <v>563</v>
      </c>
      <c r="E270" s="5" t="s">
        <v>16</v>
      </c>
      <c r="F270" s="5" t="s">
        <v>729</v>
      </c>
      <c r="G270" s="7">
        <v>45000</v>
      </c>
      <c r="H270" s="18">
        <v>3.0465753424657533</v>
      </c>
      <c r="I270" s="26" t="s">
        <v>13</v>
      </c>
      <c r="J270" s="28">
        <v>28719.5075</v>
      </c>
      <c r="K270" s="28">
        <v>3500</v>
      </c>
      <c r="L270" s="31">
        <f t="shared" si="8"/>
        <v>0.12186838510374873</v>
      </c>
    </row>
    <row r="271" spans="1:12" ht="15.75" customHeight="1" x14ac:dyDescent="0.35">
      <c r="A271" s="10">
        <f t="shared" si="9"/>
        <v>268</v>
      </c>
      <c r="B271" s="3">
        <v>8377</v>
      </c>
      <c r="C271" s="5" t="s">
        <v>1182</v>
      </c>
      <c r="D271" s="5" t="s">
        <v>563</v>
      </c>
      <c r="E271" s="5" t="s">
        <v>16</v>
      </c>
      <c r="F271" s="5" t="s">
        <v>1183</v>
      </c>
      <c r="G271" s="7">
        <v>45000</v>
      </c>
      <c r="H271" s="18">
        <v>3.0465753424657533</v>
      </c>
      <c r="I271" s="26" t="s">
        <v>13</v>
      </c>
      <c r="J271" s="28">
        <v>28491.004499999999</v>
      </c>
      <c r="K271" s="28">
        <v>3500</v>
      </c>
      <c r="L271" s="31">
        <f t="shared" si="8"/>
        <v>0.1228457915550152</v>
      </c>
    </row>
    <row r="272" spans="1:12" ht="15.75" customHeight="1" x14ac:dyDescent="0.35">
      <c r="A272" s="10">
        <f t="shared" si="9"/>
        <v>269</v>
      </c>
      <c r="B272" s="3">
        <v>8379</v>
      </c>
      <c r="C272" s="5" t="s">
        <v>1184</v>
      </c>
      <c r="D272" s="5" t="s">
        <v>563</v>
      </c>
      <c r="E272" s="5" t="s">
        <v>16</v>
      </c>
      <c r="F272" s="5" t="s">
        <v>141</v>
      </c>
      <c r="G272" s="7">
        <v>45000</v>
      </c>
      <c r="H272" s="18">
        <v>3.0465753424657533</v>
      </c>
      <c r="I272" s="26" t="s">
        <v>13</v>
      </c>
      <c r="J272" s="28">
        <v>30253.0105</v>
      </c>
      <c r="K272" s="28">
        <v>3500</v>
      </c>
      <c r="L272" s="31">
        <f t="shared" si="8"/>
        <v>0.11569096569744687</v>
      </c>
    </row>
    <row r="273" spans="1:12" ht="15.75" customHeight="1" x14ac:dyDescent="0.35">
      <c r="A273" s="10">
        <f t="shared" si="9"/>
        <v>270</v>
      </c>
      <c r="B273" s="3">
        <v>8392</v>
      </c>
      <c r="C273" s="5" t="s">
        <v>1185</v>
      </c>
      <c r="D273" s="5" t="s">
        <v>563</v>
      </c>
      <c r="E273" s="5" t="s">
        <v>16</v>
      </c>
      <c r="F273" s="5" t="s">
        <v>1107</v>
      </c>
      <c r="G273" s="7">
        <v>45000</v>
      </c>
      <c r="H273" s="18">
        <v>3.0465753424657533</v>
      </c>
      <c r="I273" s="26" t="s">
        <v>13</v>
      </c>
      <c r="J273" s="28">
        <v>28719.5075</v>
      </c>
      <c r="K273" s="28">
        <v>3500</v>
      </c>
      <c r="L273" s="31">
        <f t="shared" si="8"/>
        <v>0.12186838510374873</v>
      </c>
    </row>
    <row r="274" spans="1:12" ht="15.75" customHeight="1" x14ac:dyDescent="0.35">
      <c r="A274" s="10">
        <f t="shared" si="9"/>
        <v>271</v>
      </c>
      <c r="B274" s="3">
        <v>8396</v>
      </c>
      <c r="C274" s="5" t="s">
        <v>1188</v>
      </c>
      <c r="D274" s="5" t="s">
        <v>563</v>
      </c>
      <c r="E274" s="5" t="s">
        <v>16</v>
      </c>
      <c r="F274" s="5" t="s">
        <v>144</v>
      </c>
      <c r="G274" s="7">
        <v>45001</v>
      </c>
      <c r="H274" s="18">
        <v>3.043835616438356</v>
      </c>
      <c r="I274" s="26" t="s">
        <v>13</v>
      </c>
      <c r="J274" s="28">
        <v>28491.004499999999</v>
      </c>
      <c r="K274" s="28">
        <v>3500</v>
      </c>
      <c r="L274" s="31">
        <f t="shared" si="8"/>
        <v>0.1228457915550152</v>
      </c>
    </row>
    <row r="275" spans="1:12" ht="15.75" customHeight="1" x14ac:dyDescent="0.35">
      <c r="A275" s="10">
        <f t="shared" si="9"/>
        <v>272</v>
      </c>
      <c r="B275" s="3">
        <v>8402</v>
      </c>
      <c r="C275" s="5" t="s">
        <v>1189</v>
      </c>
      <c r="D275" s="5" t="s">
        <v>563</v>
      </c>
      <c r="E275" s="5" t="s">
        <v>16</v>
      </c>
      <c r="F275" s="5" t="s">
        <v>353</v>
      </c>
      <c r="G275" s="7">
        <v>45474</v>
      </c>
      <c r="H275" s="18">
        <v>1.747945205479452</v>
      </c>
      <c r="I275" s="26" t="s">
        <v>1075</v>
      </c>
      <c r="J275" s="28">
        <v>26798.25</v>
      </c>
      <c r="K275" s="28">
        <v>3000</v>
      </c>
      <c r="L275" s="31">
        <f t="shared" si="8"/>
        <v>0.11194760851921301</v>
      </c>
    </row>
    <row r="276" spans="1:12" ht="15.75" customHeight="1" x14ac:dyDescent="0.35">
      <c r="A276" s="10">
        <f t="shared" si="9"/>
        <v>273</v>
      </c>
      <c r="B276" s="3">
        <v>8404</v>
      </c>
      <c r="C276" s="5" t="s">
        <v>1190</v>
      </c>
      <c r="D276" s="5" t="s">
        <v>563</v>
      </c>
      <c r="E276" s="5" t="s">
        <v>16</v>
      </c>
      <c r="F276" s="5" t="s">
        <v>825</v>
      </c>
      <c r="G276" s="7">
        <v>45414</v>
      </c>
      <c r="H276" s="18">
        <v>1.9123287671232876</v>
      </c>
      <c r="I276" s="26" t="s">
        <v>1075</v>
      </c>
      <c r="J276" s="28">
        <v>26798.25</v>
      </c>
      <c r="K276" s="28">
        <v>3000</v>
      </c>
      <c r="L276" s="31">
        <f t="shared" si="8"/>
        <v>0.11194760851921301</v>
      </c>
    </row>
    <row r="277" spans="1:12" ht="15.75" customHeight="1" x14ac:dyDescent="0.35">
      <c r="A277" s="10">
        <f t="shared" si="9"/>
        <v>274</v>
      </c>
      <c r="B277" s="3">
        <v>8405</v>
      </c>
      <c r="C277" s="5" t="s">
        <v>1191</v>
      </c>
      <c r="D277" s="5" t="s">
        <v>563</v>
      </c>
      <c r="E277" s="5" t="s">
        <v>16</v>
      </c>
      <c r="F277" s="5" t="s">
        <v>626</v>
      </c>
      <c r="G277" s="7">
        <v>45019</v>
      </c>
      <c r="H277" s="18">
        <v>2.9945205479452053</v>
      </c>
      <c r="I277" s="26" t="s">
        <v>13</v>
      </c>
      <c r="J277" s="28">
        <v>30198.5075</v>
      </c>
      <c r="K277" s="28">
        <v>3000</v>
      </c>
      <c r="L277" s="31">
        <f t="shared" si="8"/>
        <v>9.9342657911156707E-2</v>
      </c>
    </row>
    <row r="278" spans="1:12" ht="15.75" customHeight="1" x14ac:dyDescent="0.35">
      <c r="A278" s="10">
        <f t="shared" si="9"/>
        <v>275</v>
      </c>
      <c r="B278" s="3">
        <v>8424</v>
      </c>
      <c r="C278" s="5" t="s">
        <v>1192</v>
      </c>
      <c r="D278" s="5" t="s">
        <v>563</v>
      </c>
      <c r="E278" s="5" t="s">
        <v>16</v>
      </c>
      <c r="F278" s="5" t="s">
        <v>1183</v>
      </c>
      <c r="G278" s="7">
        <v>45026</v>
      </c>
      <c r="H278" s="18">
        <v>2.9753424657534246</v>
      </c>
      <c r="I278" s="26" t="s">
        <v>13</v>
      </c>
      <c r="J278" s="28">
        <v>29019.5075</v>
      </c>
      <c r="K278" s="28">
        <v>3000</v>
      </c>
      <c r="L278" s="31">
        <f t="shared" si="8"/>
        <v>0.10337873583829774</v>
      </c>
    </row>
    <row r="279" spans="1:12" ht="15.75" customHeight="1" x14ac:dyDescent="0.35">
      <c r="A279" s="10">
        <f t="shared" si="9"/>
        <v>276</v>
      </c>
      <c r="B279" s="3">
        <v>8431</v>
      </c>
      <c r="C279" s="5" t="s">
        <v>1194</v>
      </c>
      <c r="D279" s="5" t="s">
        <v>563</v>
      </c>
      <c r="E279" s="5" t="s">
        <v>16</v>
      </c>
      <c r="F279" s="5" t="s">
        <v>955</v>
      </c>
      <c r="G279" s="7">
        <v>45035</v>
      </c>
      <c r="H279" s="18">
        <v>2.9506849315068493</v>
      </c>
      <c r="I279" s="26" t="s">
        <v>13</v>
      </c>
      <c r="J279" s="28">
        <v>29019.5075</v>
      </c>
      <c r="K279" s="28">
        <v>3000</v>
      </c>
      <c r="L279" s="31">
        <f t="shared" si="8"/>
        <v>0.10337873583829774</v>
      </c>
    </row>
    <row r="280" spans="1:12" ht="15.75" customHeight="1" x14ac:dyDescent="0.35">
      <c r="A280" s="10">
        <f t="shared" si="9"/>
        <v>277</v>
      </c>
      <c r="B280" s="3">
        <v>8433</v>
      </c>
      <c r="C280" s="5" t="s">
        <v>1195</v>
      </c>
      <c r="D280" s="5" t="s">
        <v>563</v>
      </c>
      <c r="E280" s="5" t="s">
        <v>16</v>
      </c>
      <c r="F280" s="5" t="s">
        <v>141</v>
      </c>
      <c r="G280" s="7">
        <v>45035</v>
      </c>
      <c r="H280" s="18">
        <v>2.9506849315068493</v>
      </c>
      <c r="I280" s="26" t="s">
        <v>13</v>
      </c>
      <c r="J280" s="28">
        <v>29998.0105</v>
      </c>
      <c r="K280" s="28">
        <v>3000</v>
      </c>
      <c r="L280" s="31">
        <f t="shared" si="8"/>
        <v>0.10000663210648586</v>
      </c>
    </row>
    <row r="281" spans="1:12" ht="15.75" customHeight="1" x14ac:dyDescent="0.35">
      <c r="A281" s="10">
        <f t="shared" si="9"/>
        <v>278</v>
      </c>
      <c r="B281" s="3">
        <v>8434</v>
      </c>
      <c r="C281" s="5" t="s">
        <v>1196</v>
      </c>
      <c r="D281" s="5" t="s">
        <v>563</v>
      </c>
      <c r="E281" s="5" t="s">
        <v>16</v>
      </c>
      <c r="F281" s="5" t="s">
        <v>497</v>
      </c>
      <c r="G281" s="7">
        <v>45035</v>
      </c>
      <c r="H281" s="18">
        <v>2.9506849315068493</v>
      </c>
      <c r="I281" s="26" t="s">
        <v>13</v>
      </c>
      <c r="J281" s="28">
        <v>28749.5075</v>
      </c>
      <c r="K281" s="28">
        <v>3000</v>
      </c>
      <c r="L281" s="31">
        <f t="shared" si="8"/>
        <v>0.10434961364120759</v>
      </c>
    </row>
    <row r="282" spans="1:12" ht="15.75" customHeight="1" x14ac:dyDescent="0.35">
      <c r="A282" s="10">
        <f t="shared" si="9"/>
        <v>279</v>
      </c>
      <c r="B282" s="3">
        <v>8440</v>
      </c>
      <c r="C282" s="5" t="s">
        <v>1197</v>
      </c>
      <c r="D282" s="5" t="s">
        <v>563</v>
      </c>
      <c r="E282" s="5" t="s">
        <v>16</v>
      </c>
      <c r="F282" s="5" t="s">
        <v>850</v>
      </c>
      <c r="G282" s="7">
        <v>45049</v>
      </c>
      <c r="H282" s="18">
        <v>2.9123287671232876</v>
      </c>
      <c r="I282" s="26" t="s">
        <v>13</v>
      </c>
      <c r="J282" s="28">
        <v>29253.5075</v>
      </c>
      <c r="K282" s="28">
        <v>3000</v>
      </c>
      <c r="L282" s="31">
        <f t="shared" si="8"/>
        <v>0.10255180511260061</v>
      </c>
    </row>
    <row r="283" spans="1:12" ht="15.75" customHeight="1" x14ac:dyDescent="0.35">
      <c r="A283" s="10">
        <f t="shared" si="9"/>
        <v>280</v>
      </c>
      <c r="B283" s="3">
        <v>8442</v>
      </c>
      <c r="C283" s="5" t="s">
        <v>1198</v>
      </c>
      <c r="D283" s="5" t="s">
        <v>563</v>
      </c>
      <c r="E283" s="5" t="s">
        <v>16</v>
      </c>
      <c r="F283" s="5" t="s">
        <v>658</v>
      </c>
      <c r="G283" s="7">
        <v>45049</v>
      </c>
      <c r="H283" s="18">
        <v>2.9123287671232876</v>
      </c>
      <c r="I283" s="26" t="s">
        <v>13</v>
      </c>
      <c r="J283" s="28">
        <v>28003.004499999999</v>
      </c>
      <c r="K283" s="28">
        <v>3000</v>
      </c>
      <c r="L283" s="31">
        <f t="shared" si="8"/>
        <v>0.1071313615651492</v>
      </c>
    </row>
    <row r="284" spans="1:12" ht="15.75" customHeight="1" x14ac:dyDescent="0.35">
      <c r="A284" s="10">
        <f t="shared" si="9"/>
        <v>281</v>
      </c>
      <c r="B284" s="3">
        <v>8444</v>
      </c>
      <c r="C284" s="5" t="s">
        <v>22</v>
      </c>
      <c r="D284" s="5" t="s">
        <v>563</v>
      </c>
      <c r="E284" s="5" t="s">
        <v>16</v>
      </c>
      <c r="F284" s="5" t="s">
        <v>1107</v>
      </c>
      <c r="G284" s="7">
        <v>45049</v>
      </c>
      <c r="H284" s="18">
        <v>2.9123287671232876</v>
      </c>
      <c r="I284" s="26" t="s">
        <v>13</v>
      </c>
      <c r="J284" s="28">
        <v>28644.5075</v>
      </c>
      <c r="K284" s="28">
        <v>3000</v>
      </c>
      <c r="L284" s="31">
        <f t="shared" si="8"/>
        <v>0.10473212011063553</v>
      </c>
    </row>
    <row r="285" spans="1:12" ht="15.75" customHeight="1" x14ac:dyDescent="0.35">
      <c r="A285" s="10">
        <f t="shared" si="9"/>
        <v>282</v>
      </c>
      <c r="B285" s="3">
        <v>8446</v>
      </c>
      <c r="C285" s="5" t="s">
        <v>1199</v>
      </c>
      <c r="D285" s="5" t="s">
        <v>563</v>
      </c>
      <c r="E285" s="5" t="s">
        <v>16</v>
      </c>
      <c r="F285" s="5" t="s">
        <v>589</v>
      </c>
      <c r="G285" s="7">
        <v>45049</v>
      </c>
      <c r="H285" s="18">
        <v>2.9123287671232876</v>
      </c>
      <c r="I285" s="26" t="s">
        <v>13</v>
      </c>
      <c r="J285" s="28">
        <v>28119.5075</v>
      </c>
      <c r="K285" s="28">
        <v>3000</v>
      </c>
      <c r="L285" s="31">
        <f t="shared" si="8"/>
        <v>0.10668750155030275</v>
      </c>
    </row>
    <row r="286" spans="1:12" ht="15.75" customHeight="1" x14ac:dyDescent="0.35">
      <c r="A286" s="10">
        <f t="shared" si="9"/>
        <v>283</v>
      </c>
      <c r="B286" s="3">
        <v>8451</v>
      </c>
      <c r="C286" s="5" t="s">
        <v>1200</v>
      </c>
      <c r="D286" s="5" t="s">
        <v>563</v>
      </c>
      <c r="E286" s="5" t="s">
        <v>16</v>
      </c>
      <c r="F286" s="5" t="s">
        <v>620</v>
      </c>
      <c r="G286" s="7">
        <v>45049</v>
      </c>
      <c r="H286" s="18">
        <v>2.9123287671232876</v>
      </c>
      <c r="I286" s="26" t="s">
        <v>13</v>
      </c>
      <c r="J286" s="28">
        <v>29239.004499999999</v>
      </c>
      <c r="K286" s="28">
        <v>3000</v>
      </c>
      <c r="L286" s="31">
        <f t="shared" si="8"/>
        <v>0.10260267239946559</v>
      </c>
    </row>
    <row r="287" spans="1:12" ht="15.75" customHeight="1" x14ac:dyDescent="0.35">
      <c r="A287" s="10">
        <f t="shared" si="9"/>
        <v>284</v>
      </c>
      <c r="B287" s="3">
        <v>8454</v>
      </c>
      <c r="C287" s="5" t="s">
        <v>1201</v>
      </c>
      <c r="D287" s="5" t="s">
        <v>563</v>
      </c>
      <c r="E287" s="5" t="s">
        <v>16</v>
      </c>
      <c r="F287" s="5" t="s">
        <v>144</v>
      </c>
      <c r="G287" s="7">
        <v>45048</v>
      </c>
      <c r="H287" s="18">
        <v>2.9150684931506849</v>
      </c>
      <c r="I287" s="26" t="s">
        <v>13</v>
      </c>
      <c r="J287" s="28">
        <v>29630.404500000001</v>
      </c>
      <c r="K287" s="28">
        <v>3000</v>
      </c>
      <c r="L287" s="31">
        <f t="shared" si="8"/>
        <v>0.1012473521919014</v>
      </c>
    </row>
    <row r="288" spans="1:12" ht="15.75" customHeight="1" x14ac:dyDescent="0.35">
      <c r="A288" s="10">
        <f t="shared" si="9"/>
        <v>285</v>
      </c>
      <c r="B288" s="3">
        <v>8455</v>
      </c>
      <c r="C288" s="5" t="s">
        <v>1202</v>
      </c>
      <c r="D288" s="5" t="s">
        <v>563</v>
      </c>
      <c r="E288" s="5" t="s">
        <v>16</v>
      </c>
      <c r="F288" s="5" t="s">
        <v>483</v>
      </c>
      <c r="G288" s="7">
        <v>45049</v>
      </c>
      <c r="H288" s="18">
        <v>2.9123287671232876</v>
      </c>
      <c r="I288" s="26" t="s">
        <v>13</v>
      </c>
      <c r="J288" s="28">
        <v>28959.5075</v>
      </c>
      <c r="K288" s="28">
        <v>3000</v>
      </c>
      <c r="L288" s="31">
        <f t="shared" si="8"/>
        <v>0.1035929219445462</v>
      </c>
    </row>
    <row r="289" spans="1:12" ht="15.75" customHeight="1" x14ac:dyDescent="0.35">
      <c r="A289" s="10">
        <f t="shared" si="9"/>
        <v>286</v>
      </c>
      <c r="B289" s="3">
        <v>8456</v>
      </c>
      <c r="C289" s="5" t="s">
        <v>1203</v>
      </c>
      <c r="D289" s="5" t="s">
        <v>563</v>
      </c>
      <c r="E289" s="5" t="s">
        <v>16</v>
      </c>
      <c r="F289" s="5" t="s">
        <v>302</v>
      </c>
      <c r="G289" s="7">
        <v>45049</v>
      </c>
      <c r="H289" s="18">
        <v>2.9123287671232876</v>
      </c>
      <c r="I289" s="26" t="s">
        <v>13</v>
      </c>
      <c r="J289" s="28">
        <v>27900.004499999999</v>
      </c>
      <c r="K289" s="28">
        <v>3000</v>
      </c>
      <c r="L289" s="31">
        <f t="shared" si="8"/>
        <v>0.10752686437738747</v>
      </c>
    </row>
    <row r="290" spans="1:12" ht="15.75" customHeight="1" x14ac:dyDescent="0.35">
      <c r="A290" s="10">
        <f t="shared" si="9"/>
        <v>287</v>
      </c>
      <c r="B290" s="3">
        <v>8464</v>
      </c>
      <c r="C290" s="5" t="s">
        <v>1206</v>
      </c>
      <c r="D290" s="5" t="s">
        <v>563</v>
      </c>
      <c r="E290" s="5" t="s">
        <v>16</v>
      </c>
      <c r="F290" s="5" t="s">
        <v>897</v>
      </c>
      <c r="G290" s="7">
        <v>45061</v>
      </c>
      <c r="H290" s="18">
        <v>2.8794520547945206</v>
      </c>
      <c r="I290" s="26" t="s">
        <v>13</v>
      </c>
      <c r="J290" s="28">
        <v>34251.5075</v>
      </c>
      <c r="K290" s="28">
        <v>3000</v>
      </c>
      <c r="L290" s="31">
        <f t="shared" si="8"/>
        <v>8.7587385752291344E-2</v>
      </c>
    </row>
    <row r="291" spans="1:12" ht="15.75" customHeight="1" x14ac:dyDescent="0.35">
      <c r="A291" s="10">
        <f t="shared" si="9"/>
        <v>288</v>
      </c>
      <c r="B291" s="3">
        <v>8466</v>
      </c>
      <c r="C291" s="5" t="s">
        <v>1207</v>
      </c>
      <c r="D291" s="5" t="s">
        <v>563</v>
      </c>
      <c r="E291" s="5" t="s">
        <v>16</v>
      </c>
      <c r="F291" s="5" t="s">
        <v>110</v>
      </c>
      <c r="G291" s="7">
        <v>45061</v>
      </c>
      <c r="H291" s="18">
        <v>2.8794520547945206</v>
      </c>
      <c r="I291" s="26" t="s">
        <v>13</v>
      </c>
      <c r="J291" s="28">
        <v>29253.5075</v>
      </c>
      <c r="K291" s="28">
        <v>3000</v>
      </c>
      <c r="L291" s="31">
        <f t="shared" si="8"/>
        <v>0.10255180511260061</v>
      </c>
    </row>
    <row r="292" spans="1:12" ht="15.75" customHeight="1" x14ac:dyDescent="0.35">
      <c r="A292" s="10">
        <f t="shared" si="9"/>
        <v>289</v>
      </c>
      <c r="B292" s="3">
        <v>8468</v>
      </c>
      <c r="C292" s="5" t="s">
        <v>1208</v>
      </c>
      <c r="D292" s="5" t="s">
        <v>563</v>
      </c>
      <c r="E292" s="5" t="s">
        <v>16</v>
      </c>
      <c r="F292" s="5" t="s">
        <v>688</v>
      </c>
      <c r="G292" s="7">
        <v>45061</v>
      </c>
      <c r="H292" s="18">
        <v>2.8794520547945206</v>
      </c>
      <c r="I292" s="26" t="s">
        <v>1075</v>
      </c>
      <c r="J292" s="28">
        <v>35091.5075</v>
      </c>
      <c r="K292" s="28">
        <v>3000</v>
      </c>
      <c r="L292" s="31">
        <f t="shared" si="8"/>
        <v>8.5490770095870069E-2</v>
      </c>
    </row>
    <row r="293" spans="1:12" ht="15.75" customHeight="1" x14ac:dyDescent="0.35">
      <c r="A293" s="10">
        <f t="shared" si="9"/>
        <v>290</v>
      </c>
      <c r="B293" s="3">
        <v>8471</v>
      </c>
      <c r="C293" s="5" t="s">
        <v>1209</v>
      </c>
      <c r="D293" s="5" t="s">
        <v>563</v>
      </c>
      <c r="E293" s="5" t="s">
        <v>16</v>
      </c>
      <c r="F293" s="5" t="s">
        <v>658</v>
      </c>
      <c r="G293" s="7">
        <v>45061</v>
      </c>
      <c r="H293" s="18">
        <v>2.8794520547945206</v>
      </c>
      <c r="I293" s="26" t="s">
        <v>1075</v>
      </c>
      <c r="J293" s="28">
        <v>35872.2045</v>
      </c>
      <c r="K293" s="28">
        <v>3000</v>
      </c>
      <c r="L293" s="31">
        <f t="shared" si="8"/>
        <v>8.3630210125502605E-2</v>
      </c>
    </row>
    <row r="294" spans="1:12" ht="15.75" customHeight="1" x14ac:dyDescent="0.35">
      <c r="A294" s="10">
        <f t="shared" si="9"/>
        <v>291</v>
      </c>
      <c r="B294" s="3">
        <v>8474</v>
      </c>
      <c r="C294" s="5" t="s">
        <v>1210</v>
      </c>
      <c r="D294" s="5" t="s">
        <v>563</v>
      </c>
      <c r="E294" s="5" t="s">
        <v>16</v>
      </c>
      <c r="F294" s="5" t="s">
        <v>990</v>
      </c>
      <c r="G294" s="7">
        <v>45061</v>
      </c>
      <c r="H294" s="18">
        <v>2.8794520547945206</v>
      </c>
      <c r="I294" s="26" t="s">
        <v>1075</v>
      </c>
      <c r="J294" s="28">
        <v>28209.004499999999</v>
      </c>
      <c r="K294" s="28">
        <v>3000</v>
      </c>
      <c r="L294" s="31">
        <f t="shared" si="8"/>
        <v>0.10634902057603628</v>
      </c>
    </row>
    <row r="295" spans="1:12" ht="15.75" customHeight="1" x14ac:dyDescent="0.35">
      <c r="A295" s="10">
        <f t="shared" si="9"/>
        <v>292</v>
      </c>
      <c r="B295" s="3">
        <v>8482</v>
      </c>
      <c r="C295" s="5" t="s">
        <v>1217</v>
      </c>
      <c r="D295" s="5" t="s">
        <v>563</v>
      </c>
      <c r="E295" s="5" t="s">
        <v>16</v>
      </c>
      <c r="F295" s="5" t="s">
        <v>626</v>
      </c>
      <c r="G295" s="7">
        <v>45064</v>
      </c>
      <c r="H295" s="18">
        <v>2.871232876712329</v>
      </c>
      <c r="I295" s="26" t="s">
        <v>13</v>
      </c>
      <c r="J295" s="28">
        <v>27591.004499999999</v>
      </c>
      <c r="K295" s="28">
        <v>3000</v>
      </c>
      <c r="L295" s="31">
        <f t="shared" si="8"/>
        <v>0.10873109023631235</v>
      </c>
    </row>
    <row r="296" spans="1:12" ht="15.75" customHeight="1" x14ac:dyDescent="0.35">
      <c r="A296" s="10">
        <f t="shared" si="9"/>
        <v>293</v>
      </c>
      <c r="B296" s="3">
        <v>8490</v>
      </c>
      <c r="C296" s="5" t="s">
        <v>1220</v>
      </c>
      <c r="D296" s="5" t="s">
        <v>563</v>
      </c>
      <c r="E296" s="5" t="s">
        <v>16</v>
      </c>
      <c r="F296" s="5" t="s">
        <v>144</v>
      </c>
      <c r="G296" s="7">
        <v>45078</v>
      </c>
      <c r="H296" s="18">
        <v>2.8328767123287673</v>
      </c>
      <c r="I296" s="26" t="s">
        <v>13</v>
      </c>
      <c r="J296" s="28">
        <v>29568.5075</v>
      </c>
      <c r="K296" s="28">
        <v>3000</v>
      </c>
      <c r="L296" s="31">
        <f t="shared" si="8"/>
        <v>0.10145929753133465</v>
      </c>
    </row>
    <row r="297" spans="1:12" ht="15.75" customHeight="1" x14ac:dyDescent="0.35">
      <c r="A297" s="10">
        <f t="shared" si="9"/>
        <v>294</v>
      </c>
      <c r="B297" s="3">
        <v>8491</v>
      </c>
      <c r="C297" s="5" t="s">
        <v>1221</v>
      </c>
      <c r="D297" s="5" t="s">
        <v>563</v>
      </c>
      <c r="E297" s="5" t="s">
        <v>16</v>
      </c>
      <c r="F297" s="5" t="s">
        <v>483</v>
      </c>
      <c r="G297" s="7">
        <v>45078</v>
      </c>
      <c r="H297" s="18">
        <v>2.8328767123287673</v>
      </c>
      <c r="I297" s="26" t="s">
        <v>13</v>
      </c>
      <c r="J297" s="28">
        <v>28539.5075</v>
      </c>
      <c r="K297" s="28">
        <v>3000</v>
      </c>
      <c r="L297" s="31">
        <f t="shared" si="8"/>
        <v>0.10511744114715364</v>
      </c>
    </row>
    <row r="298" spans="1:12" ht="15.75" customHeight="1" x14ac:dyDescent="0.35">
      <c r="A298" s="10">
        <f t="shared" si="9"/>
        <v>295</v>
      </c>
      <c r="B298" s="3">
        <v>8492</v>
      </c>
      <c r="C298" s="5" t="s">
        <v>1222</v>
      </c>
      <c r="D298" s="5" t="s">
        <v>563</v>
      </c>
      <c r="E298" s="5" t="s">
        <v>16</v>
      </c>
      <c r="F298" s="5" t="s">
        <v>353</v>
      </c>
      <c r="G298" s="7">
        <v>45078</v>
      </c>
      <c r="H298" s="18">
        <v>2.8328767123287673</v>
      </c>
      <c r="I298" s="26" t="s">
        <v>1075</v>
      </c>
      <c r="J298" s="28">
        <v>35837.0075</v>
      </c>
      <c r="K298" s="28">
        <v>3000</v>
      </c>
      <c r="L298" s="31">
        <f t="shared" si="8"/>
        <v>8.3712346796813317E-2</v>
      </c>
    </row>
    <row r="299" spans="1:12" ht="15.75" customHeight="1" x14ac:dyDescent="0.35">
      <c r="A299" s="10">
        <f t="shared" si="9"/>
        <v>296</v>
      </c>
      <c r="B299" s="3">
        <v>8497</v>
      </c>
      <c r="C299" s="5" t="s">
        <v>1223</v>
      </c>
      <c r="D299" s="5" t="s">
        <v>563</v>
      </c>
      <c r="E299" s="5" t="s">
        <v>16</v>
      </c>
      <c r="F299" s="5" t="s">
        <v>1224</v>
      </c>
      <c r="G299" s="7">
        <v>45078</v>
      </c>
      <c r="H299" s="18">
        <v>2.8328767123287673</v>
      </c>
      <c r="I299" s="26" t="s">
        <v>13</v>
      </c>
      <c r="J299" s="28">
        <v>29568.5075</v>
      </c>
      <c r="K299" s="28">
        <v>3000</v>
      </c>
      <c r="L299" s="31">
        <f t="shared" si="8"/>
        <v>0.10145929753133465</v>
      </c>
    </row>
    <row r="300" spans="1:12" ht="15.75" customHeight="1" x14ac:dyDescent="0.35">
      <c r="A300" s="10">
        <f t="shared" si="9"/>
        <v>297</v>
      </c>
      <c r="B300" s="3">
        <v>8498</v>
      </c>
      <c r="C300" s="5" t="s">
        <v>1225</v>
      </c>
      <c r="D300" s="5" t="s">
        <v>563</v>
      </c>
      <c r="E300" s="5" t="s">
        <v>16</v>
      </c>
      <c r="F300" s="5" t="s">
        <v>897</v>
      </c>
      <c r="G300" s="7">
        <v>45078</v>
      </c>
      <c r="H300" s="18">
        <v>2.8328767123287673</v>
      </c>
      <c r="I300" s="26" t="s">
        <v>13</v>
      </c>
      <c r="J300" s="28">
        <v>33905.0075</v>
      </c>
      <c r="K300" s="28">
        <v>3000</v>
      </c>
      <c r="L300" s="31">
        <f t="shared" si="8"/>
        <v>8.8482505128482866E-2</v>
      </c>
    </row>
    <row r="301" spans="1:12" ht="15.75" customHeight="1" x14ac:dyDescent="0.35">
      <c r="A301" s="10">
        <f t="shared" si="9"/>
        <v>298</v>
      </c>
      <c r="B301" s="3">
        <v>8516</v>
      </c>
      <c r="C301" s="5" t="s">
        <v>1234</v>
      </c>
      <c r="D301" s="5" t="s">
        <v>563</v>
      </c>
      <c r="E301" s="5" t="s">
        <v>16</v>
      </c>
      <c r="F301" s="5" t="s">
        <v>480</v>
      </c>
      <c r="G301" s="7">
        <v>45092</v>
      </c>
      <c r="H301" s="18">
        <v>2.7945205479452055</v>
      </c>
      <c r="I301" s="26" t="s">
        <v>1075</v>
      </c>
      <c r="J301" s="28">
        <v>33606.2045</v>
      </c>
      <c r="K301" s="28">
        <v>3000</v>
      </c>
      <c r="L301" s="31">
        <f t="shared" si="8"/>
        <v>8.9269230031615146E-2</v>
      </c>
    </row>
    <row r="302" spans="1:12" ht="15.75" customHeight="1" x14ac:dyDescent="0.35">
      <c r="A302" s="10">
        <f t="shared" si="9"/>
        <v>299</v>
      </c>
      <c r="B302" s="3">
        <v>8517</v>
      </c>
      <c r="C302" s="5" t="s">
        <v>1235</v>
      </c>
      <c r="D302" s="5" t="s">
        <v>563</v>
      </c>
      <c r="E302" s="5" t="s">
        <v>16</v>
      </c>
      <c r="F302" s="5" t="s">
        <v>434</v>
      </c>
      <c r="G302" s="7">
        <v>45092</v>
      </c>
      <c r="H302" s="18">
        <v>2.7945205479452055</v>
      </c>
      <c r="I302" s="26" t="s">
        <v>1075</v>
      </c>
      <c r="J302" s="28">
        <v>28209.004499999999</v>
      </c>
      <c r="K302" s="28">
        <v>3000</v>
      </c>
      <c r="L302" s="31">
        <f t="shared" si="8"/>
        <v>0.10634902057603628</v>
      </c>
    </row>
    <row r="303" spans="1:12" ht="15.75" customHeight="1" x14ac:dyDescent="0.35">
      <c r="A303" s="10">
        <f t="shared" si="9"/>
        <v>300</v>
      </c>
      <c r="B303" s="3">
        <v>8528</v>
      </c>
      <c r="C303" s="5" t="s">
        <v>1236</v>
      </c>
      <c r="D303" s="5" t="s">
        <v>563</v>
      </c>
      <c r="E303" s="5" t="s">
        <v>16</v>
      </c>
      <c r="F303" s="5" t="s">
        <v>326</v>
      </c>
      <c r="G303" s="7">
        <v>45096</v>
      </c>
      <c r="H303" s="18">
        <v>2.7835616438356166</v>
      </c>
      <c r="I303" s="26" t="s">
        <v>1075</v>
      </c>
      <c r="J303" s="28">
        <v>29611.0105</v>
      </c>
      <c r="K303" s="28">
        <v>3000</v>
      </c>
      <c r="L303" s="31">
        <f t="shared" si="8"/>
        <v>0.10131366506387886</v>
      </c>
    </row>
    <row r="304" spans="1:12" ht="15.75" customHeight="1" x14ac:dyDescent="0.35">
      <c r="A304" s="10">
        <f t="shared" si="9"/>
        <v>301</v>
      </c>
      <c r="B304" s="3">
        <v>8540</v>
      </c>
      <c r="C304" s="5" t="s">
        <v>1237</v>
      </c>
      <c r="D304" s="5" t="s">
        <v>563</v>
      </c>
      <c r="E304" s="5" t="s">
        <v>16</v>
      </c>
      <c r="F304" s="5" t="s">
        <v>1183</v>
      </c>
      <c r="G304" s="7">
        <v>45110</v>
      </c>
      <c r="H304" s="18">
        <v>2.7452054794520548</v>
      </c>
      <c r="I304" s="26" t="s">
        <v>1075</v>
      </c>
      <c r="J304" s="28">
        <v>28119.5075</v>
      </c>
      <c r="K304" s="28">
        <v>3000</v>
      </c>
      <c r="L304" s="31">
        <f t="shared" si="8"/>
        <v>0.10668750155030275</v>
      </c>
    </row>
    <row r="305" spans="1:12" ht="15.75" customHeight="1" x14ac:dyDescent="0.35">
      <c r="A305" s="10">
        <f t="shared" si="9"/>
        <v>302</v>
      </c>
      <c r="B305" s="3">
        <v>8556</v>
      </c>
      <c r="C305" s="5" t="s">
        <v>1242</v>
      </c>
      <c r="D305" s="5" t="s">
        <v>563</v>
      </c>
      <c r="E305" s="5" t="s">
        <v>16</v>
      </c>
      <c r="F305" s="5" t="s">
        <v>1107</v>
      </c>
      <c r="G305" s="7">
        <v>45120</v>
      </c>
      <c r="H305" s="18">
        <v>2.7178082191780821</v>
      </c>
      <c r="I305" s="26" t="s">
        <v>1075</v>
      </c>
      <c r="J305" s="28">
        <v>28003.004499999999</v>
      </c>
      <c r="K305" s="28">
        <v>3000</v>
      </c>
      <c r="L305" s="31">
        <f t="shared" si="8"/>
        <v>0.1071313615651492</v>
      </c>
    </row>
    <row r="306" spans="1:12" ht="15.75" customHeight="1" x14ac:dyDescent="0.35">
      <c r="A306" s="10">
        <f t="shared" si="9"/>
        <v>303</v>
      </c>
      <c r="B306" s="3">
        <v>8575</v>
      </c>
      <c r="C306" s="5" t="s">
        <v>1252</v>
      </c>
      <c r="D306" s="5" t="s">
        <v>563</v>
      </c>
      <c r="E306" s="5" t="s">
        <v>16</v>
      </c>
      <c r="F306" s="5" t="s">
        <v>407</v>
      </c>
      <c r="G306" s="7">
        <v>45139</v>
      </c>
      <c r="H306" s="18">
        <v>2.6657534246575341</v>
      </c>
      <c r="I306" s="26" t="s">
        <v>1075</v>
      </c>
      <c r="J306" s="28">
        <v>27591.004499999999</v>
      </c>
      <c r="K306" s="28">
        <v>3000</v>
      </c>
      <c r="L306" s="31">
        <f t="shared" si="8"/>
        <v>0.10873109023631235</v>
      </c>
    </row>
    <row r="307" spans="1:12" ht="15.75" customHeight="1" x14ac:dyDescent="0.35">
      <c r="A307" s="10">
        <f t="shared" si="9"/>
        <v>304</v>
      </c>
      <c r="B307" s="3">
        <v>8598</v>
      </c>
      <c r="C307" s="5" t="s">
        <v>1260</v>
      </c>
      <c r="D307" s="5" t="s">
        <v>563</v>
      </c>
      <c r="E307" s="5" t="s">
        <v>16</v>
      </c>
      <c r="F307" s="5" t="s">
        <v>718</v>
      </c>
      <c r="G307" s="7">
        <v>45566</v>
      </c>
      <c r="H307" s="18">
        <v>1.4958904109589042</v>
      </c>
      <c r="I307" s="26" t="s">
        <v>888</v>
      </c>
      <c r="J307" s="28">
        <v>26000</v>
      </c>
      <c r="K307" s="28">
        <v>3000</v>
      </c>
      <c r="L307" s="31">
        <f t="shared" si="8"/>
        <v>0.11538461538461539</v>
      </c>
    </row>
    <row r="308" spans="1:12" ht="15.75" customHeight="1" x14ac:dyDescent="0.35">
      <c r="A308" s="10">
        <f t="shared" si="9"/>
        <v>305</v>
      </c>
      <c r="B308" s="3">
        <v>8600</v>
      </c>
      <c r="C308" s="5" t="s">
        <v>1261</v>
      </c>
      <c r="D308" s="5" t="s">
        <v>563</v>
      </c>
      <c r="E308" s="5" t="s">
        <v>16</v>
      </c>
      <c r="F308" s="5" t="s">
        <v>247</v>
      </c>
      <c r="G308" s="7">
        <v>45154</v>
      </c>
      <c r="H308" s="18">
        <v>2.6246575342465754</v>
      </c>
      <c r="I308" s="26" t="s">
        <v>1075</v>
      </c>
      <c r="J308" s="28">
        <v>28953.004499999999</v>
      </c>
      <c r="K308" s="28">
        <v>3000</v>
      </c>
      <c r="L308" s="31">
        <f t="shared" si="8"/>
        <v>0.10361618947007728</v>
      </c>
    </row>
    <row r="309" spans="1:12" ht="15.75" customHeight="1" x14ac:dyDescent="0.35">
      <c r="A309" s="10">
        <f t="shared" si="9"/>
        <v>306</v>
      </c>
      <c r="B309" s="3">
        <v>8603</v>
      </c>
      <c r="C309" s="5" t="s">
        <v>1262</v>
      </c>
      <c r="D309" s="5" t="s">
        <v>563</v>
      </c>
      <c r="E309" s="5" t="s">
        <v>16</v>
      </c>
      <c r="F309" s="5" t="s">
        <v>434</v>
      </c>
      <c r="G309" s="7">
        <v>45170</v>
      </c>
      <c r="H309" s="18">
        <v>2.580821917808219</v>
      </c>
      <c r="I309" s="26" t="s">
        <v>1075</v>
      </c>
      <c r="J309" s="28">
        <v>26574</v>
      </c>
      <c r="K309" s="28">
        <v>3000</v>
      </c>
      <c r="L309" s="31">
        <f t="shared" si="8"/>
        <v>0.11289230074508919</v>
      </c>
    </row>
    <row r="310" spans="1:12" ht="15.75" customHeight="1" x14ac:dyDescent="0.35">
      <c r="A310" s="10">
        <f t="shared" si="9"/>
        <v>307</v>
      </c>
      <c r="B310" s="3">
        <v>8608</v>
      </c>
      <c r="C310" s="5" t="s">
        <v>1264</v>
      </c>
      <c r="D310" s="5" t="s">
        <v>563</v>
      </c>
      <c r="E310" s="5" t="s">
        <v>16</v>
      </c>
      <c r="F310" s="5" t="s">
        <v>144</v>
      </c>
      <c r="G310" s="7">
        <v>45170</v>
      </c>
      <c r="H310" s="18">
        <v>2.580821917808219</v>
      </c>
      <c r="I310" s="26" t="s">
        <v>1075</v>
      </c>
      <c r="J310" s="28">
        <v>29712.804499999998</v>
      </c>
      <c r="K310" s="28">
        <v>3000</v>
      </c>
      <c r="L310" s="31">
        <f t="shared" si="8"/>
        <v>0.10096657149950286</v>
      </c>
    </row>
    <row r="311" spans="1:12" ht="15.75" customHeight="1" x14ac:dyDescent="0.35">
      <c r="A311" s="10">
        <f t="shared" si="9"/>
        <v>308</v>
      </c>
      <c r="B311" s="3">
        <v>8621</v>
      </c>
      <c r="C311" s="5" t="s">
        <v>1269</v>
      </c>
      <c r="D311" s="5" t="s">
        <v>563</v>
      </c>
      <c r="E311" s="5" t="s">
        <v>16</v>
      </c>
      <c r="F311" s="5" t="s">
        <v>718</v>
      </c>
      <c r="G311" s="7">
        <v>45184</v>
      </c>
      <c r="H311" s="18">
        <v>2.5424657534246577</v>
      </c>
      <c r="I311" s="26" t="s">
        <v>1075</v>
      </c>
      <c r="J311" s="28">
        <v>29218.404500000001</v>
      </c>
      <c r="K311" s="28">
        <v>3000</v>
      </c>
      <c r="L311" s="31">
        <f t="shared" si="8"/>
        <v>0.10267501088226771</v>
      </c>
    </row>
    <row r="312" spans="1:12" ht="15.75" customHeight="1" x14ac:dyDescent="0.35">
      <c r="A312" s="10">
        <f t="shared" si="9"/>
        <v>309</v>
      </c>
      <c r="B312" s="3">
        <v>8633</v>
      </c>
      <c r="C312" s="5" t="s">
        <v>1273</v>
      </c>
      <c r="D312" s="5" t="s">
        <v>563</v>
      </c>
      <c r="E312" s="5" t="s">
        <v>16</v>
      </c>
      <c r="F312" s="5" t="s">
        <v>480</v>
      </c>
      <c r="G312" s="7">
        <v>45203</v>
      </c>
      <c r="H312" s="18">
        <v>2.4904109589041097</v>
      </c>
      <c r="I312" s="26" t="s">
        <v>1075</v>
      </c>
      <c r="J312" s="28">
        <v>27938.753000000001</v>
      </c>
      <c r="K312" s="28">
        <v>3000</v>
      </c>
      <c r="L312" s="31">
        <f t="shared" si="8"/>
        <v>0.10737773443217025</v>
      </c>
    </row>
    <row r="313" spans="1:12" ht="15.75" customHeight="1" x14ac:dyDescent="0.35">
      <c r="A313" s="10">
        <f t="shared" si="9"/>
        <v>310</v>
      </c>
      <c r="B313" s="3">
        <v>8634</v>
      </c>
      <c r="C313" s="5" t="s">
        <v>1274</v>
      </c>
      <c r="D313" s="5" t="s">
        <v>563</v>
      </c>
      <c r="E313" s="5" t="s">
        <v>16</v>
      </c>
      <c r="F313" s="5" t="s">
        <v>141</v>
      </c>
      <c r="G313" s="7">
        <v>45203</v>
      </c>
      <c r="H313" s="18">
        <v>2.4904109589041097</v>
      </c>
      <c r="I313" s="26" t="s">
        <v>1075</v>
      </c>
      <c r="J313" s="28">
        <v>41744.262000000002</v>
      </c>
      <c r="K313" s="28">
        <v>3000</v>
      </c>
      <c r="L313" s="31">
        <f t="shared" si="8"/>
        <v>7.1866164504237731E-2</v>
      </c>
    </row>
    <row r="314" spans="1:12" ht="15.75" customHeight="1" x14ac:dyDescent="0.35">
      <c r="A314" s="10">
        <f t="shared" si="9"/>
        <v>311</v>
      </c>
      <c r="B314" s="3">
        <v>8635</v>
      </c>
      <c r="C314" s="5" t="s">
        <v>1275</v>
      </c>
      <c r="D314" s="5" t="s">
        <v>563</v>
      </c>
      <c r="E314" s="5" t="s">
        <v>16</v>
      </c>
      <c r="F314" s="5" t="s">
        <v>434</v>
      </c>
      <c r="G314" s="7">
        <v>45203</v>
      </c>
      <c r="H314" s="18">
        <v>2.4904109589041097</v>
      </c>
      <c r="I314" s="26" t="s">
        <v>1075</v>
      </c>
      <c r="J314" s="28">
        <v>29321.404500000001</v>
      </c>
      <c r="K314" s="28">
        <v>3000</v>
      </c>
      <c r="L314" s="31">
        <f t="shared" si="8"/>
        <v>0.10231433490847958</v>
      </c>
    </row>
    <row r="315" spans="1:12" ht="15.75" customHeight="1" x14ac:dyDescent="0.35">
      <c r="A315" s="10">
        <f t="shared" si="9"/>
        <v>312</v>
      </c>
      <c r="B315" s="3">
        <v>8641</v>
      </c>
      <c r="C315" s="5" t="s">
        <v>1276</v>
      </c>
      <c r="D315" s="5" t="s">
        <v>563</v>
      </c>
      <c r="E315" s="5" t="s">
        <v>16</v>
      </c>
      <c r="F315" s="5" t="s">
        <v>451</v>
      </c>
      <c r="G315" s="7">
        <v>45203</v>
      </c>
      <c r="H315" s="18">
        <v>2.4904109589041097</v>
      </c>
      <c r="I315" s="26" t="s">
        <v>1075</v>
      </c>
      <c r="J315" s="28">
        <v>35625.004499999995</v>
      </c>
      <c r="K315" s="28">
        <v>3000</v>
      </c>
      <c r="L315" s="31">
        <f t="shared" si="8"/>
        <v>8.4210515678671716E-2</v>
      </c>
    </row>
    <row r="316" spans="1:12" ht="15.75" customHeight="1" x14ac:dyDescent="0.35">
      <c r="A316" s="10">
        <f t="shared" si="9"/>
        <v>313</v>
      </c>
      <c r="B316" s="3">
        <v>8648</v>
      </c>
      <c r="C316" s="5" t="s">
        <v>1278</v>
      </c>
      <c r="D316" s="5" t="s">
        <v>563</v>
      </c>
      <c r="E316" s="5" t="s">
        <v>16</v>
      </c>
      <c r="F316" s="5" t="s">
        <v>992</v>
      </c>
      <c r="G316" s="7">
        <v>45231</v>
      </c>
      <c r="H316" s="18">
        <v>2.4136986301369863</v>
      </c>
      <c r="I316" s="26" t="s">
        <v>1075</v>
      </c>
      <c r="J316" s="28">
        <v>28434.5075</v>
      </c>
      <c r="K316" s="28">
        <v>3000</v>
      </c>
      <c r="L316" s="31">
        <f t="shared" si="8"/>
        <v>0.10550560793078621</v>
      </c>
    </row>
    <row r="317" spans="1:12" ht="15.75" customHeight="1" x14ac:dyDescent="0.35">
      <c r="A317" s="10">
        <f t="shared" si="9"/>
        <v>314</v>
      </c>
      <c r="B317" s="3">
        <v>8649</v>
      </c>
      <c r="C317" s="5" t="s">
        <v>1279</v>
      </c>
      <c r="D317" s="5" t="s">
        <v>563</v>
      </c>
      <c r="E317" s="5" t="s">
        <v>16</v>
      </c>
      <c r="F317" s="5" t="s">
        <v>141</v>
      </c>
      <c r="G317" s="7">
        <v>45231</v>
      </c>
      <c r="H317" s="18">
        <v>2.4136986301369863</v>
      </c>
      <c r="I317" s="26" t="s">
        <v>1075</v>
      </c>
      <c r="J317" s="28">
        <v>32157.610499999999</v>
      </c>
      <c r="K317" s="28">
        <v>3000</v>
      </c>
      <c r="L317" s="31">
        <f t="shared" si="8"/>
        <v>9.3290513609523326E-2</v>
      </c>
    </row>
    <row r="318" spans="1:12" ht="15.75" customHeight="1" x14ac:dyDescent="0.35">
      <c r="A318" s="10">
        <f t="shared" si="9"/>
        <v>315</v>
      </c>
      <c r="B318" s="3">
        <v>8658</v>
      </c>
      <c r="C318" s="5" t="s">
        <v>1283</v>
      </c>
      <c r="D318" s="5" t="s">
        <v>563</v>
      </c>
      <c r="E318" s="5" t="s">
        <v>16</v>
      </c>
      <c r="F318" s="5" t="s">
        <v>739</v>
      </c>
      <c r="G318" s="7">
        <v>45231</v>
      </c>
      <c r="H318" s="18">
        <v>2.4136986301369863</v>
      </c>
      <c r="I318" s="26" t="s">
        <v>1075</v>
      </c>
      <c r="J318" s="28">
        <v>28368.5</v>
      </c>
      <c r="K318" s="28">
        <v>3000</v>
      </c>
      <c r="L318" s="31">
        <f t="shared" si="8"/>
        <v>0.10575109716763312</v>
      </c>
    </row>
    <row r="319" spans="1:12" ht="15.75" customHeight="1" x14ac:dyDescent="0.35">
      <c r="A319" s="10">
        <f t="shared" si="9"/>
        <v>316</v>
      </c>
      <c r="B319" s="3">
        <v>8666</v>
      </c>
      <c r="C319" s="5" t="s">
        <v>1286</v>
      </c>
      <c r="D319" s="5" t="s">
        <v>563</v>
      </c>
      <c r="E319" s="5" t="s">
        <v>16</v>
      </c>
      <c r="F319" s="5" t="s">
        <v>626</v>
      </c>
      <c r="G319" s="7">
        <v>45245</v>
      </c>
      <c r="H319" s="18">
        <v>2.3753424657534246</v>
      </c>
      <c r="I319" s="26" t="s">
        <v>1075</v>
      </c>
      <c r="J319" s="28">
        <v>28329.5075</v>
      </c>
      <c r="K319" s="28">
        <v>3000</v>
      </c>
      <c r="L319" s="31">
        <f t="shared" si="8"/>
        <v>0.10589665210381791</v>
      </c>
    </row>
    <row r="320" spans="1:12" ht="15.75" customHeight="1" x14ac:dyDescent="0.35">
      <c r="A320" s="10">
        <f t="shared" si="9"/>
        <v>317</v>
      </c>
      <c r="B320" s="3">
        <v>8680</v>
      </c>
      <c r="C320" s="5" t="s">
        <v>1287</v>
      </c>
      <c r="D320" s="5" t="s">
        <v>563</v>
      </c>
      <c r="E320" s="5" t="s">
        <v>16</v>
      </c>
      <c r="F320" s="5" t="s">
        <v>141</v>
      </c>
      <c r="G320" s="7">
        <v>45257</v>
      </c>
      <c r="H320" s="18">
        <v>2.3424657534246576</v>
      </c>
      <c r="I320" s="26" t="s">
        <v>1075</v>
      </c>
      <c r="J320" s="28">
        <v>37223.9</v>
      </c>
      <c r="K320" s="28">
        <v>3000</v>
      </c>
      <c r="L320" s="31">
        <f t="shared" si="8"/>
        <v>8.0593382208742223E-2</v>
      </c>
    </row>
    <row r="321" spans="1:12" ht="15.75" customHeight="1" x14ac:dyDescent="0.35">
      <c r="A321" s="10">
        <f t="shared" si="9"/>
        <v>318</v>
      </c>
      <c r="B321" s="3">
        <v>8688</v>
      </c>
      <c r="C321" s="5" t="s">
        <v>1290</v>
      </c>
      <c r="D321" s="5" t="s">
        <v>563</v>
      </c>
      <c r="E321" s="5" t="s">
        <v>16</v>
      </c>
      <c r="F321" s="5" t="s">
        <v>48</v>
      </c>
      <c r="G321" s="7">
        <v>45261</v>
      </c>
      <c r="H321" s="18">
        <v>2.3315068493150686</v>
      </c>
      <c r="I321" s="26" t="s">
        <v>1075</v>
      </c>
      <c r="J321" s="28">
        <v>29883.5075</v>
      </c>
      <c r="K321" s="28">
        <v>3000</v>
      </c>
      <c r="L321" s="31">
        <f t="shared" si="8"/>
        <v>0.10038982204481854</v>
      </c>
    </row>
    <row r="322" spans="1:12" ht="15.75" customHeight="1" x14ac:dyDescent="0.35">
      <c r="A322" s="10">
        <f t="shared" si="9"/>
        <v>319</v>
      </c>
      <c r="B322" s="3">
        <v>8697</v>
      </c>
      <c r="C322" s="5" t="s">
        <v>1291</v>
      </c>
      <c r="D322" s="5" t="s">
        <v>563</v>
      </c>
      <c r="E322" s="5" t="s">
        <v>16</v>
      </c>
      <c r="F322" s="5" t="s">
        <v>434</v>
      </c>
      <c r="G322" s="7">
        <v>45264</v>
      </c>
      <c r="H322" s="18">
        <v>2.3232876712328765</v>
      </c>
      <c r="I322" s="26" t="s">
        <v>1075</v>
      </c>
      <c r="J322" s="28">
        <v>29789.9</v>
      </c>
      <c r="K322" s="28">
        <v>3000</v>
      </c>
      <c r="L322" s="31">
        <f t="shared" si="8"/>
        <v>0.10070527259238869</v>
      </c>
    </row>
    <row r="323" spans="1:12" ht="15.75" customHeight="1" x14ac:dyDescent="0.35">
      <c r="A323" s="10">
        <f t="shared" si="9"/>
        <v>320</v>
      </c>
      <c r="B323" s="3">
        <v>8698</v>
      </c>
      <c r="C323" s="5" t="s">
        <v>1292</v>
      </c>
      <c r="D323" s="5" t="s">
        <v>563</v>
      </c>
      <c r="E323" s="5" t="s">
        <v>16</v>
      </c>
      <c r="F323" s="5" t="s">
        <v>1224</v>
      </c>
      <c r="G323" s="7">
        <v>45264</v>
      </c>
      <c r="H323" s="18">
        <v>2.3232876712328765</v>
      </c>
      <c r="I323" s="26" t="s">
        <v>1075</v>
      </c>
      <c r="J323" s="28">
        <v>33170.0075</v>
      </c>
      <c r="K323" s="28">
        <v>3000</v>
      </c>
      <c r="L323" s="31">
        <f t="shared" si="8"/>
        <v>9.0443151090635124E-2</v>
      </c>
    </row>
    <row r="324" spans="1:12" ht="15.75" customHeight="1" x14ac:dyDescent="0.35">
      <c r="A324" s="10">
        <f t="shared" si="9"/>
        <v>321</v>
      </c>
      <c r="B324" s="3">
        <v>8699</v>
      </c>
      <c r="C324" s="5" t="s">
        <v>1293</v>
      </c>
      <c r="D324" s="5" t="s">
        <v>563</v>
      </c>
      <c r="E324" s="5" t="s">
        <v>16</v>
      </c>
      <c r="F324" s="5" t="s">
        <v>947</v>
      </c>
      <c r="G324" s="7">
        <v>45264</v>
      </c>
      <c r="H324" s="18">
        <v>2.3232876712328765</v>
      </c>
      <c r="I324" s="26" t="s">
        <v>1075</v>
      </c>
      <c r="J324" s="28">
        <v>27797.004499999999</v>
      </c>
      <c r="K324" s="28">
        <v>3000</v>
      </c>
      <c r="L324" s="31">
        <f t="shared" si="8"/>
        <v>0.10792529820974055</v>
      </c>
    </row>
    <row r="325" spans="1:12" ht="15.75" customHeight="1" x14ac:dyDescent="0.35">
      <c r="A325" s="10">
        <f t="shared" si="9"/>
        <v>322</v>
      </c>
      <c r="B325" s="3">
        <v>8700</v>
      </c>
      <c r="C325" s="5" t="s">
        <v>1294</v>
      </c>
      <c r="D325" s="5" t="s">
        <v>563</v>
      </c>
      <c r="E325" s="5" t="s">
        <v>16</v>
      </c>
      <c r="F325" s="5" t="s">
        <v>850</v>
      </c>
      <c r="G325" s="7">
        <v>45264</v>
      </c>
      <c r="H325" s="18">
        <v>2.3232876712328765</v>
      </c>
      <c r="I325" s="26" t="s">
        <v>1075</v>
      </c>
      <c r="J325" s="28">
        <v>27797.004499999999</v>
      </c>
      <c r="K325" s="28">
        <v>3000</v>
      </c>
      <c r="L325" s="31">
        <f t="shared" ref="L325:L327" si="10">+K325/J325</f>
        <v>0.10792529820974055</v>
      </c>
    </row>
    <row r="326" spans="1:12" ht="15.75" customHeight="1" x14ac:dyDescent="0.35">
      <c r="A326" s="10">
        <f t="shared" ref="A326:A389" si="11">+A325+1</f>
        <v>323</v>
      </c>
      <c r="B326" s="3">
        <v>8708</v>
      </c>
      <c r="C326" s="5" t="s">
        <v>1299</v>
      </c>
      <c r="D326" s="5" t="s">
        <v>563</v>
      </c>
      <c r="E326" s="5" t="s">
        <v>16</v>
      </c>
      <c r="F326" s="5" t="s">
        <v>718</v>
      </c>
      <c r="G326" s="7">
        <v>45658</v>
      </c>
      <c r="H326" s="18">
        <v>1.2438356164383562</v>
      </c>
      <c r="I326" s="26" t="s">
        <v>1075</v>
      </c>
      <c r="J326" s="28">
        <v>26798.25</v>
      </c>
      <c r="K326" s="28">
        <v>3000</v>
      </c>
      <c r="L326" s="31">
        <f t="shared" si="10"/>
        <v>0.11194760851921301</v>
      </c>
    </row>
    <row r="327" spans="1:12" ht="15.75" customHeight="1" x14ac:dyDescent="0.35">
      <c r="A327" s="10">
        <f t="shared" si="11"/>
        <v>324</v>
      </c>
      <c r="B327" s="3">
        <v>8710</v>
      </c>
      <c r="C327" s="5" t="s">
        <v>1301</v>
      </c>
      <c r="D327" s="5" t="s">
        <v>609</v>
      </c>
      <c r="E327" s="5" t="s">
        <v>16</v>
      </c>
      <c r="F327" s="5" t="s">
        <v>20</v>
      </c>
      <c r="G327" s="7">
        <v>45275</v>
      </c>
      <c r="H327" s="18">
        <v>2.2931506849315069</v>
      </c>
      <c r="I327" s="26" t="s">
        <v>1075</v>
      </c>
      <c r="J327" s="28">
        <v>38278.010500000004</v>
      </c>
      <c r="K327" s="28">
        <v>3000</v>
      </c>
      <c r="L327" s="31">
        <f t="shared" si="10"/>
        <v>7.8373979232802593E-2</v>
      </c>
    </row>
    <row r="328" spans="1:12" ht="15.75" customHeight="1" x14ac:dyDescent="0.35">
      <c r="A328" s="10">
        <f t="shared" si="11"/>
        <v>325</v>
      </c>
      <c r="B328" s="3">
        <v>8718</v>
      </c>
      <c r="C328" s="5" t="s">
        <v>1302</v>
      </c>
      <c r="D328" s="5" t="s">
        <v>563</v>
      </c>
      <c r="E328" s="5" t="s">
        <v>16</v>
      </c>
      <c r="F328" s="5" t="s">
        <v>897</v>
      </c>
      <c r="G328" s="7">
        <v>45778</v>
      </c>
      <c r="H328" s="18">
        <v>0.91506849315068495</v>
      </c>
      <c r="I328" s="26" t="s">
        <v>888</v>
      </c>
      <c r="J328" s="28">
        <v>26000</v>
      </c>
      <c r="K328" s="28"/>
      <c r="L328" s="28"/>
    </row>
    <row r="329" spans="1:12" ht="15.75" customHeight="1" x14ac:dyDescent="0.35">
      <c r="A329" s="10">
        <f t="shared" si="11"/>
        <v>326</v>
      </c>
      <c r="B329" s="3">
        <v>8739</v>
      </c>
      <c r="C329" s="5" t="s">
        <v>1310</v>
      </c>
      <c r="D329" s="5" t="s">
        <v>563</v>
      </c>
      <c r="E329" s="5" t="s">
        <v>16</v>
      </c>
      <c r="F329" s="5" t="s">
        <v>739</v>
      </c>
      <c r="G329" s="7">
        <v>45778</v>
      </c>
      <c r="H329" s="18">
        <v>0.91506849315068495</v>
      </c>
      <c r="I329" s="26" t="s">
        <v>888</v>
      </c>
      <c r="J329" s="28">
        <v>26000</v>
      </c>
      <c r="K329" s="28"/>
      <c r="L329" s="28"/>
    </row>
    <row r="330" spans="1:12" ht="15.75" customHeight="1" x14ac:dyDescent="0.35">
      <c r="A330" s="10">
        <f t="shared" si="11"/>
        <v>327</v>
      </c>
      <c r="B330" s="3">
        <v>8740</v>
      </c>
      <c r="C330" s="5" t="s">
        <v>1311</v>
      </c>
      <c r="D330" s="5" t="s">
        <v>563</v>
      </c>
      <c r="E330" s="5" t="s">
        <v>16</v>
      </c>
      <c r="F330" s="5" t="s">
        <v>658</v>
      </c>
      <c r="G330" s="7">
        <v>45778</v>
      </c>
      <c r="H330" s="18">
        <v>0.91506849315068495</v>
      </c>
      <c r="I330" s="26" t="s">
        <v>888</v>
      </c>
      <c r="J330" s="28">
        <v>26000</v>
      </c>
      <c r="K330" s="28"/>
      <c r="L330" s="28"/>
    </row>
    <row r="331" spans="1:12" ht="15.75" customHeight="1" x14ac:dyDescent="0.35">
      <c r="A331" s="10">
        <f t="shared" si="11"/>
        <v>328</v>
      </c>
      <c r="B331" s="3">
        <v>8741</v>
      </c>
      <c r="C331" s="5" t="s">
        <v>1312</v>
      </c>
      <c r="D331" s="5" t="s">
        <v>563</v>
      </c>
      <c r="E331" s="5" t="s">
        <v>16</v>
      </c>
      <c r="F331" s="5" t="s">
        <v>711</v>
      </c>
      <c r="G331" s="7">
        <v>45778</v>
      </c>
      <c r="H331" s="18">
        <v>0.91506849315068495</v>
      </c>
      <c r="I331" s="26" t="s">
        <v>888</v>
      </c>
      <c r="J331" s="28">
        <v>26000</v>
      </c>
      <c r="K331" s="28"/>
      <c r="L331" s="28"/>
    </row>
    <row r="332" spans="1:12" ht="15.75" customHeight="1" x14ac:dyDescent="0.35">
      <c r="A332" s="10">
        <f t="shared" si="11"/>
        <v>329</v>
      </c>
      <c r="B332" s="3">
        <v>8745</v>
      </c>
      <c r="C332" s="5" t="s">
        <v>1313</v>
      </c>
      <c r="D332" s="5" t="s">
        <v>563</v>
      </c>
      <c r="E332" s="5" t="s">
        <v>16</v>
      </c>
      <c r="F332" s="5" t="s">
        <v>990</v>
      </c>
      <c r="G332" s="7">
        <v>45778</v>
      </c>
      <c r="H332" s="18">
        <v>0.91506849315068495</v>
      </c>
      <c r="I332" s="26" t="s">
        <v>888</v>
      </c>
      <c r="J332" s="28">
        <v>26000</v>
      </c>
      <c r="K332" s="28"/>
      <c r="L332" s="28"/>
    </row>
    <row r="333" spans="1:12" ht="15.75" customHeight="1" x14ac:dyDescent="0.35">
      <c r="A333" s="10">
        <f t="shared" si="11"/>
        <v>330</v>
      </c>
      <c r="B333" s="3">
        <v>8750</v>
      </c>
      <c r="C333" s="5" t="s">
        <v>1316</v>
      </c>
      <c r="D333" s="5" t="s">
        <v>563</v>
      </c>
      <c r="E333" s="5" t="s">
        <v>16</v>
      </c>
      <c r="F333" s="5" t="s">
        <v>589</v>
      </c>
      <c r="G333" s="7">
        <v>45306</v>
      </c>
      <c r="H333" s="18">
        <v>2.2082191780821918</v>
      </c>
      <c r="I333" s="26" t="s">
        <v>1075</v>
      </c>
      <c r="J333" s="28">
        <v>29501.5</v>
      </c>
      <c r="K333" s="28">
        <v>3000</v>
      </c>
      <c r="L333" s="31">
        <f t="shared" ref="L333:L335" si="12">+K333/J333</f>
        <v>0.10168974458925817</v>
      </c>
    </row>
    <row r="334" spans="1:12" ht="15.75" customHeight="1" x14ac:dyDescent="0.35">
      <c r="A334" s="10">
        <f t="shared" si="11"/>
        <v>331</v>
      </c>
      <c r="B334" s="3">
        <v>8752</v>
      </c>
      <c r="C334" s="5" t="s">
        <v>1317</v>
      </c>
      <c r="D334" s="5" t="s">
        <v>563</v>
      </c>
      <c r="E334" s="5" t="s">
        <v>16</v>
      </c>
      <c r="F334" s="5" t="s">
        <v>955</v>
      </c>
      <c r="G334" s="7">
        <v>45306</v>
      </c>
      <c r="H334" s="18">
        <v>2.2082191780821918</v>
      </c>
      <c r="I334" s="26" t="s">
        <v>1075</v>
      </c>
      <c r="J334" s="28">
        <v>27359.1</v>
      </c>
      <c r="K334" s="28">
        <v>3000</v>
      </c>
      <c r="L334" s="31">
        <f t="shared" si="12"/>
        <v>0.1096527298047085</v>
      </c>
    </row>
    <row r="335" spans="1:12" ht="15.75" customHeight="1" x14ac:dyDescent="0.35">
      <c r="A335" s="10">
        <f t="shared" si="11"/>
        <v>332</v>
      </c>
      <c r="B335" s="3">
        <v>8753</v>
      </c>
      <c r="C335" s="5" t="s">
        <v>1318</v>
      </c>
      <c r="D335" s="5" t="s">
        <v>563</v>
      </c>
      <c r="E335" s="5" t="s">
        <v>16</v>
      </c>
      <c r="F335" s="5" t="s">
        <v>739</v>
      </c>
      <c r="G335" s="7">
        <v>45306</v>
      </c>
      <c r="H335" s="18">
        <v>2.2082191780821918</v>
      </c>
      <c r="I335" s="26" t="s">
        <v>1075</v>
      </c>
      <c r="J335" s="28">
        <v>30067.1</v>
      </c>
      <c r="K335" s="28">
        <v>3000</v>
      </c>
      <c r="L335" s="31">
        <f t="shared" si="12"/>
        <v>9.9776832484675948E-2</v>
      </c>
    </row>
    <row r="336" spans="1:12" ht="15.75" customHeight="1" x14ac:dyDescent="0.35">
      <c r="A336" s="10">
        <f t="shared" si="11"/>
        <v>333</v>
      </c>
      <c r="B336" s="3">
        <v>8760</v>
      </c>
      <c r="C336" s="5" t="s">
        <v>1322</v>
      </c>
      <c r="D336" s="5" t="s">
        <v>563</v>
      </c>
      <c r="E336" s="5" t="s">
        <v>16</v>
      </c>
      <c r="F336" s="5" t="s">
        <v>483</v>
      </c>
      <c r="G336" s="7">
        <v>45778</v>
      </c>
      <c r="H336" s="18">
        <v>0.91506849315068495</v>
      </c>
      <c r="I336" s="26" t="s">
        <v>888</v>
      </c>
      <c r="J336" s="28">
        <v>26000</v>
      </c>
      <c r="K336" s="28"/>
      <c r="L336" s="28"/>
    </row>
    <row r="337" spans="1:12" ht="15.75" customHeight="1" x14ac:dyDescent="0.35">
      <c r="A337" s="10">
        <f t="shared" si="11"/>
        <v>334</v>
      </c>
      <c r="B337" s="3">
        <v>8761</v>
      </c>
      <c r="C337" s="5" t="s">
        <v>1323</v>
      </c>
      <c r="D337" s="5" t="s">
        <v>563</v>
      </c>
      <c r="E337" s="5" t="s">
        <v>16</v>
      </c>
      <c r="F337" s="5" t="s">
        <v>739</v>
      </c>
      <c r="G337" s="7">
        <v>45778</v>
      </c>
      <c r="H337" s="18">
        <v>0.91506849315068495</v>
      </c>
      <c r="I337" s="26" t="s">
        <v>888</v>
      </c>
      <c r="J337" s="28">
        <v>26000</v>
      </c>
      <c r="K337" s="28"/>
      <c r="L337" s="28"/>
    </row>
    <row r="338" spans="1:12" ht="15.75" customHeight="1" x14ac:dyDescent="0.35">
      <c r="A338" s="10">
        <f t="shared" si="11"/>
        <v>335</v>
      </c>
      <c r="B338" s="3">
        <v>8765</v>
      </c>
      <c r="C338" s="5" t="s">
        <v>1324</v>
      </c>
      <c r="D338" s="5" t="s">
        <v>563</v>
      </c>
      <c r="E338" s="5" t="s">
        <v>16</v>
      </c>
      <c r="F338" s="5" t="s">
        <v>1124</v>
      </c>
      <c r="G338" s="7">
        <v>45778</v>
      </c>
      <c r="H338" s="18">
        <v>0.91506849315068495</v>
      </c>
      <c r="I338" s="26" t="s">
        <v>888</v>
      </c>
      <c r="J338" s="28">
        <v>26000</v>
      </c>
      <c r="K338" s="28"/>
      <c r="L338" s="28"/>
    </row>
    <row r="339" spans="1:12" ht="15.75" customHeight="1" x14ac:dyDescent="0.35">
      <c r="A339" s="10">
        <f t="shared" si="11"/>
        <v>336</v>
      </c>
      <c r="B339" s="3">
        <v>8766</v>
      </c>
      <c r="C339" s="5" t="s">
        <v>1325</v>
      </c>
      <c r="D339" s="5" t="s">
        <v>563</v>
      </c>
      <c r="E339" s="5" t="s">
        <v>16</v>
      </c>
      <c r="F339" s="5" t="s">
        <v>1124</v>
      </c>
      <c r="G339" s="7">
        <v>45778</v>
      </c>
      <c r="H339" s="18">
        <v>0.91506849315068495</v>
      </c>
      <c r="I339" s="26" t="s">
        <v>888</v>
      </c>
      <c r="J339" s="28">
        <v>26000</v>
      </c>
      <c r="K339" s="28"/>
      <c r="L339" s="28"/>
    </row>
    <row r="340" spans="1:12" ht="15.75" customHeight="1" x14ac:dyDescent="0.35">
      <c r="A340" s="10">
        <f t="shared" si="11"/>
        <v>337</v>
      </c>
      <c r="B340" s="3">
        <v>8770</v>
      </c>
      <c r="C340" s="5" t="s">
        <v>1326</v>
      </c>
      <c r="D340" s="5" t="s">
        <v>563</v>
      </c>
      <c r="E340" s="5" t="s">
        <v>16</v>
      </c>
      <c r="F340" s="5" t="s">
        <v>658</v>
      </c>
      <c r="G340" s="7">
        <v>45313</v>
      </c>
      <c r="H340" s="18">
        <v>2.1890410958904107</v>
      </c>
      <c r="I340" s="26" t="s">
        <v>1075</v>
      </c>
      <c r="J340" s="28">
        <v>30407.9</v>
      </c>
      <c r="K340" s="28">
        <v>3000</v>
      </c>
      <c r="L340" s="31">
        <f t="shared" ref="L340:L343" si="13">+K340/J340</f>
        <v>9.865857227891435E-2</v>
      </c>
    </row>
    <row r="341" spans="1:12" ht="15.75" customHeight="1" x14ac:dyDescent="0.35">
      <c r="A341" s="10">
        <f t="shared" si="11"/>
        <v>338</v>
      </c>
      <c r="B341" s="3">
        <v>8778</v>
      </c>
      <c r="C341" s="5" t="s">
        <v>1330</v>
      </c>
      <c r="D341" s="5" t="s">
        <v>563</v>
      </c>
      <c r="E341" s="5" t="s">
        <v>16</v>
      </c>
      <c r="F341" s="5" t="s">
        <v>825</v>
      </c>
      <c r="G341" s="7">
        <v>45323</v>
      </c>
      <c r="H341" s="18">
        <v>2.1616438356164385</v>
      </c>
      <c r="I341" s="26" t="s">
        <v>1075</v>
      </c>
      <c r="J341" s="28">
        <v>27778.1</v>
      </c>
      <c r="K341" s="28">
        <v>3000</v>
      </c>
      <c r="L341" s="31">
        <f t="shared" si="13"/>
        <v>0.10799874721453231</v>
      </c>
    </row>
    <row r="342" spans="1:12" ht="15.75" customHeight="1" x14ac:dyDescent="0.35">
      <c r="A342" s="10">
        <f t="shared" si="11"/>
        <v>339</v>
      </c>
      <c r="B342" s="3">
        <v>8779</v>
      </c>
      <c r="C342" s="5" t="s">
        <v>1331</v>
      </c>
      <c r="D342" s="5" t="s">
        <v>563</v>
      </c>
      <c r="E342" s="5" t="s">
        <v>16</v>
      </c>
      <c r="F342" s="5" t="s">
        <v>819</v>
      </c>
      <c r="G342" s="7">
        <v>45323</v>
      </c>
      <c r="H342" s="18">
        <v>2.1616438356164385</v>
      </c>
      <c r="I342" s="26" t="s">
        <v>13</v>
      </c>
      <c r="J342" s="28">
        <v>27778.1</v>
      </c>
      <c r="K342" s="28">
        <v>3000</v>
      </c>
      <c r="L342" s="31">
        <f t="shared" si="13"/>
        <v>0.10799874721453231</v>
      </c>
    </row>
    <row r="343" spans="1:12" ht="15.75" customHeight="1" x14ac:dyDescent="0.35">
      <c r="A343" s="10">
        <f t="shared" si="11"/>
        <v>340</v>
      </c>
      <c r="B343" s="3">
        <v>8787</v>
      </c>
      <c r="C343" s="5" t="s">
        <v>1332</v>
      </c>
      <c r="D343" s="5" t="s">
        <v>1333</v>
      </c>
      <c r="E343" s="5" t="s">
        <v>16</v>
      </c>
      <c r="F343" s="5" t="s">
        <v>729</v>
      </c>
      <c r="G343" s="7">
        <v>45323</v>
      </c>
      <c r="H343" s="18">
        <v>2.1616438356164385</v>
      </c>
      <c r="I343" s="26" t="s">
        <v>1334</v>
      </c>
      <c r="J343" s="28">
        <v>15000</v>
      </c>
      <c r="K343" s="28">
        <v>3000</v>
      </c>
      <c r="L343" s="31">
        <f t="shared" si="13"/>
        <v>0.2</v>
      </c>
    </row>
    <row r="344" spans="1:12" ht="15.75" customHeight="1" x14ac:dyDescent="0.35">
      <c r="A344" s="10">
        <f t="shared" si="11"/>
        <v>341</v>
      </c>
      <c r="B344" s="3">
        <v>8788</v>
      </c>
      <c r="C344" s="5" t="s">
        <v>1335</v>
      </c>
      <c r="D344" s="5" t="s">
        <v>563</v>
      </c>
      <c r="E344" s="5" t="s">
        <v>16</v>
      </c>
      <c r="F344" s="5" t="s">
        <v>302</v>
      </c>
      <c r="G344" s="7">
        <v>45778</v>
      </c>
      <c r="H344" s="18">
        <v>0.91506849315068495</v>
      </c>
      <c r="I344" s="26" t="s">
        <v>888</v>
      </c>
      <c r="J344" s="28">
        <v>26000</v>
      </c>
      <c r="K344" s="28"/>
      <c r="L344" s="28"/>
    </row>
    <row r="345" spans="1:12" ht="15.75" customHeight="1" x14ac:dyDescent="0.35">
      <c r="A345" s="10">
        <f t="shared" si="11"/>
        <v>342</v>
      </c>
      <c r="B345" s="3">
        <v>8789</v>
      </c>
      <c r="C345" s="5" t="s">
        <v>1336</v>
      </c>
      <c r="D345" s="5" t="s">
        <v>563</v>
      </c>
      <c r="E345" s="5" t="s">
        <v>16</v>
      </c>
      <c r="F345" s="5" t="s">
        <v>1124</v>
      </c>
      <c r="G345" s="7">
        <v>45778</v>
      </c>
      <c r="H345" s="18">
        <v>0.91506849315068495</v>
      </c>
      <c r="I345" s="26" t="s">
        <v>888</v>
      </c>
      <c r="J345" s="28">
        <v>26000</v>
      </c>
      <c r="K345" s="28"/>
      <c r="L345" s="28"/>
    </row>
    <row r="346" spans="1:12" ht="15.75" customHeight="1" x14ac:dyDescent="0.35">
      <c r="A346" s="10">
        <f t="shared" si="11"/>
        <v>343</v>
      </c>
      <c r="B346" s="3">
        <v>8807</v>
      </c>
      <c r="C346" s="5" t="s">
        <v>1340</v>
      </c>
      <c r="D346" s="5" t="s">
        <v>563</v>
      </c>
      <c r="E346" s="5" t="s">
        <v>16</v>
      </c>
      <c r="F346" s="5" t="s">
        <v>353</v>
      </c>
      <c r="G346" s="7">
        <v>45778</v>
      </c>
      <c r="H346" s="18">
        <v>0.91506849315068495</v>
      </c>
      <c r="I346" s="26" t="s">
        <v>888</v>
      </c>
      <c r="J346" s="28">
        <v>26000</v>
      </c>
      <c r="K346" s="28"/>
      <c r="L346" s="28"/>
    </row>
    <row r="347" spans="1:12" ht="15.75" customHeight="1" x14ac:dyDescent="0.35">
      <c r="A347" s="10">
        <f t="shared" si="11"/>
        <v>344</v>
      </c>
      <c r="B347" s="3">
        <v>8808</v>
      </c>
      <c r="C347" s="5" t="s">
        <v>1341</v>
      </c>
      <c r="D347" s="5" t="s">
        <v>563</v>
      </c>
      <c r="E347" s="5" t="s">
        <v>16</v>
      </c>
      <c r="F347" s="5" t="s">
        <v>353</v>
      </c>
      <c r="G347" s="7">
        <v>45778</v>
      </c>
      <c r="H347" s="18">
        <v>0.91506849315068495</v>
      </c>
      <c r="I347" s="26" t="s">
        <v>888</v>
      </c>
      <c r="J347" s="28">
        <v>26000</v>
      </c>
      <c r="K347" s="28"/>
      <c r="L347" s="28"/>
    </row>
    <row r="348" spans="1:12" ht="15.75" customHeight="1" x14ac:dyDescent="0.35">
      <c r="A348" s="10">
        <f t="shared" si="11"/>
        <v>345</v>
      </c>
      <c r="B348" s="3">
        <v>8809</v>
      </c>
      <c r="C348" s="5" t="s">
        <v>1342</v>
      </c>
      <c r="D348" s="5" t="s">
        <v>563</v>
      </c>
      <c r="E348" s="5" t="s">
        <v>16</v>
      </c>
      <c r="F348" s="5" t="s">
        <v>825</v>
      </c>
      <c r="G348" s="7">
        <v>45778</v>
      </c>
      <c r="H348" s="18">
        <v>0.91506849315068495</v>
      </c>
      <c r="I348" s="26" t="s">
        <v>888</v>
      </c>
      <c r="J348" s="28">
        <v>26000</v>
      </c>
      <c r="K348" s="28"/>
      <c r="L348" s="28"/>
    </row>
    <row r="349" spans="1:12" ht="15.75" customHeight="1" x14ac:dyDescent="0.35">
      <c r="A349" s="10">
        <f t="shared" si="11"/>
        <v>346</v>
      </c>
      <c r="B349" s="3">
        <v>8813</v>
      </c>
      <c r="C349" s="5" t="s">
        <v>1343</v>
      </c>
      <c r="D349" s="5" t="s">
        <v>563</v>
      </c>
      <c r="E349" s="5" t="s">
        <v>16</v>
      </c>
      <c r="F349" s="5" t="s">
        <v>326</v>
      </c>
      <c r="G349" s="7">
        <v>45336</v>
      </c>
      <c r="H349" s="18">
        <v>2.1260273972602741</v>
      </c>
      <c r="I349" s="26" t="s">
        <v>1075</v>
      </c>
      <c r="J349" s="28">
        <v>28885.1</v>
      </c>
      <c r="K349" s="28">
        <v>3000</v>
      </c>
      <c r="L349" s="31">
        <f t="shared" ref="L349:L350" si="14">+K349/J349</f>
        <v>0.10385977545516548</v>
      </c>
    </row>
    <row r="350" spans="1:12" ht="15.75" customHeight="1" x14ac:dyDescent="0.35">
      <c r="A350" s="10">
        <f t="shared" si="11"/>
        <v>347</v>
      </c>
      <c r="B350" s="3">
        <v>8816</v>
      </c>
      <c r="C350" s="5" t="s">
        <v>1344</v>
      </c>
      <c r="D350" s="5" t="s">
        <v>563</v>
      </c>
      <c r="E350" s="5" t="s">
        <v>16</v>
      </c>
      <c r="F350" s="5" t="s">
        <v>990</v>
      </c>
      <c r="G350" s="7">
        <v>45336</v>
      </c>
      <c r="H350" s="18">
        <v>2.1260273972602741</v>
      </c>
      <c r="I350" s="26" t="s">
        <v>1075</v>
      </c>
      <c r="J350" s="28">
        <v>29501.5</v>
      </c>
      <c r="K350" s="28">
        <v>3000</v>
      </c>
      <c r="L350" s="31">
        <f t="shared" si="14"/>
        <v>0.10168974458925817</v>
      </c>
    </row>
    <row r="351" spans="1:12" ht="15.75" customHeight="1" x14ac:dyDescent="0.35">
      <c r="A351" s="10">
        <f t="shared" si="11"/>
        <v>348</v>
      </c>
      <c r="B351" s="3">
        <v>8822</v>
      </c>
      <c r="C351" s="5" t="s">
        <v>1345</v>
      </c>
      <c r="D351" s="5" t="s">
        <v>563</v>
      </c>
      <c r="E351" s="5" t="s">
        <v>16</v>
      </c>
      <c r="F351" s="5" t="s">
        <v>247</v>
      </c>
      <c r="G351" s="7">
        <v>45778</v>
      </c>
      <c r="H351" s="18">
        <v>0.91506849315068495</v>
      </c>
      <c r="I351" s="26" t="s">
        <v>888</v>
      </c>
      <c r="J351" s="28">
        <v>26000</v>
      </c>
      <c r="K351" s="28"/>
      <c r="L351" s="28"/>
    </row>
    <row r="352" spans="1:12" ht="15.75" customHeight="1" x14ac:dyDescent="0.35">
      <c r="A352" s="10">
        <f t="shared" si="11"/>
        <v>349</v>
      </c>
      <c r="B352" s="3">
        <v>8826</v>
      </c>
      <c r="C352" s="5" t="s">
        <v>1348</v>
      </c>
      <c r="D352" s="5" t="s">
        <v>563</v>
      </c>
      <c r="E352" s="5" t="s">
        <v>16</v>
      </c>
      <c r="F352" s="5" t="s">
        <v>825</v>
      </c>
      <c r="G352" s="7">
        <v>45343</v>
      </c>
      <c r="H352" s="18">
        <v>2.106849315068493</v>
      </c>
      <c r="I352" s="26" t="s">
        <v>1075</v>
      </c>
      <c r="J352" s="28">
        <v>27898.25</v>
      </c>
      <c r="K352" s="28">
        <v>3000</v>
      </c>
      <c r="L352" s="31">
        <f t="shared" ref="L352:L354" si="15">+K352/J352</f>
        <v>0.1075336266611705</v>
      </c>
    </row>
    <row r="353" spans="1:12" ht="15.75" customHeight="1" x14ac:dyDescent="0.35">
      <c r="A353" s="10">
        <f t="shared" si="11"/>
        <v>350</v>
      </c>
      <c r="B353" s="3">
        <v>8842</v>
      </c>
      <c r="C353" s="5" t="s">
        <v>1356</v>
      </c>
      <c r="D353" s="5" t="s">
        <v>563</v>
      </c>
      <c r="E353" s="5" t="s">
        <v>16</v>
      </c>
      <c r="F353" s="5" t="s">
        <v>517</v>
      </c>
      <c r="G353" s="7">
        <v>45355</v>
      </c>
      <c r="H353" s="18">
        <v>2.0739726027397261</v>
      </c>
      <c r="I353" s="26" t="s">
        <v>1075</v>
      </c>
      <c r="J353" s="28">
        <v>28677.5</v>
      </c>
      <c r="K353" s="28">
        <v>3000</v>
      </c>
      <c r="L353" s="31">
        <f t="shared" si="15"/>
        <v>0.10461162932612675</v>
      </c>
    </row>
    <row r="354" spans="1:12" ht="15.75" customHeight="1" x14ac:dyDescent="0.35">
      <c r="A354" s="10">
        <f t="shared" si="11"/>
        <v>351</v>
      </c>
      <c r="B354" s="3">
        <v>8847</v>
      </c>
      <c r="C354" s="5" t="s">
        <v>1357</v>
      </c>
      <c r="D354" s="5" t="s">
        <v>563</v>
      </c>
      <c r="E354" s="5" t="s">
        <v>16</v>
      </c>
      <c r="F354" s="5" t="s">
        <v>238</v>
      </c>
      <c r="G354" s="7">
        <v>45357</v>
      </c>
      <c r="H354" s="18">
        <v>2.0684931506849313</v>
      </c>
      <c r="I354" s="26" t="s">
        <v>1075</v>
      </c>
      <c r="J354" s="28">
        <v>35180.6</v>
      </c>
      <c r="K354" s="28">
        <v>3000</v>
      </c>
      <c r="L354" s="31">
        <f t="shared" si="15"/>
        <v>8.5274270478616063E-2</v>
      </c>
    </row>
    <row r="355" spans="1:12" ht="15.75" customHeight="1" x14ac:dyDescent="0.35">
      <c r="A355" s="10">
        <f t="shared" si="11"/>
        <v>352</v>
      </c>
      <c r="B355" s="3">
        <v>8848</v>
      </c>
      <c r="C355" s="5" t="s">
        <v>1358</v>
      </c>
      <c r="D355" s="5" t="s">
        <v>563</v>
      </c>
      <c r="E355" s="5" t="s">
        <v>16</v>
      </c>
      <c r="F355" s="5" t="s">
        <v>110</v>
      </c>
      <c r="G355" s="7">
        <v>45778</v>
      </c>
      <c r="H355" s="18">
        <v>0.91506849315068495</v>
      </c>
      <c r="I355" s="26" t="s">
        <v>888</v>
      </c>
      <c r="J355" s="28">
        <v>26000</v>
      </c>
      <c r="K355" s="28"/>
      <c r="L355" s="28"/>
    </row>
    <row r="356" spans="1:12" ht="15.75" customHeight="1" x14ac:dyDescent="0.35">
      <c r="A356" s="10">
        <f t="shared" si="11"/>
        <v>353</v>
      </c>
      <c r="B356" s="3">
        <v>8849</v>
      </c>
      <c r="C356" s="5" t="s">
        <v>1359</v>
      </c>
      <c r="D356" s="5" t="s">
        <v>563</v>
      </c>
      <c r="E356" s="5" t="s">
        <v>16</v>
      </c>
      <c r="F356" s="5" t="s">
        <v>247</v>
      </c>
      <c r="G356" s="7">
        <v>45778</v>
      </c>
      <c r="H356" s="18">
        <v>0.91506849315068495</v>
      </c>
      <c r="I356" s="26" t="s">
        <v>888</v>
      </c>
      <c r="J356" s="28">
        <v>26000</v>
      </c>
      <c r="K356" s="28"/>
      <c r="L356" s="28"/>
    </row>
    <row r="357" spans="1:12" ht="15.75" customHeight="1" x14ac:dyDescent="0.35">
      <c r="A357" s="10">
        <f t="shared" si="11"/>
        <v>354</v>
      </c>
      <c r="B357" s="3">
        <v>8852</v>
      </c>
      <c r="C357" s="5" t="s">
        <v>791</v>
      </c>
      <c r="D357" s="5" t="s">
        <v>563</v>
      </c>
      <c r="E357" s="5" t="s">
        <v>16</v>
      </c>
      <c r="F357" s="5" t="s">
        <v>697</v>
      </c>
      <c r="G357" s="7">
        <v>45365</v>
      </c>
      <c r="H357" s="18">
        <v>2.0465753424657533</v>
      </c>
      <c r="I357" s="26" t="s">
        <v>1075</v>
      </c>
      <c r="J357" s="28">
        <v>28093.1</v>
      </c>
      <c r="K357" s="28">
        <v>3000</v>
      </c>
      <c r="L357" s="31">
        <f t="shared" ref="L357:L359" si="16">+K357/J357</f>
        <v>0.10678778774859307</v>
      </c>
    </row>
    <row r="358" spans="1:12" ht="15.75" customHeight="1" x14ac:dyDescent="0.35">
      <c r="A358" s="10">
        <f t="shared" si="11"/>
        <v>355</v>
      </c>
      <c r="B358" s="3">
        <v>8854</v>
      </c>
      <c r="C358" s="5" t="s">
        <v>1360</v>
      </c>
      <c r="D358" s="5" t="s">
        <v>563</v>
      </c>
      <c r="E358" s="5" t="s">
        <v>16</v>
      </c>
      <c r="F358" s="5" t="s">
        <v>990</v>
      </c>
      <c r="G358" s="7">
        <v>45365</v>
      </c>
      <c r="H358" s="18">
        <v>2.0465753424657533</v>
      </c>
      <c r="I358" s="26" t="s">
        <v>1075</v>
      </c>
      <c r="J358" s="28">
        <v>27359.1</v>
      </c>
      <c r="K358" s="28">
        <v>3000</v>
      </c>
      <c r="L358" s="31">
        <f t="shared" si="16"/>
        <v>0.1096527298047085</v>
      </c>
    </row>
    <row r="359" spans="1:12" ht="15.75" customHeight="1" x14ac:dyDescent="0.35">
      <c r="A359" s="10">
        <f t="shared" si="11"/>
        <v>356</v>
      </c>
      <c r="B359" s="3">
        <v>8855</v>
      </c>
      <c r="C359" s="5" t="s">
        <v>1361</v>
      </c>
      <c r="D359" s="5" t="s">
        <v>563</v>
      </c>
      <c r="E359" s="5" t="s">
        <v>16</v>
      </c>
      <c r="F359" s="5" t="s">
        <v>368</v>
      </c>
      <c r="G359" s="7">
        <v>45365</v>
      </c>
      <c r="H359" s="18">
        <v>2.0465753424657533</v>
      </c>
      <c r="I359" s="26" t="s">
        <v>1075</v>
      </c>
      <c r="J359" s="28">
        <v>29227.1</v>
      </c>
      <c r="K359" s="28">
        <v>3000</v>
      </c>
      <c r="L359" s="31">
        <f t="shared" si="16"/>
        <v>0.10264446352871137</v>
      </c>
    </row>
    <row r="360" spans="1:12" ht="15.75" customHeight="1" x14ac:dyDescent="0.35">
      <c r="A360" s="10">
        <f t="shared" si="11"/>
        <v>357</v>
      </c>
      <c r="B360" s="3">
        <v>8860</v>
      </c>
      <c r="C360" s="5" t="s">
        <v>1364</v>
      </c>
      <c r="D360" s="5" t="s">
        <v>563</v>
      </c>
      <c r="E360" s="5" t="s">
        <v>16</v>
      </c>
      <c r="F360" s="5" t="s">
        <v>729</v>
      </c>
      <c r="G360" s="7">
        <v>45778</v>
      </c>
      <c r="H360" s="18">
        <v>0.91506849315068495</v>
      </c>
      <c r="I360" s="26" t="s">
        <v>888</v>
      </c>
      <c r="J360" s="28">
        <v>26000</v>
      </c>
      <c r="K360" s="28"/>
      <c r="L360" s="28"/>
    </row>
    <row r="361" spans="1:12" ht="15.75" customHeight="1" x14ac:dyDescent="0.35">
      <c r="A361" s="10">
        <f t="shared" si="11"/>
        <v>358</v>
      </c>
      <c r="B361" s="3">
        <v>8861</v>
      </c>
      <c r="C361" s="5" t="s">
        <v>1365</v>
      </c>
      <c r="D361" s="5" t="s">
        <v>563</v>
      </c>
      <c r="E361" s="5" t="s">
        <v>16</v>
      </c>
      <c r="F361" s="5" t="s">
        <v>451</v>
      </c>
      <c r="G361" s="7">
        <v>45778</v>
      </c>
      <c r="H361" s="18">
        <v>0.91506849315068495</v>
      </c>
      <c r="I361" s="26" t="s">
        <v>888</v>
      </c>
      <c r="J361" s="28">
        <v>26000</v>
      </c>
      <c r="K361" s="28"/>
      <c r="L361" s="28"/>
    </row>
    <row r="362" spans="1:12" ht="15.75" customHeight="1" x14ac:dyDescent="0.35">
      <c r="A362" s="10">
        <f t="shared" si="11"/>
        <v>359</v>
      </c>
      <c r="B362" s="3">
        <v>8863</v>
      </c>
      <c r="C362" s="5" t="s">
        <v>1367</v>
      </c>
      <c r="D362" s="5" t="s">
        <v>563</v>
      </c>
      <c r="E362" s="5" t="s">
        <v>16</v>
      </c>
      <c r="F362" s="5" t="s">
        <v>110</v>
      </c>
      <c r="G362" s="7">
        <v>45778</v>
      </c>
      <c r="H362" s="18">
        <v>0.91506849315068495</v>
      </c>
      <c r="I362" s="26" t="s">
        <v>888</v>
      </c>
      <c r="J362" s="28">
        <v>26000</v>
      </c>
      <c r="K362" s="28"/>
      <c r="L362" s="28"/>
    </row>
    <row r="363" spans="1:12" ht="15.75" customHeight="1" x14ac:dyDescent="0.35">
      <c r="A363" s="10">
        <f t="shared" si="11"/>
        <v>360</v>
      </c>
      <c r="B363" s="3">
        <v>8869</v>
      </c>
      <c r="C363" s="5" t="s">
        <v>1369</v>
      </c>
      <c r="D363" s="5" t="s">
        <v>563</v>
      </c>
      <c r="E363" s="5" t="s">
        <v>16</v>
      </c>
      <c r="F363" s="5" t="s">
        <v>451</v>
      </c>
      <c r="G363" s="7">
        <v>45383</v>
      </c>
      <c r="H363" s="18">
        <v>1.9972602739726026</v>
      </c>
      <c r="I363" s="26" t="s">
        <v>1075</v>
      </c>
      <c r="J363" s="28">
        <v>27778.25</v>
      </c>
      <c r="K363" s="28">
        <v>3000</v>
      </c>
      <c r="L363" s="31">
        <f t="shared" ref="L363:L378" si="17">+K363/J363</f>
        <v>0.10799816403121147</v>
      </c>
    </row>
    <row r="364" spans="1:12" ht="15.75" customHeight="1" x14ac:dyDescent="0.35">
      <c r="A364" s="10">
        <f t="shared" si="11"/>
        <v>361</v>
      </c>
      <c r="B364" s="3">
        <v>8882</v>
      </c>
      <c r="C364" s="5" t="s">
        <v>1379</v>
      </c>
      <c r="D364" s="5" t="s">
        <v>563</v>
      </c>
      <c r="E364" s="5" t="s">
        <v>16</v>
      </c>
      <c r="F364" s="5" t="s">
        <v>326</v>
      </c>
      <c r="G364" s="7">
        <v>45390</v>
      </c>
      <c r="H364" s="18">
        <v>1.978082191780822</v>
      </c>
      <c r="I364" s="26" t="s">
        <v>1075</v>
      </c>
      <c r="J364" s="28">
        <v>27148.25</v>
      </c>
      <c r="K364" s="28">
        <v>3000</v>
      </c>
      <c r="L364" s="31">
        <f t="shared" si="17"/>
        <v>0.11050436031788421</v>
      </c>
    </row>
    <row r="365" spans="1:12" ht="15.75" customHeight="1" x14ac:dyDescent="0.35">
      <c r="A365" s="10">
        <f t="shared" si="11"/>
        <v>362</v>
      </c>
      <c r="B365" s="3">
        <v>8884</v>
      </c>
      <c r="C365" s="5" t="s">
        <v>1380</v>
      </c>
      <c r="D365" s="5" t="s">
        <v>563</v>
      </c>
      <c r="E365" s="5" t="s">
        <v>16</v>
      </c>
      <c r="F365" s="5" t="s">
        <v>589</v>
      </c>
      <c r="G365" s="7">
        <v>45390</v>
      </c>
      <c r="H365" s="18">
        <v>1.978082191780822</v>
      </c>
      <c r="I365" s="26" t="s">
        <v>1075</v>
      </c>
      <c r="J365" s="28">
        <v>27398.25</v>
      </c>
      <c r="K365" s="28">
        <v>3000</v>
      </c>
      <c r="L365" s="31">
        <f t="shared" si="17"/>
        <v>0.10949604445539404</v>
      </c>
    </row>
    <row r="366" spans="1:12" ht="15.75" customHeight="1" x14ac:dyDescent="0.35">
      <c r="A366" s="10">
        <f t="shared" si="11"/>
        <v>363</v>
      </c>
      <c r="B366" s="3">
        <v>8895</v>
      </c>
      <c r="C366" s="5" t="s">
        <v>1383</v>
      </c>
      <c r="D366" s="5" t="s">
        <v>563</v>
      </c>
      <c r="E366" s="5" t="s">
        <v>16</v>
      </c>
      <c r="F366" s="5" t="s">
        <v>897</v>
      </c>
      <c r="G366" s="7">
        <v>45397</v>
      </c>
      <c r="H366" s="18">
        <v>1.9589041095890412</v>
      </c>
      <c r="I366" s="26" t="s">
        <v>1075</v>
      </c>
      <c r="J366" s="28">
        <v>27398.25</v>
      </c>
      <c r="K366" s="28">
        <v>3000</v>
      </c>
      <c r="L366" s="31">
        <f t="shared" si="17"/>
        <v>0.10949604445539404</v>
      </c>
    </row>
    <row r="367" spans="1:12" ht="15.75" customHeight="1" x14ac:dyDescent="0.35">
      <c r="A367" s="10">
        <f t="shared" si="11"/>
        <v>364</v>
      </c>
      <c r="B367" s="3">
        <v>8896</v>
      </c>
      <c r="C367" s="5" t="s">
        <v>1384</v>
      </c>
      <c r="D367" s="5" t="s">
        <v>563</v>
      </c>
      <c r="E367" s="5" t="s">
        <v>16</v>
      </c>
      <c r="F367" s="5" t="s">
        <v>658</v>
      </c>
      <c r="G367" s="7">
        <v>45397</v>
      </c>
      <c r="H367" s="18">
        <v>1.9589041095890412</v>
      </c>
      <c r="I367" s="26" t="s">
        <v>1075</v>
      </c>
      <c r="J367" s="28">
        <v>29278.25</v>
      </c>
      <c r="K367" s="28">
        <v>3000</v>
      </c>
      <c r="L367" s="31">
        <f t="shared" si="17"/>
        <v>0.10246514050532392</v>
      </c>
    </row>
    <row r="368" spans="1:12" ht="15.75" customHeight="1" x14ac:dyDescent="0.35">
      <c r="A368" s="10">
        <f t="shared" si="11"/>
        <v>365</v>
      </c>
      <c r="B368" s="3">
        <v>8897</v>
      </c>
      <c r="C368" s="5" t="s">
        <v>1385</v>
      </c>
      <c r="D368" s="5" t="s">
        <v>563</v>
      </c>
      <c r="E368" s="5" t="s">
        <v>16</v>
      </c>
      <c r="F368" s="5" t="s">
        <v>825</v>
      </c>
      <c r="G368" s="7">
        <v>45397</v>
      </c>
      <c r="H368" s="18">
        <v>1.9589041095890412</v>
      </c>
      <c r="I368" s="26" t="s">
        <v>1075</v>
      </c>
      <c r="J368" s="28">
        <v>27098.25</v>
      </c>
      <c r="K368" s="28">
        <v>3000</v>
      </c>
      <c r="L368" s="31">
        <f t="shared" si="17"/>
        <v>0.11070825606819629</v>
      </c>
    </row>
    <row r="369" spans="1:12" ht="15.75" customHeight="1" x14ac:dyDescent="0.35">
      <c r="A369" s="10">
        <f t="shared" si="11"/>
        <v>366</v>
      </c>
      <c r="B369" s="3">
        <v>8907</v>
      </c>
      <c r="C369" s="5" t="s">
        <v>1391</v>
      </c>
      <c r="D369" s="5" t="s">
        <v>563</v>
      </c>
      <c r="E369" s="5" t="s">
        <v>16</v>
      </c>
      <c r="F369" s="5" t="s">
        <v>658</v>
      </c>
      <c r="G369" s="7">
        <v>45414</v>
      </c>
      <c r="H369" s="18">
        <v>1.9123287671232876</v>
      </c>
      <c r="I369" s="26" t="s">
        <v>1075</v>
      </c>
      <c r="J369" s="28">
        <v>27198.25</v>
      </c>
      <c r="K369" s="28">
        <v>3000</v>
      </c>
      <c r="L369" s="31">
        <f t="shared" si="17"/>
        <v>0.11030121423253335</v>
      </c>
    </row>
    <row r="370" spans="1:12" ht="15.75" customHeight="1" x14ac:dyDescent="0.35">
      <c r="A370" s="10">
        <f t="shared" si="11"/>
        <v>367</v>
      </c>
      <c r="B370" s="3">
        <v>8910</v>
      </c>
      <c r="C370" s="5" t="s">
        <v>1392</v>
      </c>
      <c r="D370" s="5" t="s">
        <v>563</v>
      </c>
      <c r="E370" s="5" t="s">
        <v>16</v>
      </c>
      <c r="F370" s="5" t="s">
        <v>353</v>
      </c>
      <c r="G370" s="7">
        <v>45414</v>
      </c>
      <c r="H370" s="18">
        <v>1.9123287671232876</v>
      </c>
      <c r="I370" s="26" t="s">
        <v>1075</v>
      </c>
      <c r="J370" s="28">
        <v>27098.25</v>
      </c>
      <c r="K370" s="28">
        <v>3000</v>
      </c>
      <c r="L370" s="31">
        <f t="shared" si="17"/>
        <v>0.11070825606819629</v>
      </c>
    </row>
    <row r="371" spans="1:12" ht="15.75" customHeight="1" x14ac:dyDescent="0.35">
      <c r="A371" s="10">
        <f t="shared" si="11"/>
        <v>368</v>
      </c>
      <c r="B371" s="3">
        <v>8912</v>
      </c>
      <c r="C371" s="5" t="s">
        <v>1393</v>
      </c>
      <c r="D371" s="5" t="s">
        <v>563</v>
      </c>
      <c r="E371" s="5" t="s">
        <v>16</v>
      </c>
      <c r="F371" s="5" t="s">
        <v>517</v>
      </c>
      <c r="G371" s="7">
        <v>45414</v>
      </c>
      <c r="H371" s="18">
        <v>1.9123287671232876</v>
      </c>
      <c r="I371" s="26" t="s">
        <v>1075</v>
      </c>
      <c r="J371" s="28">
        <v>27098.25</v>
      </c>
      <c r="K371" s="28">
        <v>3000</v>
      </c>
      <c r="L371" s="31">
        <f t="shared" si="17"/>
        <v>0.11070825606819629</v>
      </c>
    </row>
    <row r="372" spans="1:12" ht="15.75" customHeight="1" x14ac:dyDescent="0.35">
      <c r="A372" s="10">
        <f t="shared" si="11"/>
        <v>369</v>
      </c>
      <c r="B372" s="3">
        <v>8913</v>
      </c>
      <c r="C372" s="5" t="s">
        <v>1394</v>
      </c>
      <c r="D372" s="5" t="s">
        <v>563</v>
      </c>
      <c r="E372" s="5" t="s">
        <v>16</v>
      </c>
      <c r="F372" s="5" t="s">
        <v>589</v>
      </c>
      <c r="G372" s="7">
        <v>45414</v>
      </c>
      <c r="H372" s="18">
        <v>1.9123287671232876</v>
      </c>
      <c r="I372" s="26" t="s">
        <v>1075</v>
      </c>
      <c r="J372" s="28">
        <v>27198.25</v>
      </c>
      <c r="K372" s="28">
        <v>3000</v>
      </c>
      <c r="L372" s="31">
        <f t="shared" si="17"/>
        <v>0.11030121423253335</v>
      </c>
    </row>
    <row r="373" spans="1:12" ht="15.75" customHeight="1" x14ac:dyDescent="0.35">
      <c r="A373" s="10">
        <f t="shared" si="11"/>
        <v>370</v>
      </c>
      <c r="B373" s="3">
        <v>8914</v>
      </c>
      <c r="C373" s="5" t="s">
        <v>1395</v>
      </c>
      <c r="D373" s="5" t="s">
        <v>563</v>
      </c>
      <c r="E373" s="5" t="s">
        <v>16</v>
      </c>
      <c r="F373" s="5" t="s">
        <v>497</v>
      </c>
      <c r="G373" s="7">
        <v>45414</v>
      </c>
      <c r="H373" s="18">
        <v>1.9123287671232876</v>
      </c>
      <c r="I373" s="26" t="s">
        <v>1075</v>
      </c>
      <c r="J373" s="28">
        <v>27098.25</v>
      </c>
      <c r="K373" s="28">
        <v>3000</v>
      </c>
      <c r="L373" s="31">
        <f t="shared" si="17"/>
        <v>0.11070825606819629</v>
      </c>
    </row>
    <row r="374" spans="1:12" ht="15.75" customHeight="1" x14ac:dyDescent="0.35">
      <c r="A374" s="10">
        <f t="shared" si="11"/>
        <v>371</v>
      </c>
      <c r="B374" s="3">
        <v>8931</v>
      </c>
      <c r="C374" s="5" t="s">
        <v>1401</v>
      </c>
      <c r="D374" s="5" t="s">
        <v>563</v>
      </c>
      <c r="E374" s="5" t="s">
        <v>16</v>
      </c>
      <c r="F374" s="5" t="s">
        <v>302</v>
      </c>
      <c r="G374" s="7">
        <v>45426</v>
      </c>
      <c r="H374" s="18">
        <v>1.8794520547945206</v>
      </c>
      <c r="I374" s="26" t="s">
        <v>1075</v>
      </c>
      <c r="J374" s="28">
        <v>27098.25</v>
      </c>
      <c r="K374" s="28">
        <v>3000</v>
      </c>
      <c r="L374" s="31">
        <f t="shared" si="17"/>
        <v>0.11070825606819629</v>
      </c>
    </row>
    <row r="375" spans="1:12" ht="15.75" customHeight="1" x14ac:dyDescent="0.35">
      <c r="A375" s="10">
        <f t="shared" si="11"/>
        <v>372</v>
      </c>
      <c r="B375" s="3">
        <v>8932</v>
      </c>
      <c r="C375" s="5" t="s">
        <v>1402</v>
      </c>
      <c r="D375" s="5" t="s">
        <v>563</v>
      </c>
      <c r="E375" s="5" t="s">
        <v>16</v>
      </c>
      <c r="F375" s="5" t="s">
        <v>955</v>
      </c>
      <c r="G375" s="7">
        <v>45426</v>
      </c>
      <c r="H375" s="18">
        <v>1.8794520547945206</v>
      </c>
      <c r="I375" s="26" t="s">
        <v>1075</v>
      </c>
      <c r="J375" s="28">
        <v>27098.25</v>
      </c>
      <c r="K375" s="28">
        <v>3000</v>
      </c>
      <c r="L375" s="31">
        <f t="shared" si="17"/>
        <v>0.11070825606819629</v>
      </c>
    </row>
    <row r="376" spans="1:12" ht="15.75" customHeight="1" x14ac:dyDescent="0.35">
      <c r="A376" s="10">
        <f t="shared" si="11"/>
        <v>373</v>
      </c>
      <c r="B376" s="3">
        <v>8942</v>
      </c>
      <c r="C376" s="5" t="s">
        <v>1408</v>
      </c>
      <c r="D376" s="5" t="s">
        <v>563</v>
      </c>
      <c r="E376" s="5" t="s">
        <v>16</v>
      </c>
      <c r="F376" s="5" t="s">
        <v>1057</v>
      </c>
      <c r="G376" s="7">
        <v>45446</v>
      </c>
      <c r="H376" s="18">
        <v>1.8246575342465754</v>
      </c>
      <c r="I376" s="26" t="s">
        <v>1075</v>
      </c>
      <c r="J376" s="28">
        <v>27098.25</v>
      </c>
      <c r="K376" s="28">
        <v>3000</v>
      </c>
      <c r="L376" s="31">
        <f t="shared" si="17"/>
        <v>0.11070825606819629</v>
      </c>
    </row>
    <row r="377" spans="1:12" ht="15.75" customHeight="1" x14ac:dyDescent="0.35">
      <c r="A377" s="10">
        <f t="shared" si="11"/>
        <v>374</v>
      </c>
      <c r="B377" s="3">
        <v>8945</v>
      </c>
      <c r="C377" s="5" t="s">
        <v>1410</v>
      </c>
      <c r="D377" s="5" t="s">
        <v>563</v>
      </c>
      <c r="E377" s="5" t="s">
        <v>16</v>
      </c>
      <c r="F377" s="5" t="s">
        <v>1057</v>
      </c>
      <c r="G377" s="7">
        <v>45446</v>
      </c>
      <c r="H377" s="18">
        <v>1.8246575342465754</v>
      </c>
      <c r="I377" s="26" t="s">
        <v>1075</v>
      </c>
      <c r="J377" s="28">
        <v>27398.25</v>
      </c>
      <c r="K377" s="28">
        <v>3000</v>
      </c>
      <c r="L377" s="31">
        <f t="shared" si="17"/>
        <v>0.10949604445539404</v>
      </c>
    </row>
    <row r="378" spans="1:12" ht="15.75" customHeight="1" x14ac:dyDescent="0.35">
      <c r="A378" s="10">
        <f t="shared" si="11"/>
        <v>375</v>
      </c>
      <c r="B378" s="3">
        <v>8946</v>
      </c>
      <c r="C378" s="5" t="s">
        <v>1411</v>
      </c>
      <c r="D378" s="5" t="s">
        <v>563</v>
      </c>
      <c r="E378" s="5" t="s">
        <v>16</v>
      </c>
      <c r="F378" s="5" t="s">
        <v>497</v>
      </c>
      <c r="G378" s="7">
        <v>45446</v>
      </c>
      <c r="H378" s="18">
        <v>1.8246575342465754</v>
      </c>
      <c r="I378" s="26" t="s">
        <v>1075</v>
      </c>
      <c r="J378" s="28">
        <v>26998.25</v>
      </c>
      <c r="K378" s="28">
        <v>3000</v>
      </c>
      <c r="L378" s="31">
        <f t="shared" si="17"/>
        <v>0.11111831322400526</v>
      </c>
    </row>
    <row r="379" spans="1:12" ht="15.75" customHeight="1" x14ac:dyDescent="0.35">
      <c r="A379" s="10">
        <f t="shared" si="11"/>
        <v>376</v>
      </c>
      <c r="B379" s="3">
        <v>8975</v>
      </c>
      <c r="C379" s="5" t="s">
        <v>1420</v>
      </c>
      <c r="D379" s="5" t="s">
        <v>563</v>
      </c>
      <c r="E379" s="5" t="s">
        <v>16</v>
      </c>
      <c r="F379" s="5" t="s">
        <v>141</v>
      </c>
      <c r="G379" s="7">
        <v>45901</v>
      </c>
      <c r="H379" s="18">
        <v>0.57808219178082187</v>
      </c>
      <c r="I379" s="26" t="s">
        <v>888</v>
      </c>
      <c r="J379" s="28">
        <v>26000</v>
      </c>
      <c r="K379" s="28"/>
      <c r="L379" s="28"/>
    </row>
    <row r="380" spans="1:12" ht="15.75" customHeight="1" x14ac:dyDescent="0.35">
      <c r="A380" s="10">
        <f t="shared" si="11"/>
        <v>377</v>
      </c>
      <c r="B380" s="3">
        <v>8977</v>
      </c>
      <c r="C380" s="5" t="s">
        <v>1422</v>
      </c>
      <c r="D380" s="5" t="s">
        <v>563</v>
      </c>
      <c r="E380" s="5" t="s">
        <v>16</v>
      </c>
      <c r="F380" s="5" t="s">
        <v>1423</v>
      </c>
      <c r="G380" s="7">
        <v>45901</v>
      </c>
      <c r="H380" s="18">
        <v>0.57808219178082187</v>
      </c>
      <c r="I380" s="26" t="s">
        <v>888</v>
      </c>
      <c r="J380" s="28">
        <v>26000</v>
      </c>
      <c r="K380" s="28"/>
      <c r="L380" s="28"/>
    </row>
    <row r="381" spans="1:12" ht="15.75" customHeight="1" x14ac:dyDescent="0.35">
      <c r="A381" s="10">
        <f t="shared" si="11"/>
        <v>378</v>
      </c>
      <c r="B381" s="3">
        <v>8980</v>
      </c>
      <c r="C381" s="5" t="s">
        <v>1424</v>
      </c>
      <c r="D381" s="5" t="s">
        <v>563</v>
      </c>
      <c r="E381" s="5" t="s">
        <v>16</v>
      </c>
      <c r="F381" s="5" t="s">
        <v>141</v>
      </c>
      <c r="G381" s="7">
        <v>45481</v>
      </c>
      <c r="H381" s="18">
        <v>1.7287671232876711</v>
      </c>
      <c r="I381" s="26" t="s">
        <v>13</v>
      </c>
      <c r="J381" s="28">
        <v>27698.25</v>
      </c>
      <c r="K381" s="28">
        <v>3000</v>
      </c>
      <c r="L381" s="31">
        <f>+K381/J381</f>
        <v>0.10831009179280279</v>
      </c>
    </row>
    <row r="382" spans="1:12" ht="15.75" customHeight="1" x14ac:dyDescent="0.35">
      <c r="A382" s="10">
        <f t="shared" si="11"/>
        <v>379</v>
      </c>
      <c r="B382" s="3">
        <v>8983</v>
      </c>
      <c r="C382" s="5" t="s">
        <v>1425</v>
      </c>
      <c r="D382" s="5" t="s">
        <v>563</v>
      </c>
      <c r="E382" s="5" t="s">
        <v>16</v>
      </c>
      <c r="F382" s="5" t="s">
        <v>763</v>
      </c>
      <c r="G382" s="7">
        <v>45901</v>
      </c>
      <c r="H382" s="18">
        <v>0.57808219178082187</v>
      </c>
      <c r="I382" s="26" t="s">
        <v>888</v>
      </c>
      <c r="J382" s="28">
        <v>26000</v>
      </c>
      <c r="K382" s="28"/>
      <c r="L382" s="28"/>
    </row>
    <row r="383" spans="1:12" ht="15.75" customHeight="1" x14ac:dyDescent="0.35">
      <c r="A383" s="10">
        <f t="shared" si="11"/>
        <v>380</v>
      </c>
      <c r="B383" s="3">
        <v>8985</v>
      </c>
      <c r="C383" s="5" t="s">
        <v>1426</v>
      </c>
      <c r="D383" s="5" t="s">
        <v>563</v>
      </c>
      <c r="E383" s="5" t="s">
        <v>16</v>
      </c>
      <c r="F383" s="5" t="s">
        <v>697</v>
      </c>
      <c r="G383" s="7">
        <v>45901</v>
      </c>
      <c r="H383" s="18">
        <v>0.57808219178082187</v>
      </c>
      <c r="I383" s="26" t="s">
        <v>888</v>
      </c>
      <c r="J383" s="28">
        <v>26000</v>
      </c>
      <c r="K383" s="28"/>
      <c r="L383" s="28"/>
    </row>
    <row r="384" spans="1:12" ht="15.75" customHeight="1" x14ac:dyDescent="0.35">
      <c r="A384" s="10">
        <f t="shared" si="11"/>
        <v>381</v>
      </c>
      <c r="B384" s="3">
        <v>8986</v>
      </c>
      <c r="C384" s="5" t="s">
        <v>1427</v>
      </c>
      <c r="D384" s="5" t="s">
        <v>563</v>
      </c>
      <c r="E384" s="5" t="s">
        <v>16</v>
      </c>
      <c r="F384" s="5" t="s">
        <v>955</v>
      </c>
      <c r="G384" s="7">
        <v>45901</v>
      </c>
      <c r="H384" s="18">
        <v>0.57808219178082187</v>
      </c>
      <c r="I384" s="26" t="s">
        <v>888</v>
      </c>
      <c r="J384" s="28">
        <v>26000</v>
      </c>
      <c r="K384" s="28"/>
      <c r="L384" s="28"/>
    </row>
    <row r="385" spans="1:12" ht="15.75" customHeight="1" x14ac:dyDescent="0.35">
      <c r="A385" s="10">
        <f t="shared" si="11"/>
        <v>382</v>
      </c>
      <c r="B385" s="3">
        <v>8988</v>
      </c>
      <c r="C385" s="5" t="s">
        <v>1428</v>
      </c>
      <c r="D385" s="5" t="s">
        <v>563</v>
      </c>
      <c r="E385" s="5" t="s">
        <v>16</v>
      </c>
      <c r="F385" s="5" t="s">
        <v>681</v>
      </c>
      <c r="G385" s="7">
        <v>45901</v>
      </c>
      <c r="H385" s="18">
        <v>0.57808219178082187</v>
      </c>
      <c r="I385" s="26" t="s">
        <v>888</v>
      </c>
      <c r="J385" s="28">
        <v>26000</v>
      </c>
      <c r="K385" s="28"/>
      <c r="L385" s="28"/>
    </row>
    <row r="386" spans="1:12" ht="15.75" customHeight="1" x14ac:dyDescent="0.35">
      <c r="A386" s="10">
        <f t="shared" si="11"/>
        <v>383</v>
      </c>
      <c r="B386" s="3">
        <v>8994</v>
      </c>
      <c r="C386" s="5" t="s">
        <v>1431</v>
      </c>
      <c r="D386" s="5" t="s">
        <v>563</v>
      </c>
      <c r="E386" s="5" t="s">
        <v>16</v>
      </c>
      <c r="F386" s="5" t="s">
        <v>825</v>
      </c>
      <c r="G386" s="7">
        <v>45901</v>
      </c>
      <c r="H386" s="18">
        <v>0.57808219178082187</v>
      </c>
      <c r="I386" s="26" t="s">
        <v>888</v>
      </c>
      <c r="J386" s="28">
        <v>26000</v>
      </c>
      <c r="K386" s="28"/>
      <c r="L386" s="28"/>
    </row>
    <row r="387" spans="1:12" ht="15.75" customHeight="1" x14ac:dyDescent="0.35">
      <c r="A387" s="10">
        <f t="shared" si="11"/>
        <v>384</v>
      </c>
      <c r="B387" s="3">
        <v>9003</v>
      </c>
      <c r="C387" s="5" t="s">
        <v>1437</v>
      </c>
      <c r="D387" s="5" t="s">
        <v>563</v>
      </c>
      <c r="E387" s="5" t="s">
        <v>16</v>
      </c>
      <c r="F387" s="5" t="s">
        <v>1423</v>
      </c>
      <c r="G387" s="7">
        <v>45901</v>
      </c>
      <c r="H387" s="18">
        <v>0.57808219178082187</v>
      </c>
      <c r="I387" s="26" t="s">
        <v>888</v>
      </c>
      <c r="J387" s="28">
        <v>26000</v>
      </c>
      <c r="K387" s="28"/>
      <c r="L387" s="28"/>
    </row>
    <row r="388" spans="1:12" ht="15.75" customHeight="1" x14ac:dyDescent="0.35">
      <c r="A388" s="10">
        <f t="shared" si="11"/>
        <v>385</v>
      </c>
      <c r="B388" s="3">
        <v>9006</v>
      </c>
      <c r="C388" s="5" t="s">
        <v>1438</v>
      </c>
      <c r="D388" s="5" t="s">
        <v>563</v>
      </c>
      <c r="E388" s="5" t="s">
        <v>16</v>
      </c>
      <c r="F388" s="5" t="s">
        <v>819</v>
      </c>
      <c r="G388" s="7">
        <v>45901</v>
      </c>
      <c r="H388" s="18">
        <v>0.57808219178082187</v>
      </c>
      <c r="I388" s="26" t="s">
        <v>888</v>
      </c>
      <c r="J388" s="28">
        <v>26000</v>
      </c>
      <c r="K388" s="28"/>
      <c r="L388" s="28"/>
    </row>
    <row r="389" spans="1:12" ht="15.75" customHeight="1" x14ac:dyDescent="0.35">
      <c r="A389" s="10">
        <f t="shared" si="11"/>
        <v>386</v>
      </c>
      <c r="B389" s="3">
        <v>9007</v>
      </c>
      <c r="C389" s="5" t="s">
        <v>1439</v>
      </c>
      <c r="D389" s="5" t="s">
        <v>563</v>
      </c>
      <c r="E389" s="5" t="s">
        <v>16</v>
      </c>
      <c r="F389" s="5" t="s">
        <v>141</v>
      </c>
      <c r="G389" s="7">
        <v>45505</v>
      </c>
      <c r="H389" s="18">
        <v>1.6630136986301369</v>
      </c>
      <c r="I389" s="26" t="s">
        <v>13</v>
      </c>
      <c r="J389" s="28">
        <v>29598.25</v>
      </c>
      <c r="K389" s="28">
        <v>3000</v>
      </c>
      <c r="L389" s="31">
        <f t="shared" ref="L389:L390" si="18">+K389/J389</f>
        <v>0.10135734376187781</v>
      </c>
    </row>
    <row r="390" spans="1:12" ht="15.75" customHeight="1" x14ac:dyDescent="0.35">
      <c r="A390" s="10">
        <f t="shared" ref="A390:A453" si="19">+A389+1</f>
        <v>387</v>
      </c>
      <c r="B390" s="3">
        <v>9010</v>
      </c>
      <c r="C390" s="5" t="s">
        <v>1440</v>
      </c>
      <c r="D390" s="5" t="s">
        <v>563</v>
      </c>
      <c r="E390" s="5" t="s">
        <v>16</v>
      </c>
      <c r="F390" s="5" t="s">
        <v>497</v>
      </c>
      <c r="G390" s="7">
        <v>45505</v>
      </c>
      <c r="H390" s="18">
        <v>1.6630136986301369</v>
      </c>
      <c r="I390" s="26" t="s">
        <v>13</v>
      </c>
      <c r="J390" s="28">
        <v>26798.25</v>
      </c>
      <c r="K390" s="28">
        <v>3000</v>
      </c>
      <c r="L390" s="31">
        <f t="shared" si="18"/>
        <v>0.11194760851921301</v>
      </c>
    </row>
    <row r="391" spans="1:12" ht="15.75" customHeight="1" x14ac:dyDescent="0.35">
      <c r="A391" s="10">
        <f t="shared" si="19"/>
        <v>388</v>
      </c>
      <c r="B391" s="3">
        <v>9012</v>
      </c>
      <c r="C391" s="5" t="s">
        <v>1441</v>
      </c>
      <c r="D391" s="5" t="s">
        <v>563</v>
      </c>
      <c r="E391" s="5" t="s">
        <v>16</v>
      </c>
      <c r="F391" s="5" t="s">
        <v>238</v>
      </c>
      <c r="G391" s="7">
        <v>45901</v>
      </c>
      <c r="H391" s="18">
        <v>0.57808219178082187</v>
      </c>
      <c r="I391" s="26" t="s">
        <v>888</v>
      </c>
      <c r="J391" s="28">
        <v>26000</v>
      </c>
      <c r="K391" s="28"/>
      <c r="L391" s="28"/>
    </row>
    <row r="392" spans="1:12" ht="15.75" customHeight="1" x14ac:dyDescent="0.35">
      <c r="A392" s="10">
        <f t="shared" si="19"/>
        <v>389</v>
      </c>
      <c r="B392" s="3">
        <v>9013</v>
      </c>
      <c r="C392" s="5" t="s">
        <v>1442</v>
      </c>
      <c r="D392" s="5" t="s">
        <v>563</v>
      </c>
      <c r="E392" s="5" t="s">
        <v>16</v>
      </c>
      <c r="F392" s="5" t="s">
        <v>739</v>
      </c>
      <c r="G392" s="7">
        <v>45505</v>
      </c>
      <c r="H392" s="18">
        <v>1.6630136986301369</v>
      </c>
      <c r="I392" s="26" t="s">
        <v>13</v>
      </c>
      <c r="J392" s="28">
        <v>27198.25</v>
      </c>
      <c r="K392" s="28">
        <v>3000</v>
      </c>
      <c r="L392" s="31">
        <f>+K392/J392</f>
        <v>0.11030121423253335</v>
      </c>
    </row>
    <row r="393" spans="1:12" ht="15.75" customHeight="1" x14ac:dyDescent="0.35">
      <c r="A393" s="10">
        <f t="shared" si="19"/>
        <v>390</v>
      </c>
      <c r="B393" s="3">
        <v>9029</v>
      </c>
      <c r="C393" s="5" t="s">
        <v>1447</v>
      </c>
      <c r="D393" s="5" t="s">
        <v>563</v>
      </c>
      <c r="E393" s="5" t="s">
        <v>16</v>
      </c>
      <c r="F393" s="5" t="s">
        <v>850</v>
      </c>
      <c r="G393" s="7">
        <v>45931</v>
      </c>
      <c r="H393" s="18">
        <v>0.49589041095890413</v>
      </c>
      <c r="I393" s="26" t="s">
        <v>888</v>
      </c>
      <c r="J393" s="28">
        <v>26000</v>
      </c>
      <c r="K393" s="28"/>
      <c r="L393" s="28"/>
    </row>
    <row r="394" spans="1:12" ht="15.75" customHeight="1" x14ac:dyDescent="0.35">
      <c r="A394" s="10">
        <f t="shared" si="19"/>
        <v>391</v>
      </c>
      <c r="B394" s="3">
        <v>9032</v>
      </c>
      <c r="C394" s="5" t="s">
        <v>1448</v>
      </c>
      <c r="D394" s="5" t="s">
        <v>563</v>
      </c>
      <c r="E394" s="5" t="s">
        <v>16</v>
      </c>
      <c r="F394" s="5" t="s">
        <v>819</v>
      </c>
      <c r="G394" s="7">
        <v>45931</v>
      </c>
      <c r="H394" s="18">
        <v>0.49589041095890413</v>
      </c>
      <c r="I394" s="26" t="s">
        <v>888</v>
      </c>
      <c r="J394" s="28">
        <v>26000</v>
      </c>
      <c r="K394" s="28"/>
      <c r="L394" s="28"/>
    </row>
    <row r="395" spans="1:12" ht="15.75" customHeight="1" x14ac:dyDescent="0.35">
      <c r="A395" s="10">
        <f t="shared" si="19"/>
        <v>392</v>
      </c>
      <c r="B395" s="3">
        <v>9038</v>
      </c>
      <c r="C395" s="5" t="s">
        <v>1452</v>
      </c>
      <c r="D395" s="5" t="s">
        <v>563</v>
      </c>
      <c r="E395" s="5" t="s">
        <v>16</v>
      </c>
      <c r="F395" s="5" t="s">
        <v>819</v>
      </c>
      <c r="G395" s="7">
        <v>45537</v>
      </c>
      <c r="H395" s="18">
        <v>1.5753424657534247</v>
      </c>
      <c r="I395" s="26" t="s">
        <v>1075</v>
      </c>
      <c r="J395" s="28">
        <v>26798.25</v>
      </c>
      <c r="K395" s="28">
        <v>3000</v>
      </c>
      <c r="L395" s="31">
        <f t="shared" ref="L395:L405" si="20">+K395/J395</f>
        <v>0.11194760851921301</v>
      </c>
    </row>
    <row r="396" spans="1:12" ht="15.75" customHeight="1" x14ac:dyDescent="0.35">
      <c r="A396" s="10">
        <f t="shared" si="19"/>
        <v>393</v>
      </c>
      <c r="B396" s="3">
        <v>9039</v>
      </c>
      <c r="C396" s="5" t="s">
        <v>1453</v>
      </c>
      <c r="D396" s="5" t="s">
        <v>563</v>
      </c>
      <c r="E396" s="5" t="s">
        <v>16</v>
      </c>
      <c r="F396" s="5" t="s">
        <v>711</v>
      </c>
      <c r="G396" s="7">
        <v>45544</v>
      </c>
      <c r="H396" s="18">
        <v>1.5561643835616439</v>
      </c>
      <c r="I396" s="26" t="s">
        <v>1075</v>
      </c>
      <c r="J396" s="28">
        <v>26998.25</v>
      </c>
      <c r="K396" s="28">
        <v>3000</v>
      </c>
      <c r="L396" s="31">
        <f t="shared" si="20"/>
        <v>0.11111831322400526</v>
      </c>
    </row>
    <row r="397" spans="1:12" ht="15.75" customHeight="1" x14ac:dyDescent="0.35">
      <c r="A397" s="10">
        <f t="shared" si="19"/>
        <v>394</v>
      </c>
      <c r="B397" s="3">
        <v>9048</v>
      </c>
      <c r="C397" s="5" t="s">
        <v>1456</v>
      </c>
      <c r="D397" s="5" t="s">
        <v>563</v>
      </c>
      <c r="E397" s="5" t="s">
        <v>16</v>
      </c>
      <c r="F397" s="5" t="s">
        <v>141</v>
      </c>
      <c r="G397" s="7">
        <v>45558</v>
      </c>
      <c r="H397" s="18">
        <v>1.5178082191780822</v>
      </c>
      <c r="I397" s="26" t="s">
        <v>1075</v>
      </c>
      <c r="J397" s="28">
        <v>26798.25</v>
      </c>
      <c r="K397" s="28">
        <v>3000</v>
      </c>
      <c r="L397" s="31">
        <f t="shared" si="20"/>
        <v>0.11194760851921301</v>
      </c>
    </row>
    <row r="398" spans="1:12" ht="15.75" customHeight="1" x14ac:dyDescent="0.35">
      <c r="A398" s="10">
        <f t="shared" si="19"/>
        <v>395</v>
      </c>
      <c r="B398" s="3">
        <v>9053</v>
      </c>
      <c r="C398" s="5" t="s">
        <v>1461</v>
      </c>
      <c r="D398" s="5" t="s">
        <v>563</v>
      </c>
      <c r="E398" s="5" t="s">
        <v>16</v>
      </c>
      <c r="F398" s="5" t="s">
        <v>353</v>
      </c>
      <c r="G398" s="7">
        <v>45568</v>
      </c>
      <c r="H398" s="18">
        <v>1.4904109589041097</v>
      </c>
      <c r="I398" s="26" t="s">
        <v>888</v>
      </c>
      <c r="J398" s="28">
        <v>27680</v>
      </c>
      <c r="K398" s="28">
        <v>3000</v>
      </c>
      <c r="L398" s="31">
        <f t="shared" si="20"/>
        <v>0.10838150289017341</v>
      </c>
    </row>
    <row r="399" spans="1:12" ht="15.75" customHeight="1" x14ac:dyDescent="0.35">
      <c r="A399" s="10">
        <f t="shared" si="19"/>
        <v>396</v>
      </c>
      <c r="B399" s="3">
        <v>9061</v>
      </c>
      <c r="C399" s="5" t="s">
        <v>1467</v>
      </c>
      <c r="D399" s="5" t="s">
        <v>563</v>
      </c>
      <c r="E399" s="5" t="s">
        <v>16</v>
      </c>
      <c r="F399" s="5" t="s">
        <v>850</v>
      </c>
      <c r="G399" s="7">
        <v>45568</v>
      </c>
      <c r="H399" s="18">
        <v>1.4904109589041097</v>
      </c>
      <c r="I399" s="26" t="s">
        <v>1075</v>
      </c>
      <c r="J399" s="28">
        <v>27398.25</v>
      </c>
      <c r="K399" s="28">
        <v>3000</v>
      </c>
      <c r="L399" s="31">
        <f t="shared" si="20"/>
        <v>0.10949604445539404</v>
      </c>
    </row>
    <row r="400" spans="1:12" ht="15.75" customHeight="1" x14ac:dyDescent="0.35">
      <c r="A400" s="10">
        <f t="shared" si="19"/>
        <v>397</v>
      </c>
      <c r="B400" s="3">
        <v>9066</v>
      </c>
      <c r="C400" s="5" t="s">
        <v>1468</v>
      </c>
      <c r="D400" s="5" t="s">
        <v>563</v>
      </c>
      <c r="E400" s="5" t="s">
        <v>16</v>
      </c>
      <c r="F400" s="5" t="s">
        <v>1057</v>
      </c>
      <c r="G400" s="7">
        <v>45568</v>
      </c>
      <c r="H400" s="18">
        <v>1.4904109589041097</v>
      </c>
      <c r="I400" s="26" t="s">
        <v>1075</v>
      </c>
      <c r="J400" s="28">
        <v>28398.25</v>
      </c>
      <c r="K400" s="28">
        <v>3000</v>
      </c>
      <c r="L400" s="31">
        <f t="shared" si="20"/>
        <v>0.10564031234319016</v>
      </c>
    </row>
    <row r="401" spans="1:12" ht="15.75" customHeight="1" x14ac:dyDescent="0.35">
      <c r="A401" s="10">
        <f t="shared" si="19"/>
        <v>398</v>
      </c>
      <c r="B401" s="3">
        <v>9071</v>
      </c>
      <c r="C401" s="5" t="s">
        <v>1470</v>
      </c>
      <c r="D401" s="5" t="s">
        <v>563</v>
      </c>
      <c r="E401" s="5" t="s">
        <v>16</v>
      </c>
      <c r="F401" s="5" t="s">
        <v>144</v>
      </c>
      <c r="G401" s="7">
        <v>45579</v>
      </c>
      <c r="H401" s="18">
        <v>1.4602739726027398</v>
      </c>
      <c r="I401" s="26" t="s">
        <v>1075</v>
      </c>
      <c r="J401" s="28">
        <v>27098.25</v>
      </c>
      <c r="K401" s="28">
        <v>3000</v>
      </c>
      <c r="L401" s="31">
        <f t="shared" si="20"/>
        <v>0.11070825606819629</v>
      </c>
    </row>
    <row r="402" spans="1:12" ht="15.75" customHeight="1" x14ac:dyDescent="0.35">
      <c r="A402" s="10">
        <f t="shared" si="19"/>
        <v>399</v>
      </c>
      <c r="B402" s="3">
        <v>9072</v>
      </c>
      <c r="C402" s="5" t="s">
        <v>1471</v>
      </c>
      <c r="D402" s="5" t="s">
        <v>563</v>
      </c>
      <c r="E402" s="5" t="s">
        <v>16</v>
      </c>
      <c r="F402" s="5" t="s">
        <v>697</v>
      </c>
      <c r="G402" s="7">
        <v>45579</v>
      </c>
      <c r="H402" s="18">
        <v>1.4602739726027398</v>
      </c>
      <c r="I402" s="26" t="s">
        <v>1075</v>
      </c>
      <c r="J402" s="28">
        <v>27098.25</v>
      </c>
      <c r="K402" s="28">
        <v>3000</v>
      </c>
      <c r="L402" s="31">
        <f t="shared" si="20"/>
        <v>0.11070825606819629</v>
      </c>
    </row>
    <row r="403" spans="1:12" ht="15.75" customHeight="1" x14ac:dyDescent="0.35">
      <c r="A403" s="10">
        <f t="shared" si="19"/>
        <v>400</v>
      </c>
      <c r="B403" s="3">
        <v>9073</v>
      </c>
      <c r="C403" s="5" t="s">
        <v>1472</v>
      </c>
      <c r="D403" s="5" t="s">
        <v>563</v>
      </c>
      <c r="E403" s="5" t="s">
        <v>16</v>
      </c>
      <c r="F403" s="5" t="s">
        <v>739</v>
      </c>
      <c r="G403" s="7">
        <v>45579</v>
      </c>
      <c r="H403" s="18">
        <v>1.4602739726027398</v>
      </c>
      <c r="I403" s="26" t="s">
        <v>1075</v>
      </c>
      <c r="J403" s="28">
        <v>26798.25</v>
      </c>
      <c r="K403" s="28">
        <v>3000</v>
      </c>
      <c r="L403" s="31">
        <f t="shared" si="20"/>
        <v>0.11194760851921301</v>
      </c>
    </row>
    <row r="404" spans="1:12" ht="15.75" customHeight="1" x14ac:dyDescent="0.35">
      <c r="A404" s="10">
        <f t="shared" si="19"/>
        <v>401</v>
      </c>
      <c r="B404" s="3">
        <v>9075</v>
      </c>
      <c r="C404" s="5" t="s">
        <v>1473</v>
      </c>
      <c r="D404" s="5" t="s">
        <v>563</v>
      </c>
      <c r="E404" s="5" t="s">
        <v>16</v>
      </c>
      <c r="F404" s="5" t="s">
        <v>897</v>
      </c>
      <c r="G404" s="7">
        <v>45581</v>
      </c>
      <c r="H404" s="18">
        <v>1.4547945205479451</v>
      </c>
      <c r="I404" s="26" t="s">
        <v>1075</v>
      </c>
      <c r="J404" s="28">
        <v>26798.25</v>
      </c>
      <c r="K404" s="28">
        <v>3000</v>
      </c>
      <c r="L404" s="31">
        <f t="shared" si="20"/>
        <v>0.11194760851921301</v>
      </c>
    </row>
    <row r="405" spans="1:12" ht="15.75" customHeight="1" x14ac:dyDescent="0.35">
      <c r="A405" s="10">
        <f t="shared" si="19"/>
        <v>402</v>
      </c>
      <c r="B405" s="3">
        <v>9076</v>
      </c>
      <c r="C405" s="5" t="s">
        <v>1474</v>
      </c>
      <c r="D405" s="5" t="s">
        <v>563</v>
      </c>
      <c r="E405" s="5" t="s">
        <v>16</v>
      </c>
      <c r="F405" s="5" t="s">
        <v>1107</v>
      </c>
      <c r="G405" s="7">
        <v>45581</v>
      </c>
      <c r="H405" s="18">
        <v>1.4547945205479451</v>
      </c>
      <c r="I405" s="26" t="s">
        <v>1075</v>
      </c>
      <c r="J405" s="28">
        <v>26798.25</v>
      </c>
      <c r="K405" s="28">
        <v>3000</v>
      </c>
      <c r="L405" s="31">
        <f t="shared" si="20"/>
        <v>0.11194760851921301</v>
      </c>
    </row>
    <row r="406" spans="1:12" ht="15.75" customHeight="1" x14ac:dyDescent="0.35">
      <c r="A406" s="10">
        <f t="shared" si="19"/>
        <v>403</v>
      </c>
      <c r="B406" s="3">
        <v>9085</v>
      </c>
      <c r="C406" s="5" t="s">
        <v>1479</v>
      </c>
      <c r="D406" s="5" t="s">
        <v>563</v>
      </c>
      <c r="E406" s="5" t="s">
        <v>16</v>
      </c>
      <c r="F406" s="5" t="s">
        <v>238</v>
      </c>
      <c r="G406" s="7">
        <v>45992</v>
      </c>
      <c r="H406" s="18">
        <v>0.32876712328767121</v>
      </c>
      <c r="I406" s="26" t="s">
        <v>888</v>
      </c>
      <c r="J406" s="28">
        <v>26000</v>
      </c>
      <c r="K406" s="28"/>
      <c r="L406" s="28"/>
    </row>
    <row r="407" spans="1:12" ht="15.75" customHeight="1" x14ac:dyDescent="0.35">
      <c r="A407" s="10">
        <f t="shared" si="19"/>
        <v>404</v>
      </c>
      <c r="B407" s="3">
        <v>9089</v>
      </c>
      <c r="C407" s="5" t="s">
        <v>1480</v>
      </c>
      <c r="D407" s="5" t="s">
        <v>563</v>
      </c>
      <c r="E407" s="5" t="s">
        <v>16</v>
      </c>
      <c r="F407" s="5" t="s">
        <v>141</v>
      </c>
      <c r="G407" s="7">
        <v>45600</v>
      </c>
      <c r="H407" s="18">
        <v>1.4027397260273973</v>
      </c>
      <c r="I407" s="26" t="s">
        <v>1075</v>
      </c>
      <c r="J407" s="28">
        <v>27148.25</v>
      </c>
      <c r="K407" s="28">
        <v>3000</v>
      </c>
      <c r="L407" s="31">
        <f t="shared" ref="L407:L425" si="21">+K407/J407</f>
        <v>0.11050436031788421</v>
      </c>
    </row>
    <row r="408" spans="1:12" ht="15.75" customHeight="1" x14ac:dyDescent="0.35">
      <c r="A408" s="10">
        <f t="shared" si="19"/>
        <v>405</v>
      </c>
      <c r="B408" s="3">
        <v>9090</v>
      </c>
      <c r="C408" s="5" t="s">
        <v>1481</v>
      </c>
      <c r="D408" s="5" t="s">
        <v>563</v>
      </c>
      <c r="E408" s="5" t="s">
        <v>16</v>
      </c>
      <c r="F408" s="5" t="s">
        <v>681</v>
      </c>
      <c r="G408" s="7">
        <v>45600</v>
      </c>
      <c r="H408" s="18">
        <v>1.4027397260273973</v>
      </c>
      <c r="I408" s="26" t="s">
        <v>1075</v>
      </c>
      <c r="J408" s="28">
        <v>27098.25</v>
      </c>
      <c r="K408" s="28">
        <v>3000</v>
      </c>
      <c r="L408" s="31">
        <f t="shared" si="21"/>
        <v>0.11070825606819629</v>
      </c>
    </row>
    <row r="409" spans="1:12" ht="15.75" customHeight="1" x14ac:dyDescent="0.35">
      <c r="A409" s="10">
        <f t="shared" si="19"/>
        <v>406</v>
      </c>
      <c r="B409" s="3">
        <v>9091</v>
      </c>
      <c r="C409" s="5" t="s">
        <v>1482</v>
      </c>
      <c r="D409" s="5" t="s">
        <v>563</v>
      </c>
      <c r="E409" s="5" t="s">
        <v>16</v>
      </c>
      <c r="F409" s="5" t="s">
        <v>1224</v>
      </c>
      <c r="G409" s="7">
        <v>45600</v>
      </c>
      <c r="H409" s="18">
        <v>1.4027397260273973</v>
      </c>
      <c r="I409" s="26" t="s">
        <v>1075</v>
      </c>
      <c r="J409" s="28">
        <v>27398.25</v>
      </c>
      <c r="K409" s="28">
        <v>3000</v>
      </c>
      <c r="L409" s="31">
        <f t="shared" si="21"/>
        <v>0.10949604445539404</v>
      </c>
    </row>
    <row r="410" spans="1:12" ht="15.75" customHeight="1" x14ac:dyDescent="0.35">
      <c r="A410" s="10">
        <f t="shared" si="19"/>
        <v>407</v>
      </c>
      <c r="B410" s="3">
        <v>9092</v>
      </c>
      <c r="C410" s="5" t="s">
        <v>1483</v>
      </c>
      <c r="D410" s="5" t="s">
        <v>563</v>
      </c>
      <c r="E410" s="5" t="s">
        <v>16</v>
      </c>
      <c r="F410" s="5" t="s">
        <v>711</v>
      </c>
      <c r="G410" s="7">
        <v>45600</v>
      </c>
      <c r="H410" s="18">
        <v>1.4027397260273973</v>
      </c>
      <c r="I410" s="26" t="s">
        <v>1075</v>
      </c>
      <c r="J410" s="28">
        <v>27198.25</v>
      </c>
      <c r="K410" s="28">
        <v>3000</v>
      </c>
      <c r="L410" s="31">
        <f t="shared" si="21"/>
        <v>0.11030121423253335</v>
      </c>
    </row>
    <row r="411" spans="1:12" ht="15.75" customHeight="1" x14ac:dyDescent="0.35">
      <c r="A411" s="10">
        <f t="shared" si="19"/>
        <v>408</v>
      </c>
      <c r="B411" s="3">
        <v>9094</v>
      </c>
      <c r="C411" s="5" t="s">
        <v>1484</v>
      </c>
      <c r="D411" s="5" t="s">
        <v>563</v>
      </c>
      <c r="E411" s="5" t="s">
        <v>16</v>
      </c>
      <c r="F411" s="5" t="s">
        <v>763</v>
      </c>
      <c r="G411" s="7">
        <v>45600</v>
      </c>
      <c r="H411" s="18">
        <v>1.4027397260273973</v>
      </c>
      <c r="I411" s="26" t="s">
        <v>1075</v>
      </c>
      <c r="J411" s="28">
        <v>27398.25</v>
      </c>
      <c r="K411" s="28">
        <v>3000</v>
      </c>
      <c r="L411" s="31">
        <f t="shared" si="21"/>
        <v>0.10949604445539404</v>
      </c>
    </row>
    <row r="412" spans="1:12" ht="15.75" customHeight="1" x14ac:dyDescent="0.35">
      <c r="A412" s="10">
        <f t="shared" si="19"/>
        <v>409</v>
      </c>
      <c r="B412" s="3">
        <v>9096</v>
      </c>
      <c r="C412" s="5" t="s">
        <v>1485</v>
      </c>
      <c r="D412" s="5" t="s">
        <v>563</v>
      </c>
      <c r="E412" s="5" t="s">
        <v>16</v>
      </c>
      <c r="F412" s="5" t="s">
        <v>658</v>
      </c>
      <c r="G412" s="7">
        <v>45600</v>
      </c>
      <c r="H412" s="18">
        <v>1.4027397260273973</v>
      </c>
      <c r="I412" s="26" t="s">
        <v>1075</v>
      </c>
      <c r="J412" s="28">
        <v>27198.25</v>
      </c>
      <c r="K412" s="28">
        <v>3000</v>
      </c>
      <c r="L412" s="31">
        <f t="shared" si="21"/>
        <v>0.11030121423253335</v>
      </c>
    </row>
    <row r="413" spans="1:12" ht="15.75" customHeight="1" x14ac:dyDescent="0.35">
      <c r="A413" s="10">
        <f t="shared" si="19"/>
        <v>410</v>
      </c>
      <c r="B413" s="3">
        <v>9097</v>
      </c>
      <c r="C413" s="5" t="s">
        <v>1486</v>
      </c>
      <c r="D413" s="5" t="s">
        <v>563</v>
      </c>
      <c r="E413" s="5" t="s">
        <v>16</v>
      </c>
      <c r="F413" s="5" t="s">
        <v>497</v>
      </c>
      <c r="G413" s="7">
        <v>45600</v>
      </c>
      <c r="H413" s="18">
        <v>1.4027397260273973</v>
      </c>
      <c r="I413" s="26" t="s">
        <v>1075</v>
      </c>
      <c r="J413" s="28">
        <v>27098.25</v>
      </c>
      <c r="K413" s="28">
        <v>3000</v>
      </c>
      <c r="L413" s="31">
        <f t="shared" si="21"/>
        <v>0.11070825606819629</v>
      </c>
    </row>
    <row r="414" spans="1:12" ht="15.75" customHeight="1" x14ac:dyDescent="0.35">
      <c r="A414" s="10">
        <f t="shared" si="19"/>
        <v>411</v>
      </c>
      <c r="B414" s="3">
        <v>9104</v>
      </c>
      <c r="C414" s="5" t="s">
        <v>1493</v>
      </c>
      <c r="D414" s="5" t="s">
        <v>563</v>
      </c>
      <c r="E414" s="5" t="s">
        <v>16</v>
      </c>
      <c r="F414" s="5" t="s">
        <v>919</v>
      </c>
      <c r="G414" s="7">
        <v>45614</v>
      </c>
      <c r="H414" s="18">
        <v>1.3643835616438356</v>
      </c>
      <c r="I414" s="26" t="s">
        <v>1075</v>
      </c>
      <c r="J414" s="28">
        <v>28148.25</v>
      </c>
      <c r="K414" s="28">
        <v>3000</v>
      </c>
      <c r="L414" s="31">
        <f t="shared" si="21"/>
        <v>0.10657856172230956</v>
      </c>
    </row>
    <row r="415" spans="1:12" ht="15.75" customHeight="1" x14ac:dyDescent="0.35">
      <c r="A415" s="10">
        <f t="shared" si="19"/>
        <v>412</v>
      </c>
      <c r="B415" s="3">
        <v>9110</v>
      </c>
      <c r="C415" s="5" t="s">
        <v>1494</v>
      </c>
      <c r="D415" s="5" t="s">
        <v>563</v>
      </c>
      <c r="E415" s="5" t="s">
        <v>16</v>
      </c>
      <c r="F415" s="5" t="s">
        <v>434</v>
      </c>
      <c r="G415" s="7">
        <v>45614</v>
      </c>
      <c r="H415" s="18">
        <v>1.3643835616438356</v>
      </c>
      <c r="I415" s="26" t="s">
        <v>1075</v>
      </c>
      <c r="J415" s="28">
        <v>27098.25</v>
      </c>
      <c r="K415" s="28">
        <v>3000</v>
      </c>
      <c r="L415" s="31">
        <f t="shared" si="21"/>
        <v>0.11070825606819629</v>
      </c>
    </row>
    <row r="416" spans="1:12" ht="15.75" customHeight="1" x14ac:dyDescent="0.35">
      <c r="A416" s="10">
        <f t="shared" si="19"/>
        <v>413</v>
      </c>
      <c r="B416" s="3">
        <v>9111</v>
      </c>
      <c r="C416" s="5" t="s">
        <v>1495</v>
      </c>
      <c r="D416" s="5" t="s">
        <v>563</v>
      </c>
      <c r="E416" s="5" t="s">
        <v>16</v>
      </c>
      <c r="F416" s="5" t="s">
        <v>1107</v>
      </c>
      <c r="G416" s="7">
        <v>45614</v>
      </c>
      <c r="H416" s="18">
        <v>1.3643835616438356</v>
      </c>
      <c r="I416" s="26" t="s">
        <v>1075</v>
      </c>
      <c r="J416" s="28">
        <v>26798.25</v>
      </c>
      <c r="K416" s="28">
        <v>3000</v>
      </c>
      <c r="L416" s="31">
        <f t="shared" si="21"/>
        <v>0.11194760851921301</v>
      </c>
    </row>
    <row r="417" spans="1:12" ht="15.75" customHeight="1" x14ac:dyDescent="0.35">
      <c r="A417" s="10">
        <f t="shared" si="19"/>
        <v>414</v>
      </c>
      <c r="B417" s="3">
        <v>9112</v>
      </c>
      <c r="C417" s="5" t="s">
        <v>1496</v>
      </c>
      <c r="D417" s="5" t="s">
        <v>563</v>
      </c>
      <c r="E417" s="5" t="s">
        <v>16</v>
      </c>
      <c r="F417" s="5" t="s">
        <v>688</v>
      </c>
      <c r="G417" s="7">
        <v>45614</v>
      </c>
      <c r="H417" s="18">
        <v>1.3643835616438356</v>
      </c>
      <c r="I417" s="26" t="s">
        <v>1075</v>
      </c>
      <c r="J417" s="28">
        <v>28078.25</v>
      </c>
      <c r="K417" s="28">
        <v>3000</v>
      </c>
      <c r="L417" s="31">
        <f t="shared" si="21"/>
        <v>0.10684426557922948</v>
      </c>
    </row>
    <row r="418" spans="1:12" ht="15.75" customHeight="1" x14ac:dyDescent="0.35">
      <c r="A418" s="10">
        <f t="shared" si="19"/>
        <v>415</v>
      </c>
      <c r="B418" s="3">
        <v>9113</v>
      </c>
      <c r="C418" s="5" t="s">
        <v>1497</v>
      </c>
      <c r="D418" s="5" t="s">
        <v>563</v>
      </c>
      <c r="E418" s="5" t="s">
        <v>16</v>
      </c>
      <c r="F418" s="5" t="s">
        <v>739</v>
      </c>
      <c r="G418" s="7">
        <v>45614</v>
      </c>
      <c r="H418" s="18">
        <v>1.3643835616438356</v>
      </c>
      <c r="I418" s="26" t="s">
        <v>888</v>
      </c>
      <c r="J418" s="28">
        <v>26000</v>
      </c>
      <c r="K418" s="28">
        <v>3000</v>
      </c>
      <c r="L418" s="31">
        <f t="shared" si="21"/>
        <v>0.11538461538461539</v>
      </c>
    </row>
    <row r="419" spans="1:12" ht="15.75" customHeight="1" x14ac:dyDescent="0.35">
      <c r="A419" s="10">
        <f t="shared" si="19"/>
        <v>416</v>
      </c>
      <c r="B419" s="3">
        <v>9125</v>
      </c>
      <c r="C419" s="5" t="s">
        <v>1502</v>
      </c>
      <c r="D419" s="5" t="s">
        <v>563</v>
      </c>
      <c r="E419" s="5" t="s">
        <v>16</v>
      </c>
      <c r="F419" s="5" t="s">
        <v>850</v>
      </c>
      <c r="G419" s="7">
        <v>45628</v>
      </c>
      <c r="H419" s="18">
        <v>1.3260273972602741</v>
      </c>
      <c r="I419" s="26" t="s">
        <v>1075</v>
      </c>
      <c r="J419" s="28">
        <v>27098.25</v>
      </c>
      <c r="K419" s="28">
        <v>3000</v>
      </c>
      <c r="L419" s="31">
        <f t="shared" si="21"/>
        <v>0.11070825606819629</v>
      </c>
    </row>
    <row r="420" spans="1:12" ht="15.75" customHeight="1" x14ac:dyDescent="0.35">
      <c r="A420" s="10">
        <f t="shared" si="19"/>
        <v>417</v>
      </c>
      <c r="B420" s="3">
        <v>9126</v>
      </c>
      <c r="C420" s="5" t="s">
        <v>1503</v>
      </c>
      <c r="D420" s="5" t="s">
        <v>563</v>
      </c>
      <c r="E420" s="5" t="s">
        <v>16</v>
      </c>
      <c r="F420" s="5" t="s">
        <v>574</v>
      </c>
      <c r="G420" s="7">
        <v>45628</v>
      </c>
      <c r="H420" s="18">
        <v>1.3260273972602741</v>
      </c>
      <c r="I420" s="26" t="s">
        <v>1075</v>
      </c>
      <c r="J420" s="28">
        <v>27198.25</v>
      </c>
      <c r="K420" s="28">
        <v>3000</v>
      </c>
      <c r="L420" s="31">
        <f t="shared" si="21"/>
        <v>0.11030121423253335</v>
      </c>
    </row>
    <row r="421" spans="1:12" ht="15.75" customHeight="1" x14ac:dyDescent="0.35">
      <c r="A421" s="10">
        <f t="shared" si="19"/>
        <v>418</v>
      </c>
      <c r="B421" s="3">
        <v>9131</v>
      </c>
      <c r="C421" s="5" t="s">
        <v>1506</v>
      </c>
      <c r="D421" s="5" t="s">
        <v>563</v>
      </c>
      <c r="E421" s="5" t="s">
        <v>16</v>
      </c>
      <c r="F421" s="5" t="s">
        <v>1057</v>
      </c>
      <c r="G421" s="7">
        <v>45630</v>
      </c>
      <c r="H421" s="18">
        <v>1.3205479452054794</v>
      </c>
      <c r="I421" s="26" t="s">
        <v>1075</v>
      </c>
      <c r="J421" s="28">
        <v>26998.25</v>
      </c>
      <c r="K421" s="28">
        <v>3000</v>
      </c>
      <c r="L421" s="31">
        <f t="shared" si="21"/>
        <v>0.11111831322400526</v>
      </c>
    </row>
    <row r="422" spans="1:12" ht="15.75" customHeight="1" x14ac:dyDescent="0.35">
      <c r="A422" s="10">
        <f t="shared" si="19"/>
        <v>419</v>
      </c>
      <c r="B422" s="3">
        <v>9135</v>
      </c>
      <c r="C422" s="5" t="s">
        <v>1508</v>
      </c>
      <c r="D422" s="5" t="s">
        <v>563</v>
      </c>
      <c r="E422" s="5" t="s">
        <v>16</v>
      </c>
      <c r="F422" s="5" t="s">
        <v>483</v>
      </c>
      <c r="G422" s="7">
        <v>45642</v>
      </c>
      <c r="H422" s="18">
        <v>1.2876712328767124</v>
      </c>
      <c r="I422" s="26" t="s">
        <v>1075</v>
      </c>
      <c r="J422" s="28">
        <v>27398.25</v>
      </c>
      <c r="K422" s="28">
        <v>3000</v>
      </c>
      <c r="L422" s="31">
        <f t="shared" si="21"/>
        <v>0.10949604445539404</v>
      </c>
    </row>
    <row r="423" spans="1:12" ht="15.75" customHeight="1" x14ac:dyDescent="0.35">
      <c r="A423" s="10">
        <f t="shared" si="19"/>
        <v>420</v>
      </c>
      <c r="B423" s="3">
        <v>9136</v>
      </c>
      <c r="C423" s="5" t="s">
        <v>1509</v>
      </c>
      <c r="D423" s="5" t="s">
        <v>563</v>
      </c>
      <c r="E423" s="5" t="s">
        <v>16</v>
      </c>
      <c r="F423" s="5" t="s">
        <v>141</v>
      </c>
      <c r="G423" s="7">
        <v>45658</v>
      </c>
      <c r="H423" s="18">
        <v>1.2438356164383562</v>
      </c>
      <c r="I423" s="26" t="s">
        <v>1075</v>
      </c>
      <c r="J423" s="28">
        <v>27198.25</v>
      </c>
      <c r="K423" s="28">
        <v>3000</v>
      </c>
      <c r="L423" s="31">
        <f t="shared" si="21"/>
        <v>0.11030121423253335</v>
      </c>
    </row>
    <row r="424" spans="1:12" ht="15.75" customHeight="1" x14ac:dyDescent="0.35">
      <c r="A424" s="10">
        <f t="shared" si="19"/>
        <v>421</v>
      </c>
      <c r="B424" s="3">
        <v>9143</v>
      </c>
      <c r="C424" s="5" t="s">
        <v>1514</v>
      </c>
      <c r="D424" s="5" t="s">
        <v>563</v>
      </c>
      <c r="E424" s="5" t="s">
        <v>16</v>
      </c>
      <c r="F424" s="5" t="s">
        <v>439</v>
      </c>
      <c r="G424" s="7">
        <v>45658</v>
      </c>
      <c r="H424" s="18">
        <v>1.2438356164383562</v>
      </c>
      <c r="I424" s="26" t="s">
        <v>1075</v>
      </c>
      <c r="J424" s="28">
        <v>28078.25</v>
      </c>
      <c r="K424" s="28">
        <v>3000</v>
      </c>
      <c r="L424" s="31">
        <f t="shared" si="21"/>
        <v>0.10684426557922948</v>
      </c>
    </row>
    <row r="425" spans="1:12" ht="15.75" customHeight="1" x14ac:dyDescent="0.35">
      <c r="A425" s="10">
        <f t="shared" si="19"/>
        <v>422</v>
      </c>
      <c r="B425" s="3">
        <v>9146</v>
      </c>
      <c r="C425" s="5" t="s">
        <v>1515</v>
      </c>
      <c r="D425" s="5" t="s">
        <v>563</v>
      </c>
      <c r="E425" s="5" t="s">
        <v>16</v>
      </c>
      <c r="F425" s="5" t="s">
        <v>681</v>
      </c>
      <c r="G425" s="7">
        <v>45658</v>
      </c>
      <c r="H425" s="18">
        <v>1.2438356164383562</v>
      </c>
      <c r="I425" s="26" t="s">
        <v>1075</v>
      </c>
      <c r="J425" s="28">
        <v>26798.25</v>
      </c>
      <c r="K425" s="28">
        <v>3000</v>
      </c>
      <c r="L425" s="31">
        <f t="shared" si="21"/>
        <v>0.11194760851921301</v>
      </c>
    </row>
    <row r="426" spans="1:12" ht="15.75" customHeight="1" x14ac:dyDescent="0.35">
      <c r="A426" s="10">
        <f t="shared" si="19"/>
        <v>423</v>
      </c>
      <c r="B426" s="3">
        <v>9148</v>
      </c>
      <c r="C426" s="5" t="s">
        <v>1516</v>
      </c>
      <c r="D426" s="5" t="s">
        <v>563</v>
      </c>
      <c r="E426" s="5" t="s">
        <v>16</v>
      </c>
      <c r="F426" s="5" t="s">
        <v>141</v>
      </c>
      <c r="G426" s="7">
        <v>46054</v>
      </c>
      <c r="H426" s="18">
        <v>0.15890410958904111</v>
      </c>
      <c r="I426" s="26" t="s">
        <v>888</v>
      </c>
      <c r="J426" s="28">
        <v>26000</v>
      </c>
      <c r="K426" s="28"/>
      <c r="L426" s="28"/>
    </row>
    <row r="427" spans="1:12" ht="15.75" customHeight="1" x14ac:dyDescent="0.35">
      <c r="A427" s="10">
        <f t="shared" si="19"/>
        <v>424</v>
      </c>
      <c r="B427" s="3">
        <v>9149</v>
      </c>
      <c r="C427" s="5" t="s">
        <v>1517</v>
      </c>
      <c r="D427" s="5" t="s">
        <v>563</v>
      </c>
      <c r="E427" s="5" t="s">
        <v>16</v>
      </c>
      <c r="F427" s="5" t="s">
        <v>589</v>
      </c>
      <c r="G427" s="7">
        <v>45658</v>
      </c>
      <c r="H427" s="18">
        <v>1.2438356164383562</v>
      </c>
      <c r="I427" s="26" t="s">
        <v>1075</v>
      </c>
      <c r="J427" s="28">
        <v>28078.25</v>
      </c>
      <c r="K427" s="28">
        <v>3000</v>
      </c>
      <c r="L427" s="31">
        <f t="shared" ref="L427:L430" si="22">+K427/J427</f>
        <v>0.10684426557922948</v>
      </c>
    </row>
    <row r="428" spans="1:12" ht="15.75" customHeight="1" x14ac:dyDescent="0.35">
      <c r="A428" s="10">
        <f t="shared" si="19"/>
        <v>425</v>
      </c>
      <c r="B428" s="3">
        <v>9150</v>
      </c>
      <c r="C428" s="5" t="s">
        <v>1518</v>
      </c>
      <c r="D428" s="5" t="s">
        <v>563</v>
      </c>
      <c r="E428" s="5" t="s">
        <v>16</v>
      </c>
      <c r="F428" s="5" t="s">
        <v>238</v>
      </c>
      <c r="G428" s="7">
        <v>45658</v>
      </c>
      <c r="H428" s="18">
        <v>1.2438356164383562</v>
      </c>
      <c r="I428" s="26" t="s">
        <v>1075</v>
      </c>
      <c r="J428" s="28">
        <v>27398.25</v>
      </c>
      <c r="K428" s="28">
        <v>3000</v>
      </c>
      <c r="L428" s="31">
        <f t="shared" si="22"/>
        <v>0.10949604445539404</v>
      </c>
    </row>
    <row r="429" spans="1:12" ht="15.75" customHeight="1" x14ac:dyDescent="0.35">
      <c r="A429" s="10">
        <f t="shared" si="19"/>
        <v>426</v>
      </c>
      <c r="B429" s="3">
        <v>9152</v>
      </c>
      <c r="C429" s="5" t="s">
        <v>1520</v>
      </c>
      <c r="D429" s="5" t="s">
        <v>563</v>
      </c>
      <c r="E429" s="5" t="s">
        <v>16</v>
      </c>
      <c r="F429" s="5" t="s">
        <v>697</v>
      </c>
      <c r="G429" s="7">
        <v>45658</v>
      </c>
      <c r="H429" s="18">
        <v>1.2438356164383562</v>
      </c>
      <c r="I429" s="26" t="s">
        <v>1075</v>
      </c>
      <c r="J429" s="28">
        <v>27198.25</v>
      </c>
      <c r="K429" s="28">
        <v>3000</v>
      </c>
      <c r="L429" s="31">
        <f t="shared" si="22"/>
        <v>0.11030121423253335</v>
      </c>
    </row>
    <row r="430" spans="1:12" ht="15.75" customHeight="1" x14ac:dyDescent="0.35">
      <c r="A430" s="10">
        <f t="shared" si="19"/>
        <v>427</v>
      </c>
      <c r="B430" s="3">
        <v>9159</v>
      </c>
      <c r="C430" s="5" t="s">
        <v>1526</v>
      </c>
      <c r="D430" s="5" t="s">
        <v>563</v>
      </c>
      <c r="E430" s="5" t="s">
        <v>16</v>
      </c>
      <c r="F430" s="5" t="s">
        <v>110</v>
      </c>
      <c r="G430" s="7">
        <v>45672</v>
      </c>
      <c r="H430" s="18">
        <v>1.2054794520547945</v>
      </c>
      <c r="I430" s="26" t="s">
        <v>1075</v>
      </c>
      <c r="J430" s="28">
        <v>27198.25</v>
      </c>
      <c r="K430" s="28">
        <v>3000</v>
      </c>
      <c r="L430" s="31">
        <f t="shared" si="22"/>
        <v>0.11030121423253335</v>
      </c>
    </row>
    <row r="431" spans="1:12" ht="15.75" customHeight="1" x14ac:dyDescent="0.35">
      <c r="A431" s="10">
        <f t="shared" si="19"/>
        <v>428</v>
      </c>
      <c r="B431" s="3">
        <v>9160</v>
      </c>
      <c r="C431" s="5" t="s">
        <v>1527</v>
      </c>
      <c r="D431" s="5" t="s">
        <v>563</v>
      </c>
      <c r="E431" s="5" t="s">
        <v>16</v>
      </c>
      <c r="F431" s="5" t="s">
        <v>589</v>
      </c>
      <c r="G431" s="7">
        <v>46054</v>
      </c>
      <c r="H431" s="18">
        <v>0.15890410958904111</v>
      </c>
      <c r="I431" s="26" t="s">
        <v>888</v>
      </c>
      <c r="J431" s="28">
        <v>26000</v>
      </c>
      <c r="K431" s="28"/>
      <c r="L431" s="28"/>
    </row>
    <row r="432" spans="1:12" ht="15.75" customHeight="1" x14ac:dyDescent="0.35">
      <c r="A432" s="10">
        <f t="shared" si="19"/>
        <v>429</v>
      </c>
      <c r="B432" s="3">
        <v>9161</v>
      </c>
      <c r="C432" s="5" t="s">
        <v>1528</v>
      </c>
      <c r="D432" s="5" t="s">
        <v>563</v>
      </c>
      <c r="E432" s="5" t="s">
        <v>16</v>
      </c>
      <c r="F432" s="5" t="s">
        <v>1423</v>
      </c>
      <c r="G432" s="7">
        <v>45672</v>
      </c>
      <c r="H432" s="18">
        <v>1.2054794520547945</v>
      </c>
      <c r="I432" s="26" t="s">
        <v>1075</v>
      </c>
      <c r="J432" s="28">
        <v>26998.25</v>
      </c>
      <c r="K432" s="28">
        <v>3000</v>
      </c>
      <c r="L432" s="31">
        <f t="shared" ref="L432:L434" si="23">+K432/J432</f>
        <v>0.11111831322400526</v>
      </c>
    </row>
    <row r="433" spans="1:12" ht="15.75" customHeight="1" x14ac:dyDescent="0.35">
      <c r="A433" s="10">
        <f t="shared" si="19"/>
        <v>430</v>
      </c>
      <c r="B433" s="21">
        <v>9164</v>
      </c>
      <c r="C433" s="13" t="s">
        <v>1530</v>
      </c>
      <c r="D433" s="13" t="s">
        <v>31</v>
      </c>
      <c r="E433" s="5" t="s">
        <v>16</v>
      </c>
      <c r="F433" s="5" t="s">
        <v>141</v>
      </c>
      <c r="G433" s="7">
        <v>45667</v>
      </c>
      <c r="H433" s="18">
        <v>1.2191780821917808</v>
      </c>
      <c r="I433" s="26" t="s">
        <v>1075</v>
      </c>
      <c r="J433" s="28">
        <v>40000</v>
      </c>
      <c r="K433" s="28">
        <v>3000</v>
      </c>
      <c r="L433" s="31">
        <f t="shared" si="23"/>
        <v>7.4999999999999997E-2</v>
      </c>
    </row>
    <row r="434" spans="1:12" ht="15.75" customHeight="1" x14ac:dyDescent="0.35">
      <c r="A434" s="10">
        <f t="shared" si="19"/>
        <v>431</v>
      </c>
      <c r="B434" s="3">
        <v>9165</v>
      </c>
      <c r="C434" s="5" t="s">
        <v>1531</v>
      </c>
      <c r="D434" s="5" t="s">
        <v>563</v>
      </c>
      <c r="E434" s="5" t="s">
        <v>16</v>
      </c>
      <c r="F434" s="5" t="s">
        <v>141</v>
      </c>
      <c r="G434" s="7">
        <v>45691</v>
      </c>
      <c r="H434" s="18">
        <v>1.1534246575342466</v>
      </c>
      <c r="I434" s="26" t="s">
        <v>1075</v>
      </c>
      <c r="J434" s="28">
        <v>27698.25</v>
      </c>
      <c r="K434" s="28">
        <v>3000</v>
      </c>
      <c r="L434" s="31">
        <f t="shared" si="23"/>
        <v>0.10831009179280279</v>
      </c>
    </row>
    <row r="435" spans="1:12" ht="15.75" customHeight="1" x14ac:dyDescent="0.35">
      <c r="A435" s="10">
        <f t="shared" si="19"/>
        <v>432</v>
      </c>
      <c r="B435" s="3">
        <v>9191</v>
      </c>
      <c r="C435" s="5" t="s">
        <v>1542</v>
      </c>
      <c r="D435" s="5" t="s">
        <v>563</v>
      </c>
      <c r="E435" s="5" t="s">
        <v>16</v>
      </c>
      <c r="F435" s="5" t="s">
        <v>817</v>
      </c>
      <c r="G435" s="7">
        <v>45754</v>
      </c>
      <c r="H435" s="18">
        <v>0.98082191780821915</v>
      </c>
      <c r="I435" s="26" t="s">
        <v>888</v>
      </c>
      <c r="J435" s="28">
        <v>26400</v>
      </c>
      <c r="K435" s="28"/>
      <c r="L435" s="28"/>
    </row>
    <row r="436" spans="1:12" ht="15.75" customHeight="1" x14ac:dyDescent="0.35">
      <c r="A436" s="10">
        <f t="shared" si="19"/>
        <v>433</v>
      </c>
      <c r="B436" s="3">
        <v>9197</v>
      </c>
      <c r="C436" s="5" t="s">
        <v>1546</v>
      </c>
      <c r="D436" s="5" t="s">
        <v>563</v>
      </c>
      <c r="E436" s="5" t="s">
        <v>16</v>
      </c>
      <c r="F436" s="5" t="s">
        <v>817</v>
      </c>
      <c r="G436" s="7">
        <v>45756</v>
      </c>
      <c r="H436" s="18">
        <v>0.97534246575342465</v>
      </c>
      <c r="I436" s="26" t="s">
        <v>888</v>
      </c>
      <c r="J436" s="28">
        <v>26400</v>
      </c>
      <c r="K436" s="28"/>
      <c r="L436" s="28"/>
    </row>
    <row r="437" spans="1:12" ht="15.75" customHeight="1" x14ac:dyDescent="0.35">
      <c r="A437" s="10">
        <f t="shared" si="19"/>
        <v>434</v>
      </c>
      <c r="B437" s="3">
        <v>9207</v>
      </c>
      <c r="C437" s="5" t="s">
        <v>1553</v>
      </c>
      <c r="D437" s="5" t="s">
        <v>563</v>
      </c>
      <c r="E437" s="5" t="s">
        <v>16</v>
      </c>
      <c r="F437" s="5" t="s">
        <v>141</v>
      </c>
      <c r="G437" s="7">
        <v>45771</v>
      </c>
      <c r="H437" s="18">
        <v>0.9342465753424658</v>
      </c>
      <c r="I437" s="26" t="s">
        <v>888</v>
      </c>
      <c r="J437" s="28">
        <v>27080</v>
      </c>
      <c r="K437" s="28"/>
      <c r="L437" s="28"/>
    </row>
    <row r="438" spans="1:12" ht="15.75" customHeight="1" x14ac:dyDescent="0.35">
      <c r="A438" s="10">
        <f t="shared" si="19"/>
        <v>435</v>
      </c>
      <c r="B438" s="3">
        <v>9208</v>
      </c>
      <c r="C438" s="5" t="s">
        <v>1554</v>
      </c>
      <c r="D438" s="5" t="s">
        <v>563</v>
      </c>
      <c r="E438" s="5" t="s">
        <v>16</v>
      </c>
      <c r="F438" s="5" t="s">
        <v>247</v>
      </c>
      <c r="G438" s="7">
        <v>45771</v>
      </c>
      <c r="H438" s="18">
        <v>0.9342465753424658</v>
      </c>
      <c r="I438" s="26" t="s">
        <v>888</v>
      </c>
      <c r="J438" s="28">
        <v>26200</v>
      </c>
      <c r="K438" s="28"/>
      <c r="L438" s="28"/>
    </row>
    <row r="439" spans="1:12" ht="15.75" customHeight="1" x14ac:dyDescent="0.35">
      <c r="A439" s="10">
        <f t="shared" si="19"/>
        <v>436</v>
      </c>
      <c r="B439" s="3">
        <v>9209</v>
      </c>
      <c r="C439" s="5" t="s">
        <v>1555</v>
      </c>
      <c r="D439" s="5" t="s">
        <v>563</v>
      </c>
      <c r="E439" s="5" t="s">
        <v>16</v>
      </c>
      <c r="F439" s="5" t="s">
        <v>439</v>
      </c>
      <c r="G439" s="7">
        <v>45779</v>
      </c>
      <c r="H439" s="18">
        <v>0.9123287671232877</v>
      </c>
      <c r="I439" s="26" t="s">
        <v>888</v>
      </c>
      <c r="J439" s="28">
        <v>26600</v>
      </c>
      <c r="K439" s="28"/>
      <c r="L439" s="28"/>
    </row>
    <row r="440" spans="1:12" ht="15.75" customHeight="1" x14ac:dyDescent="0.35">
      <c r="A440" s="10">
        <f t="shared" si="19"/>
        <v>437</v>
      </c>
      <c r="B440" s="3">
        <v>9212</v>
      </c>
      <c r="C440" s="5" t="s">
        <v>1558</v>
      </c>
      <c r="D440" s="5" t="s">
        <v>563</v>
      </c>
      <c r="E440" s="5" t="s">
        <v>16</v>
      </c>
      <c r="F440" s="5" t="s">
        <v>817</v>
      </c>
      <c r="G440" s="7">
        <v>45779</v>
      </c>
      <c r="H440" s="18">
        <v>0.9123287671232877</v>
      </c>
      <c r="I440" s="26" t="s">
        <v>888</v>
      </c>
      <c r="J440" s="28">
        <v>26800</v>
      </c>
      <c r="K440" s="28"/>
      <c r="L440" s="28"/>
    </row>
    <row r="441" spans="1:12" ht="15.75" customHeight="1" x14ac:dyDescent="0.35">
      <c r="A441" s="10">
        <f t="shared" si="19"/>
        <v>438</v>
      </c>
      <c r="B441" s="3">
        <v>9217</v>
      </c>
      <c r="C441" s="5" t="s">
        <v>1561</v>
      </c>
      <c r="D441" s="5" t="s">
        <v>1333</v>
      </c>
      <c r="E441" s="5" t="s">
        <v>16</v>
      </c>
      <c r="F441" s="5" t="s">
        <v>919</v>
      </c>
      <c r="G441" s="7">
        <v>45782</v>
      </c>
      <c r="H441" s="18">
        <v>0.90410958904109584</v>
      </c>
      <c r="I441" s="26" t="s">
        <v>1334</v>
      </c>
      <c r="J441" s="28">
        <v>15000</v>
      </c>
      <c r="K441" s="28"/>
      <c r="L441" s="28"/>
    </row>
    <row r="442" spans="1:12" ht="15.75" customHeight="1" x14ac:dyDescent="0.35">
      <c r="A442" s="10">
        <f t="shared" si="19"/>
        <v>439</v>
      </c>
      <c r="B442" s="3">
        <v>9219</v>
      </c>
      <c r="C442" s="5" t="s">
        <v>1562</v>
      </c>
      <c r="D442" s="5" t="s">
        <v>563</v>
      </c>
      <c r="E442" s="5" t="s">
        <v>16</v>
      </c>
      <c r="F442" s="5" t="s">
        <v>683</v>
      </c>
      <c r="G442" s="7">
        <v>45782</v>
      </c>
      <c r="H442" s="18">
        <v>0.90410958904109584</v>
      </c>
      <c r="I442" s="26" t="s">
        <v>888</v>
      </c>
      <c r="J442" s="28">
        <v>27680</v>
      </c>
      <c r="K442" s="28"/>
      <c r="L442" s="28"/>
    </row>
    <row r="443" spans="1:12" ht="15.75" customHeight="1" x14ac:dyDescent="0.35">
      <c r="A443" s="10">
        <f t="shared" si="19"/>
        <v>440</v>
      </c>
      <c r="B443" s="3">
        <v>9226</v>
      </c>
      <c r="C443" s="5" t="s">
        <v>1570</v>
      </c>
      <c r="D443" s="5" t="s">
        <v>1333</v>
      </c>
      <c r="E443" s="5" t="s">
        <v>16</v>
      </c>
      <c r="F443" s="5" t="s">
        <v>141</v>
      </c>
      <c r="G443" s="7">
        <v>45796</v>
      </c>
      <c r="H443" s="18">
        <v>0.86575342465753424</v>
      </c>
      <c r="I443" s="26" t="s">
        <v>1334</v>
      </c>
      <c r="J443" s="28">
        <v>15000</v>
      </c>
      <c r="K443" s="28"/>
      <c r="L443" s="28"/>
    </row>
    <row r="444" spans="1:12" ht="15.75" customHeight="1" x14ac:dyDescent="0.35">
      <c r="A444" s="10">
        <f t="shared" si="19"/>
        <v>441</v>
      </c>
      <c r="B444" s="3">
        <v>9227</v>
      </c>
      <c r="C444" s="5" t="s">
        <v>1571</v>
      </c>
      <c r="D444" s="5" t="s">
        <v>563</v>
      </c>
      <c r="E444" s="5" t="s">
        <v>16</v>
      </c>
      <c r="F444" s="5" t="s">
        <v>141</v>
      </c>
      <c r="G444" s="7">
        <v>45796</v>
      </c>
      <c r="H444" s="18">
        <v>0.86575342465753424</v>
      </c>
      <c r="I444" s="26" t="s">
        <v>888</v>
      </c>
      <c r="J444" s="28">
        <v>26700</v>
      </c>
      <c r="K444" s="28"/>
      <c r="L444" s="28"/>
    </row>
    <row r="445" spans="1:12" ht="15.75" customHeight="1" x14ac:dyDescent="0.35">
      <c r="A445" s="10">
        <f t="shared" si="19"/>
        <v>442</v>
      </c>
      <c r="B445" s="3">
        <v>9231</v>
      </c>
      <c r="C445" s="5" t="s">
        <v>1572</v>
      </c>
      <c r="D445" s="5" t="s">
        <v>563</v>
      </c>
      <c r="E445" s="5" t="s">
        <v>16</v>
      </c>
      <c r="F445" s="5" t="s">
        <v>1057</v>
      </c>
      <c r="G445" s="7">
        <v>45796</v>
      </c>
      <c r="H445" s="18">
        <v>0.86575342465753424</v>
      </c>
      <c r="I445" s="26" t="s">
        <v>888</v>
      </c>
      <c r="J445" s="28">
        <v>26300</v>
      </c>
      <c r="K445" s="28"/>
      <c r="L445" s="28"/>
    </row>
    <row r="446" spans="1:12" ht="15.75" customHeight="1" x14ac:dyDescent="0.35">
      <c r="A446" s="10">
        <f t="shared" si="19"/>
        <v>443</v>
      </c>
      <c r="B446" s="3">
        <v>9234</v>
      </c>
      <c r="C446" s="5" t="s">
        <v>1573</v>
      </c>
      <c r="D446" s="5" t="s">
        <v>1333</v>
      </c>
      <c r="E446" s="5" t="s">
        <v>16</v>
      </c>
      <c r="F446" s="5" t="s">
        <v>1423</v>
      </c>
      <c r="G446" s="7">
        <v>45798</v>
      </c>
      <c r="H446" s="18">
        <v>0.86027397260273974</v>
      </c>
      <c r="I446" s="26" t="s">
        <v>1334</v>
      </c>
      <c r="J446" s="28">
        <v>13000</v>
      </c>
      <c r="K446" s="28"/>
      <c r="L446" s="28"/>
    </row>
    <row r="447" spans="1:12" ht="15.75" customHeight="1" x14ac:dyDescent="0.35">
      <c r="A447" s="10">
        <f t="shared" si="19"/>
        <v>444</v>
      </c>
      <c r="B447" s="3">
        <v>9236</v>
      </c>
      <c r="C447" s="5" t="s">
        <v>1574</v>
      </c>
      <c r="D447" s="5" t="s">
        <v>563</v>
      </c>
      <c r="E447" s="5" t="s">
        <v>16</v>
      </c>
      <c r="F447" s="5" t="s">
        <v>1423</v>
      </c>
      <c r="G447" s="7">
        <v>45803</v>
      </c>
      <c r="H447" s="18">
        <v>0.84657534246575339</v>
      </c>
      <c r="I447" s="26" t="s">
        <v>888</v>
      </c>
      <c r="J447" s="28">
        <v>26200</v>
      </c>
      <c r="K447" s="28"/>
      <c r="L447" s="28"/>
    </row>
    <row r="448" spans="1:12" ht="15.75" customHeight="1" x14ac:dyDescent="0.35">
      <c r="A448" s="10">
        <f t="shared" si="19"/>
        <v>445</v>
      </c>
      <c r="B448" s="3">
        <v>9237</v>
      </c>
      <c r="C448" s="5" t="s">
        <v>1575</v>
      </c>
      <c r="D448" s="5" t="s">
        <v>1333</v>
      </c>
      <c r="E448" s="5" t="s">
        <v>16</v>
      </c>
      <c r="F448" s="5" t="s">
        <v>1224</v>
      </c>
      <c r="G448" s="7">
        <v>45803</v>
      </c>
      <c r="H448" s="18">
        <v>0.84657534246575339</v>
      </c>
      <c r="I448" s="26" t="s">
        <v>1334</v>
      </c>
      <c r="J448" s="28">
        <v>15000</v>
      </c>
      <c r="K448" s="28"/>
      <c r="L448" s="28"/>
    </row>
    <row r="449" spans="1:12" ht="15.75" customHeight="1" x14ac:dyDescent="0.35">
      <c r="A449" s="10">
        <f t="shared" si="19"/>
        <v>446</v>
      </c>
      <c r="B449" s="3">
        <v>9238</v>
      </c>
      <c r="C449" s="5" t="s">
        <v>1576</v>
      </c>
      <c r="D449" s="5" t="s">
        <v>1333</v>
      </c>
      <c r="E449" s="5" t="s">
        <v>16</v>
      </c>
      <c r="F449" s="5" t="s">
        <v>992</v>
      </c>
      <c r="G449" s="7">
        <v>45803</v>
      </c>
      <c r="H449" s="18">
        <v>0.84657534246575339</v>
      </c>
      <c r="I449" s="26" t="s">
        <v>1334</v>
      </c>
      <c r="J449" s="28">
        <v>15000</v>
      </c>
      <c r="K449" s="28"/>
      <c r="L449" s="28"/>
    </row>
    <row r="450" spans="1:12" ht="15.75" customHeight="1" x14ac:dyDescent="0.35">
      <c r="A450" s="10">
        <f t="shared" si="19"/>
        <v>447</v>
      </c>
      <c r="B450" s="3">
        <v>9242</v>
      </c>
      <c r="C450" s="5" t="s">
        <v>1577</v>
      </c>
      <c r="D450" s="5" t="s">
        <v>563</v>
      </c>
      <c r="E450" s="5" t="s">
        <v>16</v>
      </c>
      <c r="F450" s="5" t="s">
        <v>247</v>
      </c>
      <c r="G450" s="7">
        <v>45810</v>
      </c>
      <c r="H450" s="18">
        <v>0.82739726027397265</v>
      </c>
      <c r="I450" s="26" t="s">
        <v>888</v>
      </c>
      <c r="J450" s="28">
        <v>26300</v>
      </c>
      <c r="K450" s="28"/>
      <c r="L450" s="28"/>
    </row>
    <row r="451" spans="1:12" ht="15.75" customHeight="1" x14ac:dyDescent="0.35">
      <c r="A451" s="10">
        <f t="shared" si="19"/>
        <v>448</v>
      </c>
      <c r="B451" s="3">
        <v>9243</v>
      </c>
      <c r="C451" s="5" t="s">
        <v>1578</v>
      </c>
      <c r="D451" s="5" t="s">
        <v>563</v>
      </c>
      <c r="E451" s="5" t="s">
        <v>16</v>
      </c>
      <c r="F451" s="5" t="s">
        <v>110</v>
      </c>
      <c r="G451" s="7">
        <v>45810</v>
      </c>
      <c r="H451" s="18">
        <v>0.82739726027397265</v>
      </c>
      <c r="I451" s="26" t="s">
        <v>888</v>
      </c>
      <c r="J451" s="28">
        <v>26300</v>
      </c>
      <c r="K451" s="28"/>
      <c r="L451" s="28"/>
    </row>
    <row r="452" spans="1:12" ht="15.75" customHeight="1" x14ac:dyDescent="0.35">
      <c r="A452" s="10">
        <f t="shared" si="19"/>
        <v>449</v>
      </c>
      <c r="B452" s="3">
        <v>9244</v>
      </c>
      <c r="C452" s="5" t="s">
        <v>1579</v>
      </c>
      <c r="D452" s="5" t="s">
        <v>563</v>
      </c>
      <c r="E452" s="5" t="s">
        <v>16</v>
      </c>
      <c r="F452" s="5" t="s">
        <v>141</v>
      </c>
      <c r="G452" s="7">
        <v>45810</v>
      </c>
      <c r="H452" s="18">
        <v>0.82739726027397265</v>
      </c>
      <c r="I452" s="26" t="s">
        <v>888</v>
      </c>
      <c r="J452" s="28">
        <v>26000</v>
      </c>
      <c r="K452" s="28"/>
      <c r="L452" s="28"/>
    </row>
    <row r="453" spans="1:12" ht="15.75" customHeight="1" x14ac:dyDescent="0.35">
      <c r="A453" s="10">
        <f t="shared" si="19"/>
        <v>450</v>
      </c>
      <c r="B453" s="3">
        <v>9247</v>
      </c>
      <c r="C453" s="5" t="s">
        <v>1580</v>
      </c>
      <c r="D453" s="5" t="s">
        <v>563</v>
      </c>
      <c r="E453" s="5" t="s">
        <v>16</v>
      </c>
      <c r="F453" s="5" t="s">
        <v>141</v>
      </c>
      <c r="G453" s="7">
        <v>45810</v>
      </c>
      <c r="H453" s="18">
        <v>0.82739726027397265</v>
      </c>
      <c r="I453" s="26" t="s">
        <v>888</v>
      </c>
      <c r="J453" s="28">
        <v>26900</v>
      </c>
      <c r="K453" s="28"/>
      <c r="L453" s="28"/>
    </row>
    <row r="454" spans="1:12" ht="15.75" customHeight="1" x14ac:dyDescent="0.35">
      <c r="A454" s="10">
        <f t="shared" ref="A454:A517" si="24">+A453+1</f>
        <v>451</v>
      </c>
      <c r="B454" s="3">
        <v>9251</v>
      </c>
      <c r="C454" s="5" t="s">
        <v>1581</v>
      </c>
      <c r="D454" s="5" t="s">
        <v>563</v>
      </c>
      <c r="E454" s="5" t="s">
        <v>16</v>
      </c>
      <c r="F454" s="5" t="s">
        <v>817</v>
      </c>
      <c r="G454" s="7">
        <v>45810</v>
      </c>
      <c r="H454" s="18">
        <v>0.82739726027397265</v>
      </c>
      <c r="I454" s="26" t="s">
        <v>888</v>
      </c>
      <c r="J454" s="28">
        <v>26300</v>
      </c>
      <c r="K454" s="28"/>
      <c r="L454" s="28"/>
    </row>
    <row r="455" spans="1:12" ht="15.75" customHeight="1" x14ac:dyDescent="0.35">
      <c r="A455" s="10">
        <f t="shared" si="24"/>
        <v>452</v>
      </c>
      <c r="B455" s="3">
        <v>9255</v>
      </c>
      <c r="C455" s="5" t="s">
        <v>1582</v>
      </c>
      <c r="D455" s="5" t="s">
        <v>1333</v>
      </c>
      <c r="E455" s="5" t="s">
        <v>16</v>
      </c>
      <c r="F455" s="5" t="s">
        <v>1124</v>
      </c>
      <c r="G455" s="7">
        <v>45812</v>
      </c>
      <c r="H455" s="18">
        <v>0.82191780821917804</v>
      </c>
      <c r="I455" s="26" t="s">
        <v>1334</v>
      </c>
      <c r="J455" s="28">
        <v>15000</v>
      </c>
      <c r="K455" s="28"/>
      <c r="L455" s="28"/>
    </row>
    <row r="456" spans="1:12" ht="15.75" customHeight="1" x14ac:dyDescent="0.35">
      <c r="A456" s="10">
        <f t="shared" si="24"/>
        <v>453</v>
      </c>
      <c r="B456" s="3">
        <v>9262</v>
      </c>
      <c r="C456" s="5" t="s">
        <v>1587</v>
      </c>
      <c r="D456" s="5" t="s">
        <v>563</v>
      </c>
      <c r="E456" s="5" t="s">
        <v>16</v>
      </c>
      <c r="F456" s="5" t="s">
        <v>368</v>
      </c>
      <c r="G456" s="7">
        <v>45817</v>
      </c>
      <c r="H456" s="18">
        <v>0.80821917808219179</v>
      </c>
      <c r="I456" s="26" t="s">
        <v>888</v>
      </c>
      <c r="J456" s="28">
        <v>27680</v>
      </c>
      <c r="K456" s="28"/>
      <c r="L456" s="28"/>
    </row>
    <row r="457" spans="1:12" ht="15.75" customHeight="1" x14ac:dyDescent="0.35">
      <c r="A457" s="10">
        <f t="shared" si="24"/>
        <v>454</v>
      </c>
      <c r="B457" s="3">
        <v>9263</v>
      </c>
      <c r="C457" s="5" t="s">
        <v>1588</v>
      </c>
      <c r="D457" s="5" t="s">
        <v>563</v>
      </c>
      <c r="E457" s="5" t="s">
        <v>16</v>
      </c>
      <c r="F457" s="5" t="s">
        <v>683</v>
      </c>
      <c r="G457" s="7">
        <v>45818</v>
      </c>
      <c r="H457" s="18">
        <v>0.80547945205479454</v>
      </c>
      <c r="I457" s="26" t="s">
        <v>888</v>
      </c>
      <c r="J457" s="28">
        <v>26200</v>
      </c>
      <c r="K457" s="28"/>
      <c r="L457" s="28"/>
    </row>
    <row r="458" spans="1:12" ht="15.75" customHeight="1" x14ac:dyDescent="0.35">
      <c r="A458" s="10">
        <f t="shared" si="24"/>
        <v>455</v>
      </c>
      <c r="B458" s="3">
        <v>9267</v>
      </c>
      <c r="C458" s="5" t="s">
        <v>1591</v>
      </c>
      <c r="D458" s="5" t="s">
        <v>1333</v>
      </c>
      <c r="E458" s="5" t="s">
        <v>16</v>
      </c>
      <c r="F458" s="5" t="s">
        <v>718</v>
      </c>
      <c r="G458" s="7">
        <v>45818</v>
      </c>
      <c r="H458" s="18">
        <v>0.80547945205479454</v>
      </c>
      <c r="I458" s="26" t="s">
        <v>1334</v>
      </c>
      <c r="J458" s="28">
        <v>15000</v>
      </c>
      <c r="K458" s="28"/>
      <c r="L458" s="28"/>
    </row>
    <row r="459" spans="1:12" ht="15.75" customHeight="1" x14ac:dyDescent="0.35">
      <c r="A459" s="10">
        <f t="shared" si="24"/>
        <v>456</v>
      </c>
      <c r="B459" s="3">
        <v>9268</v>
      </c>
      <c r="C459" s="5" t="s">
        <v>1592</v>
      </c>
      <c r="D459" s="5" t="s">
        <v>1333</v>
      </c>
      <c r="E459" s="5" t="s">
        <v>16</v>
      </c>
      <c r="F459" s="5" t="s">
        <v>451</v>
      </c>
      <c r="G459" s="7">
        <v>45818</v>
      </c>
      <c r="H459" s="18">
        <v>0.80547945205479454</v>
      </c>
      <c r="I459" s="26" t="s">
        <v>1334</v>
      </c>
      <c r="J459" s="28">
        <v>15000</v>
      </c>
      <c r="K459" s="28"/>
      <c r="L459" s="28"/>
    </row>
    <row r="460" spans="1:12" ht="15.75" customHeight="1" x14ac:dyDescent="0.35">
      <c r="A460" s="10">
        <f t="shared" si="24"/>
        <v>457</v>
      </c>
      <c r="B460" s="3">
        <v>9270</v>
      </c>
      <c r="C460" s="5" t="s">
        <v>1593</v>
      </c>
      <c r="D460" s="5" t="s">
        <v>1333</v>
      </c>
      <c r="E460" s="5" t="s">
        <v>16</v>
      </c>
      <c r="F460" s="5" t="s">
        <v>480</v>
      </c>
      <c r="G460" s="7">
        <v>45820</v>
      </c>
      <c r="H460" s="18">
        <v>0.8</v>
      </c>
      <c r="I460" s="26" t="s">
        <v>1334</v>
      </c>
      <c r="J460" s="28">
        <v>13000</v>
      </c>
      <c r="K460" s="28"/>
      <c r="L460" s="28"/>
    </row>
    <row r="461" spans="1:12" ht="15.75" customHeight="1" x14ac:dyDescent="0.35">
      <c r="A461" s="10">
        <f t="shared" si="24"/>
        <v>458</v>
      </c>
      <c r="B461" s="3">
        <v>9271</v>
      </c>
      <c r="C461" s="5" t="s">
        <v>1594</v>
      </c>
      <c r="D461" s="5" t="s">
        <v>563</v>
      </c>
      <c r="E461" s="5" t="s">
        <v>16</v>
      </c>
      <c r="F461" s="5" t="s">
        <v>141</v>
      </c>
      <c r="G461" s="7">
        <v>45820</v>
      </c>
      <c r="H461" s="18">
        <v>0.8</v>
      </c>
      <c r="I461" s="26" t="s">
        <v>888</v>
      </c>
      <c r="J461" s="28">
        <v>26350</v>
      </c>
      <c r="K461" s="28"/>
      <c r="L461" s="28"/>
    </row>
    <row r="462" spans="1:12" ht="15.75" customHeight="1" x14ac:dyDescent="0.35">
      <c r="A462" s="10">
        <f t="shared" si="24"/>
        <v>459</v>
      </c>
      <c r="B462" s="3">
        <v>9272</v>
      </c>
      <c r="C462" s="5" t="s">
        <v>1595</v>
      </c>
      <c r="D462" s="5" t="s">
        <v>563</v>
      </c>
      <c r="E462" s="5" t="s">
        <v>16</v>
      </c>
      <c r="F462" s="5" t="s">
        <v>681</v>
      </c>
      <c r="G462" s="7">
        <v>45820</v>
      </c>
      <c r="H462" s="18">
        <v>0.8</v>
      </c>
      <c r="I462" s="26" t="s">
        <v>888</v>
      </c>
      <c r="J462" s="28">
        <v>28080</v>
      </c>
      <c r="K462" s="28"/>
      <c r="L462" s="28"/>
    </row>
    <row r="463" spans="1:12" ht="15.75" customHeight="1" x14ac:dyDescent="0.35">
      <c r="A463" s="10">
        <f t="shared" si="24"/>
        <v>460</v>
      </c>
      <c r="B463" s="3">
        <v>9273</v>
      </c>
      <c r="C463" s="5" t="s">
        <v>1596</v>
      </c>
      <c r="D463" s="5" t="s">
        <v>1333</v>
      </c>
      <c r="E463" s="5" t="s">
        <v>16</v>
      </c>
      <c r="F463" s="5" t="s">
        <v>658</v>
      </c>
      <c r="G463" s="7">
        <v>45820</v>
      </c>
      <c r="H463" s="18">
        <v>0.8</v>
      </c>
      <c r="I463" s="26" t="s">
        <v>1334</v>
      </c>
      <c r="J463" s="28">
        <v>15000</v>
      </c>
      <c r="K463" s="28"/>
      <c r="L463" s="28"/>
    </row>
    <row r="464" spans="1:12" ht="15.75" customHeight="1" x14ac:dyDescent="0.35">
      <c r="A464" s="10">
        <f t="shared" si="24"/>
        <v>461</v>
      </c>
      <c r="B464" s="3">
        <v>9275</v>
      </c>
      <c r="C464" s="5" t="s">
        <v>1598</v>
      </c>
      <c r="D464" s="5" t="s">
        <v>1333</v>
      </c>
      <c r="E464" s="5" t="s">
        <v>16</v>
      </c>
      <c r="F464" s="5" t="s">
        <v>626</v>
      </c>
      <c r="G464" s="7">
        <v>45824</v>
      </c>
      <c r="H464" s="18">
        <v>0.78904109589041094</v>
      </c>
      <c r="I464" s="26" t="s">
        <v>1334</v>
      </c>
      <c r="J464" s="28">
        <v>15000</v>
      </c>
      <c r="K464" s="28"/>
      <c r="L464" s="28"/>
    </row>
    <row r="465" spans="1:12" ht="15.75" customHeight="1" x14ac:dyDescent="0.35">
      <c r="A465" s="10">
        <f t="shared" si="24"/>
        <v>462</v>
      </c>
      <c r="B465" s="3">
        <v>9276</v>
      </c>
      <c r="C465" s="5" t="s">
        <v>1599</v>
      </c>
      <c r="D465" s="5" t="s">
        <v>1333</v>
      </c>
      <c r="E465" s="5" t="s">
        <v>16</v>
      </c>
      <c r="F465" s="5" t="s">
        <v>656</v>
      </c>
      <c r="G465" s="7">
        <v>45824</v>
      </c>
      <c r="H465" s="18">
        <v>0.78904109589041094</v>
      </c>
      <c r="I465" s="26" t="s">
        <v>1334</v>
      </c>
      <c r="J465" s="28">
        <v>15000</v>
      </c>
      <c r="K465" s="28"/>
      <c r="L465" s="28"/>
    </row>
    <row r="466" spans="1:12" ht="15.75" customHeight="1" x14ac:dyDescent="0.35">
      <c r="A466" s="10">
        <f t="shared" si="24"/>
        <v>463</v>
      </c>
      <c r="B466" s="3">
        <v>9277</v>
      </c>
      <c r="C466" s="5" t="s">
        <v>1600</v>
      </c>
      <c r="D466" s="5" t="s">
        <v>563</v>
      </c>
      <c r="E466" s="5" t="s">
        <v>16</v>
      </c>
      <c r="F466" s="5" t="s">
        <v>451</v>
      </c>
      <c r="G466" s="7">
        <v>45824</v>
      </c>
      <c r="H466" s="18">
        <v>0.78904109589041094</v>
      </c>
      <c r="I466" s="26" t="s">
        <v>888</v>
      </c>
      <c r="J466" s="28">
        <v>27680</v>
      </c>
      <c r="K466" s="28"/>
      <c r="L466" s="28"/>
    </row>
    <row r="467" spans="1:12" ht="15.75" customHeight="1" x14ac:dyDescent="0.35">
      <c r="A467" s="10">
        <f t="shared" si="24"/>
        <v>464</v>
      </c>
      <c r="B467" s="3">
        <v>9278</v>
      </c>
      <c r="C467" s="5" t="s">
        <v>1601</v>
      </c>
      <c r="D467" s="5" t="s">
        <v>563</v>
      </c>
      <c r="E467" s="5" t="s">
        <v>16</v>
      </c>
      <c r="F467" s="5" t="s">
        <v>658</v>
      </c>
      <c r="G467" s="7">
        <v>45824</v>
      </c>
      <c r="H467" s="18">
        <v>0.78904109589041094</v>
      </c>
      <c r="I467" s="26" t="s">
        <v>888</v>
      </c>
      <c r="J467" s="28">
        <v>26300</v>
      </c>
      <c r="K467" s="28"/>
      <c r="L467" s="28"/>
    </row>
    <row r="468" spans="1:12" ht="15.75" customHeight="1" x14ac:dyDescent="0.35">
      <c r="A468" s="10">
        <f t="shared" si="24"/>
        <v>465</v>
      </c>
      <c r="B468" s="3">
        <v>9279</v>
      </c>
      <c r="C468" s="5" t="s">
        <v>1602</v>
      </c>
      <c r="D468" s="5" t="s">
        <v>563</v>
      </c>
      <c r="E468" s="5" t="s">
        <v>16</v>
      </c>
      <c r="F468" s="5" t="s">
        <v>729</v>
      </c>
      <c r="G468" s="7">
        <v>45824</v>
      </c>
      <c r="H468" s="18">
        <v>0.78904109589041094</v>
      </c>
      <c r="I468" s="26" t="s">
        <v>888</v>
      </c>
      <c r="J468" s="28">
        <v>26000</v>
      </c>
      <c r="K468" s="28"/>
      <c r="L468" s="28"/>
    </row>
    <row r="469" spans="1:12" ht="15.75" customHeight="1" x14ac:dyDescent="0.35">
      <c r="A469" s="10">
        <f t="shared" si="24"/>
        <v>466</v>
      </c>
      <c r="B469" s="3">
        <v>9281</v>
      </c>
      <c r="C469" s="5" t="s">
        <v>1603</v>
      </c>
      <c r="D469" s="5" t="s">
        <v>1333</v>
      </c>
      <c r="E469" s="5" t="s">
        <v>16</v>
      </c>
      <c r="F469" s="5" t="s">
        <v>48</v>
      </c>
      <c r="G469" s="7">
        <v>45824</v>
      </c>
      <c r="H469" s="18">
        <v>0.78904109589041094</v>
      </c>
      <c r="I469" s="26" t="s">
        <v>1334</v>
      </c>
      <c r="J469" s="28">
        <v>15000</v>
      </c>
      <c r="K469" s="28"/>
      <c r="L469" s="28"/>
    </row>
    <row r="470" spans="1:12" ht="15.75" customHeight="1" x14ac:dyDescent="0.35">
      <c r="A470" s="10">
        <f t="shared" si="24"/>
        <v>467</v>
      </c>
      <c r="B470" s="3">
        <v>9282</v>
      </c>
      <c r="C470" s="5" t="s">
        <v>1604</v>
      </c>
      <c r="D470" s="5" t="s">
        <v>1333</v>
      </c>
      <c r="E470" s="5" t="s">
        <v>16</v>
      </c>
      <c r="F470" s="5" t="s">
        <v>729</v>
      </c>
      <c r="G470" s="7">
        <v>45824</v>
      </c>
      <c r="H470" s="18">
        <v>0.78904109589041094</v>
      </c>
      <c r="I470" s="26" t="s">
        <v>1334</v>
      </c>
      <c r="J470" s="28">
        <v>15000</v>
      </c>
      <c r="K470" s="28"/>
      <c r="L470" s="28"/>
    </row>
    <row r="471" spans="1:12" ht="15.75" customHeight="1" x14ac:dyDescent="0.35">
      <c r="A471" s="10">
        <f t="shared" si="24"/>
        <v>468</v>
      </c>
      <c r="B471" s="3">
        <v>9286</v>
      </c>
      <c r="C471" s="5" t="s">
        <v>1606</v>
      </c>
      <c r="D471" s="5" t="s">
        <v>563</v>
      </c>
      <c r="E471" s="5" t="s">
        <v>16</v>
      </c>
      <c r="F471" s="5" t="s">
        <v>480</v>
      </c>
      <c r="G471" s="7">
        <v>45826</v>
      </c>
      <c r="H471" s="18">
        <v>0.78356164383561644</v>
      </c>
      <c r="I471" s="26" t="s">
        <v>888</v>
      </c>
      <c r="J471" s="28">
        <v>27380</v>
      </c>
      <c r="K471" s="28"/>
      <c r="L471" s="28"/>
    </row>
    <row r="472" spans="1:12" ht="15.75" customHeight="1" x14ac:dyDescent="0.35">
      <c r="A472" s="10">
        <f t="shared" si="24"/>
        <v>469</v>
      </c>
      <c r="B472" s="3">
        <v>9288</v>
      </c>
      <c r="C472" s="5" t="s">
        <v>1608</v>
      </c>
      <c r="D472" s="5" t="s">
        <v>563</v>
      </c>
      <c r="E472" s="5" t="s">
        <v>16</v>
      </c>
      <c r="F472" s="5" t="s">
        <v>517</v>
      </c>
      <c r="G472" s="7">
        <v>45831</v>
      </c>
      <c r="H472" s="18">
        <v>0.76986301369863008</v>
      </c>
      <c r="I472" s="26" t="s">
        <v>888</v>
      </c>
      <c r="J472" s="28">
        <v>26300</v>
      </c>
      <c r="K472" s="28"/>
      <c r="L472" s="28"/>
    </row>
    <row r="473" spans="1:12" ht="15.75" customHeight="1" x14ac:dyDescent="0.35">
      <c r="A473" s="10">
        <f t="shared" si="24"/>
        <v>470</v>
      </c>
      <c r="B473" s="3">
        <v>9290</v>
      </c>
      <c r="C473" s="5" t="s">
        <v>1609</v>
      </c>
      <c r="D473" s="5" t="s">
        <v>1333</v>
      </c>
      <c r="E473" s="5" t="s">
        <v>16</v>
      </c>
      <c r="F473" s="5" t="s">
        <v>1183</v>
      </c>
      <c r="G473" s="7">
        <v>45831</v>
      </c>
      <c r="H473" s="18">
        <v>0.76986301369863008</v>
      </c>
      <c r="I473" s="26" t="s">
        <v>1334</v>
      </c>
      <c r="J473" s="28">
        <v>15000</v>
      </c>
      <c r="K473" s="28"/>
      <c r="L473" s="28"/>
    </row>
    <row r="474" spans="1:12" ht="15.75" customHeight="1" x14ac:dyDescent="0.35">
      <c r="A474" s="10">
        <f t="shared" si="24"/>
        <v>471</v>
      </c>
      <c r="B474" s="3">
        <v>9291</v>
      </c>
      <c r="C474" s="5" t="s">
        <v>1610</v>
      </c>
      <c r="D474" s="5" t="s">
        <v>1333</v>
      </c>
      <c r="E474" s="5" t="s">
        <v>16</v>
      </c>
      <c r="F474" s="5" t="s">
        <v>947</v>
      </c>
      <c r="G474" s="7">
        <v>45831</v>
      </c>
      <c r="H474" s="18">
        <v>0.76986301369863008</v>
      </c>
      <c r="I474" s="26" t="s">
        <v>1334</v>
      </c>
      <c r="J474" s="28">
        <v>15000</v>
      </c>
      <c r="K474" s="28"/>
      <c r="L474" s="28"/>
    </row>
    <row r="475" spans="1:12" ht="15.75" customHeight="1" x14ac:dyDescent="0.35">
      <c r="A475" s="10">
        <f t="shared" si="24"/>
        <v>472</v>
      </c>
      <c r="B475" s="3">
        <v>9292</v>
      </c>
      <c r="C475" s="5" t="s">
        <v>1611</v>
      </c>
      <c r="D475" s="5" t="s">
        <v>1333</v>
      </c>
      <c r="E475" s="5" t="s">
        <v>16</v>
      </c>
      <c r="F475" s="5" t="s">
        <v>353</v>
      </c>
      <c r="G475" s="7">
        <v>45831</v>
      </c>
      <c r="H475" s="18">
        <v>0.76986301369863008</v>
      </c>
      <c r="I475" s="26" t="s">
        <v>1334</v>
      </c>
      <c r="J475" s="28">
        <v>15000</v>
      </c>
      <c r="K475" s="28"/>
      <c r="L475" s="28"/>
    </row>
    <row r="476" spans="1:12" ht="15.75" customHeight="1" x14ac:dyDescent="0.35">
      <c r="A476" s="10">
        <f t="shared" si="24"/>
        <v>473</v>
      </c>
      <c r="B476" s="3">
        <v>9297</v>
      </c>
      <c r="C476" s="5" t="s">
        <v>1613</v>
      </c>
      <c r="D476" s="5" t="s">
        <v>563</v>
      </c>
      <c r="E476" s="5" t="s">
        <v>16</v>
      </c>
      <c r="F476" s="5" t="s">
        <v>1124</v>
      </c>
      <c r="G476" s="7">
        <v>45839</v>
      </c>
      <c r="H476" s="18">
        <v>0.74794520547945209</v>
      </c>
      <c r="I476" s="26" t="s">
        <v>888</v>
      </c>
      <c r="J476" s="28">
        <v>28760</v>
      </c>
      <c r="K476" s="28"/>
      <c r="L476" s="28"/>
    </row>
    <row r="477" spans="1:12" ht="15.75" customHeight="1" x14ac:dyDescent="0.35">
      <c r="A477" s="10">
        <f t="shared" si="24"/>
        <v>474</v>
      </c>
      <c r="B477" s="3">
        <v>9300</v>
      </c>
      <c r="C477" s="5" t="s">
        <v>1616</v>
      </c>
      <c r="D477" s="5" t="s">
        <v>1333</v>
      </c>
      <c r="E477" s="5" t="s">
        <v>16</v>
      </c>
      <c r="F477" s="5" t="s">
        <v>439</v>
      </c>
      <c r="G477" s="7">
        <v>45839</v>
      </c>
      <c r="H477" s="18">
        <v>0.74794520547945209</v>
      </c>
      <c r="I477" s="26" t="s">
        <v>1334</v>
      </c>
      <c r="J477" s="28">
        <v>15000</v>
      </c>
      <c r="K477" s="28"/>
      <c r="L477" s="28"/>
    </row>
    <row r="478" spans="1:12" ht="15.75" customHeight="1" x14ac:dyDescent="0.35">
      <c r="A478" s="10">
        <f t="shared" si="24"/>
        <v>475</v>
      </c>
      <c r="B478" s="3">
        <v>9301</v>
      </c>
      <c r="C478" s="5" t="s">
        <v>1617</v>
      </c>
      <c r="D478" s="5" t="s">
        <v>563</v>
      </c>
      <c r="E478" s="5" t="s">
        <v>16</v>
      </c>
      <c r="F478" s="5" t="s">
        <v>110</v>
      </c>
      <c r="G478" s="7">
        <v>45839</v>
      </c>
      <c r="H478" s="18">
        <v>0.74794520547945209</v>
      </c>
      <c r="I478" s="26" t="s">
        <v>888</v>
      </c>
      <c r="J478" s="28">
        <v>26600</v>
      </c>
      <c r="K478" s="28"/>
      <c r="L478" s="28"/>
    </row>
    <row r="479" spans="1:12" ht="15.75" customHeight="1" x14ac:dyDescent="0.35">
      <c r="A479" s="10">
        <f t="shared" si="24"/>
        <v>476</v>
      </c>
      <c r="B479" s="3">
        <v>9305</v>
      </c>
      <c r="C479" s="5" t="s">
        <v>1621</v>
      </c>
      <c r="D479" s="5" t="s">
        <v>563</v>
      </c>
      <c r="E479" s="5" t="s">
        <v>16</v>
      </c>
      <c r="F479" s="5" t="s">
        <v>517</v>
      </c>
      <c r="G479" s="7">
        <v>45852</v>
      </c>
      <c r="H479" s="18">
        <v>0.71232876712328763</v>
      </c>
      <c r="I479" s="26" t="s">
        <v>888</v>
      </c>
      <c r="J479" s="28">
        <v>26900</v>
      </c>
      <c r="K479" s="28"/>
      <c r="L479" s="28"/>
    </row>
    <row r="480" spans="1:12" ht="15.75" customHeight="1" x14ac:dyDescent="0.35">
      <c r="A480" s="10">
        <f t="shared" si="24"/>
        <v>477</v>
      </c>
      <c r="B480" s="3">
        <v>9307</v>
      </c>
      <c r="C480" s="5" t="s">
        <v>1622</v>
      </c>
      <c r="D480" s="5" t="s">
        <v>1333</v>
      </c>
      <c r="E480" s="5" t="s">
        <v>16</v>
      </c>
      <c r="F480" s="5" t="s">
        <v>1124</v>
      </c>
      <c r="G480" s="7">
        <v>45852</v>
      </c>
      <c r="H480" s="18">
        <v>0.71232876712328763</v>
      </c>
      <c r="I480" s="26" t="s">
        <v>1334</v>
      </c>
      <c r="J480" s="28">
        <v>15000</v>
      </c>
      <c r="K480" s="28"/>
      <c r="L480" s="28"/>
    </row>
    <row r="481" spans="1:12" ht="15.75" customHeight="1" x14ac:dyDescent="0.35">
      <c r="A481" s="10">
        <f t="shared" si="24"/>
        <v>478</v>
      </c>
      <c r="B481" s="3">
        <v>9308</v>
      </c>
      <c r="C481" s="5" t="s">
        <v>1623</v>
      </c>
      <c r="D481" s="5" t="s">
        <v>1333</v>
      </c>
      <c r="E481" s="5" t="s">
        <v>16</v>
      </c>
      <c r="F481" s="5" t="s">
        <v>681</v>
      </c>
      <c r="G481" s="7">
        <v>45852</v>
      </c>
      <c r="H481" s="18">
        <v>0.71232876712328763</v>
      </c>
      <c r="I481" s="26" t="s">
        <v>1334</v>
      </c>
      <c r="J481" s="28">
        <v>15000</v>
      </c>
      <c r="K481" s="28"/>
      <c r="L481" s="28"/>
    </row>
    <row r="482" spans="1:12" ht="15.75" customHeight="1" x14ac:dyDescent="0.35">
      <c r="A482" s="10">
        <f t="shared" si="24"/>
        <v>479</v>
      </c>
      <c r="B482" s="3">
        <v>9309</v>
      </c>
      <c r="C482" s="5" t="s">
        <v>1624</v>
      </c>
      <c r="D482" s="5" t="s">
        <v>563</v>
      </c>
      <c r="E482" s="5" t="s">
        <v>16</v>
      </c>
      <c r="F482" s="5" t="s">
        <v>825</v>
      </c>
      <c r="G482" s="7">
        <v>45852</v>
      </c>
      <c r="H482" s="18">
        <v>0.71232876712328763</v>
      </c>
      <c r="I482" s="26" t="s">
        <v>888</v>
      </c>
      <c r="J482" s="28">
        <v>26200</v>
      </c>
      <c r="K482" s="28"/>
      <c r="L482" s="28"/>
    </row>
    <row r="483" spans="1:12" ht="15.75" customHeight="1" x14ac:dyDescent="0.35">
      <c r="A483" s="10">
        <f t="shared" si="24"/>
        <v>480</v>
      </c>
      <c r="B483" s="3">
        <v>9312</v>
      </c>
      <c r="C483" s="5" t="s">
        <v>1627</v>
      </c>
      <c r="D483" s="5" t="s">
        <v>1333</v>
      </c>
      <c r="E483" s="5" t="s">
        <v>16</v>
      </c>
      <c r="F483" s="5" t="s">
        <v>497</v>
      </c>
      <c r="G483" s="7">
        <v>45852</v>
      </c>
      <c r="H483" s="18">
        <v>0.71232876712328763</v>
      </c>
      <c r="I483" s="26" t="s">
        <v>1334</v>
      </c>
      <c r="J483" s="28">
        <v>15000</v>
      </c>
      <c r="K483" s="28"/>
      <c r="L483" s="28"/>
    </row>
    <row r="484" spans="1:12" ht="15.75" customHeight="1" x14ac:dyDescent="0.35">
      <c r="A484" s="10">
        <f t="shared" si="24"/>
        <v>481</v>
      </c>
      <c r="B484" s="3">
        <v>9313</v>
      </c>
      <c r="C484" s="5" t="s">
        <v>1628</v>
      </c>
      <c r="D484" s="5" t="s">
        <v>1333</v>
      </c>
      <c r="E484" s="5" t="s">
        <v>16</v>
      </c>
      <c r="F484" s="5" t="s">
        <v>1183</v>
      </c>
      <c r="G484" s="7">
        <v>45853</v>
      </c>
      <c r="H484" s="18">
        <v>0.70958904109589038</v>
      </c>
      <c r="I484" s="26" t="s">
        <v>1334</v>
      </c>
      <c r="J484" s="28">
        <v>15000</v>
      </c>
      <c r="K484" s="28"/>
      <c r="L484" s="28"/>
    </row>
    <row r="485" spans="1:12" ht="15.75" customHeight="1" x14ac:dyDescent="0.35">
      <c r="A485" s="10">
        <f t="shared" si="24"/>
        <v>482</v>
      </c>
      <c r="B485" s="3">
        <v>9316</v>
      </c>
      <c r="C485" s="5" t="s">
        <v>1630</v>
      </c>
      <c r="D485" s="5" t="s">
        <v>563</v>
      </c>
      <c r="E485" s="5" t="s">
        <v>16</v>
      </c>
      <c r="F485" s="5" t="s">
        <v>1124</v>
      </c>
      <c r="G485" s="7">
        <v>45859</v>
      </c>
      <c r="H485" s="18">
        <v>0.69315068493150689</v>
      </c>
      <c r="I485" s="26" t="s">
        <v>888</v>
      </c>
      <c r="J485" s="28">
        <v>26200</v>
      </c>
      <c r="K485" s="28"/>
      <c r="L485" s="28"/>
    </row>
    <row r="486" spans="1:12" ht="15.75" customHeight="1" x14ac:dyDescent="0.35">
      <c r="A486" s="10">
        <f t="shared" si="24"/>
        <v>483</v>
      </c>
      <c r="B486" s="3">
        <v>9317</v>
      </c>
      <c r="C486" s="5" t="s">
        <v>1631</v>
      </c>
      <c r="D486" s="5" t="s">
        <v>563</v>
      </c>
      <c r="E486" s="5" t="s">
        <v>16</v>
      </c>
      <c r="F486" s="5" t="s">
        <v>353</v>
      </c>
      <c r="G486" s="7">
        <v>45859</v>
      </c>
      <c r="H486" s="18">
        <v>0.69315068493150689</v>
      </c>
      <c r="I486" s="26" t="s">
        <v>888</v>
      </c>
      <c r="J486" s="28">
        <v>27980</v>
      </c>
      <c r="K486" s="28"/>
      <c r="L486" s="28"/>
    </row>
    <row r="487" spans="1:12" ht="15.75" customHeight="1" x14ac:dyDescent="0.35">
      <c r="A487" s="10">
        <f t="shared" si="24"/>
        <v>484</v>
      </c>
      <c r="B487" s="3">
        <v>9318</v>
      </c>
      <c r="C487" s="5" t="s">
        <v>1632</v>
      </c>
      <c r="D487" s="5" t="s">
        <v>563</v>
      </c>
      <c r="E487" s="5" t="s">
        <v>16</v>
      </c>
      <c r="F487" s="5" t="s">
        <v>658</v>
      </c>
      <c r="G487" s="7">
        <v>45864</v>
      </c>
      <c r="H487" s="18">
        <v>0.67945205479452053</v>
      </c>
      <c r="I487" s="26" t="s">
        <v>888</v>
      </c>
      <c r="J487" s="28">
        <v>27680</v>
      </c>
      <c r="K487" s="28"/>
      <c r="L487" s="28"/>
    </row>
    <row r="488" spans="1:12" ht="15.75" customHeight="1" x14ac:dyDescent="0.35">
      <c r="A488" s="10">
        <f t="shared" si="24"/>
        <v>485</v>
      </c>
      <c r="B488" s="3">
        <v>9320</v>
      </c>
      <c r="C488" s="5" t="s">
        <v>1129</v>
      </c>
      <c r="D488" s="5" t="s">
        <v>563</v>
      </c>
      <c r="E488" s="5" t="s">
        <v>16</v>
      </c>
      <c r="F488" s="5" t="s">
        <v>656</v>
      </c>
      <c r="G488" s="7">
        <v>45859</v>
      </c>
      <c r="H488" s="18">
        <v>0.69315068493150689</v>
      </c>
      <c r="I488" s="26" t="s">
        <v>888</v>
      </c>
      <c r="J488" s="28">
        <v>26300</v>
      </c>
      <c r="K488" s="28"/>
      <c r="L488" s="28"/>
    </row>
    <row r="489" spans="1:12" ht="15.75" customHeight="1" x14ac:dyDescent="0.35">
      <c r="A489" s="10">
        <f t="shared" si="24"/>
        <v>486</v>
      </c>
      <c r="B489" s="3">
        <v>9321</v>
      </c>
      <c r="C489" s="5" t="s">
        <v>1633</v>
      </c>
      <c r="D489" s="5" t="s">
        <v>1333</v>
      </c>
      <c r="E489" s="5" t="s">
        <v>16</v>
      </c>
      <c r="F489" s="5" t="s">
        <v>626</v>
      </c>
      <c r="G489" s="7">
        <v>45859</v>
      </c>
      <c r="H489" s="18">
        <v>0.69315068493150689</v>
      </c>
      <c r="I489" s="26" t="s">
        <v>1334</v>
      </c>
      <c r="J489" s="28">
        <v>15000</v>
      </c>
      <c r="K489" s="28"/>
      <c r="L489" s="28"/>
    </row>
    <row r="490" spans="1:12" ht="15.75" customHeight="1" x14ac:dyDescent="0.35">
      <c r="A490" s="10">
        <f t="shared" si="24"/>
        <v>487</v>
      </c>
      <c r="B490" s="3">
        <v>9325</v>
      </c>
      <c r="C490" s="5" t="s">
        <v>1638</v>
      </c>
      <c r="D490" s="5" t="s">
        <v>563</v>
      </c>
      <c r="E490" s="5" t="s">
        <v>16</v>
      </c>
      <c r="F490" s="5" t="s">
        <v>1057</v>
      </c>
      <c r="G490" s="7">
        <v>45862</v>
      </c>
      <c r="H490" s="18">
        <v>0.68493150684931503</v>
      </c>
      <c r="I490" s="26" t="s">
        <v>888</v>
      </c>
      <c r="J490" s="28">
        <v>27680</v>
      </c>
      <c r="K490" s="28"/>
      <c r="L490" s="28"/>
    </row>
    <row r="491" spans="1:12" ht="15.75" customHeight="1" x14ac:dyDescent="0.35">
      <c r="A491" s="10">
        <f t="shared" si="24"/>
        <v>488</v>
      </c>
      <c r="B491" s="3">
        <v>9329</v>
      </c>
      <c r="C491" s="5" t="s">
        <v>1642</v>
      </c>
      <c r="D491" s="5" t="s">
        <v>563</v>
      </c>
      <c r="E491" s="5" t="s">
        <v>16</v>
      </c>
      <c r="F491" s="5" t="s">
        <v>141</v>
      </c>
      <c r="G491" s="7">
        <v>45870</v>
      </c>
      <c r="H491" s="18">
        <v>0.66301369863013704</v>
      </c>
      <c r="I491" s="26" t="s">
        <v>888</v>
      </c>
      <c r="J491" s="28">
        <v>26900</v>
      </c>
      <c r="K491" s="28"/>
      <c r="L491" s="28"/>
    </row>
    <row r="492" spans="1:12" ht="15.75" customHeight="1" x14ac:dyDescent="0.35">
      <c r="A492" s="10">
        <f t="shared" si="24"/>
        <v>489</v>
      </c>
      <c r="B492" s="3">
        <v>9331</v>
      </c>
      <c r="C492" s="5" t="s">
        <v>1643</v>
      </c>
      <c r="D492" s="5" t="s">
        <v>563</v>
      </c>
      <c r="E492" s="5" t="s">
        <v>16</v>
      </c>
      <c r="F492" s="5" t="s">
        <v>1183</v>
      </c>
      <c r="G492" s="7">
        <v>45870</v>
      </c>
      <c r="H492" s="18">
        <v>0.66301369863013704</v>
      </c>
      <c r="I492" s="26" t="s">
        <v>888</v>
      </c>
      <c r="J492" s="28">
        <v>28760</v>
      </c>
      <c r="K492" s="28"/>
      <c r="L492" s="28"/>
    </row>
    <row r="493" spans="1:12" ht="15.75" customHeight="1" x14ac:dyDescent="0.35">
      <c r="A493" s="10">
        <f t="shared" si="24"/>
        <v>490</v>
      </c>
      <c r="B493" s="3">
        <v>9343</v>
      </c>
      <c r="C493" s="5" t="s">
        <v>1656</v>
      </c>
      <c r="D493" s="5" t="s">
        <v>563</v>
      </c>
      <c r="E493" s="5" t="s">
        <v>16</v>
      </c>
      <c r="F493" s="5" t="s">
        <v>825</v>
      </c>
      <c r="G493" s="7">
        <v>45880</v>
      </c>
      <c r="H493" s="18">
        <v>0.63561643835616444</v>
      </c>
      <c r="I493" s="26" t="s">
        <v>888</v>
      </c>
      <c r="J493" s="28">
        <v>26200</v>
      </c>
      <c r="K493" s="28"/>
      <c r="L493" s="28"/>
    </row>
    <row r="494" spans="1:12" ht="15.75" customHeight="1" x14ac:dyDescent="0.35">
      <c r="A494" s="10">
        <f t="shared" si="24"/>
        <v>491</v>
      </c>
      <c r="B494" s="3">
        <v>9352</v>
      </c>
      <c r="C494" s="5" t="s">
        <v>1659</v>
      </c>
      <c r="D494" s="5" t="s">
        <v>1333</v>
      </c>
      <c r="E494" s="5" t="s">
        <v>16</v>
      </c>
      <c r="F494" s="5" t="s">
        <v>718</v>
      </c>
      <c r="G494" s="7">
        <v>45887</v>
      </c>
      <c r="H494" s="18">
        <v>0.61643835616438358</v>
      </c>
      <c r="I494" s="26" t="s">
        <v>1334</v>
      </c>
      <c r="J494" s="28">
        <v>15000</v>
      </c>
      <c r="K494" s="28"/>
      <c r="L494" s="28"/>
    </row>
    <row r="495" spans="1:12" ht="15.75" customHeight="1" x14ac:dyDescent="0.35">
      <c r="A495" s="10">
        <f t="shared" si="24"/>
        <v>492</v>
      </c>
      <c r="B495" s="3">
        <v>9353</v>
      </c>
      <c r="C495" s="5" t="s">
        <v>1660</v>
      </c>
      <c r="D495" s="5" t="s">
        <v>1333</v>
      </c>
      <c r="E495" s="5" t="s">
        <v>16</v>
      </c>
      <c r="F495" s="5" t="s">
        <v>656</v>
      </c>
      <c r="G495" s="7">
        <v>45887</v>
      </c>
      <c r="H495" s="18">
        <v>0.61643835616438358</v>
      </c>
      <c r="I495" s="26" t="s">
        <v>1334</v>
      </c>
      <c r="J495" s="28">
        <v>15000</v>
      </c>
      <c r="K495" s="28"/>
      <c r="L495" s="28"/>
    </row>
    <row r="496" spans="1:12" ht="15.75" customHeight="1" x14ac:dyDescent="0.35">
      <c r="A496" s="10">
        <f t="shared" si="24"/>
        <v>493</v>
      </c>
      <c r="B496" s="3">
        <v>9354</v>
      </c>
      <c r="C496" s="5" t="s">
        <v>1661</v>
      </c>
      <c r="D496" s="5" t="s">
        <v>1333</v>
      </c>
      <c r="E496" s="5" t="s">
        <v>16</v>
      </c>
      <c r="F496" s="5" t="s">
        <v>368</v>
      </c>
      <c r="G496" s="7">
        <v>45887</v>
      </c>
      <c r="H496" s="18">
        <v>0.61643835616438358</v>
      </c>
      <c r="I496" s="26" t="s">
        <v>1334</v>
      </c>
      <c r="J496" s="28">
        <v>15000</v>
      </c>
      <c r="K496" s="28"/>
      <c r="L496" s="28"/>
    </row>
    <row r="497" spans="1:12" ht="15.75" customHeight="1" x14ac:dyDescent="0.35">
      <c r="A497" s="10">
        <f t="shared" si="24"/>
        <v>494</v>
      </c>
      <c r="B497" s="3">
        <v>9358</v>
      </c>
      <c r="C497" s="5" t="s">
        <v>1663</v>
      </c>
      <c r="D497" s="5" t="s">
        <v>563</v>
      </c>
      <c r="E497" s="5" t="s">
        <v>16</v>
      </c>
      <c r="F497" s="5" t="s">
        <v>238</v>
      </c>
      <c r="G497" s="7">
        <v>45901</v>
      </c>
      <c r="H497" s="18">
        <v>0.57808219178082187</v>
      </c>
      <c r="I497" s="26" t="s">
        <v>888</v>
      </c>
      <c r="J497" s="28">
        <v>26600</v>
      </c>
      <c r="K497" s="28"/>
      <c r="L497" s="28"/>
    </row>
    <row r="498" spans="1:12" ht="15.75" customHeight="1" x14ac:dyDescent="0.35">
      <c r="A498" s="10">
        <f t="shared" si="24"/>
        <v>495</v>
      </c>
      <c r="B498" s="3">
        <v>9362</v>
      </c>
      <c r="C498" s="5" t="s">
        <v>1666</v>
      </c>
      <c r="D498" s="5" t="s">
        <v>1333</v>
      </c>
      <c r="E498" s="5" t="s">
        <v>16</v>
      </c>
      <c r="F498" s="5" t="s">
        <v>1124</v>
      </c>
      <c r="G498" s="7">
        <v>45901</v>
      </c>
      <c r="H498" s="18">
        <v>0.57808219178082187</v>
      </c>
      <c r="I498" s="26" t="s">
        <v>1334</v>
      </c>
      <c r="J498" s="28">
        <v>15000</v>
      </c>
      <c r="K498" s="28"/>
      <c r="L498" s="28"/>
    </row>
    <row r="499" spans="1:12" ht="15.75" customHeight="1" x14ac:dyDescent="0.35">
      <c r="A499" s="10">
        <f t="shared" si="24"/>
        <v>496</v>
      </c>
      <c r="B499" s="3">
        <v>9365</v>
      </c>
      <c r="C499" s="5" t="s">
        <v>1668</v>
      </c>
      <c r="D499" s="5" t="s">
        <v>563</v>
      </c>
      <c r="E499" s="5" t="s">
        <v>16</v>
      </c>
      <c r="F499" s="5" t="s">
        <v>992</v>
      </c>
      <c r="G499" s="7">
        <v>45908</v>
      </c>
      <c r="H499" s="18">
        <v>0.55890410958904113</v>
      </c>
      <c r="I499" s="26" t="s">
        <v>888</v>
      </c>
      <c r="J499" s="28">
        <v>26300</v>
      </c>
      <c r="K499" s="28"/>
      <c r="L499" s="28"/>
    </row>
    <row r="500" spans="1:12" ht="15.75" customHeight="1" x14ac:dyDescent="0.35">
      <c r="A500" s="10">
        <f t="shared" si="24"/>
        <v>497</v>
      </c>
      <c r="B500" s="3">
        <v>9366</v>
      </c>
      <c r="C500" s="5" t="s">
        <v>1669</v>
      </c>
      <c r="D500" s="5" t="s">
        <v>1333</v>
      </c>
      <c r="E500" s="5" t="s">
        <v>16</v>
      </c>
      <c r="F500" s="5" t="s">
        <v>589</v>
      </c>
      <c r="G500" s="7">
        <v>45908</v>
      </c>
      <c r="H500" s="18">
        <v>0.55890410958904113</v>
      </c>
      <c r="I500" s="26" t="s">
        <v>1334</v>
      </c>
      <c r="J500" s="28">
        <v>15000</v>
      </c>
      <c r="K500" s="28"/>
      <c r="L500" s="28"/>
    </row>
    <row r="501" spans="1:12" ht="15.75" customHeight="1" x14ac:dyDescent="0.35">
      <c r="A501" s="10">
        <f t="shared" si="24"/>
        <v>498</v>
      </c>
      <c r="B501" s="3">
        <v>9367</v>
      </c>
      <c r="C501" s="5" t="s">
        <v>1670</v>
      </c>
      <c r="D501" s="5" t="s">
        <v>563</v>
      </c>
      <c r="E501" s="5" t="s">
        <v>16</v>
      </c>
      <c r="F501" s="5" t="s">
        <v>368</v>
      </c>
      <c r="G501" s="7">
        <v>45908</v>
      </c>
      <c r="H501" s="18">
        <v>0.55890410958904113</v>
      </c>
      <c r="I501" s="26" t="s">
        <v>888</v>
      </c>
      <c r="J501" s="28">
        <v>27080</v>
      </c>
      <c r="K501" s="28"/>
      <c r="L501" s="28"/>
    </row>
    <row r="502" spans="1:12" ht="15.75" customHeight="1" x14ac:dyDescent="0.35">
      <c r="A502" s="10">
        <f t="shared" si="24"/>
        <v>499</v>
      </c>
      <c r="B502" s="3">
        <v>9378</v>
      </c>
      <c r="C502" s="5" t="s">
        <v>1671</v>
      </c>
      <c r="D502" s="5" t="s">
        <v>1333</v>
      </c>
      <c r="E502" s="5" t="s">
        <v>16</v>
      </c>
      <c r="F502" s="5" t="s">
        <v>1124</v>
      </c>
      <c r="G502" s="7">
        <v>45915</v>
      </c>
      <c r="H502" s="18">
        <v>0.53972602739726028</v>
      </c>
      <c r="I502" s="26" t="s">
        <v>1334</v>
      </c>
      <c r="J502" s="28">
        <v>15000</v>
      </c>
      <c r="K502" s="28"/>
      <c r="L502" s="28"/>
    </row>
    <row r="503" spans="1:12" ht="15.75" customHeight="1" x14ac:dyDescent="0.35">
      <c r="A503" s="10">
        <f t="shared" si="24"/>
        <v>500</v>
      </c>
      <c r="B503" s="3">
        <v>9379</v>
      </c>
      <c r="C503" s="5" t="s">
        <v>1672</v>
      </c>
      <c r="D503" s="5" t="s">
        <v>1333</v>
      </c>
      <c r="E503" s="5" t="s">
        <v>16</v>
      </c>
      <c r="F503" s="5" t="s">
        <v>711</v>
      </c>
      <c r="G503" s="7">
        <v>45915</v>
      </c>
      <c r="H503" s="18">
        <v>0.53972602739726028</v>
      </c>
      <c r="I503" s="26" t="s">
        <v>1334</v>
      </c>
      <c r="J503" s="28">
        <v>15000</v>
      </c>
      <c r="K503" s="28"/>
      <c r="L503" s="28"/>
    </row>
    <row r="504" spans="1:12" ht="15.75" customHeight="1" x14ac:dyDescent="0.35">
      <c r="A504" s="10">
        <f t="shared" si="24"/>
        <v>501</v>
      </c>
      <c r="B504" s="3">
        <v>9380</v>
      </c>
      <c r="C504" s="5" t="s">
        <v>1673</v>
      </c>
      <c r="D504" s="5" t="s">
        <v>1333</v>
      </c>
      <c r="E504" s="5" t="s">
        <v>16</v>
      </c>
      <c r="F504" s="5" t="s">
        <v>144</v>
      </c>
      <c r="G504" s="7">
        <v>45915</v>
      </c>
      <c r="H504" s="18">
        <v>0.53972602739726028</v>
      </c>
      <c r="I504" s="26" t="s">
        <v>1334</v>
      </c>
      <c r="J504" s="28">
        <v>13000</v>
      </c>
      <c r="K504" s="28"/>
      <c r="L504" s="28"/>
    </row>
    <row r="505" spans="1:12" ht="15.75" customHeight="1" x14ac:dyDescent="0.35">
      <c r="A505" s="10">
        <f t="shared" si="24"/>
        <v>502</v>
      </c>
      <c r="B505" s="3">
        <v>9381</v>
      </c>
      <c r="C505" s="5" t="s">
        <v>1674</v>
      </c>
      <c r="D505" s="5" t="s">
        <v>563</v>
      </c>
      <c r="E505" s="5" t="s">
        <v>16</v>
      </c>
      <c r="F505" s="5" t="s">
        <v>992</v>
      </c>
      <c r="G505" s="7">
        <v>45915</v>
      </c>
      <c r="H505" s="18">
        <v>0.53972602739726028</v>
      </c>
      <c r="I505" s="26" t="s">
        <v>888</v>
      </c>
      <c r="J505" s="28">
        <v>28480</v>
      </c>
      <c r="K505" s="28"/>
      <c r="L505" s="28"/>
    </row>
    <row r="506" spans="1:12" ht="15.75" customHeight="1" x14ac:dyDescent="0.35">
      <c r="A506" s="10">
        <f t="shared" si="24"/>
        <v>503</v>
      </c>
      <c r="B506" s="3">
        <v>9382</v>
      </c>
      <c r="C506" s="5" t="s">
        <v>1675</v>
      </c>
      <c r="D506" s="5" t="s">
        <v>1333</v>
      </c>
      <c r="E506" s="5" t="s">
        <v>16</v>
      </c>
      <c r="F506" s="5" t="s">
        <v>497</v>
      </c>
      <c r="G506" s="7">
        <v>45915</v>
      </c>
      <c r="H506" s="18">
        <v>0.53972602739726028</v>
      </c>
      <c r="I506" s="26" t="s">
        <v>1334</v>
      </c>
      <c r="J506" s="28">
        <v>15000</v>
      </c>
      <c r="K506" s="28"/>
      <c r="L506" s="28"/>
    </row>
    <row r="507" spans="1:12" ht="15.75" customHeight="1" x14ac:dyDescent="0.35">
      <c r="A507" s="10">
        <f t="shared" si="24"/>
        <v>504</v>
      </c>
      <c r="B507" s="3">
        <v>9394</v>
      </c>
      <c r="C507" s="5" t="s">
        <v>1682</v>
      </c>
      <c r="D507" s="5" t="s">
        <v>563</v>
      </c>
      <c r="E507" s="5" t="s">
        <v>16</v>
      </c>
      <c r="F507" s="5" t="s">
        <v>1057</v>
      </c>
      <c r="G507" s="7">
        <v>45922</v>
      </c>
      <c r="H507" s="18">
        <v>0.52054794520547942</v>
      </c>
      <c r="I507" s="26" t="s">
        <v>888</v>
      </c>
      <c r="J507" s="28">
        <v>26300</v>
      </c>
      <c r="K507" s="28"/>
      <c r="L507" s="28"/>
    </row>
    <row r="508" spans="1:12" ht="15.75" customHeight="1" x14ac:dyDescent="0.35">
      <c r="A508" s="10">
        <f t="shared" si="24"/>
        <v>505</v>
      </c>
      <c r="B508" s="3">
        <v>9395</v>
      </c>
      <c r="C508" s="5" t="s">
        <v>1683</v>
      </c>
      <c r="D508" s="5" t="s">
        <v>563</v>
      </c>
      <c r="E508" s="5" t="s">
        <v>16</v>
      </c>
      <c r="F508" s="5" t="s">
        <v>483</v>
      </c>
      <c r="G508" s="7">
        <v>45922</v>
      </c>
      <c r="H508" s="18">
        <v>0.52054794520547942</v>
      </c>
      <c r="I508" s="26" t="s">
        <v>888</v>
      </c>
      <c r="J508" s="28">
        <v>26200</v>
      </c>
      <c r="K508" s="28"/>
      <c r="L508" s="28"/>
    </row>
    <row r="509" spans="1:12" ht="15.75" customHeight="1" x14ac:dyDescent="0.35">
      <c r="A509" s="10">
        <f t="shared" si="24"/>
        <v>506</v>
      </c>
      <c r="B509" s="3">
        <v>9402</v>
      </c>
      <c r="C509" s="5" t="s">
        <v>1684</v>
      </c>
      <c r="D509" s="5" t="s">
        <v>1333</v>
      </c>
      <c r="E509" s="5" t="s">
        <v>16</v>
      </c>
      <c r="F509" s="5" t="s">
        <v>947</v>
      </c>
      <c r="G509" s="7">
        <v>45933</v>
      </c>
      <c r="H509" s="18">
        <v>0.49041095890410957</v>
      </c>
      <c r="I509" s="26" t="s">
        <v>1334</v>
      </c>
      <c r="J509" s="28">
        <v>15000</v>
      </c>
      <c r="K509" s="28"/>
      <c r="L509" s="28"/>
    </row>
    <row r="510" spans="1:12" ht="15.75" customHeight="1" x14ac:dyDescent="0.35">
      <c r="A510" s="10">
        <f t="shared" si="24"/>
        <v>507</v>
      </c>
      <c r="B510" s="3">
        <v>9403</v>
      </c>
      <c r="C510" s="5" t="s">
        <v>1685</v>
      </c>
      <c r="D510" s="5" t="s">
        <v>563</v>
      </c>
      <c r="E510" s="5" t="s">
        <v>16</v>
      </c>
      <c r="F510" s="5" t="s">
        <v>141</v>
      </c>
      <c r="G510" s="7">
        <v>45933</v>
      </c>
      <c r="H510" s="18">
        <v>0.49041095890410957</v>
      </c>
      <c r="I510" s="26" t="s">
        <v>888</v>
      </c>
      <c r="J510" s="28">
        <v>26000</v>
      </c>
      <c r="K510" s="28"/>
      <c r="L510" s="28"/>
    </row>
    <row r="511" spans="1:12" ht="15.75" customHeight="1" x14ac:dyDescent="0.35">
      <c r="A511" s="10">
        <f t="shared" si="24"/>
        <v>508</v>
      </c>
      <c r="B511" s="3">
        <v>9404</v>
      </c>
      <c r="C511" s="5" t="s">
        <v>1686</v>
      </c>
      <c r="D511" s="5" t="s">
        <v>563</v>
      </c>
      <c r="E511" s="5" t="s">
        <v>16</v>
      </c>
      <c r="F511" s="5" t="s">
        <v>480</v>
      </c>
      <c r="G511" s="7">
        <v>45933</v>
      </c>
      <c r="H511" s="18">
        <v>0.49041095890410957</v>
      </c>
      <c r="I511" s="26" t="s">
        <v>888</v>
      </c>
      <c r="J511" s="28">
        <v>26300</v>
      </c>
      <c r="K511" s="28"/>
      <c r="L511" s="28"/>
    </row>
    <row r="512" spans="1:12" ht="15.75" customHeight="1" x14ac:dyDescent="0.35">
      <c r="A512" s="10">
        <f t="shared" si="24"/>
        <v>509</v>
      </c>
      <c r="B512" s="3">
        <v>9405</v>
      </c>
      <c r="C512" s="5" t="s">
        <v>1687</v>
      </c>
      <c r="D512" s="5" t="s">
        <v>563</v>
      </c>
      <c r="E512" s="5" t="s">
        <v>16</v>
      </c>
      <c r="F512" s="5" t="s">
        <v>992</v>
      </c>
      <c r="G512" s="7">
        <v>45933</v>
      </c>
      <c r="H512" s="18">
        <v>0.49041095890410957</v>
      </c>
      <c r="I512" s="26" t="s">
        <v>888</v>
      </c>
      <c r="J512" s="28">
        <v>26000</v>
      </c>
      <c r="K512" s="28"/>
      <c r="L512" s="28"/>
    </row>
    <row r="513" spans="1:12" ht="15.75" customHeight="1" x14ac:dyDescent="0.35">
      <c r="A513" s="10">
        <f t="shared" si="24"/>
        <v>510</v>
      </c>
      <c r="B513" s="3">
        <v>9408</v>
      </c>
      <c r="C513" s="5" t="s">
        <v>1688</v>
      </c>
      <c r="D513" s="5" t="s">
        <v>563</v>
      </c>
      <c r="E513" s="5" t="s">
        <v>16</v>
      </c>
      <c r="F513" s="5" t="s">
        <v>955</v>
      </c>
      <c r="G513" s="7">
        <v>45933</v>
      </c>
      <c r="H513" s="18">
        <v>0.49041095890410957</v>
      </c>
      <c r="I513" s="26" t="s">
        <v>888</v>
      </c>
      <c r="J513" s="28">
        <v>26300</v>
      </c>
      <c r="K513" s="28"/>
      <c r="L513" s="28"/>
    </row>
    <row r="514" spans="1:12" ht="15.75" customHeight="1" x14ac:dyDescent="0.35">
      <c r="A514" s="10">
        <f t="shared" si="24"/>
        <v>511</v>
      </c>
      <c r="B514" s="3">
        <v>9409</v>
      </c>
      <c r="C514" s="5" t="s">
        <v>1689</v>
      </c>
      <c r="D514" s="5" t="s">
        <v>563</v>
      </c>
      <c r="E514" s="5" t="s">
        <v>16</v>
      </c>
      <c r="F514" s="5" t="s">
        <v>1224</v>
      </c>
      <c r="G514" s="7">
        <v>45933</v>
      </c>
      <c r="H514" s="18">
        <v>0.49041095890410957</v>
      </c>
      <c r="I514" s="26" t="s">
        <v>888</v>
      </c>
      <c r="J514" s="28">
        <v>26300</v>
      </c>
      <c r="K514" s="28"/>
      <c r="L514" s="28"/>
    </row>
    <row r="515" spans="1:12" ht="15.75" customHeight="1" x14ac:dyDescent="0.35">
      <c r="A515" s="10">
        <f t="shared" si="24"/>
        <v>512</v>
      </c>
      <c r="B515" s="3">
        <v>9421</v>
      </c>
      <c r="C515" s="5" t="s">
        <v>1697</v>
      </c>
      <c r="D515" s="5" t="s">
        <v>563</v>
      </c>
      <c r="E515" s="5" t="s">
        <v>16</v>
      </c>
      <c r="F515" s="5" t="s">
        <v>850</v>
      </c>
      <c r="G515" s="7">
        <v>45945</v>
      </c>
      <c r="H515" s="18">
        <v>0.45753424657534247</v>
      </c>
      <c r="I515" s="26" t="s">
        <v>888</v>
      </c>
      <c r="J515" s="28">
        <v>26200</v>
      </c>
      <c r="K515" s="28"/>
      <c r="L515" s="28"/>
    </row>
    <row r="516" spans="1:12" ht="15.75" customHeight="1" x14ac:dyDescent="0.35">
      <c r="A516" s="10">
        <f t="shared" si="24"/>
        <v>513</v>
      </c>
      <c r="B516" s="3">
        <v>9423</v>
      </c>
      <c r="C516" s="5" t="s">
        <v>1699</v>
      </c>
      <c r="D516" s="5" t="s">
        <v>563</v>
      </c>
      <c r="E516" s="5" t="s">
        <v>16</v>
      </c>
      <c r="F516" s="5" t="s">
        <v>850</v>
      </c>
      <c r="G516" s="7">
        <v>45945</v>
      </c>
      <c r="H516" s="18">
        <v>0.45753424657534247</v>
      </c>
      <c r="I516" s="26" t="s">
        <v>888</v>
      </c>
      <c r="J516" s="28">
        <v>26600</v>
      </c>
      <c r="K516" s="28"/>
      <c r="L516" s="28"/>
    </row>
    <row r="517" spans="1:12" ht="15.75" customHeight="1" x14ac:dyDescent="0.35">
      <c r="A517" s="10">
        <f t="shared" si="24"/>
        <v>514</v>
      </c>
      <c r="B517" s="3">
        <v>9426</v>
      </c>
      <c r="C517" s="5" t="s">
        <v>1700</v>
      </c>
      <c r="D517" s="5" t="s">
        <v>563</v>
      </c>
      <c r="E517" s="5" t="s">
        <v>16</v>
      </c>
      <c r="F517" s="5" t="s">
        <v>955</v>
      </c>
      <c r="G517" s="7">
        <v>45945</v>
      </c>
      <c r="H517" s="18">
        <v>0.45753424657534247</v>
      </c>
      <c r="I517" s="26" t="s">
        <v>888</v>
      </c>
      <c r="J517" s="28">
        <v>26600</v>
      </c>
      <c r="K517" s="28"/>
      <c r="L517" s="28"/>
    </row>
    <row r="518" spans="1:12" ht="15.75" customHeight="1" x14ac:dyDescent="0.35">
      <c r="A518" s="10">
        <f t="shared" ref="A518:A581" si="25">+A517+1</f>
        <v>515</v>
      </c>
      <c r="B518" s="3">
        <v>9442</v>
      </c>
      <c r="C518" s="5" t="s">
        <v>1714</v>
      </c>
      <c r="D518" s="5" t="s">
        <v>563</v>
      </c>
      <c r="E518" s="5" t="s">
        <v>16</v>
      </c>
      <c r="F518" s="5" t="s">
        <v>817</v>
      </c>
      <c r="G518" s="7">
        <v>45964</v>
      </c>
      <c r="H518" s="18">
        <v>0.40547945205479452</v>
      </c>
      <c r="I518" s="26" t="s">
        <v>888</v>
      </c>
      <c r="J518" s="28">
        <v>26600</v>
      </c>
      <c r="K518" s="28"/>
      <c r="L518" s="28"/>
    </row>
    <row r="519" spans="1:12" ht="15.75" customHeight="1" x14ac:dyDescent="0.35">
      <c r="A519" s="10">
        <f t="shared" si="25"/>
        <v>516</v>
      </c>
      <c r="B519" s="3">
        <v>9448</v>
      </c>
      <c r="C519" s="5" t="s">
        <v>1715</v>
      </c>
      <c r="D519" s="5" t="s">
        <v>1333</v>
      </c>
      <c r="E519" s="5" t="s">
        <v>16</v>
      </c>
      <c r="F519" s="5" t="s">
        <v>718</v>
      </c>
      <c r="G519" s="7">
        <v>45964</v>
      </c>
      <c r="H519" s="18">
        <v>0.40547945205479452</v>
      </c>
      <c r="I519" s="26" t="s">
        <v>1334</v>
      </c>
      <c r="J519" s="28">
        <v>13000</v>
      </c>
      <c r="K519" s="28"/>
      <c r="L519" s="28"/>
    </row>
    <row r="520" spans="1:12" ht="15.75" customHeight="1" x14ac:dyDescent="0.35">
      <c r="A520" s="10">
        <f t="shared" si="25"/>
        <v>517</v>
      </c>
      <c r="B520" s="3">
        <v>9453</v>
      </c>
      <c r="C520" s="5" t="s">
        <v>1719</v>
      </c>
      <c r="D520" s="5" t="s">
        <v>563</v>
      </c>
      <c r="E520" s="5" t="s">
        <v>16</v>
      </c>
      <c r="F520" s="5" t="s">
        <v>990</v>
      </c>
      <c r="G520" s="7">
        <v>45971</v>
      </c>
      <c r="H520" s="18">
        <v>0.38630136986301372</v>
      </c>
      <c r="I520" s="26" t="s">
        <v>888</v>
      </c>
      <c r="J520" s="28">
        <v>26300</v>
      </c>
      <c r="K520" s="28"/>
      <c r="L520" s="28"/>
    </row>
    <row r="521" spans="1:12" ht="15.75" customHeight="1" x14ac:dyDescent="0.35">
      <c r="A521" s="10">
        <f t="shared" si="25"/>
        <v>518</v>
      </c>
      <c r="B521" s="3">
        <v>9458</v>
      </c>
      <c r="C521" s="5" t="s">
        <v>1723</v>
      </c>
      <c r="D521" s="5" t="s">
        <v>563</v>
      </c>
      <c r="E521" s="5" t="s">
        <v>16</v>
      </c>
      <c r="F521" s="5" t="s">
        <v>497</v>
      </c>
      <c r="G521" s="7">
        <v>45967</v>
      </c>
      <c r="H521" s="18">
        <v>0.39726027397260272</v>
      </c>
      <c r="I521" s="26" t="s">
        <v>888</v>
      </c>
      <c r="J521" s="28">
        <v>27080</v>
      </c>
      <c r="K521" s="28"/>
      <c r="L521" s="28"/>
    </row>
    <row r="522" spans="1:12" ht="15.75" customHeight="1" x14ac:dyDescent="0.35">
      <c r="A522" s="10">
        <f t="shared" si="25"/>
        <v>519</v>
      </c>
      <c r="B522" s="3">
        <v>9462</v>
      </c>
      <c r="C522" s="5" t="s">
        <v>1728</v>
      </c>
      <c r="D522" s="5" t="s">
        <v>563</v>
      </c>
      <c r="E522" s="5" t="s">
        <v>16</v>
      </c>
      <c r="F522" s="5" t="s">
        <v>683</v>
      </c>
      <c r="G522" s="7">
        <v>45979</v>
      </c>
      <c r="H522" s="18">
        <v>0.36438356164383562</v>
      </c>
      <c r="I522" s="26" t="s">
        <v>888</v>
      </c>
      <c r="J522" s="28">
        <v>26000</v>
      </c>
      <c r="K522" s="28"/>
      <c r="L522" s="28"/>
    </row>
    <row r="523" spans="1:12" ht="15.75" customHeight="1" x14ac:dyDescent="0.35">
      <c r="A523" s="10">
        <f t="shared" si="25"/>
        <v>520</v>
      </c>
      <c r="B523" s="3">
        <v>9467</v>
      </c>
      <c r="C523" s="5" t="s">
        <v>1734</v>
      </c>
      <c r="D523" s="5" t="s">
        <v>563</v>
      </c>
      <c r="E523" s="5" t="s">
        <v>16</v>
      </c>
      <c r="F523" s="5" t="s">
        <v>711</v>
      </c>
      <c r="G523" s="7">
        <v>45987</v>
      </c>
      <c r="H523" s="18">
        <v>0.34246575342465752</v>
      </c>
      <c r="I523" s="26" t="s">
        <v>888</v>
      </c>
      <c r="J523" s="28">
        <v>26200</v>
      </c>
      <c r="K523" s="28"/>
      <c r="L523" s="28"/>
    </row>
    <row r="524" spans="1:12" ht="15.75" customHeight="1" x14ac:dyDescent="0.35">
      <c r="A524" s="10">
        <f t="shared" si="25"/>
        <v>521</v>
      </c>
      <c r="B524" s="3">
        <v>9472</v>
      </c>
      <c r="C524" s="5" t="s">
        <v>1736</v>
      </c>
      <c r="D524" s="5" t="s">
        <v>563</v>
      </c>
      <c r="E524" s="5" t="s">
        <v>16</v>
      </c>
      <c r="F524" s="5" t="s">
        <v>1124</v>
      </c>
      <c r="G524" s="7">
        <v>45992</v>
      </c>
      <c r="H524" s="18">
        <v>0.32876712328767121</v>
      </c>
      <c r="I524" s="26" t="s">
        <v>888</v>
      </c>
      <c r="J524" s="28">
        <v>26400</v>
      </c>
      <c r="K524" s="28"/>
      <c r="L524" s="28"/>
    </row>
    <row r="525" spans="1:12" ht="15.75" customHeight="1" x14ac:dyDescent="0.35">
      <c r="A525" s="10">
        <f t="shared" si="25"/>
        <v>522</v>
      </c>
      <c r="B525" s="3">
        <v>9474</v>
      </c>
      <c r="C525" s="5" t="s">
        <v>1737</v>
      </c>
      <c r="D525" s="5" t="s">
        <v>563</v>
      </c>
      <c r="E525" s="5" t="s">
        <v>16</v>
      </c>
      <c r="F525" s="5" t="s">
        <v>739</v>
      </c>
      <c r="G525" s="7">
        <v>45994</v>
      </c>
      <c r="H525" s="18">
        <v>0.32328767123287672</v>
      </c>
      <c r="I525" s="26" t="s">
        <v>888</v>
      </c>
      <c r="J525" s="28">
        <v>26300</v>
      </c>
      <c r="K525" s="28"/>
      <c r="L525" s="28"/>
    </row>
    <row r="526" spans="1:12" ht="15.75" customHeight="1" x14ac:dyDescent="0.35">
      <c r="A526" s="10">
        <f t="shared" si="25"/>
        <v>523</v>
      </c>
      <c r="B526" s="3">
        <v>9480</v>
      </c>
      <c r="C526" s="5" t="s">
        <v>1744</v>
      </c>
      <c r="D526" s="5" t="s">
        <v>563</v>
      </c>
      <c r="E526" s="5" t="s">
        <v>16</v>
      </c>
      <c r="F526" s="5" t="s">
        <v>711</v>
      </c>
      <c r="G526" s="7">
        <v>46006</v>
      </c>
      <c r="H526" s="18">
        <v>0.29041095890410956</v>
      </c>
      <c r="I526" s="26" t="s">
        <v>888</v>
      </c>
      <c r="J526" s="28">
        <v>26300</v>
      </c>
      <c r="K526" s="28"/>
      <c r="L526" s="28"/>
    </row>
    <row r="527" spans="1:12" ht="15.75" customHeight="1" x14ac:dyDescent="0.35">
      <c r="A527" s="10">
        <f t="shared" si="25"/>
        <v>524</v>
      </c>
      <c r="B527" s="3">
        <v>9481</v>
      </c>
      <c r="C527" s="5" t="s">
        <v>1745</v>
      </c>
      <c r="D527" s="5" t="s">
        <v>1333</v>
      </c>
      <c r="E527" s="5" t="s">
        <v>16</v>
      </c>
      <c r="F527" s="5" t="s">
        <v>353</v>
      </c>
      <c r="G527" s="7">
        <v>46008</v>
      </c>
      <c r="H527" s="18">
        <v>0.28493150684931506</v>
      </c>
      <c r="I527" s="26" t="s">
        <v>1334</v>
      </c>
      <c r="J527" s="28">
        <v>15000</v>
      </c>
      <c r="K527" s="28"/>
      <c r="L527" s="28"/>
    </row>
    <row r="528" spans="1:12" ht="15.75" customHeight="1" x14ac:dyDescent="0.35">
      <c r="A528" s="10">
        <f t="shared" si="25"/>
        <v>525</v>
      </c>
      <c r="B528" s="3">
        <v>9484</v>
      </c>
      <c r="C528" s="5" t="s">
        <v>1747</v>
      </c>
      <c r="D528" s="5" t="s">
        <v>563</v>
      </c>
      <c r="E528" s="5" t="s">
        <v>16</v>
      </c>
      <c r="F528" s="5" t="s">
        <v>947</v>
      </c>
      <c r="G528" s="7">
        <v>46013</v>
      </c>
      <c r="H528" s="18">
        <v>0.27123287671232876</v>
      </c>
      <c r="I528" s="26" t="s">
        <v>888</v>
      </c>
      <c r="J528" s="28">
        <v>26300</v>
      </c>
      <c r="K528" s="28"/>
      <c r="L528" s="28"/>
    </row>
    <row r="529" spans="1:12" ht="15.75" customHeight="1" x14ac:dyDescent="0.35">
      <c r="A529" s="10">
        <f t="shared" si="25"/>
        <v>526</v>
      </c>
      <c r="B529" s="3">
        <v>9488</v>
      </c>
      <c r="C529" s="5" t="s">
        <v>1749</v>
      </c>
      <c r="D529" s="5" t="s">
        <v>563</v>
      </c>
      <c r="E529" s="5" t="s">
        <v>16</v>
      </c>
      <c r="F529" s="5" t="s">
        <v>574</v>
      </c>
      <c r="G529" s="7">
        <v>46023</v>
      </c>
      <c r="H529" s="18">
        <v>0.24383561643835616</v>
      </c>
      <c r="I529" s="26" t="s">
        <v>888</v>
      </c>
      <c r="J529" s="28">
        <v>26600</v>
      </c>
      <c r="K529" s="28"/>
      <c r="L529" s="28"/>
    </row>
    <row r="530" spans="1:12" ht="15.75" customHeight="1" x14ac:dyDescent="0.35">
      <c r="A530" s="10">
        <f t="shared" si="25"/>
        <v>527</v>
      </c>
      <c r="B530" s="3">
        <v>9489</v>
      </c>
      <c r="C530" s="5" t="s">
        <v>1750</v>
      </c>
      <c r="D530" s="5" t="s">
        <v>563</v>
      </c>
      <c r="E530" s="5" t="s">
        <v>16</v>
      </c>
      <c r="F530" s="5" t="s">
        <v>697</v>
      </c>
      <c r="G530" s="7">
        <v>46023</v>
      </c>
      <c r="H530" s="18">
        <v>0.24383561643835616</v>
      </c>
      <c r="I530" s="26" t="s">
        <v>888</v>
      </c>
      <c r="J530" s="28">
        <v>27380</v>
      </c>
      <c r="K530" s="28"/>
      <c r="L530" s="28"/>
    </row>
    <row r="531" spans="1:12" ht="15.75" customHeight="1" x14ac:dyDescent="0.35">
      <c r="A531" s="10">
        <f t="shared" si="25"/>
        <v>528</v>
      </c>
      <c r="B531" s="3">
        <v>9490</v>
      </c>
      <c r="C531" s="5" t="s">
        <v>1751</v>
      </c>
      <c r="D531" s="5" t="s">
        <v>563</v>
      </c>
      <c r="E531" s="5" t="s">
        <v>16</v>
      </c>
      <c r="F531" s="5" t="s">
        <v>683</v>
      </c>
      <c r="G531" s="7">
        <v>46023</v>
      </c>
      <c r="H531" s="18">
        <v>0.24383561643835616</v>
      </c>
      <c r="I531" s="26" t="s">
        <v>888</v>
      </c>
      <c r="J531" s="28">
        <v>26200</v>
      </c>
      <c r="K531" s="28"/>
      <c r="L531" s="28"/>
    </row>
    <row r="532" spans="1:12" ht="15.75" customHeight="1" x14ac:dyDescent="0.35">
      <c r="A532" s="10">
        <f t="shared" si="25"/>
        <v>529</v>
      </c>
      <c r="B532" s="3">
        <v>9492</v>
      </c>
      <c r="C532" s="5" t="s">
        <v>1752</v>
      </c>
      <c r="D532" s="5" t="s">
        <v>563</v>
      </c>
      <c r="E532" s="5" t="s">
        <v>16</v>
      </c>
      <c r="F532" s="5" t="s">
        <v>434</v>
      </c>
      <c r="G532" s="7">
        <v>46023</v>
      </c>
      <c r="H532" s="18">
        <v>0.24383561643835616</v>
      </c>
      <c r="I532" s="26" t="s">
        <v>888</v>
      </c>
      <c r="J532" s="28">
        <v>26300</v>
      </c>
      <c r="K532" s="28"/>
      <c r="L532" s="28"/>
    </row>
    <row r="533" spans="1:12" ht="15.75" customHeight="1" x14ac:dyDescent="0.35">
      <c r="A533" s="10">
        <f t="shared" si="25"/>
        <v>530</v>
      </c>
      <c r="B533" s="3">
        <v>9494</v>
      </c>
      <c r="C533" s="5" t="s">
        <v>1753</v>
      </c>
      <c r="D533" s="5" t="s">
        <v>563</v>
      </c>
      <c r="E533" s="5" t="s">
        <v>16</v>
      </c>
      <c r="F533" s="5" t="s">
        <v>353</v>
      </c>
      <c r="G533" s="7">
        <v>46024</v>
      </c>
      <c r="H533" s="18">
        <v>0.24109589041095891</v>
      </c>
      <c r="I533" s="26" t="s">
        <v>888</v>
      </c>
      <c r="J533" s="28">
        <v>27380</v>
      </c>
      <c r="K533" s="28"/>
      <c r="L533" s="28"/>
    </row>
    <row r="534" spans="1:12" ht="15.75" customHeight="1" x14ac:dyDescent="0.35">
      <c r="A534" s="10">
        <f t="shared" si="25"/>
        <v>531</v>
      </c>
      <c r="B534" s="3">
        <v>9496</v>
      </c>
      <c r="C534" s="5" t="s">
        <v>1755</v>
      </c>
      <c r="D534" s="5" t="s">
        <v>563</v>
      </c>
      <c r="E534" s="5" t="s">
        <v>16</v>
      </c>
      <c r="F534" s="5" t="s">
        <v>497</v>
      </c>
      <c r="G534" s="7">
        <v>46027</v>
      </c>
      <c r="H534" s="18">
        <v>0.23287671232876711</v>
      </c>
      <c r="I534" s="26" t="s">
        <v>888</v>
      </c>
      <c r="J534" s="28">
        <v>28760</v>
      </c>
      <c r="K534" s="28"/>
      <c r="L534" s="28"/>
    </row>
    <row r="535" spans="1:12" ht="15.75" customHeight="1" x14ac:dyDescent="0.35">
      <c r="A535" s="10">
        <f t="shared" si="25"/>
        <v>532</v>
      </c>
      <c r="B535" s="3">
        <v>9502</v>
      </c>
      <c r="C535" s="5" t="s">
        <v>1759</v>
      </c>
      <c r="D535" s="5" t="s">
        <v>563</v>
      </c>
      <c r="E535" s="5" t="s">
        <v>16</v>
      </c>
      <c r="F535" s="5" t="s">
        <v>990</v>
      </c>
      <c r="G535" s="7">
        <v>46030</v>
      </c>
      <c r="H535" s="18">
        <v>0.22465753424657534</v>
      </c>
      <c r="I535" s="26" t="s">
        <v>888</v>
      </c>
      <c r="J535" s="28">
        <v>28980</v>
      </c>
      <c r="K535" s="28"/>
      <c r="L535" s="28"/>
    </row>
    <row r="536" spans="1:12" ht="15.75" customHeight="1" x14ac:dyDescent="0.35">
      <c r="A536" s="10">
        <f t="shared" si="25"/>
        <v>533</v>
      </c>
      <c r="B536" s="3">
        <v>9504</v>
      </c>
      <c r="C536" s="5" t="s">
        <v>1760</v>
      </c>
      <c r="D536" s="5" t="s">
        <v>1333</v>
      </c>
      <c r="E536" s="5" t="s">
        <v>16</v>
      </c>
      <c r="F536" s="5" t="s">
        <v>480</v>
      </c>
      <c r="G536" s="7">
        <v>46030</v>
      </c>
      <c r="H536" s="18">
        <v>0.22465753424657534</v>
      </c>
      <c r="I536" s="26" t="s">
        <v>1334</v>
      </c>
      <c r="J536" s="28">
        <v>15000</v>
      </c>
      <c r="K536" s="28"/>
      <c r="L536" s="28"/>
    </row>
    <row r="537" spans="1:12" ht="15.75" customHeight="1" x14ac:dyDescent="0.35">
      <c r="A537" s="10">
        <f t="shared" si="25"/>
        <v>534</v>
      </c>
      <c r="B537" s="3">
        <v>9506</v>
      </c>
      <c r="C537" s="5" t="s">
        <v>1761</v>
      </c>
      <c r="D537" s="5" t="s">
        <v>1333</v>
      </c>
      <c r="E537" s="5" t="s">
        <v>16</v>
      </c>
      <c r="F537" s="5" t="s">
        <v>483</v>
      </c>
      <c r="G537" s="7">
        <v>46030</v>
      </c>
      <c r="H537" s="18">
        <v>0.22465753424657534</v>
      </c>
      <c r="I537" s="26" t="s">
        <v>1334</v>
      </c>
      <c r="J537" s="28">
        <v>15000</v>
      </c>
      <c r="K537" s="28"/>
      <c r="L537" s="28"/>
    </row>
    <row r="538" spans="1:12" ht="15.75" customHeight="1" x14ac:dyDescent="0.35">
      <c r="A538" s="10">
        <f t="shared" si="25"/>
        <v>535</v>
      </c>
      <c r="B538" s="3">
        <v>9510</v>
      </c>
      <c r="C538" s="5" t="s">
        <v>1764</v>
      </c>
      <c r="D538" s="5" t="s">
        <v>1333</v>
      </c>
      <c r="E538" s="5" t="s">
        <v>16</v>
      </c>
      <c r="F538" s="5" t="s">
        <v>1183</v>
      </c>
      <c r="G538" s="7">
        <v>46034</v>
      </c>
      <c r="H538" s="18">
        <v>0.21369863013698631</v>
      </c>
      <c r="I538" s="26" t="s">
        <v>1334</v>
      </c>
      <c r="J538" s="28">
        <v>15000</v>
      </c>
      <c r="K538" s="28"/>
      <c r="L538" s="28"/>
    </row>
    <row r="539" spans="1:12" ht="15.75" customHeight="1" x14ac:dyDescent="0.35">
      <c r="A539" s="10">
        <f t="shared" si="25"/>
        <v>536</v>
      </c>
      <c r="B539" s="3">
        <v>9511</v>
      </c>
      <c r="C539" s="5" t="s">
        <v>1765</v>
      </c>
      <c r="D539" s="5" t="s">
        <v>563</v>
      </c>
      <c r="E539" s="5" t="s">
        <v>16</v>
      </c>
      <c r="F539" s="5" t="s">
        <v>681</v>
      </c>
      <c r="G539" s="7">
        <v>46034</v>
      </c>
      <c r="H539" s="18">
        <v>0.21369863013698631</v>
      </c>
      <c r="I539" s="26" t="s">
        <v>888</v>
      </c>
      <c r="J539" s="28">
        <v>26200</v>
      </c>
      <c r="K539" s="28"/>
      <c r="L539" s="28"/>
    </row>
    <row r="540" spans="1:12" ht="15.75" customHeight="1" x14ac:dyDescent="0.35">
      <c r="A540" s="10">
        <f t="shared" si="25"/>
        <v>537</v>
      </c>
      <c r="B540" s="3">
        <v>9512</v>
      </c>
      <c r="C540" s="5" t="s">
        <v>1766</v>
      </c>
      <c r="D540" s="5" t="s">
        <v>563</v>
      </c>
      <c r="E540" s="5" t="s">
        <v>16</v>
      </c>
      <c r="F540" s="5" t="s">
        <v>729</v>
      </c>
      <c r="G540" s="7">
        <v>46034</v>
      </c>
      <c r="H540" s="18">
        <v>0.21369863013698631</v>
      </c>
      <c r="I540" s="26" t="s">
        <v>888</v>
      </c>
      <c r="J540" s="28">
        <v>26000</v>
      </c>
      <c r="K540" s="28"/>
      <c r="L540" s="28"/>
    </row>
    <row r="541" spans="1:12" ht="15.75" customHeight="1" x14ac:dyDescent="0.35">
      <c r="A541" s="10">
        <f t="shared" si="25"/>
        <v>538</v>
      </c>
      <c r="B541" s="3">
        <v>9521</v>
      </c>
      <c r="C541" s="5" t="s">
        <v>1770</v>
      </c>
      <c r="D541" s="5" t="s">
        <v>563</v>
      </c>
      <c r="E541" s="5" t="s">
        <v>16</v>
      </c>
      <c r="F541" s="5" t="s">
        <v>958</v>
      </c>
      <c r="G541" s="7">
        <v>46041</v>
      </c>
      <c r="H541" s="18">
        <v>0.19452054794520549</v>
      </c>
      <c r="I541" s="26" t="s">
        <v>888</v>
      </c>
      <c r="J541" s="28">
        <v>26600</v>
      </c>
      <c r="K541" s="28"/>
      <c r="L541" s="28"/>
    </row>
    <row r="542" spans="1:12" ht="15.75" customHeight="1" x14ac:dyDescent="0.35">
      <c r="A542" s="10">
        <f t="shared" si="25"/>
        <v>539</v>
      </c>
      <c r="B542" s="3">
        <v>9522</v>
      </c>
      <c r="C542" s="5" t="s">
        <v>1771</v>
      </c>
      <c r="D542" s="5" t="s">
        <v>563</v>
      </c>
      <c r="E542" s="5" t="s">
        <v>16</v>
      </c>
      <c r="F542" s="5" t="s">
        <v>1107</v>
      </c>
      <c r="G542" s="7">
        <v>46041</v>
      </c>
      <c r="H542" s="18">
        <v>0.19452054794520549</v>
      </c>
      <c r="I542" s="26" t="s">
        <v>888</v>
      </c>
      <c r="J542" s="28">
        <v>26300</v>
      </c>
      <c r="K542" s="28"/>
      <c r="L542" s="28"/>
    </row>
    <row r="543" spans="1:12" ht="15.75" customHeight="1" x14ac:dyDescent="0.35">
      <c r="A543" s="10">
        <f t="shared" si="25"/>
        <v>540</v>
      </c>
      <c r="B543" s="3">
        <v>9523</v>
      </c>
      <c r="C543" s="5" t="s">
        <v>1772</v>
      </c>
      <c r="D543" s="5" t="s">
        <v>563</v>
      </c>
      <c r="E543" s="5" t="s">
        <v>16</v>
      </c>
      <c r="F543" s="5" t="s">
        <v>1423</v>
      </c>
      <c r="G543" s="7">
        <v>46041</v>
      </c>
      <c r="H543" s="18">
        <v>0.19452054794520549</v>
      </c>
      <c r="I543" s="26" t="s">
        <v>888</v>
      </c>
      <c r="J543" s="28">
        <v>26400</v>
      </c>
      <c r="K543" s="28"/>
      <c r="L543" s="28"/>
    </row>
    <row r="544" spans="1:12" ht="15.75" customHeight="1" x14ac:dyDescent="0.35">
      <c r="A544" s="10">
        <f t="shared" si="25"/>
        <v>541</v>
      </c>
      <c r="B544" s="3">
        <v>9526</v>
      </c>
      <c r="C544" s="5" t="s">
        <v>1777</v>
      </c>
      <c r="D544" s="5" t="s">
        <v>563</v>
      </c>
      <c r="E544" s="5" t="s">
        <v>16</v>
      </c>
      <c r="F544" s="5" t="s">
        <v>658</v>
      </c>
      <c r="G544" s="7">
        <v>46041</v>
      </c>
      <c r="H544" s="18">
        <v>0.19452054794520549</v>
      </c>
      <c r="I544" s="26" t="s">
        <v>888</v>
      </c>
      <c r="J544" s="28">
        <v>26600</v>
      </c>
      <c r="K544" s="28"/>
      <c r="L544" s="28"/>
    </row>
    <row r="545" spans="1:12" ht="15.75" customHeight="1" x14ac:dyDescent="0.35">
      <c r="A545" s="10">
        <f t="shared" si="25"/>
        <v>542</v>
      </c>
      <c r="B545" s="3">
        <v>9531</v>
      </c>
      <c r="C545" s="5" t="s">
        <v>1779</v>
      </c>
      <c r="D545" s="5" t="s">
        <v>563</v>
      </c>
      <c r="E545" s="5" t="s">
        <v>16</v>
      </c>
      <c r="F545" s="5" t="s">
        <v>825</v>
      </c>
      <c r="G545" s="7">
        <v>46055</v>
      </c>
      <c r="H545" s="18">
        <v>0.15616438356164383</v>
      </c>
      <c r="I545" s="26" t="s">
        <v>888</v>
      </c>
      <c r="J545" s="28">
        <v>26300</v>
      </c>
      <c r="K545" s="28"/>
      <c r="L545" s="28"/>
    </row>
    <row r="546" spans="1:12" ht="15.75" customHeight="1" x14ac:dyDescent="0.35">
      <c r="A546" s="10">
        <f t="shared" si="25"/>
        <v>543</v>
      </c>
      <c r="B546" s="3">
        <v>9532</v>
      </c>
      <c r="C546" s="5" t="s">
        <v>1780</v>
      </c>
      <c r="D546" s="5" t="s">
        <v>1333</v>
      </c>
      <c r="E546" s="5" t="s">
        <v>16</v>
      </c>
      <c r="F546" s="5" t="s">
        <v>763</v>
      </c>
      <c r="G546" s="7">
        <v>46055</v>
      </c>
      <c r="H546" s="18">
        <v>0.15616438356164383</v>
      </c>
      <c r="I546" s="26" t="s">
        <v>1334</v>
      </c>
      <c r="J546" s="28">
        <v>15000</v>
      </c>
      <c r="K546" s="28"/>
      <c r="L546" s="28"/>
    </row>
    <row r="547" spans="1:12" ht="15.75" customHeight="1" x14ac:dyDescent="0.35">
      <c r="A547" s="10">
        <f t="shared" si="25"/>
        <v>544</v>
      </c>
      <c r="B547" s="3">
        <v>9533</v>
      </c>
      <c r="C547" s="5" t="s">
        <v>1781</v>
      </c>
      <c r="D547" s="5" t="s">
        <v>1333</v>
      </c>
      <c r="E547" s="5" t="s">
        <v>16</v>
      </c>
      <c r="F547" s="5" t="s">
        <v>1057</v>
      </c>
      <c r="G547" s="7">
        <v>46055</v>
      </c>
      <c r="H547" s="18">
        <v>0.15616438356164383</v>
      </c>
      <c r="I547" s="26" t="s">
        <v>1334</v>
      </c>
      <c r="J547" s="28">
        <v>15000</v>
      </c>
      <c r="K547" s="28"/>
      <c r="L547" s="28"/>
    </row>
    <row r="548" spans="1:12" ht="15.75" customHeight="1" x14ac:dyDescent="0.35">
      <c r="A548" s="10">
        <f t="shared" si="25"/>
        <v>545</v>
      </c>
      <c r="B548" s="3">
        <v>9545</v>
      </c>
      <c r="C548" s="5" t="s">
        <v>1791</v>
      </c>
      <c r="D548" s="5" t="s">
        <v>1333</v>
      </c>
      <c r="E548" s="5" t="s">
        <v>16</v>
      </c>
      <c r="F548" s="5" t="s">
        <v>483</v>
      </c>
      <c r="G548" s="7">
        <v>46062</v>
      </c>
      <c r="H548" s="18">
        <v>0.13698630136986301</v>
      </c>
      <c r="I548" s="26" t="s">
        <v>1334</v>
      </c>
      <c r="J548" s="28">
        <v>15000</v>
      </c>
      <c r="K548" s="28"/>
      <c r="L548" s="28"/>
    </row>
    <row r="549" spans="1:12" ht="15.75" customHeight="1" x14ac:dyDescent="0.35">
      <c r="A549" s="10">
        <f t="shared" si="25"/>
        <v>546</v>
      </c>
      <c r="B549" s="3">
        <v>9547</v>
      </c>
      <c r="C549" s="5" t="s">
        <v>1792</v>
      </c>
      <c r="D549" s="5" t="s">
        <v>563</v>
      </c>
      <c r="E549" s="5" t="s">
        <v>16</v>
      </c>
      <c r="F549" s="5" t="s">
        <v>697</v>
      </c>
      <c r="G549" s="7">
        <v>46062</v>
      </c>
      <c r="H549" s="18">
        <v>0.13698630136986301</v>
      </c>
      <c r="I549" s="26" t="s">
        <v>888</v>
      </c>
      <c r="J549" s="28">
        <v>26200</v>
      </c>
      <c r="K549" s="28"/>
      <c r="L549" s="28"/>
    </row>
    <row r="550" spans="1:12" ht="15.75" customHeight="1" x14ac:dyDescent="0.35">
      <c r="A550" s="10">
        <f t="shared" si="25"/>
        <v>547</v>
      </c>
      <c r="B550" s="3">
        <v>9550</v>
      </c>
      <c r="C550" s="5" t="s">
        <v>1793</v>
      </c>
      <c r="D550" s="5" t="s">
        <v>563</v>
      </c>
      <c r="E550" s="5" t="s">
        <v>16</v>
      </c>
      <c r="F550" s="5" t="s">
        <v>238</v>
      </c>
      <c r="G550" s="7">
        <v>46062</v>
      </c>
      <c r="H550" s="18">
        <v>0.13698630136986301</v>
      </c>
      <c r="I550" s="26" t="s">
        <v>888</v>
      </c>
      <c r="J550" s="28">
        <v>27380</v>
      </c>
      <c r="K550" s="28"/>
      <c r="L550" s="28"/>
    </row>
    <row r="551" spans="1:12" ht="15.75" customHeight="1" x14ac:dyDescent="0.35">
      <c r="A551" s="10">
        <f t="shared" si="25"/>
        <v>548</v>
      </c>
      <c r="B551" s="3">
        <v>9551</v>
      </c>
      <c r="C551" s="5" t="s">
        <v>1794</v>
      </c>
      <c r="D551" s="5" t="s">
        <v>563</v>
      </c>
      <c r="E551" s="5" t="s">
        <v>16</v>
      </c>
      <c r="F551" s="5" t="s">
        <v>110</v>
      </c>
      <c r="G551" s="7">
        <v>46062</v>
      </c>
      <c r="H551" s="18">
        <v>0.13698630136986301</v>
      </c>
      <c r="I551" s="26" t="s">
        <v>888</v>
      </c>
      <c r="J551" s="28">
        <v>26800</v>
      </c>
      <c r="K551" s="28"/>
      <c r="L551" s="28"/>
    </row>
    <row r="552" spans="1:12" ht="15.75" customHeight="1" x14ac:dyDescent="0.35">
      <c r="A552" s="10">
        <f t="shared" si="25"/>
        <v>549</v>
      </c>
      <c r="B552" s="3">
        <v>9559</v>
      </c>
      <c r="C552" s="5" t="s">
        <v>1804</v>
      </c>
      <c r="D552" s="5" t="s">
        <v>563</v>
      </c>
      <c r="E552" s="5" t="s">
        <v>16</v>
      </c>
      <c r="F552" s="5" t="s">
        <v>574</v>
      </c>
      <c r="G552" s="7">
        <v>46064</v>
      </c>
      <c r="H552" s="18">
        <v>0.13150684931506848</v>
      </c>
      <c r="I552" s="26" t="s">
        <v>888</v>
      </c>
      <c r="J552" s="28">
        <v>26400</v>
      </c>
      <c r="K552" s="28"/>
      <c r="L552" s="28"/>
    </row>
    <row r="553" spans="1:12" ht="15.75" customHeight="1" x14ac:dyDescent="0.35">
      <c r="A553" s="10">
        <f t="shared" si="25"/>
        <v>550</v>
      </c>
      <c r="B553" s="3">
        <v>9565</v>
      </c>
      <c r="C553" s="5" t="s">
        <v>1811</v>
      </c>
      <c r="D553" s="5" t="s">
        <v>563</v>
      </c>
      <c r="E553" s="5" t="s">
        <v>16</v>
      </c>
      <c r="F553" s="5" t="s">
        <v>763</v>
      </c>
      <c r="G553" s="7">
        <v>46069</v>
      </c>
      <c r="H553" s="18">
        <v>0.11780821917808219</v>
      </c>
      <c r="I553" s="26" t="s">
        <v>888</v>
      </c>
      <c r="J553" s="28">
        <v>26300</v>
      </c>
      <c r="K553" s="28"/>
      <c r="L553" s="28"/>
    </row>
    <row r="554" spans="1:12" ht="15.75" customHeight="1" x14ac:dyDescent="0.35">
      <c r="A554" s="10">
        <f t="shared" si="25"/>
        <v>551</v>
      </c>
      <c r="B554" s="3">
        <v>9566</v>
      </c>
      <c r="C554" s="5" t="s">
        <v>1812</v>
      </c>
      <c r="D554" s="5" t="s">
        <v>563</v>
      </c>
      <c r="E554" s="5" t="s">
        <v>16</v>
      </c>
      <c r="F554" s="5" t="s">
        <v>480</v>
      </c>
      <c r="G554" s="7">
        <v>46069</v>
      </c>
      <c r="H554" s="18">
        <v>0.11780821917808219</v>
      </c>
      <c r="I554" s="26" t="s">
        <v>888</v>
      </c>
      <c r="J554" s="28">
        <v>28480</v>
      </c>
      <c r="K554" s="28"/>
      <c r="L554" s="28"/>
    </row>
    <row r="555" spans="1:12" ht="15.75" customHeight="1" x14ac:dyDescent="0.35">
      <c r="A555" s="10">
        <f t="shared" si="25"/>
        <v>552</v>
      </c>
      <c r="B555" s="3">
        <v>9567</v>
      </c>
      <c r="C555" s="5" t="s">
        <v>1813</v>
      </c>
      <c r="D555" s="5" t="s">
        <v>563</v>
      </c>
      <c r="E555" s="5" t="s">
        <v>16</v>
      </c>
      <c r="F555" s="5" t="s">
        <v>110</v>
      </c>
      <c r="G555" s="7">
        <v>46069</v>
      </c>
      <c r="H555" s="18">
        <v>0.11780821917808219</v>
      </c>
      <c r="I555" s="26" t="s">
        <v>888</v>
      </c>
      <c r="J555" s="28">
        <v>26200</v>
      </c>
      <c r="K555" s="28"/>
      <c r="L555" s="28"/>
    </row>
    <row r="556" spans="1:12" ht="15.75" customHeight="1" x14ac:dyDescent="0.35">
      <c r="A556" s="10">
        <f t="shared" si="25"/>
        <v>553</v>
      </c>
      <c r="B556" s="3">
        <v>9570</v>
      </c>
      <c r="C556" s="5" t="s">
        <v>1815</v>
      </c>
      <c r="D556" s="5" t="s">
        <v>563</v>
      </c>
      <c r="E556" s="5" t="s">
        <v>16</v>
      </c>
      <c r="F556" s="5" t="s">
        <v>483</v>
      </c>
      <c r="G556" s="7">
        <v>46069</v>
      </c>
      <c r="H556" s="18">
        <v>0.11780821917808219</v>
      </c>
      <c r="I556" s="26" t="s">
        <v>888</v>
      </c>
      <c r="J556" s="28">
        <v>26600</v>
      </c>
      <c r="K556" s="28"/>
      <c r="L556" s="28"/>
    </row>
    <row r="557" spans="1:12" ht="15.75" customHeight="1" x14ac:dyDescent="0.35">
      <c r="A557" s="10">
        <f t="shared" si="25"/>
        <v>554</v>
      </c>
      <c r="B557" s="3">
        <v>9575</v>
      </c>
      <c r="C557" s="5" t="s">
        <v>1817</v>
      </c>
      <c r="D557" s="5" t="s">
        <v>563</v>
      </c>
      <c r="E557" s="5" t="s">
        <v>16</v>
      </c>
      <c r="F557" s="5" t="s">
        <v>141</v>
      </c>
      <c r="G557" s="7">
        <v>46071</v>
      </c>
      <c r="H557" s="18">
        <v>0.11232876712328767</v>
      </c>
      <c r="I557" s="26" t="s">
        <v>888</v>
      </c>
      <c r="J557" s="28">
        <v>26200</v>
      </c>
      <c r="K557" s="28"/>
      <c r="L557" s="28"/>
    </row>
    <row r="558" spans="1:12" ht="15.75" customHeight="1" x14ac:dyDescent="0.35">
      <c r="A558" s="10">
        <f t="shared" si="25"/>
        <v>555</v>
      </c>
      <c r="B558" s="3">
        <v>9576</v>
      </c>
      <c r="C558" s="5" t="s">
        <v>1818</v>
      </c>
      <c r="D558" s="5" t="s">
        <v>563</v>
      </c>
      <c r="E558" s="5" t="s">
        <v>16</v>
      </c>
      <c r="F558" s="5" t="s">
        <v>739</v>
      </c>
      <c r="G558" s="7">
        <v>46071</v>
      </c>
      <c r="H558" s="18">
        <v>0.11232876712328767</v>
      </c>
      <c r="I558" s="26" t="s">
        <v>888</v>
      </c>
      <c r="J558" s="28">
        <v>28280</v>
      </c>
      <c r="K558" s="28"/>
      <c r="L558" s="28"/>
    </row>
    <row r="559" spans="1:12" ht="15.75" customHeight="1" x14ac:dyDescent="0.35">
      <c r="A559" s="10">
        <f t="shared" si="25"/>
        <v>556</v>
      </c>
      <c r="B559" s="3">
        <v>9577</v>
      </c>
      <c r="C559" s="5" t="s">
        <v>1819</v>
      </c>
      <c r="D559" s="5" t="s">
        <v>563</v>
      </c>
      <c r="E559" s="5" t="s">
        <v>16</v>
      </c>
      <c r="F559" s="5" t="s">
        <v>141</v>
      </c>
      <c r="G559" s="7">
        <v>46072</v>
      </c>
      <c r="H559" s="18">
        <v>0.1095890410958904</v>
      </c>
      <c r="I559" s="26" t="s">
        <v>888</v>
      </c>
      <c r="J559" s="28">
        <v>29280</v>
      </c>
      <c r="K559" s="28"/>
      <c r="L559" s="28"/>
    </row>
    <row r="560" spans="1:12" ht="15.75" customHeight="1" x14ac:dyDescent="0.35">
      <c r="A560" s="10">
        <f t="shared" si="25"/>
        <v>557</v>
      </c>
      <c r="B560" s="3">
        <v>9578</v>
      </c>
      <c r="C560" s="5" t="s">
        <v>1820</v>
      </c>
      <c r="D560" s="5" t="s">
        <v>563</v>
      </c>
      <c r="E560" s="5" t="s">
        <v>16</v>
      </c>
      <c r="F560" s="5" t="s">
        <v>683</v>
      </c>
      <c r="G560" s="7">
        <v>46076</v>
      </c>
      <c r="H560" s="18">
        <v>9.8630136986301367E-2</v>
      </c>
      <c r="I560" s="26" t="s">
        <v>888</v>
      </c>
      <c r="J560" s="28">
        <v>26350</v>
      </c>
      <c r="K560" s="28"/>
      <c r="L560" s="28"/>
    </row>
    <row r="561" spans="1:12" ht="15.75" customHeight="1" x14ac:dyDescent="0.35">
      <c r="A561" s="10">
        <f t="shared" si="25"/>
        <v>558</v>
      </c>
      <c r="B561" s="3">
        <v>9582</v>
      </c>
      <c r="C561" s="5" t="s">
        <v>1827</v>
      </c>
      <c r="D561" s="5" t="s">
        <v>1333</v>
      </c>
      <c r="E561" s="5" t="s">
        <v>16</v>
      </c>
      <c r="F561" s="5" t="s">
        <v>497</v>
      </c>
      <c r="G561" s="7">
        <v>46083</v>
      </c>
      <c r="H561" s="18">
        <v>7.9452054794520555E-2</v>
      </c>
      <c r="I561" s="26" t="s">
        <v>1334</v>
      </c>
      <c r="J561" s="28">
        <v>15000</v>
      </c>
      <c r="K561" s="28"/>
      <c r="L561" s="28"/>
    </row>
    <row r="562" spans="1:12" ht="15.75" customHeight="1" x14ac:dyDescent="0.35">
      <c r="A562" s="10">
        <f t="shared" si="25"/>
        <v>559</v>
      </c>
      <c r="B562" s="3">
        <v>9583</v>
      </c>
      <c r="C562" s="5" t="s">
        <v>1828</v>
      </c>
      <c r="D562" s="5" t="s">
        <v>563</v>
      </c>
      <c r="E562" s="5" t="s">
        <v>16</v>
      </c>
      <c r="F562" s="5" t="s">
        <v>739</v>
      </c>
      <c r="G562" s="7">
        <v>46083</v>
      </c>
      <c r="H562" s="18">
        <v>7.9452054794520555E-2</v>
      </c>
      <c r="I562" s="26" t="s">
        <v>888</v>
      </c>
      <c r="J562" s="28">
        <v>26300</v>
      </c>
      <c r="K562" s="28"/>
      <c r="L562" s="28"/>
    </row>
    <row r="563" spans="1:12" ht="15.75" customHeight="1" x14ac:dyDescent="0.35">
      <c r="A563" s="10">
        <f t="shared" si="25"/>
        <v>560</v>
      </c>
      <c r="B563" s="3">
        <v>9584</v>
      </c>
      <c r="C563" s="5" t="s">
        <v>1829</v>
      </c>
      <c r="D563" s="5" t="s">
        <v>563</v>
      </c>
      <c r="E563" s="5" t="s">
        <v>16</v>
      </c>
      <c r="F563" s="5" t="s">
        <v>353</v>
      </c>
      <c r="G563" s="7">
        <v>46083</v>
      </c>
      <c r="H563" s="18">
        <v>7.9452054794520555E-2</v>
      </c>
      <c r="I563" s="26" t="s">
        <v>888</v>
      </c>
      <c r="J563" s="28">
        <v>26400</v>
      </c>
      <c r="K563" s="28"/>
      <c r="L563" s="28"/>
    </row>
    <row r="564" spans="1:12" ht="15.75" customHeight="1" x14ac:dyDescent="0.35">
      <c r="A564" s="10">
        <f t="shared" si="25"/>
        <v>561</v>
      </c>
      <c r="B564" s="3">
        <v>9585</v>
      </c>
      <c r="C564" s="5" t="s">
        <v>1830</v>
      </c>
      <c r="D564" s="5" t="s">
        <v>563</v>
      </c>
      <c r="E564" s="5" t="s">
        <v>16</v>
      </c>
      <c r="F564" s="5" t="s">
        <v>368</v>
      </c>
      <c r="G564" s="7">
        <v>46083</v>
      </c>
      <c r="H564" s="18">
        <v>7.9452054794520555E-2</v>
      </c>
      <c r="I564" s="26" t="s">
        <v>888</v>
      </c>
      <c r="J564" s="28">
        <v>26200</v>
      </c>
      <c r="K564" s="28"/>
      <c r="L564" s="28"/>
    </row>
    <row r="565" spans="1:12" ht="15.75" customHeight="1" x14ac:dyDescent="0.35">
      <c r="A565" s="10">
        <f t="shared" si="25"/>
        <v>562</v>
      </c>
      <c r="B565" s="3">
        <v>9586</v>
      </c>
      <c r="C565" s="5" t="s">
        <v>1831</v>
      </c>
      <c r="D565" s="5" t="s">
        <v>563</v>
      </c>
      <c r="E565" s="5" t="s">
        <v>16</v>
      </c>
      <c r="F565" s="5" t="s">
        <v>141</v>
      </c>
      <c r="G565" s="7">
        <v>46083</v>
      </c>
      <c r="H565" s="18">
        <v>7.9452054794520555E-2</v>
      </c>
      <c r="I565" s="26" t="s">
        <v>888</v>
      </c>
      <c r="J565" s="28">
        <v>26450</v>
      </c>
      <c r="K565" s="28"/>
      <c r="L565" s="28"/>
    </row>
    <row r="566" spans="1:12" ht="15.75" customHeight="1" x14ac:dyDescent="0.35">
      <c r="A566" s="10">
        <f t="shared" si="25"/>
        <v>563</v>
      </c>
      <c r="B566" s="3">
        <v>9588</v>
      </c>
      <c r="C566" s="5" t="s">
        <v>1832</v>
      </c>
      <c r="D566" s="5" t="s">
        <v>563</v>
      </c>
      <c r="E566" s="5" t="s">
        <v>16</v>
      </c>
      <c r="F566" s="5" t="s">
        <v>1057</v>
      </c>
      <c r="G566" s="7">
        <v>46083</v>
      </c>
      <c r="H566" s="18">
        <v>7.9452054794520555E-2</v>
      </c>
      <c r="I566" s="26" t="s">
        <v>888</v>
      </c>
      <c r="J566" s="28">
        <v>26600</v>
      </c>
      <c r="K566" s="28"/>
      <c r="L566" s="28"/>
    </row>
    <row r="567" spans="1:12" ht="15.75" customHeight="1" x14ac:dyDescent="0.35">
      <c r="A567" s="10">
        <f t="shared" si="25"/>
        <v>564</v>
      </c>
      <c r="B567" s="3">
        <v>9590</v>
      </c>
      <c r="C567" s="5" t="s">
        <v>1835</v>
      </c>
      <c r="D567" s="5" t="s">
        <v>563</v>
      </c>
      <c r="E567" s="5" t="s">
        <v>16</v>
      </c>
      <c r="F567" s="5" t="s">
        <v>763</v>
      </c>
      <c r="G567" s="7">
        <v>46083</v>
      </c>
      <c r="H567" s="18">
        <v>7.9452054794520555E-2</v>
      </c>
      <c r="I567" s="26" t="s">
        <v>888</v>
      </c>
      <c r="J567" s="28">
        <v>26900</v>
      </c>
      <c r="K567" s="28"/>
      <c r="L567" s="28"/>
    </row>
    <row r="568" spans="1:12" ht="15.75" customHeight="1" x14ac:dyDescent="0.35">
      <c r="A568" s="10">
        <f t="shared" si="25"/>
        <v>565</v>
      </c>
      <c r="B568" s="3">
        <v>9591</v>
      </c>
      <c r="C568" s="5" t="s">
        <v>1836</v>
      </c>
      <c r="D568" s="5" t="s">
        <v>563</v>
      </c>
      <c r="E568" s="5" t="s">
        <v>16</v>
      </c>
      <c r="F568" s="5" t="s">
        <v>825</v>
      </c>
      <c r="G568" s="7">
        <v>46083</v>
      </c>
      <c r="H568" s="18">
        <v>7.9452054794520555E-2</v>
      </c>
      <c r="I568" s="26" t="s">
        <v>888</v>
      </c>
      <c r="J568" s="28">
        <v>26300</v>
      </c>
      <c r="K568" s="28"/>
      <c r="L568" s="28"/>
    </row>
    <row r="569" spans="1:12" ht="15.75" customHeight="1" x14ac:dyDescent="0.35">
      <c r="A569" s="10">
        <f t="shared" si="25"/>
        <v>566</v>
      </c>
      <c r="B569" s="3">
        <v>9593</v>
      </c>
      <c r="C569" s="5" t="s">
        <v>1837</v>
      </c>
      <c r="D569" s="5" t="s">
        <v>563</v>
      </c>
      <c r="E569" s="5" t="s">
        <v>16</v>
      </c>
      <c r="F569" s="5" t="s">
        <v>739</v>
      </c>
      <c r="G569" s="7">
        <v>46085</v>
      </c>
      <c r="H569" s="18">
        <v>7.3972602739726029E-2</v>
      </c>
      <c r="I569" s="26" t="s">
        <v>888</v>
      </c>
      <c r="J569" s="28">
        <v>27080</v>
      </c>
      <c r="K569" s="28"/>
      <c r="L569" s="28"/>
    </row>
    <row r="570" spans="1:12" ht="15.75" customHeight="1" x14ac:dyDescent="0.35">
      <c r="A570" s="10">
        <f t="shared" si="25"/>
        <v>567</v>
      </c>
      <c r="B570" s="3">
        <v>9594</v>
      </c>
      <c r="C570" s="5" t="s">
        <v>1838</v>
      </c>
      <c r="D570" s="5" t="s">
        <v>563</v>
      </c>
      <c r="E570" s="5" t="s">
        <v>16</v>
      </c>
      <c r="F570" s="5" t="s">
        <v>739</v>
      </c>
      <c r="G570" s="7">
        <v>46085</v>
      </c>
      <c r="H570" s="18">
        <v>7.3972602739726029E-2</v>
      </c>
      <c r="I570" s="26" t="s">
        <v>888</v>
      </c>
      <c r="J570" s="28">
        <v>26400</v>
      </c>
      <c r="K570" s="28"/>
      <c r="L570" s="28"/>
    </row>
    <row r="571" spans="1:12" ht="15.75" customHeight="1" x14ac:dyDescent="0.35">
      <c r="A571" s="10">
        <f t="shared" si="25"/>
        <v>568</v>
      </c>
      <c r="B571" s="3">
        <v>9595</v>
      </c>
      <c r="C571" s="5" t="s">
        <v>1839</v>
      </c>
      <c r="D571" s="5" t="s">
        <v>563</v>
      </c>
      <c r="E571" s="5" t="s">
        <v>16</v>
      </c>
      <c r="F571" s="5" t="s">
        <v>141</v>
      </c>
      <c r="G571" s="7">
        <v>46085</v>
      </c>
      <c r="H571" s="18">
        <v>7.3972602739726029E-2</v>
      </c>
      <c r="I571" s="26" t="s">
        <v>888</v>
      </c>
      <c r="J571" s="28">
        <v>26450</v>
      </c>
      <c r="K571" s="28"/>
      <c r="L571" s="28"/>
    </row>
    <row r="572" spans="1:12" ht="15.75" customHeight="1" x14ac:dyDescent="0.35">
      <c r="A572" s="10">
        <f t="shared" si="25"/>
        <v>569</v>
      </c>
      <c r="B572" s="3">
        <v>9596</v>
      </c>
      <c r="C572" s="5" t="s">
        <v>1840</v>
      </c>
      <c r="D572" s="5" t="s">
        <v>1333</v>
      </c>
      <c r="E572" s="5" t="s">
        <v>16</v>
      </c>
      <c r="F572" s="5" t="s">
        <v>368</v>
      </c>
      <c r="G572" s="7">
        <v>46085</v>
      </c>
      <c r="H572" s="18">
        <v>7.3972602739726029E-2</v>
      </c>
      <c r="I572" s="26" t="s">
        <v>1334</v>
      </c>
      <c r="J572" s="28">
        <v>15000</v>
      </c>
      <c r="K572" s="28"/>
      <c r="L572" s="28"/>
    </row>
    <row r="573" spans="1:12" ht="15.75" customHeight="1" x14ac:dyDescent="0.35">
      <c r="A573" s="10">
        <f t="shared" si="25"/>
        <v>570</v>
      </c>
      <c r="B573" s="3">
        <v>9597</v>
      </c>
      <c r="C573" s="5" t="s">
        <v>1841</v>
      </c>
      <c r="D573" s="5" t="s">
        <v>563</v>
      </c>
      <c r="E573" s="5" t="s">
        <v>16</v>
      </c>
      <c r="F573" s="5" t="s">
        <v>353</v>
      </c>
      <c r="G573" s="7">
        <v>46085</v>
      </c>
      <c r="H573" s="18">
        <v>7.3972602739726029E-2</v>
      </c>
      <c r="I573" s="26" t="s">
        <v>888</v>
      </c>
      <c r="J573" s="28">
        <v>27080</v>
      </c>
      <c r="K573" s="28"/>
      <c r="L573" s="28"/>
    </row>
    <row r="574" spans="1:12" ht="15.75" customHeight="1" x14ac:dyDescent="0.35">
      <c r="A574" s="10">
        <f t="shared" si="25"/>
        <v>571</v>
      </c>
      <c r="B574" s="3">
        <v>9599</v>
      </c>
      <c r="C574" s="5" t="s">
        <v>1842</v>
      </c>
      <c r="D574" s="5" t="s">
        <v>563</v>
      </c>
      <c r="E574" s="5" t="s">
        <v>16</v>
      </c>
      <c r="F574" s="5" t="s">
        <v>919</v>
      </c>
      <c r="G574" s="7">
        <v>46086</v>
      </c>
      <c r="H574" s="18">
        <v>7.1232876712328766E-2</v>
      </c>
      <c r="I574" s="26" t="s">
        <v>888</v>
      </c>
      <c r="J574" s="28">
        <v>35140</v>
      </c>
      <c r="K574" s="28"/>
      <c r="L574" s="28"/>
    </row>
    <row r="575" spans="1:12" ht="15.75" customHeight="1" x14ac:dyDescent="0.35">
      <c r="A575" s="10">
        <f t="shared" si="25"/>
        <v>572</v>
      </c>
      <c r="B575" s="3">
        <v>9603</v>
      </c>
      <c r="C575" s="5" t="s">
        <v>1846</v>
      </c>
      <c r="D575" s="5" t="s">
        <v>1333</v>
      </c>
      <c r="E575" s="5" t="s">
        <v>16</v>
      </c>
      <c r="F575" s="5" t="s">
        <v>1124</v>
      </c>
      <c r="G575" s="7">
        <v>46088</v>
      </c>
      <c r="H575" s="18">
        <v>6.575342465753424E-2</v>
      </c>
      <c r="I575" s="26" t="s">
        <v>1334</v>
      </c>
      <c r="J575" s="28">
        <v>15000</v>
      </c>
      <c r="K575" s="28"/>
      <c r="L575" s="28"/>
    </row>
    <row r="576" spans="1:12" ht="15.75" customHeight="1" x14ac:dyDescent="0.35">
      <c r="A576" s="10">
        <f t="shared" si="25"/>
        <v>573</v>
      </c>
      <c r="B576" s="3">
        <v>9604</v>
      </c>
      <c r="C576" s="5" t="s">
        <v>1847</v>
      </c>
      <c r="D576" s="5" t="s">
        <v>563</v>
      </c>
      <c r="E576" s="5" t="s">
        <v>16</v>
      </c>
      <c r="F576" s="5" t="s">
        <v>141</v>
      </c>
      <c r="G576" s="7">
        <v>46090</v>
      </c>
      <c r="H576" s="18">
        <v>6.0273972602739728E-2</v>
      </c>
      <c r="I576" s="26" t="s">
        <v>888</v>
      </c>
      <c r="J576" s="28">
        <v>26900</v>
      </c>
      <c r="K576" s="28"/>
      <c r="L576" s="28"/>
    </row>
    <row r="577" spans="1:12" ht="15.75" customHeight="1" x14ac:dyDescent="0.35">
      <c r="A577" s="10">
        <f t="shared" si="25"/>
        <v>574</v>
      </c>
      <c r="B577" s="3">
        <v>9605</v>
      </c>
      <c r="C577" s="5" t="s">
        <v>1848</v>
      </c>
      <c r="D577" s="5" t="s">
        <v>563</v>
      </c>
      <c r="E577" s="5" t="s">
        <v>16</v>
      </c>
      <c r="F577" s="5" t="s">
        <v>497</v>
      </c>
      <c r="G577" s="7">
        <v>46090</v>
      </c>
      <c r="H577" s="18">
        <v>6.0273972602739728E-2</v>
      </c>
      <c r="I577" s="26" t="s">
        <v>888</v>
      </c>
      <c r="J577" s="28">
        <v>26600</v>
      </c>
      <c r="K577" s="28"/>
      <c r="L577" s="28"/>
    </row>
    <row r="578" spans="1:12" ht="15.75" customHeight="1" x14ac:dyDescent="0.35">
      <c r="A578" s="10">
        <f t="shared" si="25"/>
        <v>575</v>
      </c>
      <c r="B578" s="3">
        <v>9607</v>
      </c>
      <c r="C578" s="5" t="s">
        <v>1849</v>
      </c>
      <c r="D578" s="5" t="s">
        <v>563</v>
      </c>
      <c r="E578" s="5" t="s">
        <v>16</v>
      </c>
      <c r="F578" s="5" t="s">
        <v>681</v>
      </c>
      <c r="G578" s="7">
        <v>46090</v>
      </c>
      <c r="H578" s="18">
        <v>6.0273972602739728E-2</v>
      </c>
      <c r="I578" s="26" t="s">
        <v>888</v>
      </c>
      <c r="J578" s="28">
        <v>26900</v>
      </c>
      <c r="K578" s="28"/>
      <c r="L578" s="28"/>
    </row>
    <row r="579" spans="1:12" ht="15.75" customHeight="1" x14ac:dyDescent="0.35">
      <c r="A579" s="10">
        <f t="shared" si="25"/>
        <v>576</v>
      </c>
      <c r="B579" s="3">
        <v>9608</v>
      </c>
      <c r="C579" s="5" t="s">
        <v>1850</v>
      </c>
      <c r="D579" s="5" t="s">
        <v>563</v>
      </c>
      <c r="E579" s="5" t="s">
        <v>16</v>
      </c>
      <c r="F579" s="5" t="s">
        <v>897</v>
      </c>
      <c r="G579" s="7">
        <v>46090</v>
      </c>
      <c r="H579" s="18">
        <v>6.0273972602739728E-2</v>
      </c>
      <c r="I579" s="26" t="s">
        <v>888</v>
      </c>
      <c r="J579" s="28">
        <v>26400</v>
      </c>
      <c r="K579" s="28"/>
      <c r="L579" s="28"/>
    </row>
    <row r="580" spans="1:12" ht="15.75" customHeight="1" x14ac:dyDescent="0.35">
      <c r="A580" s="10">
        <f t="shared" si="25"/>
        <v>577</v>
      </c>
      <c r="B580" s="3">
        <v>9609</v>
      </c>
      <c r="C580" s="5" t="s">
        <v>1851</v>
      </c>
      <c r="D580" s="5" t="s">
        <v>563</v>
      </c>
      <c r="E580" s="5" t="s">
        <v>16</v>
      </c>
      <c r="F580" s="5" t="s">
        <v>574</v>
      </c>
      <c r="G580" s="7">
        <v>46090</v>
      </c>
      <c r="H580" s="18">
        <v>6.0273972602739728E-2</v>
      </c>
      <c r="I580" s="26" t="s">
        <v>888</v>
      </c>
      <c r="J580" s="28">
        <v>26400</v>
      </c>
      <c r="K580" s="28"/>
      <c r="L580" s="28"/>
    </row>
    <row r="581" spans="1:12" ht="15.75" customHeight="1" x14ac:dyDescent="0.35">
      <c r="A581" s="10">
        <f t="shared" si="25"/>
        <v>578</v>
      </c>
      <c r="B581" s="3">
        <v>9610</v>
      </c>
      <c r="C581" s="5" t="s">
        <v>1852</v>
      </c>
      <c r="D581" s="5" t="s">
        <v>563</v>
      </c>
      <c r="E581" s="5" t="s">
        <v>16</v>
      </c>
      <c r="F581" s="5" t="s">
        <v>958</v>
      </c>
      <c r="G581" s="7">
        <v>46090</v>
      </c>
      <c r="H581" s="18">
        <v>6.0273972602739728E-2</v>
      </c>
      <c r="I581" s="26" t="s">
        <v>888</v>
      </c>
      <c r="J581" s="28">
        <v>26200</v>
      </c>
      <c r="K581" s="28"/>
      <c r="L581" s="28"/>
    </row>
    <row r="582" spans="1:12" ht="15.75" customHeight="1" x14ac:dyDescent="0.35">
      <c r="A582" s="10">
        <f t="shared" ref="A582:A600" si="26">+A581+1</f>
        <v>579</v>
      </c>
      <c r="B582" s="3">
        <v>9611</v>
      </c>
      <c r="C582" s="5" t="s">
        <v>1853</v>
      </c>
      <c r="D582" s="5" t="s">
        <v>563</v>
      </c>
      <c r="E582" s="5" t="s">
        <v>16</v>
      </c>
      <c r="F582" s="5" t="s">
        <v>718</v>
      </c>
      <c r="G582" s="7">
        <v>46090</v>
      </c>
      <c r="H582" s="18">
        <v>6.0273972602739728E-2</v>
      </c>
      <c r="I582" s="26" t="s">
        <v>888</v>
      </c>
      <c r="J582" s="28">
        <v>26300</v>
      </c>
      <c r="K582" s="28"/>
      <c r="L582" s="28"/>
    </row>
    <row r="583" spans="1:12" ht="15.75" customHeight="1" x14ac:dyDescent="0.35">
      <c r="A583" s="10">
        <f t="shared" si="26"/>
        <v>580</v>
      </c>
      <c r="B583" s="3">
        <v>9612</v>
      </c>
      <c r="C583" s="5" t="s">
        <v>1854</v>
      </c>
      <c r="D583" s="5" t="s">
        <v>563</v>
      </c>
      <c r="E583" s="5" t="s">
        <v>16</v>
      </c>
      <c r="F583" s="5" t="s">
        <v>739</v>
      </c>
      <c r="G583" s="7">
        <v>46090</v>
      </c>
      <c r="H583" s="18">
        <v>6.0273972602739728E-2</v>
      </c>
      <c r="I583" s="26" t="s">
        <v>888</v>
      </c>
      <c r="J583" s="28">
        <v>26200</v>
      </c>
      <c r="K583" s="28"/>
      <c r="L583" s="28"/>
    </row>
    <row r="584" spans="1:12" ht="15.75" customHeight="1" x14ac:dyDescent="0.35">
      <c r="A584" s="10">
        <f t="shared" si="26"/>
        <v>581</v>
      </c>
      <c r="B584" s="3">
        <v>9613</v>
      </c>
      <c r="C584" s="5" t="s">
        <v>1855</v>
      </c>
      <c r="D584" s="5" t="s">
        <v>563</v>
      </c>
      <c r="E584" s="5" t="s">
        <v>16</v>
      </c>
      <c r="F584" s="5" t="s">
        <v>1107</v>
      </c>
      <c r="G584" s="7">
        <v>46090</v>
      </c>
      <c r="H584" s="18">
        <v>6.0273972602739728E-2</v>
      </c>
      <c r="I584" s="26" t="s">
        <v>888</v>
      </c>
      <c r="J584" s="28">
        <v>26200</v>
      </c>
      <c r="K584" s="28"/>
      <c r="L584" s="28"/>
    </row>
    <row r="585" spans="1:12" ht="15.75" customHeight="1" x14ac:dyDescent="0.35">
      <c r="A585" s="10">
        <f t="shared" si="26"/>
        <v>582</v>
      </c>
      <c r="B585" s="3">
        <v>9616</v>
      </c>
      <c r="C585" s="5" t="s">
        <v>1857</v>
      </c>
      <c r="D585" s="5" t="s">
        <v>1333</v>
      </c>
      <c r="E585" s="5" t="s">
        <v>16</v>
      </c>
      <c r="F585" s="5" t="s">
        <v>353</v>
      </c>
      <c r="G585" s="7">
        <v>46090</v>
      </c>
      <c r="H585" s="18">
        <v>6.0273972602739728E-2</v>
      </c>
      <c r="I585" s="26" t="s">
        <v>1334</v>
      </c>
      <c r="J585" s="28">
        <v>15000</v>
      </c>
      <c r="K585" s="28"/>
      <c r="L585" s="28"/>
    </row>
    <row r="586" spans="1:12" ht="15.75" customHeight="1" x14ac:dyDescent="0.35">
      <c r="A586" s="10">
        <f t="shared" si="26"/>
        <v>583</v>
      </c>
      <c r="B586" s="3">
        <v>9617</v>
      </c>
      <c r="C586" s="5" t="s">
        <v>1858</v>
      </c>
      <c r="D586" s="5" t="s">
        <v>563</v>
      </c>
      <c r="E586" s="5" t="s">
        <v>16</v>
      </c>
      <c r="F586" s="5" t="s">
        <v>589</v>
      </c>
      <c r="G586" s="7">
        <v>46090</v>
      </c>
      <c r="H586" s="18">
        <v>6.0273972602739728E-2</v>
      </c>
      <c r="I586" s="26" t="s">
        <v>888</v>
      </c>
      <c r="J586" s="28">
        <v>28480</v>
      </c>
      <c r="K586" s="28"/>
      <c r="L586" s="28"/>
    </row>
    <row r="587" spans="1:12" ht="15.75" customHeight="1" x14ac:dyDescent="0.35">
      <c r="A587" s="10">
        <f t="shared" si="26"/>
        <v>584</v>
      </c>
      <c r="B587" s="3">
        <v>9618</v>
      </c>
      <c r="C587" s="5" t="s">
        <v>1859</v>
      </c>
      <c r="D587" s="5" t="s">
        <v>563</v>
      </c>
      <c r="E587" s="5" t="s">
        <v>16</v>
      </c>
      <c r="F587" s="5" t="s">
        <v>574</v>
      </c>
      <c r="G587" s="7">
        <v>46091</v>
      </c>
      <c r="H587" s="18">
        <v>5.7534246575342465E-2</v>
      </c>
      <c r="I587" s="26" t="s">
        <v>888</v>
      </c>
      <c r="J587" s="28">
        <v>31044</v>
      </c>
      <c r="K587" s="28"/>
      <c r="L587" s="28"/>
    </row>
    <row r="588" spans="1:12" ht="15.75" customHeight="1" x14ac:dyDescent="0.35">
      <c r="A588" s="10">
        <f t="shared" si="26"/>
        <v>585</v>
      </c>
      <c r="B588" s="3">
        <v>9619</v>
      </c>
      <c r="C588" s="5" t="s">
        <v>1860</v>
      </c>
      <c r="D588" s="5" t="s">
        <v>563</v>
      </c>
      <c r="E588" s="5" t="s">
        <v>16</v>
      </c>
      <c r="F588" s="5" t="s">
        <v>368</v>
      </c>
      <c r="G588" s="7">
        <v>46092</v>
      </c>
      <c r="H588" s="18">
        <v>5.4794520547945202E-2</v>
      </c>
      <c r="I588" s="26" t="s">
        <v>888</v>
      </c>
      <c r="J588" s="28">
        <v>35000</v>
      </c>
      <c r="K588" s="28"/>
      <c r="L588" s="28"/>
    </row>
    <row r="589" spans="1:12" ht="15.75" customHeight="1" x14ac:dyDescent="0.35">
      <c r="A589" s="10">
        <f t="shared" si="26"/>
        <v>586</v>
      </c>
      <c r="B589" s="3">
        <v>9620</v>
      </c>
      <c r="C589" s="5" t="s">
        <v>1861</v>
      </c>
      <c r="D589" s="5" t="s">
        <v>563</v>
      </c>
      <c r="E589" s="5" t="s">
        <v>16</v>
      </c>
      <c r="F589" s="5" t="s">
        <v>480</v>
      </c>
      <c r="G589" s="7">
        <v>46092</v>
      </c>
      <c r="H589" s="18">
        <v>5.4794520547945202E-2</v>
      </c>
      <c r="I589" s="26" t="s">
        <v>888</v>
      </c>
      <c r="J589" s="28">
        <v>26400</v>
      </c>
      <c r="K589" s="28"/>
      <c r="L589" s="28"/>
    </row>
    <row r="590" spans="1:12" ht="15.75" customHeight="1" x14ac:dyDescent="0.35">
      <c r="A590" s="10">
        <f t="shared" si="26"/>
        <v>587</v>
      </c>
      <c r="B590" s="3">
        <v>9621</v>
      </c>
      <c r="C590" s="5" t="s">
        <v>1862</v>
      </c>
      <c r="D590" s="5" t="s">
        <v>1333</v>
      </c>
      <c r="E590" s="5" t="s">
        <v>16</v>
      </c>
      <c r="F590" s="5" t="s">
        <v>697</v>
      </c>
      <c r="G590" s="7">
        <v>46092</v>
      </c>
      <c r="H590" s="18">
        <v>5.4794520547945202E-2</v>
      </c>
      <c r="I590" s="26" t="s">
        <v>1334</v>
      </c>
      <c r="J590" s="28">
        <v>15000</v>
      </c>
      <c r="K590" s="28"/>
      <c r="L590" s="28"/>
    </row>
    <row r="591" spans="1:12" ht="15.75" customHeight="1" x14ac:dyDescent="0.35">
      <c r="A591" s="10">
        <f t="shared" si="26"/>
        <v>588</v>
      </c>
      <c r="B591" s="3">
        <v>9622</v>
      </c>
      <c r="C591" s="5" t="s">
        <v>1863</v>
      </c>
      <c r="D591" s="5" t="s">
        <v>563</v>
      </c>
      <c r="E591" s="5" t="s">
        <v>16</v>
      </c>
      <c r="F591" s="5" t="s">
        <v>658</v>
      </c>
      <c r="G591" s="7">
        <v>46093</v>
      </c>
      <c r="H591" s="18">
        <v>5.2054794520547946E-2</v>
      </c>
      <c r="I591" s="26" t="s">
        <v>888</v>
      </c>
      <c r="J591" s="28">
        <v>30560</v>
      </c>
      <c r="K591" s="28"/>
      <c r="L591" s="28"/>
    </row>
    <row r="592" spans="1:12" ht="15.75" customHeight="1" x14ac:dyDescent="0.35">
      <c r="A592" s="10">
        <f t="shared" si="26"/>
        <v>589</v>
      </c>
      <c r="B592" s="3">
        <v>9623</v>
      </c>
      <c r="C592" s="5" t="s">
        <v>1864</v>
      </c>
      <c r="D592" s="5" t="s">
        <v>563</v>
      </c>
      <c r="E592" s="5" t="s">
        <v>16</v>
      </c>
      <c r="F592" s="5" t="s">
        <v>480</v>
      </c>
      <c r="G592" s="7">
        <v>46093</v>
      </c>
      <c r="H592" s="18">
        <v>5.2054794520547946E-2</v>
      </c>
      <c r="I592" s="26" t="s">
        <v>888</v>
      </c>
      <c r="J592" s="28">
        <v>26600</v>
      </c>
      <c r="K592" s="28"/>
      <c r="L592" s="28"/>
    </row>
    <row r="593" spans="1:12" ht="15.75" customHeight="1" x14ac:dyDescent="0.35">
      <c r="A593" s="10">
        <f t="shared" si="26"/>
        <v>590</v>
      </c>
      <c r="B593" s="3">
        <v>9626</v>
      </c>
      <c r="C593" s="5" t="s">
        <v>1865</v>
      </c>
      <c r="D593" s="5" t="s">
        <v>563</v>
      </c>
      <c r="E593" s="5" t="s">
        <v>16</v>
      </c>
      <c r="F593" s="5" t="s">
        <v>247</v>
      </c>
      <c r="G593" s="7">
        <v>46097</v>
      </c>
      <c r="H593" s="18">
        <v>4.1095890410958902E-2</v>
      </c>
      <c r="I593" s="26" t="s">
        <v>888</v>
      </c>
      <c r="J593" s="28">
        <v>26350</v>
      </c>
      <c r="K593" s="28"/>
      <c r="L593" s="28"/>
    </row>
    <row r="594" spans="1:12" ht="15.75" customHeight="1" x14ac:dyDescent="0.35">
      <c r="A594" s="10">
        <f t="shared" si="26"/>
        <v>591</v>
      </c>
      <c r="B594" s="3">
        <v>9627</v>
      </c>
      <c r="C594" s="5" t="s">
        <v>1866</v>
      </c>
      <c r="D594" s="5" t="s">
        <v>563</v>
      </c>
      <c r="E594" s="5" t="s">
        <v>16</v>
      </c>
      <c r="F594" s="5" t="s">
        <v>141</v>
      </c>
      <c r="G594" s="7">
        <v>46100</v>
      </c>
      <c r="H594" s="18">
        <v>3.287671232876712E-2</v>
      </c>
      <c r="I594" s="26" t="s">
        <v>888</v>
      </c>
      <c r="J594" s="28">
        <v>28665</v>
      </c>
      <c r="K594" s="28"/>
      <c r="L594" s="28"/>
    </row>
    <row r="595" spans="1:12" ht="15.75" customHeight="1" x14ac:dyDescent="0.35">
      <c r="A595" s="10">
        <f t="shared" si="26"/>
        <v>592</v>
      </c>
      <c r="B595" s="3">
        <v>9638</v>
      </c>
      <c r="C595" s="5" t="s">
        <v>1876</v>
      </c>
      <c r="D595" s="5" t="s">
        <v>1333</v>
      </c>
      <c r="E595" s="5" t="s">
        <v>16</v>
      </c>
      <c r="F595" s="5" t="s">
        <v>683</v>
      </c>
      <c r="G595" s="7">
        <v>46113</v>
      </c>
      <c r="H595" s="18">
        <v>-2.7397260273972603E-3</v>
      </c>
      <c r="I595" s="26" t="s">
        <v>1334</v>
      </c>
      <c r="J595" s="28">
        <v>15000</v>
      </c>
      <c r="K595" s="28"/>
      <c r="L595" s="28"/>
    </row>
    <row r="596" spans="1:12" ht="15.75" customHeight="1" x14ac:dyDescent="0.35">
      <c r="A596" s="10">
        <f t="shared" si="26"/>
        <v>593</v>
      </c>
      <c r="B596" s="3">
        <v>9644</v>
      </c>
      <c r="C596" s="5" t="s">
        <v>1879</v>
      </c>
      <c r="D596" s="5" t="s">
        <v>563</v>
      </c>
      <c r="E596" s="5" t="s">
        <v>16</v>
      </c>
      <c r="F596" s="5" t="s">
        <v>763</v>
      </c>
      <c r="G596" s="7">
        <v>46132</v>
      </c>
      <c r="H596" s="18">
        <v>-5.4794520547945202E-2</v>
      </c>
      <c r="I596" s="26" t="s">
        <v>888</v>
      </c>
      <c r="J596" s="28">
        <v>26600</v>
      </c>
      <c r="K596" s="28"/>
      <c r="L596" s="28"/>
    </row>
    <row r="597" spans="1:12" ht="15.75" customHeight="1" x14ac:dyDescent="0.35">
      <c r="A597" s="10">
        <f t="shared" si="26"/>
        <v>594</v>
      </c>
      <c r="B597" s="3">
        <v>9646</v>
      </c>
      <c r="C597" s="5" t="s">
        <v>1881</v>
      </c>
      <c r="D597" s="5" t="s">
        <v>563</v>
      </c>
      <c r="E597" s="5" t="s">
        <v>16</v>
      </c>
      <c r="F597" s="5" t="s">
        <v>656</v>
      </c>
      <c r="G597" s="7">
        <v>46132</v>
      </c>
      <c r="H597" s="18">
        <v>-5.4794520547945202E-2</v>
      </c>
      <c r="I597" s="26" t="s">
        <v>888</v>
      </c>
      <c r="J597" s="28">
        <v>26400</v>
      </c>
      <c r="K597" s="28"/>
      <c r="L597" s="28"/>
    </row>
    <row r="598" spans="1:12" ht="15.75" customHeight="1" x14ac:dyDescent="0.35">
      <c r="A598" s="10">
        <f t="shared" si="26"/>
        <v>595</v>
      </c>
      <c r="B598" s="3">
        <v>9648</v>
      </c>
      <c r="C598" s="5" t="s">
        <v>1882</v>
      </c>
      <c r="D598" s="5" t="s">
        <v>563</v>
      </c>
      <c r="E598" s="5" t="s">
        <v>16</v>
      </c>
      <c r="F598" s="5" t="s">
        <v>574</v>
      </c>
      <c r="G598" s="7">
        <v>46132</v>
      </c>
      <c r="H598" s="18">
        <v>-5.4794520547945202E-2</v>
      </c>
      <c r="I598" s="26" t="s">
        <v>888</v>
      </c>
      <c r="J598" s="28">
        <v>26400</v>
      </c>
      <c r="K598" s="28"/>
      <c r="L598" s="28"/>
    </row>
    <row r="599" spans="1:12" ht="15.75" customHeight="1" x14ac:dyDescent="0.35">
      <c r="A599" s="10">
        <f t="shared" si="26"/>
        <v>596</v>
      </c>
      <c r="B599" s="3">
        <v>9649</v>
      </c>
      <c r="C599" s="5" t="s">
        <v>1883</v>
      </c>
      <c r="D599" s="5" t="s">
        <v>563</v>
      </c>
      <c r="E599" s="5" t="s">
        <v>16</v>
      </c>
      <c r="F599" s="5" t="s">
        <v>483</v>
      </c>
      <c r="G599" s="7">
        <v>46132</v>
      </c>
      <c r="H599" s="18">
        <v>-5.4794520547945202E-2</v>
      </c>
      <c r="I599" s="26" t="s">
        <v>888</v>
      </c>
      <c r="J599" s="28">
        <v>26300</v>
      </c>
      <c r="K599" s="28"/>
      <c r="L599" s="28"/>
    </row>
    <row r="600" spans="1:12" ht="15.75" customHeight="1" x14ac:dyDescent="0.35">
      <c r="A600" s="10">
        <f t="shared" si="26"/>
        <v>597</v>
      </c>
      <c r="B600" s="3">
        <v>9650</v>
      </c>
      <c r="C600" s="5" t="s">
        <v>1884</v>
      </c>
      <c r="D600" s="5" t="s">
        <v>563</v>
      </c>
      <c r="E600" s="5" t="s">
        <v>16</v>
      </c>
      <c r="F600" s="5" t="s">
        <v>626</v>
      </c>
      <c r="G600" s="7">
        <v>46132</v>
      </c>
      <c r="H600" s="18">
        <v>-5.4794520547945202E-2</v>
      </c>
      <c r="I600" s="26" t="s">
        <v>888</v>
      </c>
      <c r="J600" s="28">
        <v>26300</v>
      </c>
      <c r="K600" s="28"/>
      <c r="L600" s="28"/>
    </row>
    <row r="601" spans="1:12" x14ac:dyDescent="0.35">
      <c r="L601" s="39">
        <f>SUM(L4:L600)</f>
        <v>43.503991564634688</v>
      </c>
    </row>
    <row r="602" spans="1:12" x14ac:dyDescent="0.35">
      <c r="L602" s="16">
        <f>+L601/396*100</f>
        <v>10.98585645571583</v>
      </c>
    </row>
  </sheetData>
  <sortState xmlns:xlrd2="http://schemas.microsoft.com/office/spreadsheetml/2017/richdata2" ref="B4:I601">
    <sortCondition descending="1" sortBy="cellColor" ref="B4:B601" dxfId="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383E-4ED4-4E26-9A78-BC75BA7D654F}">
  <dimension ref="A3:L79"/>
  <sheetViews>
    <sheetView workbookViewId="0">
      <selection activeCell="I13" sqref="I13"/>
    </sheetView>
  </sheetViews>
  <sheetFormatPr defaultRowHeight="14.5" x14ac:dyDescent="0.35"/>
  <cols>
    <col min="1" max="1" width="7.54296875" customWidth="1"/>
    <col min="2" max="2" width="9.1796875" style="1"/>
    <col min="3" max="3" width="20.81640625" customWidth="1"/>
    <col min="4" max="4" width="22" customWidth="1"/>
    <col min="5" max="5" width="16.1796875" customWidth="1"/>
    <col min="6" max="6" width="23" hidden="1" customWidth="1"/>
    <col min="7" max="7" width="12.453125" customWidth="1"/>
    <col min="8" max="8" width="10" style="1" customWidth="1"/>
    <col min="9" max="12" width="18.7265625" customWidth="1"/>
  </cols>
  <sheetData>
    <row r="3" spans="1:12" ht="29" x14ac:dyDescent="0.35">
      <c r="A3" s="9" t="s">
        <v>2</v>
      </c>
      <c r="B3" s="4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4" t="s">
        <v>1892</v>
      </c>
      <c r="I3" s="6" t="s">
        <v>9</v>
      </c>
      <c r="J3" s="6" t="s">
        <v>1905</v>
      </c>
      <c r="K3" s="6" t="s">
        <v>1906</v>
      </c>
      <c r="L3" s="6" t="s">
        <v>1907</v>
      </c>
    </row>
    <row r="4" spans="1:12" x14ac:dyDescent="0.35">
      <c r="A4" s="10">
        <v>1</v>
      </c>
      <c r="B4" s="3">
        <v>69</v>
      </c>
      <c r="C4" s="5" t="s">
        <v>39</v>
      </c>
      <c r="D4" s="5" t="s">
        <v>40</v>
      </c>
      <c r="E4" s="5" t="s">
        <v>16</v>
      </c>
      <c r="F4" s="5" t="s">
        <v>41</v>
      </c>
      <c r="G4" s="7">
        <v>37572</v>
      </c>
      <c r="H4" s="18">
        <v>23.397260273972602</v>
      </c>
      <c r="I4" s="5" t="s">
        <v>13</v>
      </c>
      <c r="J4" s="23">
        <v>33234.267500000002</v>
      </c>
      <c r="K4" s="23">
        <v>4000</v>
      </c>
      <c r="L4" s="32">
        <f>+K4/J4</f>
        <v>0.12035770007568242</v>
      </c>
    </row>
    <row r="5" spans="1:12" x14ac:dyDescent="0.35">
      <c r="A5" s="10">
        <f t="shared" ref="A5:A48" si="0">+A4+1</f>
        <v>2</v>
      </c>
      <c r="B5" s="3">
        <v>76</v>
      </c>
      <c r="C5" s="5" t="s">
        <v>46</v>
      </c>
      <c r="D5" s="5" t="s">
        <v>40</v>
      </c>
      <c r="E5" s="5" t="s">
        <v>16</v>
      </c>
      <c r="F5" s="5" t="s">
        <v>41</v>
      </c>
      <c r="G5" s="7">
        <v>37575</v>
      </c>
      <c r="H5" s="18">
        <v>23.389041095890413</v>
      </c>
      <c r="I5" s="5" t="s">
        <v>13</v>
      </c>
      <c r="J5" s="23">
        <v>32608.340499999998</v>
      </c>
      <c r="K5" s="23">
        <v>4000</v>
      </c>
      <c r="L5" s="32">
        <f t="shared" ref="L5:L68" si="1">+K5/J5</f>
        <v>0.12266800268477325</v>
      </c>
    </row>
    <row r="6" spans="1:12" x14ac:dyDescent="0.35">
      <c r="A6" s="10">
        <f t="shared" si="0"/>
        <v>3</v>
      </c>
      <c r="B6" s="3">
        <v>94</v>
      </c>
      <c r="C6" s="5" t="s">
        <v>47</v>
      </c>
      <c r="D6" s="5" t="s">
        <v>40</v>
      </c>
      <c r="E6" s="5" t="s">
        <v>16</v>
      </c>
      <c r="F6" s="5" t="s">
        <v>48</v>
      </c>
      <c r="G6" s="7">
        <v>38029</v>
      </c>
      <c r="H6" s="18">
        <v>22.145205479452056</v>
      </c>
      <c r="I6" s="5" t="s">
        <v>13</v>
      </c>
      <c r="J6" s="23">
        <v>33234.267500000002</v>
      </c>
      <c r="K6" s="23">
        <v>4000</v>
      </c>
      <c r="L6" s="32">
        <f t="shared" si="1"/>
        <v>0.12035770007568242</v>
      </c>
    </row>
    <row r="7" spans="1:12" x14ac:dyDescent="0.35">
      <c r="A7" s="10">
        <f t="shared" si="0"/>
        <v>4</v>
      </c>
      <c r="B7" s="3">
        <v>207</v>
      </c>
      <c r="C7" s="5" t="s">
        <v>70</v>
      </c>
      <c r="D7" s="5" t="s">
        <v>40</v>
      </c>
      <c r="E7" s="5" t="s">
        <v>16</v>
      </c>
      <c r="F7" s="5" t="s">
        <v>41</v>
      </c>
      <c r="G7" s="7">
        <v>37628</v>
      </c>
      <c r="H7" s="18">
        <v>23.243835616438357</v>
      </c>
      <c r="I7" s="5" t="s">
        <v>13</v>
      </c>
      <c r="J7" s="23">
        <v>32608.340499999998</v>
      </c>
      <c r="K7" s="23">
        <v>4000</v>
      </c>
      <c r="L7" s="32">
        <f t="shared" si="1"/>
        <v>0.12266800268477325</v>
      </c>
    </row>
    <row r="8" spans="1:12" x14ac:dyDescent="0.35">
      <c r="A8" s="10">
        <f t="shared" si="0"/>
        <v>5</v>
      </c>
      <c r="B8" s="3">
        <v>213</v>
      </c>
      <c r="C8" s="5" t="s">
        <v>71</v>
      </c>
      <c r="D8" s="5" t="s">
        <v>40</v>
      </c>
      <c r="E8" s="5" t="s">
        <v>16</v>
      </c>
      <c r="F8" s="5" t="s">
        <v>41</v>
      </c>
      <c r="G8" s="7">
        <v>37628</v>
      </c>
      <c r="H8" s="18">
        <v>23.243835616438357</v>
      </c>
      <c r="I8" s="5" t="s">
        <v>13</v>
      </c>
      <c r="J8" s="23">
        <v>32608.340499999998</v>
      </c>
      <c r="K8" s="23">
        <v>4000</v>
      </c>
      <c r="L8" s="32">
        <f t="shared" si="1"/>
        <v>0.12266800268477325</v>
      </c>
    </row>
    <row r="9" spans="1:12" x14ac:dyDescent="0.35">
      <c r="A9" s="10">
        <f t="shared" si="0"/>
        <v>6</v>
      </c>
      <c r="B9" s="3">
        <v>245</v>
      </c>
      <c r="C9" s="5" t="s">
        <v>75</v>
      </c>
      <c r="D9" s="5" t="s">
        <v>40</v>
      </c>
      <c r="E9" s="5" t="s">
        <v>16</v>
      </c>
      <c r="F9" s="5" t="s">
        <v>41</v>
      </c>
      <c r="G9" s="7">
        <v>37634</v>
      </c>
      <c r="H9" s="18">
        <v>23.227397260273971</v>
      </c>
      <c r="I9" s="5" t="s">
        <v>13</v>
      </c>
      <c r="J9" s="23">
        <v>32608.340499999998</v>
      </c>
      <c r="K9" s="23">
        <v>4000</v>
      </c>
      <c r="L9" s="32">
        <f t="shared" si="1"/>
        <v>0.12266800268477325</v>
      </c>
    </row>
    <row r="10" spans="1:12" x14ac:dyDescent="0.35">
      <c r="A10" s="10">
        <f t="shared" si="0"/>
        <v>7</v>
      </c>
      <c r="B10" s="3">
        <v>263</v>
      </c>
      <c r="C10" s="5" t="s">
        <v>78</v>
      </c>
      <c r="D10" s="5" t="s">
        <v>40</v>
      </c>
      <c r="E10" s="5" t="s">
        <v>16</v>
      </c>
      <c r="F10" s="5" t="s">
        <v>41</v>
      </c>
      <c r="G10" s="7">
        <v>37638</v>
      </c>
      <c r="H10" s="18">
        <v>23.216438356164385</v>
      </c>
      <c r="I10" s="5" t="s">
        <v>13</v>
      </c>
      <c r="J10" s="23">
        <v>32608.340499999998</v>
      </c>
      <c r="K10" s="23">
        <v>4000</v>
      </c>
      <c r="L10" s="32">
        <f t="shared" si="1"/>
        <v>0.12266800268477325</v>
      </c>
    </row>
    <row r="11" spans="1:12" x14ac:dyDescent="0.35">
      <c r="A11" s="10">
        <f t="shared" si="0"/>
        <v>8</v>
      </c>
      <c r="B11" s="3">
        <v>269</v>
      </c>
      <c r="C11" s="5" t="s">
        <v>81</v>
      </c>
      <c r="D11" s="5" t="s">
        <v>40</v>
      </c>
      <c r="E11" s="5" t="s">
        <v>16</v>
      </c>
      <c r="F11" s="5" t="s">
        <v>41</v>
      </c>
      <c r="G11" s="7">
        <v>37641</v>
      </c>
      <c r="H11" s="18">
        <v>23.208219178082192</v>
      </c>
      <c r="I11" s="5" t="s">
        <v>13</v>
      </c>
      <c r="J11" s="23">
        <v>32608.340499999998</v>
      </c>
      <c r="K11" s="23">
        <v>4000</v>
      </c>
      <c r="L11" s="32">
        <f t="shared" si="1"/>
        <v>0.12266800268477325</v>
      </c>
    </row>
    <row r="12" spans="1:12" x14ac:dyDescent="0.35">
      <c r="A12" s="10">
        <f t="shared" si="0"/>
        <v>9</v>
      </c>
      <c r="B12" s="3">
        <v>317</v>
      </c>
      <c r="C12" s="5" t="s">
        <v>91</v>
      </c>
      <c r="D12" s="5" t="s">
        <v>40</v>
      </c>
      <c r="E12" s="5" t="s">
        <v>16</v>
      </c>
      <c r="F12" s="5" t="s">
        <v>41</v>
      </c>
      <c r="G12" s="7">
        <v>37669</v>
      </c>
      <c r="H12" s="18">
        <v>23.13150684931507</v>
      </c>
      <c r="I12" s="5" t="s">
        <v>13</v>
      </c>
      <c r="J12" s="23">
        <v>32608.340499999998</v>
      </c>
      <c r="K12" s="23">
        <v>4000</v>
      </c>
      <c r="L12" s="32">
        <f t="shared" si="1"/>
        <v>0.12266800268477325</v>
      </c>
    </row>
    <row r="13" spans="1:12" x14ac:dyDescent="0.35">
      <c r="A13" s="10">
        <f t="shared" si="0"/>
        <v>10</v>
      </c>
      <c r="B13" s="3">
        <v>329</v>
      </c>
      <c r="C13" s="5" t="s">
        <v>92</v>
      </c>
      <c r="D13" s="5" t="s">
        <v>40</v>
      </c>
      <c r="E13" s="5" t="s">
        <v>16</v>
      </c>
      <c r="F13" s="5" t="s">
        <v>41</v>
      </c>
      <c r="G13" s="7">
        <v>37683</v>
      </c>
      <c r="H13" s="18">
        <v>23.093150684931508</v>
      </c>
      <c r="I13" s="5" t="s">
        <v>13</v>
      </c>
      <c r="J13" s="23">
        <v>32608.340499999998</v>
      </c>
      <c r="K13" s="23">
        <v>4000</v>
      </c>
      <c r="L13" s="32">
        <f t="shared" si="1"/>
        <v>0.12266800268477325</v>
      </c>
    </row>
    <row r="14" spans="1:12" x14ac:dyDescent="0.35">
      <c r="A14" s="10">
        <f t="shared" si="0"/>
        <v>11</v>
      </c>
      <c r="B14" s="3">
        <v>337</v>
      </c>
      <c r="C14" s="5" t="s">
        <v>95</v>
      </c>
      <c r="D14" s="5" t="s">
        <v>40</v>
      </c>
      <c r="E14" s="5" t="s">
        <v>16</v>
      </c>
      <c r="F14" s="5" t="s">
        <v>41</v>
      </c>
      <c r="G14" s="7">
        <v>37683</v>
      </c>
      <c r="H14" s="18">
        <v>23.093150684931508</v>
      </c>
      <c r="I14" s="5" t="s">
        <v>13</v>
      </c>
      <c r="J14" s="23">
        <v>33234.267500000002</v>
      </c>
      <c r="K14" s="23">
        <v>4000</v>
      </c>
      <c r="L14" s="32">
        <f t="shared" si="1"/>
        <v>0.12035770007568242</v>
      </c>
    </row>
    <row r="15" spans="1:12" x14ac:dyDescent="0.35">
      <c r="A15" s="10">
        <f t="shared" si="0"/>
        <v>12</v>
      </c>
      <c r="B15" s="3">
        <v>349</v>
      </c>
      <c r="C15" s="5" t="s">
        <v>96</v>
      </c>
      <c r="D15" s="5" t="s">
        <v>40</v>
      </c>
      <c r="E15" s="5" t="s">
        <v>16</v>
      </c>
      <c r="F15" s="5" t="s">
        <v>41</v>
      </c>
      <c r="G15" s="7">
        <v>37697</v>
      </c>
      <c r="H15" s="18">
        <v>23.054794520547944</v>
      </c>
      <c r="I15" s="5" t="s">
        <v>13</v>
      </c>
      <c r="J15" s="23">
        <v>32295.377</v>
      </c>
      <c r="K15" s="23">
        <v>4000</v>
      </c>
      <c r="L15" s="32">
        <f t="shared" si="1"/>
        <v>0.12385673652300142</v>
      </c>
    </row>
    <row r="16" spans="1:12" x14ac:dyDescent="0.35">
      <c r="A16" s="10">
        <f t="shared" si="0"/>
        <v>13</v>
      </c>
      <c r="B16" s="3">
        <v>365</v>
      </c>
      <c r="C16" s="5" t="s">
        <v>104</v>
      </c>
      <c r="D16" s="5" t="s">
        <v>40</v>
      </c>
      <c r="E16" s="5" t="s">
        <v>16</v>
      </c>
      <c r="F16" s="5" t="s">
        <v>48</v>
      </c>
      <c r="G16" s="7">
        <v>37719</v>
      </c>
      <c r="H16" s="18">
        <v>22.994520547945207</v>
      </c>
      <c r="I16" s="5" t="s">
        <v>13</v>
      </c>
      <c r="J16" s="23">
        <v>33234.267500000002</v>
      </c>
      <c r="K16" s="23">
        <v>4000</v>
      </c>
      <c r="L16" s="32">
        <f t="shared" si="1"/>
        <v>0.12035770007568242</v>
      </c>
    </row>
    <row r="17" spans="1:12" x14ac:dyDescent="0.35">
      <c r="A17" s="10">
        <f t="shared" si="0"/>
        <v>14</v>
      </c>
      <c r="B17" s="3">
        <v>380</v>
      </c>
      <c r="C17" s="5" t="s">
        <v>107</v>
      </c>
      <c r="D17" s="5" t="s">
        <v>40</v>
      </c>
      <c r="E17" s="5" t="s">
        <v>16</v>
      </c>
      <c r="F17" s="5" t="s">
        <v>41</v>
      </c>
      <c r="G17" s="7">
        <v>37767</v>
      </c>
      <c r="H17" s="18">
        <v>22.863013698630137</v>
      </c>
      <c r="I17" s="5" t="s">
        <v>13</v>
      </c>
      <c r="J17" s="23">
        <v>32608.340499999998</v>
      </c>
      <c r="K17" s="23">
        <v>4000</v>
      </c>
      <c r="L17" s="32">
        <f t="shared" si="1"/>
        <v>0.12266800268477325</v>
      </c>
    </row>
    <row r="18" spans="1:12" x14ac:dyDescent="0.35">
      <c r="A18" s="10">
        <f t="shared" si="0"/>
        <v>15</v>
      </c>
      <c r="B18" s="3">
        <v>442</v>
      </c>
      <c r="C18" s="5" t="s">
        <v>118</v>
      </c>
      <c r="D18" s="5" t="s">
        <v>40</v>
      </c>
      <c r="E18" s="5" t="s">
        <v>16</v>
      </c>
      <c r="F18" s="5" t="s">
        <v>41</v>
      </c>
      <c r="G18" s="7">
        <v>37718</v>
      </c>
      <c r="H18" s="18">
        <v>22.997260273972604</v>
      </c>
      <c r="I18" s="5" t="s">
        <v>13</v>
      </c>
      <c r="J18" s="23">
        <v>32608.340499999998</v>
      </c>
      <c r="K18" s="23">
        <v>4000</v>
      </c>
      <c r="L18" s="32">
        <f t="shared" si="1"/>
        <v>0.12266800268477325</v>
      </c>
    </row>
    <row r="19" spans="1:12" x14ac:dyDescent="0.35">
      <c r="A19" s="10">
        <f t="shared" si="0"/>
        <v>16</v>
      </c>
      <c r="B19" s="3">
        <v>466</v>
      </c>
      <c r="C19" s="5" t="s">
        <v>119</v>
      </c>
      <c r="D19" s="5" t="s">
        <v>40</v>
      </c>
      <c r="E19" s="5" t="s">
        <v>16</v>
      </c>
      <c r="F19" s="5" t="s">
        <v>41</v>
      </c>
      <c r="G19" s="7">
        <v>37767</v>
      </c>
      <c r="H19" s="18">
        <v>22.863013698630137</v>
      </c>
      <c r="I19" s="5" t="s">
        <v>13</v>
      </c>
      <c r="J19" s="23">
        <v>33234.267500000002</v>
      </c>
      <c r="K19" s="23">
        <v>4000</v>
      </c>
      <c r="L19" s="32">
        <f t="shared" si="1"/>
        <v>0.12035770007568242</v>
      </c>
    </row>
    <row r="20" spans="1:12" x14ac:dyDescent="0.35">
      <c r="A20" s="10">
        <f t="shared" si="0"/>
        <v>17</v>
      </c>
      <c r="B20" s="3">
        <v>473</v>
      </c>
      <c r="C20" s="5" t="s">
        <v>121</v>
      </c>
      <c r="D20" s="5" t="s">
        <v>43</v>
      </c>
      <c r="E20" s="5" t="s">
        <v>16</v>
      </c>
      <c r="F20" s="5" t="s">
        <v>41</v>
      </c>
      <c r="G20" s="7">
        <v>37810</v>
      </c>
      <c r="H20" s="18">
        <v>22.745205479452054</v>
      </c>
      <c r="I20" s="5" t="s">
        <v>13</v>
      </c>
      <c r="J20" s="23">
        <v>35698.340499999998</v>
      </c>
      <c r="K20" s="23">
        <v>4000</v>
      </c>
      <c r="L20" s="32">
        <f t="shared" si="1"/>
        <v>0.11205002652714348</v>
      </c>
    </row>
    <row r="21" spans="1:12" x14ac:dyDescent="0.35">
      <c r="A21" s="10">
        <f t="shared" si="0"/>
        <v>18</v>
      </c>
      <c r="B21" s="3">
        <v>478</v>
      </c>
      <c r="C21" s="5" t="s">
        <v>122</v>
      </c>
      <c r="D21" s="5" t="s">
        <v>40</v>
      </c>
      <c r="E21" s="5" t="s">
        <v>16</v>
      </c>
      <c r="F21" s="5" t="s">
        <v>41</v>
      </c>
      <c r="G21" s="7">
        <v>37812</v>
      </c>
      <c r="H21" s="18">
        <v>22.739726027397261</v>
      </c>
      <c r="I21" s="5" t="s">
        <v>13</v>
      </c>
      <c r="J21" s="23">
        <v>32608.340499999998</v>
      </c>
      <c r="K21" s="23">
        <v>4000</v>
      </c>
      <c r="L21" s="32">
        <f t="shared" si="1"/>
        <v>0.12266800268477325</v>
      </c>
    </row>
    <row r="22" spans="1:12" x14ac:dyDescent="0.35">
      <c r="A22" s="10">
        <f t="shared" si="0"/>
        <v>19</v>
      </c>
      <c r="B22" s="3">
        <v>548</v>
      </c>
      <c r="C22" s="5" t="s">
        <v>134</v>
      </c>
      <c r="D22" s="5" t="s">
        <v>40</v>
      </c>
      <c r="E22" s="5" t="s">
        <v>16</v>
      </c>
      <c r="F22" s="5" t="s">
        <v>41</v>
      </c>
      <c r="G22" s="7">
        <v>37886</v>
      </c>
      <c r="H22" s="18">
        <v>22.536986301369861</v>
      </c>
      <c r="I22" s="5" t="s">
        <v>13</v>
      </c>
      <c r="J22" s="23">
        <v>32608.340499999998</v>
      </c>
      <c r="K22" s="23">
        <v>4000</v>
      </c>
      <c r="L22" s="32">
        <f t="shared" si="1"/>
        <v>0.12266800268477325</v>
      </c>
    </row>
    <row r="23" spans="1:12" x14ac:dyDescent="0.35">
      <c r="A23" s="10">
        <f t="shared" si="0"/>
        <v>20</v>
      </c>
      <c r="B23" s="3">
        <v>587</v>
      </c>
      <c r="C23" s="5" t="s">
        <v>142</v>
      </c>
      <c r="D23" s="5" t="s">
        <v>40</v>
      </c>
      <c r="E23" s="5" t="s">
        <v>16</v>
      </c>
      <c r="F23" s="5" t="s">
        <v>41</v>
      </c>
      <c r="G23" s="7">
        <v>37972</v>
      </c>
      <c r="H23" s="18">
        <v>22.301369863013697</v>
      </c>
      <c r="I23" s="5" t="s">
        <v>13</v>
      </c>
      <c r="J23" s="23">
        <v>33234.267500000002</v>
      </c>
      <c r="K23" s="23">
        <v>4000</v>
      </c>
      <c r="L23" s="32">
        <f t="shared" si="1"/>
        <v>0.12035770007568242</v>
      </c>
    </row>
    <row r="24" spans="1:12" x14ac:dyDescent="0.35">
      <c r="A24" s="10">
        <f t="shared" si="0"/>
        <v>21</v>
      </c>
      <c r="B24" s="3">
        <v>621</v>
      </c>
      <c r="C24" s="5" t="s">
        <v>143</v>
      </c>
      <c r="D24" s="5" t="s">
        <v>40</v>
      </c>
      <c r="E24" s="5" t="s">
        <v>16</v>
      </c>
      <c r="F24" s="5" t="s">
        <v>144</v>
      </c>
      <c r="G24" s="7">
        <v>38028</v>
      </c>
      <c r="H24" s="18">
        <v>22.147945205479452</v>
      </c>
      <c r="I24" s="5" t="s">
        <v>13</v>
      </c>
      <c r="J24" s="23">
        <v>33234.267500000002</v>
      </c>
      <c r="K24" s="23">
        <v>4000</v>
      </c>
      <c r="L24" s="32">
        <f t="shared" si="1"/>
        <v>0.12035770007568242</v>
      </c>
    </row>
    <row r="25" spans="1:12" x14ac:dyDescent="0.35">
      <c r="A25" s="10">
        <f t="shared" si="0"/>
        <v>22</v>
      </c>
      <c r="B25" s="3">
        <v>759</v>
      </c>
      <c r="C25" s="5" t="s">
        <v>154</v>
      </c>
      <c r="D25" s="5" t="s">
        <v>40</v>
      </c>
      <c r="E25" s="5" t="s">
        <v>16</v>
      </c>
      <c r="F25" s="5" t="s">
        <v>41</v>
      </c>
      <c r="G25" s="7">
        <v>38258</v>
      </c>
      <c r="H25" s="18">
        <v>21.517808219178082</v>
      </c>
      <c r="I25" s="5" t="s">
        <v>13</v>
      </c>
      <c r="J25" s="23">
        <v>32608.340499999998</v>
      </c>
      <c r="K25" s="23">
        <v>4000</v>
      </c>
      <c r="L25" s="32">
        <f t="shared" si="1"/>
        <v>0.12266800268477325</v>
      </c>
    </row>
    <row r="26" spans="1:12" x14ac:dyDescent="0.35">
      <c r="A26" s="10">
        <f t="shared" si="0"/>
        <v>23</v>
      </c>
      <c r="B26" s="3">
        <v>775</v>
      </c>
      <c r="C26" s="5" t="s">
        <v>155</v>
      </c>
      <c r="D26" s="5" t="s">
        <v>40</v>
      </c>
      <c r="E26" s="5" t="s">
        <v>16</v>
      </c>
      <c r="F26" s="5" t="s">
        <v>41</v>
      </c>
      <c r="G26" s="7">
        <v>38293</v>
      </c>
      <c r="H26" s="18">
        <v>21.421917808219177</v>
      </c>
      <c r="I26" s="5" t="s">
        <v>13</v>
      </c>
      <c r="J26" s="23">
        <v>32608.340500000002</v>
      </c>
      <c r="K26" s="23">
        <v>4000</v>
      </c>
      <c r="L26" s="32">
        <f t="shared" si="1"/>
        <v>0.12266800268477324</v>
      </c>
    </row>
    <row r="27" spans="1:12" x14ac:dyDescent="0.35">
      <c r="A27" s="10">
        <f t="shared" si="0"/>
        <v>24</v>
      </c>
      <c r="B27" s="3">
        <v>777</v>
      </c>
      <c r="C27" s="5" t="s">
        <v>156</v>
      </c>
      <c r="D27" s="5" t="s">
        <v>157</v>
      </c>
      <c r="E27" s="5" t="s">
        <v>16</v>
      </c>
      <c r="F27" s="5" t="s">
        <v>41</v>
      </c>
      <c r="G27" s="7">
        <v>38257</v>
      </c>
      <c r="H27" s="18">
        <v>21.520547945205479</v>
      </c>
      <c r="I27" s="5" t="s">
        <v>13</v>
      </c>
      <c r="J27" s="23">
        <v>32608.340499999998</v>
      </c>
      <c r="K27" s="23">
        <v>4000</v>
      </c>
      <c r="L27" s="32">
        <f t="shared" si="1"/>
        <v>0.12266800268477325</v>
      </c>
    </row>
    <row r="28" spans="1:12" x14ac:dyDescent="0.35">
      <c r="A28" s="10">
        <f t="shared" si="0"/>
        <v>25</v>
      </c>
      <c r="B28" s="3">
        <v>839</v>
      </c>
      <c r="C28" s="5" t="s">
        <v>162</v>
      </c>
      <c r="D28" s="5" t="s">
        <v>40</v>
      </c>
      <c r="E28" s="5" t="s">
        <v>16</v>
      </c>
      <c r="F28" s="5" t="s">
        <v>41</v>
      </c>
      <c r="G28" s="7">
        <v>38413</v>
      </c>
      <c r="H28" s="18">
        <v>21.093150684931508</v>
      </c>
      <c r="I28" s="5" t="s">
        <v>13</v>
      </c>
      <c r="J28" s="23">
        <v>33234.267500000002</v>
      </c>
      <c r="K28" s="23">
        <v>4000</v>
      </c>
      <c r="L28" s="32">
        <f t="shared" si="1"/>
        <v>0.12035770007568242</v>
      </c>
    </row>
    <row r="29" spans="1:12" x14ac:dyDescent="0.35">
      <c r="A29" s="10">
        <f t="shared" si="0"/>
        <v>26</v>
      </c>
      <c r="B29" s="3">
        <v>882</v>
      </c>
      <c r="C29" s="5" t="s">
        <v>170</v>
      </c>
      <c r="D29" s="5" t="s">
        <v>40</v>
      </c>
      <c r="E29" s="5" t="s">
        <v>16</v>
      </c>
      <c r="F29" s="5" t="s">
        <v>41</v>
      </c>
      <c r="G29" s="7">
        <v>39479</v>
      </c>
      <c r="H29" s="18">
        <v>18.172602739726027</v>
      </c>
      <c r="I29" s="5" t="s">
        <v>13</v>
      </c>
      <c r="J29" s="23">
        <v>32608.340499999998</v>
      </c>
      <c r="K29" s="23">
        <v>4000</v>
      </c>
      <c r="L29" s="32">
        <f t="shared" si="1"/>
        <v>0.12266800268477325</v>
      </c>
    </row>
    <row r="30" spans="1:12" x14ac:dyDescent="0.35">
      <c r="A30" s="10">
        <f t="shared" si="0"/>
        <v>27</v>
      </c>
      <c r="B30" s="3">
        <v>903</v>
      </c>
      <c r="C30" s="5" t="s">
        <v>172</v>
      </c>
      <c r="D30" s="5" t="s">
        <v>40</v>
      </c>
      <c r="E30" s="5" t="s">
        <v>16</v>
      </c>
      <c r="F30" s="5" t="s">
        <v>141</v>
      </c>
      <c r="G30" s="7">
        <v>38511</v>
      </c>
      <c r="H30" s="18">
        <v>20.824657534246576</v>
      </c>
      <c r="I30" s="5" t="s">
        <v>13</v>
      </c>
      <c r="J30" s="23">
        <v>33234.267500000002</v>
      </c>
      <c r="K30" s="23">
        <v>4000</v>
      </c>
      <c r="L30" s="32">
        <f t="shared" si="1"/>
        <v>0.12035770007568242</v>
      </c>
    </row>
    <row r="31" spans="1:12" x14ac:dyDescent="0.35">
      <c r="A31" s="10">
        <f t="shared" si="0"/>
        <v>28</v>
      </c>
      <c r="B31" s="3">
        <v>944</v>
      </c>
      <c r="C31" s="5" t="s">
        <v>173</v>
      </c>
      <c r="D31" s="5" t="s">
        <v>40</v>
      </c>
      <c r="E31" s="5" t="s">
        <v>16</v>
      </c>
      <c r="F31" s="5" t="s">
        <v>41</v>
      </c>
      <c r="G31" s="7">
        <v>38551</v>
      </c>
      <c r="H31" s="18">
        <v>20.715068493150685</v>
      </c>
      <c r="I31" s="5" t="s">
        <v>13</v>
      </c>
      <c r="J31" s="23">
        <v>33234.267500000002</v>
      </c>
      <c r="K31" s="23">
        <v>4000</v>
      </c>
      <c r="L31" s="32">
        <f t="shared" si="1"/>
        <v>0.12035770007568242</v>
      </c>
    </row>
    <row r="32" spans="1:12" x14ac:dyDescent="0.35">
      <c r="A32" s="10">
        <f t="shared" si="0"/>
        <v>29</v>
      </c>
      <c r="B32" s="3">
        <v>1031</v>
      </c>
      <c r="C32" s="5" t="s">
        <v>184</v>
      </c>
      <c r="D32" s="5" t="s">
        <v>40</v>
      </c>
      <c r="E32" s="5" t="s">
        <v>16</v>
      </c>
      <c r="F32" s="5" t="s">
        <v>41</v>
      </c>
      <c r="G32" s="7">
        <v>38667</v>
      </c>
      <c r="H32" s="18">
        <v>20.397260273972602</v>
      </c>
      <c r="I32" s="5" t="s">
        <v>13</v>
      </c>
      <c r="J32" s="23">
        <v>32608.340499999998</v>
      </c>
      <c r="K32" s="23">
        <v>4000</v>
      </c>
      <c r="L32" s="32">
        <f t="shared" si="1"/>
        <v>0.12266800268477325</v>
      </c>
    </row>
    <row r="33" spans="1:12" x14ac:dyDescent="0.35">
      <c r="A33" s="10">
        <f t="shared" si="0"/>
        <v>30</v>
      </c>
      <c r="B33" s="3">
        <v>1100</v>
      </c>
      <c r="C33" s="5" t="s">
        <v>195</v>
      </c>
      <c r="D33" s="5" t="s">
        <v>40</v>
      </c>
      <c r="E33" s="5" t="s">
        <v>16</v>
      </c>
      <c r="F33" s="5" t="s">
        <v>41</v>
      </c>
      <c r="G33" s="7">
        <v>38777</v>
      </c>
      <c r="H33" s="18">
        <v>20.095890410958905</v>
      </c>
      <c r="I33" s="5" t="s">
        <v>13</v>
      </c>
      <c r="J33" s="23">
        <v>32608.340499999998</v>
      </c>
      <c r="K33" s="23">
        <v>4000</v>
      </c>
      <c r="L33" s="32">
        <f t="shared" si="1"/>
        <v>0.12266800268477325</v>
      </c>
    </row>
    <row r="34" spans="1:12" x14ac:dyDescent="0.35">
      <c r="A34" s="10">
        <f t="shared" si="0"/>
        <v>31</v>
      </c>
      <c r="B34" s="3">
        <v>1162</v>
      </c>
      <c r="C34" s="5" t="s">
        <v>205</v>
      </c>
      <c r="D34" s="5" t="s">
        <v>40</v>
      </c>
      <c r="E34" s="5" t="s">
        <v>16</v>
      </c>
      <c r="F34" s="5" t="s">
        <v>48</v>
      </c>
      <c r="G34" s="7">
        <v>38838</v>
      </c>
      <c r="H34" s="18">
        <v>19.92876712328767</v>
      </c>
      <c r="I34" s="5" t="s">
        <v>13</v>
      </c>
      <c r="J34" s="23">
        <v>33234.267500000002</v>
      </c>
      <c r="K34" s="23">
        <v>4000</v>
      </c>
      <c r="L34" s="32">
        <f t="shared" si="1"/>
        <v>0.12035770007568242</v>
      </c>
    </row>
    <row r="35" spans="1:12" x14ac:dyDescent="0.35">
      <c r="A35" s="10">
        <f t="shared" si="0"/>
        <v>32</v>
      </c>
      <c r="B35" s="3">
        <v>1387</v>
      </c>
      <c r="C35" s="5" t="s">
        <v>211</v>
      </c>
      <c r="D35" s="5" t="s">
        <v>40</v>
      </c>
      <c r="E35" s="5" t="s">
        <v>16</v>
      </c>
      <c r="F35" s="5" t="s">
        <v>41</v>
      </c>
      <c r="G35" s="7">
        <v>39100</v>
      </c>
      <c r="H35" s="18">
        <v>19.210958904109589</v>
      </c>
      <c r="I35" s="5" t="s">
        <v>13</v>
      </c>
      <c r="J35" s="23">
        <v>33234.267500000002</v>
      </c>
      <c r="K35" s="23">
        <v>4000</v>
      </c>
      <c r="L35" s="32">
        <f t="shared" si="1"/>
        <v>0.12035770007568242</v>
      </c>
    </row>
    <row r="36" spans="1:12" x14ac:dyDescent="0.35">
      <c r="A36" s="10">
        <f t="shared" si="0"/>
        <v>33</v>
      </c>
      <c r="B36" s="3">
        <v>1418</v>
      </c>
      <c r="C36" s="5" t="s">
        <v>214</v>
      </c>
      <c r="D36" s="5" t="s">
        <v>40</v>
      </c>
      <c r="E36" s="5" t="s">
        <v>16</v>
      </c>
      <c r="F36" s="5" t="s">
        <v>41</v>
      </c>
      <c r="G36" s="7">
        <v>39118</v>
      </c>
      <c r="H36" s="18">
        <v>19.161643835616438</v>
      </c>
      <c r="I36" s="5" t="s">
        <v>13</v>
      </c>
      <c r="J36" s="23">
        <v>32608.340499999998</v>
      </c>
      <c r="K36" s="23">
        <v>4000</v>
      </c>
      <c r="L36" s="32">
        <f t="shared" si="1"/>
        <v>0.12266800268477325</v>
      </c>
    </row>
    <row r="37" spans="1:12" x14ac:dyDescent="0.35">
      <c r="A37" s="10">
        <f t="shared" si="0"/>
        <v>34</v>
      </c>
      <c r="B37" s="3">
        <v>1458</v>
      </c>
      <c r="C37" s="5" t="s">
        <v>218</v>
      </c>
      <c r="D37" s="5" t="s">
        <v>40</v>
      </c>
      <c r="E37" s="5" t="s">
        <v>16</v>
      </c>
      <c r="F37" s="5" t="s">
        <v>41</v>
      </c>
      <c r="G37" s="7">
        <v>39160</v>
      </c>
      <c r="H37" s="18">
        <v>19.046575342465754</v>
      </c>
      <c r="I37" s="5" t="s">
        <v>13</v>
      </c>
      <c r="J37" s="23">
        <v>32608.340499999998</v>
      </c>
      <c r="K37" s="23">
        <v>4000</v>
      </c>
      <c r="L37" s="32">
        <f t="shared" si="1"/>
        <v>0.12266800268477325</v>
      </c>
    </row>
    <row r="38" spans="1:12" x14ac:dyDescent="0.35">
      <c r="A38" s="10">
        <f t="shared" si="0"/>
        <v>35</v>
      </c>
      <c r="B38" s="3">
        <v>1476</v>
      </c>
      <c r="C38" s="5" t="s">
        <v>221</v>
      </c>
      <c r="D38" s="5" t="s">
        <v>40</v>
      </c>
      <c r="E38" s="5" t="s">
        <v>16</v>
      </c>
      <c r="F38" s="5" t="s">
        <v>41</v>
      </c>
      <c r="G38" s="7">
        <v>39142</v>
      </c>
      <c r="H38" s="18">
        <v>19.095890410958905</v>
      </c>
      <c r="I38" s="5" t="s">
        <v>13</v>
      </c>
      <c r="J38" s="23">
        <v>32608.340499999998</v>
      </c>
      <c r="K38" s="23">
        <v>4000</v>
      </c>
      <c r="L38" s="32">
        <f t="shared" si="1"/>
        <v>0.12266800268477325</v>
      </c>
    </row>
    <row r="39" spans="1:12" x14ac:dyDescent="0.35">
      <c r="A39" s="10">
        <f t="shared" si="0"/>
        <v>36</v>
      </c>
      <c r="B39" s="3">
        <v>1672</v>
      </c>
      <c r="C39" s="5" t="s">
        <v>239</v>
      </c>
      <c r="D39" s="5" t="s">
        <v>40</v>
      </c>
      <c r="E39" s="5" t="s">
        <v>16</v>
      </c>
      <c r="F39" s="5" t="s">
        <v>41</v>
      </c>
      <c r="G39" s="7">
        <v>39254</v>
      </c>
      <c r="H39" s="18">
        <v>18.789041095890411</v>
      </c>
      <c r="I39" s="5" t="s">
        <v>13</v>
      </c>
      <c r="J39" s="23">
        <v>33234.267500000002</v>
      </c>
      <c r="K39" s="23">
        <v>4000</v>
      </c>
      <c r="L39" s="32">
        <f t="shared" si="1"/>
        <v>0.12035770007568242</v>
      </c>
    </row>
    <row r="40" spans="1:12" x14ac:dyDescent="0.35">
      <c r="A40" s="10">
        <f t="shared" si="0"/>
        <v>37</v>
      </c>
      <c r="B40" s="3">
        <v>1689</v>
      </c>
      <c r="C40" s="5" t="s">
        <v>241</v>
      </c>
      <c r="D40" s="5" t="s">
        <v>40</v>
      </c>
      <c r="E40" s="5" t="s">
        <v>16</v>
      </c>
      <c r="F40" s="5" t="s">
        <v>41</v>
      </c>
      <c r="G40" s="7">
        <v>38455</v>
      </c>
      <c r="H40" s="18">
        <v>20.978082191780821</v>
      </c>
      <c r="I40" s="5" t="s">
        <v>13</v>
      </c>
      <c r="J40" s="23">
        <v>33234.267500000002</v>
      </c>
      <c r="K40" s="23">
        <v>4000</v>
      </c>
      <c r="L40" s="32">
        <f t="shared" si="1"/>
        <v>0.12035770007568242</v>
      </c>
    </row>
    <row r="41" spans="1:12" x14ac:dyDescent="0.35">
      <c r="A41" s="10">
        <f t="shared" si="0"/>
        <v>38</v>
      </c>
      <c r="B41" s="3">
        <v>1728</v>
      </c>
      <c r="C41" s="5" t="s">
        <v>244</v>
      </c>
      <c r="D41" s="5" t="s">
        <v>40</v>
      </c>
      <c r="E41" s="5" t="s">
        <v>16</v>
      </c>
      <c r="F41" s="5" t="s">
        <v>41</v>
      </c>
      <c r="G41" s="7">
        <v>39295</v>
      </c>
      <c r="H41" s="18">
        <v>18.676712328767124</v>
      </c>
      <c r="I41" s="5" t="s">
        <v>13</v>
      </c>
      <c r="J41" s="23">
        <v>32608.340499999998</v>
      </c>
      <c r="K41" s="23">
        <v>4000</v>
      </c>
      <c r="L41" s="32">
        <f t="shared" si="1"/>
        <v>0.12266800268477325</v>
      </c>
    </row>
    <row r="42" spans="1:12" x14ac:dyDescent="0.35">
      <c r="A42" s="10">
        <f t="shared" si="0"/>
        <v>39</v>
      </c>
      <c r="B42" s="3">
        <v>1730</v>
      </c>
      <c r="C42" s="5" t="s">
        <v>246</v>
      </c>
      <c r="D42" s="5" t="s">
        <v>40</v>
      </c>
      <c r="E42" s="5" t="s">
        <v>16</v>
      </c>
      <c r="F42" s="5" t="s">
        <v>247</v>
      </c>
      <c r="G42" s="7">
        <v>39280</v>
      </c>
      <c r="H42" s="18">
        <v>18.717808219178082</v>
      </c>
      <c r="I42" s="5" t="s">
        <v>13</v>
      </c>
      <c r="J42" s="23">
        <v>33234.267500000002</v>
      </c>
      <c r="K42" s="23">
        <v>4000</v>
      </c>
      <c r="L42" s="32">
        <f t="shared" si="1"/>
        <v>0.12035770007568242</v>
      </c>
    </row>
    <row r="43" spans="1:12" x14ac:dyDescent="0.35">
      <c r="A43" s="10">
        <f t="shared" si="0"/>
        <v>40</v>
      </c>
      <c r="B43" s="3">
        <v>1977</v>
      </c>
      <c r="C43" s="5" t="s">
        <v>289</v>
      </c>
      <c r="D43" s="5" t="s">
        <v>40</v>
      </c>
      <c r="E43" s="5" t="s">
        <v>16</v>
      </c>
      <c r="F43" s="5" t="s">
        <v>41</v>
      </c>
      <c r="G43" s="7">
        <v>39539</v>
      </c>
      <c r="H43" s="18">
        <v>18.008219178082193</v>
      </c>
      <c r="I43" s="5" t="s">
        <v>13</v>
      </c>
      <c r="J43" s="23">
        <v>32608.340499999998</v>
      </c>
      <c r="K43" s="23">
        <v>4000</v>
      </c>
      <c r="L43" s="32">
        <f t="shared" si="1"/>
        <v>0.12266800268477325</v>
      </c>
    </row>
    <row r="44" spans="1:12" x14ac:dyDescent="0.35">
      <c r="A44" s="10">
        <f t="shared" si="0"/>
        <v>41</v>
      </c>
      <c r="B44" s="3">
        <v>2216</v>
      </c>
      <c r="C44" s="5" t="s">
        <v>309</v>
      </c>
      <c r="D44" s="5" t="s">
        <v>40</v>
      </c>
      <c r="E44" s="5" t="s">
        <v>16</v>
      </c>
      <c r="F44" s="5" t="s">
        <v>41</v>
      </c>
      <c r="G44" s="7">
        <v>39814</v>
      </c>
      <c r="H44" s="18">
        <v>17.254794520547946</v>
      </c>
      <c r="I44" s="5" t="s">
        <v>13</v>
      </c>
      <c r="J44" s="23">
        <v>32608.340499999998</v>
      </c>
      <c r="K44" s="23">
        <v>4000</v>
      </c>
      <c r="L44" s="32">
        <f t="shared" si="1"/>
        <v>0.12266800268477325</v>
      </c>
    </row>
    <row r="45" spans="1:12" x14ac:dyDescent="0.35">
      <c r="A45" s="10">
        <f t="shared" si="0"/>
        <v>42</v>
      </c>
      <c r="B45" s="3">
        <v>2271</v>
      </c>
      <c r="C45" s="5" t="s">
        <v>327</v>
      </c>
      <c r="D45" s="5" t="s">
        <v>40</v>
      </c>
      <c r="E45" s="5" t="s">
        <v>16</v>
      </c>
      <c r="F45" s="5" t="s">
        <v>41</v>
      </c>
      <c r="G45" s="7">
        <v>39508</v>
      </c>
      <c r="H45" s="18">
        <v>18.093150684931508</v>
      </c>
      <c r="I45" s="5" t="s">
        <v>13</v>
      </c>
      <c r="J45" s="23">
        <v>32160.702499999999</v>
      </c>
      <c r="K45" s="23">
        <v>4000</v>
      </c>
      <c r="L45" s="32">
        <f t="shared" si="1"/>
        <v>0.12437539260841705</v>
      </c>
    </row>
    <row r="46" spans="1:12" x14ac:dyDescent="0.35">
      <c r="A46" s="10">
        <f t="shared" si="0"/>
        <v>43</v>
      </c>
      <c r="B46" s="3">
        <v>2660</v>
      </c>
      <c r="C46" s="5" t="s">
        <v>361</v>
      </c>
      <c r="D46" s="5" t="s">
        <v>40</v>
      </c>
      <c r="E46" s="5" t="s">
        <v>16</v>
      </c>
      <c r="F46" s="5" t="s">
        <v>141</v>
      </c>
      <c r="G46" s="7">
        <v>40269</v>
      </c>
      <c r="H46" s="18">
        <v>16.008219178082193</v>
      </c>
      <c r="I46" s="5" t="s">
        <v>13</v>
      </c>
      <c r="J46" s="23">
        <v>32777.9375</v>
      </c>
      <c r="K46" s="23">
        <v>4000</v>
      </c>
      <c r="L46" s="32">
        <f t="shared" si="1"/>
        <v>0.12203330365127459</v>
      </c>
    </row>
    <row r="47" spans="1:12" x14ac:dyDescent="0.35">
      <c r="A47" s="10">
        <f t="shared" si="0"/>
        <v>44</v>
      </c>
      <c r="B47" s="3">
        <v>2668</v>
      </c>
      <c r="C47" s="5" t="s">
        <v>362</v>
      </c>
      <c r="D47" s="5" t="s">
        <v>40</v>
      </c>
      <c r="E47" s="5" t="s">
        <v>16</v>
      </c>
      <c r="F47" s="5" t="s">
        <v>41</v>
      </c>
      <c r="G47" s="7">
        <v>40269</v>
      </c>
      <c r="H47" s="18">
        <v>16.008219178082193</v>
      </c>
      <c r="I47" s="5" t="s">
        <v>13</v>
      </c>
      <c r="J47" s="23">
        <v>32160.702499999999</v>
      </c>
      <c r="K47" s="23">
        <v>4000</v>
      </c>
      <c r="L47" s="32">
        <f t="shared" si="1"/>
        <v>0.12437539260841705</v>
      </c>
    </row>
    <row r="48" spans="1:12" x14ac:dyDescent="0.35">
      <c r="A48" s="10">
        <f t="shared" si="0"/>
        <v>45</v>
      </c>
      <c r="B48" s="3">
        <v>2670</v>
      </c>
      <c r="C48" s="5" t="s">
        <v>363</v>
      </c>
      <c r="D48" s="5" t="s">
        <v>40</v>
      </c>
      <c r="E48" s="5" t="s">
        <v>16</v>
      </c>
      <c r="F48" s="5" t="s">
        <v>41</v>
      </c>
      <c r="G48" s="7">
        <v>40269</v>
      </c>
      <c r="H48" s="18">
        <v>16.008219178082193</v>
      </c>
      <c r="I48" s="5" t="s">
        <v>13</v>
      </c>
      <c r="J48" s="23">
        <v>32777.9375</v>
      </c>
      <c r="K48" s="23">
        <v>4000</v>
      </c>
      <c r="L48" s="32">
        <f t="shared" si="1"/>
        <v>0.12203330365127459</v>
      </c>
    </row>
    <row r="49" spans="1:12" x14ac:dyDescent="0.35">
      <c r="A49" s="10">
        <f t="shared" ref="A49:A77" si="2">+A48+1</f>
        <v>46</v>
      </c>
      <c r="B49" s="3">
        <v>2672</v>
      </c>
      <c r="C49" s="5" t="s">
        <v>364</v>
      </c>
      <c r="D49" s="5" t="s">
        <v>40</v>
      </c>
      <c r="E49" s="5" t="s">
        <v>16</v>
      </c>
      <c r="F49" s="5" t="s">
        <v>144</v>
      </c>
      <c r="G49" s="7">
        <v>40269</v>
      </c>
      <c r="H49" s="18">
        <v>16.008219178082193</v>
      </c>
      <c r="I49" s="5" t="s">
        <v>13</v>
      </c>
      <c r="J49" s="23">
        <v>32777.9375</v>
      </c>
      <c r="K49" s="23">
        <v>4000</v>
      </c>
      <c r="L49" s="32">
        <f t="shared" si="1"/>
        <v>0.12203330365127459</v>
      </c>
    </row>
    <row r="50" spans="1:12" x14ac:dyDescent="0.35">
      <c r="A50" s="10">
        <f t="shared" si="2"/>
        <v>47</v>
      </c>
      <c r="B50" s="3">
        <v>2678</v>
      </c>
      <c r="C50" s="5" t="s">
        <v>365</v>
      </c>
      <c r="D50" s="5" t="s">
        <v>40</v>
      </c>
      <c r="E50" s="5" t="s">
        <v>16</v>
      </c>
      <c r="F50" s="5" t="s">
        <v>41</v>
      </c>
      <c r="G50" s="7">
        <v>40269</v>
      </c>
      <c r="H50" s="18">
        <v>16.008219178082193</v>
      </c>
      <c r="I50" s="5" t="s">
        <v>13</v>
      </c>
      <c r="J50" s="23">
        <v>32160.702499999999</v>
      </c>
      <c r="K50" s="23">
        <v>4000</v>
      </c>
      <c r="L50" s="32">
        <f t="shared" si="1"/>
        <v>0.12437539260841705</v>
      </c>
    </row>
    <row r="51" spans="1:12" x14ac:dyDescent="0.35">
      <c r="A51" s="10">
        <f t="shared" si="2"/>
        <v>48</v>
      </c>
      <c r="B51" s="3">
        <v>2720</v>
      </c>
      <c r="C51" s="5" t="s">
        <v>370</v>
      </c>
      <c r="D51" s="5" t="s">
        <v>40</v>
      </c>
      <c r="E51" s="5" t="s">
        <v>16</v>
      </c>
      <c r="F51" s="5" t="s">
        <v>41</v>
      </c>
      <c r="G51" s="7">
        <v>39753</v>
      </c>
      <c r="H51" s="18">
        <v>17.421917808219177</v>
      </c>
      <c r="I51" s="5" t="s">
        <v>13</v>
      </c>
      <c r="J51" s="23">
        <v>33234.267500000002</v>
      </c>
      <c r="K51" s="23">
        <v>4000</v>
      </c>
      <c r="L51" s="32">
        <f t="shared" si="1"/>
        <v>0.12035770007568242</v>
      </c>
    </row>
    <row r="52" spans="1:12" x14ac:dyDescent="0.35">
      <c r="A52" s="10">
        <f t="shared" si="2"/>
        <v>49</v>
      </c>
      <c r="B52" s="3">
        <v>2745</v>
      </c>
      <c r="C52" s="5" t="s">
        <v>373</v>
      </c>
      <c r="D52" s="5" t="s">
        <v>40</v>
      </c>
      <c r="E52" s="5" t="s">
        <v>16</v>
      </c>
      <c r="F52" s="5" t="s">
        <v>41</v>
      </c>
      <c r="G52" s="7">
        <v>40269</v>
      </c>
      <c r="H52" s="18">
        <v>16.008219178082193</v>
      </c>
      <c r="I52" s="5" t="s">
        <v>13</v>
      </c>
      <c r="J52" s="23">
        <v>32160.702499999999</v>
      </c>
      <c r="K52" s="23">
        <v>4000</v>
      </c>
      <c r="L52" s="32">
        <f t="shared" si="1"/>
        <v>0.12437539260841705</v>
      </c>
    </row>
    <row r="53" spans="1:12" x14ac:dyDescent="0.35">
      <c r="A53" s="10">
        <f t="shared" si="2"/>
        <v>50</v>
      </c>
      <c r="B53" s="3">
        <v>2885</v>
      </c>
      <c r="C53" s="5" t="s">
        <v>389</v>
      </c>
      <c r="D53" s="5" t="s">
        <v>40</v>
      </c>
      <c r="E53" s="5" t="s">
        <v>16</v>
      </c>
      <c r="F53" s="5" t="s">
        <v>144</v>
      </c>
      <c r="G53" s="7">
        <v>40391</v>
      </c>
      <c r="H53" s="18">
        <v>15.673972602739726</v>
      </c>
      <c r="I53" s="5" t="s">
        <v>13</v>
      </c>
      <c r="J53" s="23">
        <v>32777.9375</v>
      </c>
      <c r="K53" s="23">
        <v>4000</v>
      </c>
      <c r="L53" s="32">
        <f t="shared" si="1"/>
        <v>0.12203330365127459</v>
      </c>
    </row>
    <row r="54" spans="1:12" x14ac:dyDescent="0.35">
      <c r="A54" s="10">
        <f t="shared" si="2"/>
        <v>51</v>
      </c>
      <c r="B54" s="3">
        <v>2888</v>
      </c>
      <c r="C54" s="5" t="s">
        <v>390</v>
      </c>
      <c r="D54" s="5" t="s">
        <v>40</v>
      </c>
      <c r="E54" s="5" t="s">
        <v>16</v>
      </c>
      <c r="F54" s="5" t="s">
        <v>41</v>
      </c>
      <c r="G54" s="7">
        <v>40391</v>
      </c>
      <c r="H54" s="18">
        <v>15.673972602739726</v>
      </c>
      <c r="I54" s="5" t="s">
        <v>13</v>
      </c>
      <c r="J54" s="23">
        <v>32160.702499999999</v>
      </c>
      <c r="K54" s="23">
        <v>4000</v>
      </c>
      <c r="L54" s="32">
        <f t="shared" si="1"/>
        <v>0.12437539260841705</v>
      </c>
    </row>
    <row r="55" spans="1:12" x14ac:dyDescent="0.35">
      <c r="A55" s="10">
        <f t="shared" si="2"/>
        <v>52</v>
      </c>
      <c r="B55" s="3">
        <v>2926</v>
      </c>
      <c r="C55" s="5" t="s">
        <v>391</v>
      </c>
      <c r="D55" s="5" t="s">
        <v>40</v>
      </c>
      <c r="E55" s="5" t="s">
        <v>16</v>
      </c>
      <c r="F55" s="5" t="s">
        <v>144</v>
      </c>
      <c r="G55" s="7">
        <v>40391</v>
      </c>
      <c r="H55" s="18">
        <v>15.673972602739726</v>
      </c>
      <c r="I55" s="5" t="s">
        <v>13</v>
      </c>
      <c r="J55" s="23">
        <v>32160.702499999999</v>
      </c>
      <c r="K55" s="23">
        <v>4000</v>
      </c>
      <c r="L55" s="32">
        <f t="shared" si="1"/>
        <v>0.12437539260841705</v>
      </c>
    </row>
    <row r="56" spans="1:12" x14ac:dyDescent="0.35">
      <c r="A56" s="10">
        <f t="shared" si="2"/>
        <v>53</v>
      </c>
      <c r="B56" s="3">
        <v>325</v>
      </c>
      <c r="C56" s="5" t="s">
        <v>456</v>
      </c>
      <c r="D56" s="5" t="s">
        <v>40</v>
      </c>
      <c r="E56" s="5" t="s">
        <v>16</v>
      </c>
      <c r="F56" s="5" t="s">
        <v>20</v>
      </c>
      <c r="G56" s="7">
        <v>37674</v>
      </c>
      <c r="H56" s="18">
        <v>23.117808219178084</v>
      </c>
      <c r="I56" s="5" t="s">
        <v>13</v>
      </c>
      <c r="J56" s="23">
        <v>33234.267500000002</v>
      </c>
      <c r="K56" s="23">
        <v>4000</v>
      </c>
      <c r="L56" s="32">
        <f t="shared" si="1"/>
        <v>0.12035770007568242</v>
      </c>
    </row>
    <row r="57" spans="1:12" x14ac:dyDescent="0.35">
      <c r="A57" s="10">
        <f t="shared" si="2"/>
        <v>54</v>
      </c>
      <c r="B57" s="3">
        <v>3374</v>
      </c>
      <c r="C57" s="5" t="s">
        <v>467</v>
      </c>
      <c r="D57" s="5" t="s">
        <v>40</v>
      </c>
      <c r="E57" s="5" t="s">
        <v>16</v>
      </c>
      <c r="F57" s="5" t="s">
        <v>41</v>
      </c>
      <c r="G57" s="7">
        <v>40616</v>
      </c>
      <c r="H57" s="18">
        <v>15.057534246575342</v>
      </c>
      <c r="I57" s="5" t="s">
        <v>13</v>
      </c>
      <c r="J57" s="23">
        <v>32160.702499999999</v>
      </c>
      <c r="K57" s="23">
        <v>4000</v>
      </c>
      <c r="L57" s="32">
        <f t="shared" si="1"/>
        <v>0.12437539260841705</v>
      </c>
    </row>
    <row r="58" spans="1:12" x14ac:dyDescent="0.35">
      <c r="A58" s="10">
        <f t="shared" si="2"/>
        <v>55</v>
      </c>
      <c r="B58" s="3">
        <v>3628</v>
      </c>
      <c r="C58" s="5" t="s">
        <v>498</v>
      </c>
      <c r="D58" s="5" t="s">
        <v>40</v>
      </c>
      <c r="E58" s="5" t="s">
        <v>16</v>
      </c>
      <c r="F58" s="5" t="s">
        <v>41</v>
      </c>
      <c r="G58" s="7">
        <v>40854</v>
      </c>
      <c r="H58" s="18">
        <v>14.405479452054795</v>
      </c>
      <c r="I58" s="5" t="s">
        <v>13</v>
      </c>
      <c r="J58" s="23">
        <v>29158.252499999999</v>
      </c>
      <c r="K58" s="23">
        <v>4000</v>
      </c>
      <c r="L58" s="32">
        <f t="shared" si="1"/>
        <v>0.13718243231483093</v>
      </c>
    </row>
    <row r="59" spans="1:12" x14ac:dyDescent="0.35">
      <c r="A59" s="10">
        <f t="shared" si="2"/>
        <v>56</v>
      </c>
      <c r="B59" s="3">
        <v>4128</v>
      </c>
      <c r="C59" s="5" t="s">
        <v>564</v>
      </c>
      <c r="D59" s="5" t="s">
        <v>40</v>
      </c>
      <c r="E59" s="5" t="s">
        <v>16</v>
      </c>
      <c r="F59" s="5" t="s">
        <v>144</v>
      </c>
      <c r="G59" s="7">
        <v>41253</v>
      </c>
      <c r="H59" s="18">
        <v>13.312328767123288</v>
      </c>
      <c r="I59" s="5" t="s">
        <v>13</v>
      </c>
      <c r="J59" s="23">
        <v>29830.1675</v>
      </c>
      <c r="K59" s="23">
        <v>4000</v>
      </c>
      <c r="L59" s="32">
        <f t="shared" si="1"/>
        <v>0.13409244182085134</v>
      </c>
    </row>
    <row r="60" spans="1:12" x14ac:dyDescent="0.35">
      <c r="A60" s="10">
        <f t="shared" si="2"/>
        <v>57</v>
      </c>
      <c r="B60" s="3">
        <v>4308</v>
      </c>
      <c r="C60" s="5" t="s">
        <v>580</v>
      </c>
      <c r="D60" s="5" t="s">
        <v>40</v>
      </c>
      <c r="E60" s="5" t="s">
        <v>16</v>
      </c>
      <c r="F60" s="5" t="s">
        <v>41</v>
      </c>
      <c r="G60" s="7">
        <v>41400</v>
      </c>
      <c r="H60" s="18">
        <v>12.90958904109589</v>
      </c>
      <c r="I60" s="5" t="s">
        <v>13</v>
      </c>
      <c r="J60" s="23">
        <v>29830.1675</v>
      </c>
      <c r="K60" s="23">
        <v>4000</v>
      </c>
      <c r="L60" s="32">
        <f t="shared" si="1"/>
        <v>0.13409244182085134</v>
      </c>
    </row>
    <row r="61" spans="1:12" x14ac:dyDescent="0.35">
      <c r="A61" s="10">
        <f t="shared" si="2"/>
        <v>58</v>
      </c>
      <c r="B61" s="3">
        <v>5712</v>
      </c>
      <c r="C61" s="5" t="s">
        <v>731</v>
      </c>
      <c r="D61" s="5" t="s">
        <v>157</v>
      </c>
      <c r="E61" s="5" t="s">
        <v>16</v>
      </c>
      <c r="F61" s="5" t="s">
        <v>41</v>
      </c>
      <c r="G61" s="7">
        <v>42289</v>
      </c>
      <c r="H61" s="18">
        <v>10.473972602739726</v>
      </c>
      <c r="I61" s="5" t="s">
        <v>13</v>
      </c>
      <c r="J61" s="23">
        <v>25610.45</v>
      </c>
      <c r="K61" s="23">
        <v>4000</v>
      </c>
      <c r="L61" s="32">
        <f t="shared" si="1"/>
        <v>0.15618624428700004</v>
      </c>
    </row>
    <row r="62" spans="1:12" x14ac:dyDescent="0.35">
      <c r="A62" s="10">
        <f t="shared" si="2"/>
        <v>59</v>
      </c>
      <c r="B62" s="3">
        <v>6016</v>
      </c>
      <c r="C62" s="5" t="s">
        <v>781</v>
      </c>
      <c r="D62" s="5" t="s">
        <v>157</v>
      </c>
      <c r="E62" s="5" t="s">
        <v>16</v>
      </c>
      <c r="F62" s="5" t="s">
        <v>41</v>
      </c>
      <c r="G62" s="7">
        <v>42622</v>
      </c>
      <c r="H62" s="18">
        <v>9.5616438356164384</v>
      </c>
      <c r="I62" s="5" t="s">
        <v>13</v>
      </c>
      <c r="J62" s="23">
        <v>27504.2785</v>
      </c>
      <c r="K62" s="23">
        <v>3500</v>
      </c>
      <c r="L62" s="32">
        <f t="shared" si="1"/>
        <v>0.12725292903065971</v>
      </c>
    </row>
    <row r="63" spans="1:12" x14ac:dyDescent="0.35">
      <c r="A63" s="10">
        <f t="shared" si="2"/>
        <v>60</v>
      </c>
      <c r="B63" s="3">
        <v>6111</v>
      </c>
      <c r="C63" s="5" t="s">
        <v>790</v>
      </c>
      <c r="D63" s="5" t="s">
        <v>157</v>
      </c>
      <c r="E63" s="5" t="s">
        <v>16</v>
      </c>
      <c r="F63" s="5" t="s">
        <v>497</v>
      </c>
      <c r="G63" s="7">
        <v>42675</v>
      </c>
      <c r="H63" s="18">
        <v>9.4164383561643827</v>
      </c>
      <c r="I63" s="5" t="s">
        <v>13</v>
      </c>
      <c r="J63" s="23">
        <v>27240.869000000002</v>
      </c>
      <c r="K63" s="23">
        <v>3500</v>
      </c>
      <c r="L63" s="32">
        <f t="shared" si="1"/>
        <v>0.12848341952674122</v>
      </c>
    </row>
    <row r="64" spans="1:12" x14ac:dyDescent="0.35">
      <c r="A64" s="10">
        <f t="shared" si="2"/>
        <v>61</v>
      </c>
      <c r="B64" s="3">
        <v>6112</v>
      </c>
      <c r="C64" s="5" t="s">
        <v>791</v>
      </c>
      <c r="D64" s="5" t="s">
        <v>157</v>
      </c>
      <c r="E64" s="5" t="s">
        <v>16</v>
      </c>
      <c r="F64" s="5" t="s">
        <v>645</v>
      </c>
      <c r="G64" s="7">
        <v>42675</v>
      </c>
      <c r="H64" s="18">
        <v>9.4164383561643827</v>
      </c>
      <c r="I64" s="5" t="s">
        <v>13</v>
      </c>
      <c r="J64" s="23">
        <v>27504.2785</v>
      </c>
      <c r="K64" s="23">
        <v>3500</v>
      </c>
      <c r="L64" s="32">
        <f t="shared" si="1"/>
        <v>0.12725292903065971</v>
      </c>
    </row>
    <row r="65" spans="1:12" x14ac:dyDescent="0.35">
      <c r="A65" s="10">
        <f t="shared" si="2"/>
        <v>62</v>
      </c>
      <c r="B65" s="3">
        <v>6631</v>
      </c>
      <c r="C65" s="5" t="s">
        <v>864</v>
      </c>
      <c r="D65" s="5" t="s">
        <v>157</v>
      </c>
      <c r="E65" s="5" t="s">
        <v>16</v>
      </c>
      <c r="F65" s="5" t="s">
        <v>41</v>
      </c>
      <c r="G65" s="7">
        <v>43389</v>
      </c>
      <c r="H65" s="18">
        <v>7.4602739726027396</v>
      </c>
      <c r="I65" s="5" t="s">
        <v>13</v>
      </c>
      <c r="J65" s="23">
        <v>27026.770499999999</v>
      </c>
      <c r="K65" s="23">
        <v>3500</v>
      </c>
      <c r="L65" s="32">
        <f t="shared" si="1"/>
        <v>0.12950122916091658</v>
      </c>
    </row>
    <row r="66" spans="1:12" x14ac:dyDescent="0.35">
      <c r="A66" s="10">
        <f t="shared" si="2"/>
        <v>63</v>
      </c>
      <c r="B66" s="3">
        <v>6633</v>
      </c>
      <c r="C66" s="5" t="s">
        <v>865</v>
      </c>
      <c r="D66" s="5" t="s">
        <v>157</v>
      </c>
      <c r="E66" s="5" t="s">
        <v>16</v>
      </c>
      <c r="F66" s="5" t="s">
        <v>41</v>
      </c>
      <c r="G66" s="7">
        <v>43206</v>
      </c>
      <c r="H66" s="18">
        <v>7.9616438356164387</v>
      </c>
      <c r="I66" s="5" t="s">
        <v>13</v>
      </c>
      <c r="J66" s="23">
        <v>27232.770499999999</v>
      </c>
      <c r="K66" s="23">
        <v>3500</v>
      </c>
      <c r="L66" s="32">
        <f t="shared" si="1"/>
        <v>0.12852162801430725</v>
      </c>
    </row>
    <row r="67" spans="1:12" x14ac:dyDescent="0.35">
      <c r="A67" s="10">
        <f t="shared" si="2"/>
        <v>64</v>
      </c>
      <c r="B67" s="3">
        <v>7031</v>
      </c>
      <c r="C67" s="5" t="s">
        <v>920</v>
      </c>
      <c r="D67" s="5" t="s">
        <v>157</v>
      </c>
      <c r="E67" s="5" t="s">
        <v>16</v>
      </c>
      <c r="F67" s="5" t="s">
        <v>41</v>
      </c>
      <c r="G67" s="7">
        <v>43556</v>
      </c>
      <c r="H67" s="18">
        <v>7.0027397260273974</v>
      </c>
      <c r="I67" s="5" t="s">
        <v>13</v>
      </c>
      <c r="J67" s="23">
        <v>27048.4005</v>
      </c>
      <c r="K67" s="23">
        <v>3500</v>
      </c>
      <c r="L67" s="32">
        <f t="shared" si="1"/>
        <v>0.12939766992876345</v>
      </c>
    </row>
    <row r="68" spans="1:12" x14ac:dyDescent="0.35">
      <c r="A68" s="10">
        <f t="shared" si="2"/>
        <v>65</v>
      </c>
      <c r="B68" s="3">
        <v>8002</v>
      </c>
      <c r="C68" s="5" t="s">
        <v>1088</v>
      </c>
      <c r="D68" s="5" t="s">
        <v>157</v>
      </c>
      <c r="E68" s="5" t="s">
        <v>16</v>
      </c>
      <c r="F68" s="5" t="s">
        <v>144</v>
      </c>
      <c r="G68" s="7">
        <v>44732</v>
      </c>
      <c r="H68" s="18">
        <v>3.7808219178082192</v>
      </c>
      <c r="I68" s="5" t="s">
        <v>13</v>
      </c>
      <c r="J68" s="23">
        <v>22597.557499999999</v>
      </c>
      <c r="K68" s="23">
        <v>3000</v>
      </c>
      <c r="L68" s="32">
        <f t="shared" si="1"/>
        <v>0.13275771065080819</v>
      </c>
    </row>
    <row r="69" spans="1:12" x14ac:dyDescent="0.35">
      <c r="A69" s="10">
        <f t="shared" si="2"/>
        <v>66</v>
      </c>
      <c r="B69" s="3">
        <v>8046</v>
      </c>
      <c r="C69" s="5" t="s">
        <v>1098</v>
      </c>
      <c r="D69" s="5" t="s">
        <v>157</v>
      </c>
      <c r="E69" s="5" t="s">
        <v>16</v>
      </c>
      <c r="F69" s="5" t="s">
        <v>41</v>
      </c>
      <c r="G69" s="7">
        <v>44781</v>
      </c>
      <c r="H69" s="18">
        <v>3.6465753424657534</v>
      </c>
      <c r="I69" s="5" t="s">
        <v>13</v>
      </c>
      <c r="J69" s="23">
        <v>22567.076499999999</v>
      </c>
      <c r="K69" s="23">
        <v>3000</v>
      </c>
      <c r="L69" s="32">
        <f t="shared" ref="L69:L77" si="3">+K69/J69</f>
        <v>0.13293702443025796</v>
      </c>
    </row>
    <row r="70" spans="1:12" x14ac:dyDescent="0.35">
      <c r="A70" s="10">
        <f t="shared" si="2"/>
        <v>67</v>
      </c>
      <c r="B70" s="3">
        <v>8368</v>
      </c>
      <c r="C70" s="5" t="s">
        <v>1180</v>
      </c>
      <c r="D70" s="5" t="s">
        <v>157</v>
      </c>
      <c r="E70" s="5" t="s">
        <v>16</v>
      </c>
      <c r="F70" s="5" t="s">
        <v>41</v>
      </c>
      <c r="G70" s="7">
        <v>44991</v>
      </c>
      <c r="H70" s="18">
        <v>3.0712328767123287</v>
      </c>
      <c r="I70" s="5" t="s">
        <v>13</v>
      </c>
      <c r="J70" s="23">
        <v>22567.076499999999</v>
      </c>
      <c r="K70" s="23">
        <v>3000</v>
      </c>
      <c r="L70" s="32">
        <f t="shared" si="3"/>
        <v>0.13293702443025796</v>
      </c>
    </row>
    <row r="71" spans="1:12" x14ac:dyDescent="0.35">
      <c r="A71" s="10">
        <f t="shared" si="2"/>
        <v>68</v>
      </c>
      <c r="B71" s="3">
        <v>8475</v>
      </c>
      <c r="C71" s="5" t="s">
        <v>1211</v>
      </c>
      <c r="D71" s="5" t="s">
        <v>157</v>
      </c>
      <c r="E71" s="5" t="s">
        <v>16</v>
      </c>
      <c r="F71" s="5" t="s">
        <v>41</v>
      </c>
      <c r="G71" s="7">
        <v>45061</v>
      </c>
      <c r="H71" s="18">
        <v>2.8794520547945206</v>
      </c>
      <c r="I71" s="5" t="s">
        <v>1075</v>
      </c>
      <c r="J71" s="23">
        <v>24139.4745</v>
      </c>
      <c r="K71" s="23">
        <v>2500</v>
      </c>
      <c r="L71" s="32">
        <f t="shared" si="3"/>
        <v>0.10356480626784149</v>
      </c>
    </row>
    <row r="72" spans="1:12" x14ac:dyDescent="0.35">
      <c r="A72" s="10">
        <f t="shared" si="2"/>
        <v>69</v>
      </c>
      <c r="B72" s="3">
        <v>8476</v>
      </c>
      <c r="C72" s="5" t="s">
        <v>1212</v>
      </c>
      <c r="D72" s="5" t="s">
        <v>157</v>
      </c>
      <c r="E72" s="5" t="s">
        <v>16</v>
      </c>
      <c r="F72" s="5" t="s">
        <v>144</v>
      </c>
      <c r="G72" s="7">
        <v>45061</v>
      </c>
      <c r="H72" s="18">
        <v>2.8794520547945206</v>
      </c>
      <c r="I72" s="5" t="s">
        <v>1075</v>
      </c>
      <c r="J72" s="23">
        <v>23398.7075</v>
      </c>
      <c r="K72" s="23">
        <v>2500</v>
      </c>
      <c r="L72" s="32">
        <f t="shared" si="3"/>
        <v>0.10684350834335614</v>
      </c>
    </row>
    <row r="73" spans="1:12" x14ac:dyDescent="0.35">
      <c r="A73" s="10">
        <f t="shared" si="2"/>
        <v>70</v>
      </c>
      <c r="B73" s="3">
        <v>8544</v>
      </c>
      <c r="C73" s="5" t="s">
        <v>1239</v>
      </c>
      <c r="D73" s="5" t="s">
        <v>157</v>
      </c>
      <c r="E73" s="5" t="s">
        <v>16</v>
      </c>
      <c r="F73" s="5" t="s">
        <v>144</v>
      </c>
      <c r="G73" s="7">
        <v>45110</v>
      </c>
      <c r="H73" s="18">
        <v>2.7452054794520548</v>
      </c>
      <c r="I73" s="5" t="s">
        <v>13</v>
      </c>
      <c r="J73" s="23">
        <v>22597.557499999999</v>
      </c>
      <c r="K73" s="23">
        <v>2500</v>
      </c>
      <c r="L73" s="32">
        <f t="shared" si="3"/>
        <v>0.11063142554234015</v>
      </c>
    </row>
    <row r="74" spans="1:12" x14ac:dyDescent="0.35">
      <c r="A74" s="10">
        <f t="shared" si="2"/>
        <v>71</v>
      </c>
      <c r="B74" s="3">
        <v>8545</v>
      </c>
      <c r="C74" s="5" t="s">
        <v>1240</v>
      </c>
      <c r="D74" s="5" t="s">
        <v>157</v>
      </c>
      <c r="E74" s="5" t="s">
        <v>16</v>
      </c>
      <c r="F74" s="5" t="s">
        <v>41</v>
      </c>
      <c r="G74" s="7">
        <v>45110</v>
      </c>
      <c r="H74" s="18">
        <v>2.7452054794520548</v>
      </c>
      <c r="I74" s="5" t="s">
        <v>13</v>
      </c>
      <c r="J74" s="23">
        <v>22174.234499999999</v>
      </c>
      <c r="K74" s="23">
        <v>2500</v>
      </c>
      <c r="L74" s="32">
        <f t="shared" si="3"/>
        <v>0.11274346359059205</v>
      </c>
    </row>
    <row r="75" spans="1:12" x14ac:dyDescent="0.35">
      <c r="A75" s="10">
        <f t="shared" si="2"/>
        <v>72</v>
      </c>
      <c r="B75" s="3">
        <v>8546</v>
      </c>
      <c r="C75" s="5" t="s">
        <v>1241</v>
      </c>
      <c r="D75" s="5" t="s">
        <v>157</v>
      </c>
      <c r="E75" s="5" t="s">
        <v>16</v>
      </c>
      <c r="F75" s="5" t="s">
        <v>41</v>
      </c>
      <c r="G75" s="7">
        <v>45110</v>
      </c>
      <c r="H75" s="18">
        <v>2.7452054794520548</v>
      </c>
      <c r="I75" s="5" t="s">
        <v>13</v>
      </c>
      <c r="J75" s="23">
        <v>22174.234499999999</v>
      </c>
      <c r="K75" s="23">
        <v>2500</v>
      </c>
      <c r="L75" s="32">
        <f t="shared" si="3"/>
        <v>0.11274346359059205</v>
      </c>
    </row>
    <row r="76" spans="1:12" x14ac:dyDescent="0.35">
      <c r="A76" s="10">
        <f t="shared" si="2"/>
        <v>73</v>
      </c>
      <c r="B76" s="3">
        <v>857</v>
      </c>
      <c r="C76" s="5" t="s">
        <v>1250</v>
      </c>
      <c r="D76" s="5" t="s">
        <v>40</v>
      </c>
      <c r="E76" s="5" t="s">
        <v>16</v>
      </c>
      <c r="F76" s="5" t="s">
        <v>48</v>
      </c>
      <c r="G76" s="7">
        <v>38428</v>
      </c>
      <c r="H76" s="18">
        <v>21.052054794520547</v>
      </c>
      <c r="I76" s="5" t="s">
        <v>13</v>
      </c>
      <c r="J76" s="23">
        <v>33234.267500000002</v>
      </c>
      <c r="K76" s="23">
        <v>4000</v>
      </c>
      <c r="L76" s="32">
        <f t="shared" si="3"/>
        <v>0.12035770007568242</v>
      </c>
    </row>
    <row r="77" spans="1:12" x14ac:dyDescent="0.35">
      <c r="A77" s="10">
        <f t="shared" si="2"/>
        <v>74</v>
      </c>
      <c r="B77" s="3">
        <v>8574</v>
      </c>
      <c r="C77" s="5" t="s">
        <v>1251</v>
      </c>
      <c r="D77" s="5" t="s">
        <v>157</v>
      </c>
      <c r="E77" s="5" t="s">
        <v>16</v>
      </c>
      <c r="F77" s="5" t="s">
        <v>144</v>
      </c>
      <c r="G77" s="7">
        <v>45139</v>
      </c>
      <c r="H77" s="18">
        <v>2.6657534246575341</v>
      </c>
      <c r="I77" s="5" t="s">
        <v>888</v>
      </c>
      <c r="J77" s="23">
        <v>19260</v>
      </c>
      <c r="K77" s="23">
        <v>2500</v>
      </c>
      <c r="L77" s="40">
        <f t="shared" si="3"/>
        <v>0.12980269989615784</v>
      </c>
    </row>
    <row r="78" spans="1:12" x14ac:dyDescent="0.35">
      <c r="J78" s="24">
        <f>SUM(J4:J77)</f>
        <v>2284509.6959999995</v>
      </c>
      <c r="L78" s="39">
        <f>SUM(L4:L77)</f>
        <v>9.1120628833887967</v>
      </c>
    </row>
    <row r="79" spans="1:12" x14ac:dyDescent="0.35">
      <c r="L79" s="41">
        <f>L78/74*100</f>
        <v>12.313598491065941</v>
      </c>
    </row>
  </sheetData>
  <autoFilter ref="A3:L3" xr:uid="{F8FD383E-4ED4-4E26-9A78-BC75BA7D654F}"/>
  <conditionalFormatting sqref="B4:B7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C94B-8901-4493-8FDC-7B3E8464D141}">
  <dimension ref="A3:I85"/>
  <sheetViews>
    <sheetView topLeftCell="A68" workbookViewId="0">
      <selection activeCell="I4" sqref="I4:I85"/>
    </sheetView>
  </sheetViews>
  <sheetFormatPr defaultRowHeight="14.5" x14ac:dyDescent="0.35"/>
  <cols>
    <col min="1" max="1" width="5.1796875" customWidth="1"/>
    <col min="2" max="2" width="9.1796875" style="1"/>
    <col min="3" max="3" width="21.7265625" bestFit="1" customWidth="1"/>
    <col min="4" max="4" width="33.1796875" bestFit="1" customWidth="1"/>
    <col min="5" max="5" width="34" bestFit="1" customWidth="1"/>
    <col min="6" max="6" width="9.1796875" customWidth="1"/>
    <col min="7" max="7" width="11.453125" customWidth="1"/>
    <col min="8" max="9" width="14.7265625" customWidth="1"/>
  </cols>
  <sheetData>
    <row r="3" spans="1:9" ht="28.5" customHeight="1" x14ac:dyDescent="0.35">
      <c r="A3" s="9" t="s">
        <v>2</v>
      </c>
      <c r="B3" s="4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1905</v>
      </c>
    </row>
    <row r="4" spans="1:9" ht="16.5" customHeight="1" x14ac:dyDescent="0.35">
      <c r="A4" s="10">
        <v>1</v>
      </c>
      <c r="B4" s="3">
        <v>23</v>
      </c>
      <c r="C4" s="5" t="s">
        <v>18</v>
      </c>
      <c r="D4" s="5" t="s">
        <v>19</v>
      </c>
      <c r="E4" s="5" t="s">
        <v>16</v>
      </c>
      <c r="F4" s="5" t="s">
        <v>20</v>
      </c>
      <c r="G4" s="7">
        <v>37655</v>
      </c>
      <c r="H4" s="5" t="s">
        <v>21</v>
      </c>
      <c r="I4" s="23">
        <v>50069.53125</v>
      </c>
    </row>
    <row r="5" spans="1:9" ht="16.5" customHeight="1" x14ac:dyDescent="0.35">
      <c r="A5" s="10">
        <f t="shared" ref="A5:A36" si="0">+A4+1</f>
        <v>2</v>
      </c>
      <c r="B5" s="3">
        <v>32</v>
      </c>
      <c r="C5" s="5" t="s">
        <v>22</v>
      </c>
      <c r="D5" s="5" t="s">
        <v>23</v>
      </c>
      <c r="E5" s="5" t="s">
        <v>24</v>
      </c>
      <c r="F5" s="5" t="s">
        <v>25</v>
      </c>
      <c r="G5" s="7">
        <v>37494</v>
      </c>
      <c r="H5" s="5" t="s">
        <v>21</v>
      </c>
      <c r="I5" s="23">
        <v>38667.21</v>
      </c>
    </row>
    <row r="6" spans="1:9" ht="16.5" customHeight="1" x14ac:dyDescent="0.35">
      <c r="A6" s="10">
        <f t="shared" si="0"/>
        <v>3</v>
      </c>
      <c r="B6" s="3">
        <v>163</v>
      </c>
      <c r="C6" s="5" t="s">
        <v>55</v>
      </c>
      <c r="D6" s="5" t="s">
        <v>56</v>
      </c>
      <c r="E6" s="5" t="s">
        <v>57</v>
      </c>
      <c r="F6" s="5" t="s">
        <v>58</v>
      </c>
      <c r="G6" s="7">
        <v>37620</v>
      </c>
      <c r="H6" s="5" t="s">
        <v>21</v>
      </c>
      <c r="I6" s="23">
        <v>70598.899999999994</v>
      </c>
    </row>
    <row r="7" spans="1:9" ht="16.5" customHeight="1" x14ac:dyDescent="0.35">
      <c r="A7" s="10">
        <f t="shared" si="0"/>
        <v>4</v>
      </c>
      <c r="B7" s="3">
        <v>403</v>
      </c>
      <c r="C7" s="5" t="s">
        <v>111</v>
      </c>
      <c r="D7" s="5" t="s">
        <v>31</v>
      </c>
      <c r="E7" s="5" t="s">
        <v>112</v>
      </c>
      <c r="F7" s="5" t="s">
        <v>113</v>
      </c>
      <c r="G7" s="7">
        <v>37760</v>
      </c>
      <c r="H7" s="5" t="s">
        <v>21</v>
      </c>
      <c r="I7" s="23">
        <v>89880</v>
      </c>
    </row>
    <row r="8" spans="1:9" ht="16.5" customHeight="1" x14ac:dyDescent="0.35">
      <c r="A8" s="10">
        <f t="shared" si="0"/>
        <v>5</v>
      </c>
      <c r="B8" s="3">
        <v>421</v>
      </c>
      <c r="C8" s="5" t="s">
        <v>114</v>
      </c>
      <c r="D8" s="5" t="s">
        <v>115</v>
      </c>
      <c r="E8" s="5" t="s">
        <v>116</v>
      </c>
      <c r="F8" s="5" t="s">
        <v>117</v>
      </c>
      <c r="G8" s="7">
        <v>37774</v>
      </c>
      <c r="H8" s="5" t="s">
        <v>21</v>
      </c>
      <c r="I8" s="23">
        <v>40700</v>
      </c>
    </row>
    <row r="9" spans="1:9" ht="16.5" customHeight="1" x14ac:dyDescent="0.35">
      <c r="A9" s="10">
        <f t="shared" si="0"/>
        <v>6</v>
      </c>
      <c r="B9" s="3">
        <v>512</v>
      </c>
      <c r="C9" s="5" t="s">
        <v>125</v>
      </c>
      <c r="D9" s="5" t="s">
        <v>126</v>
      </c>
      <c r="E9" s="5" t="s">
        <v>35</v>
      </c>
      <c r="F9" s="5" t="s">
        <v>35</v>
      </c>
      <c r="G9" s="7">
        <v>38777</v>
      </c>
      <c r="H9" s="5" t="s">
        <v>127</v>
      </c>
      <c r="I9" s="23">
        <v>94543</v>
      </c>
    </row>
    <row r="10" spans="1:9" ht="16.5" customHeight="1" x14ac:dyDescent="0.35">
      <c r="A10" s="10">
        <f t="shared" si="0"/>
        <v>7</v>
      </c>
      <c r="B10" s="3">
        <v>569</v>
      </c>
      <c r="C10" s="5" t="s">
        <v>138</v>
      </c>
      <c r="D10" s="5" t="s">
        <v>31</v>
      </c>
      <c r="E10" s="5" t="s">
        <v>139</v>
      </c>
      <c r="F10" s="5" t="s">
        <v>139</v>
      </c>
      <c r="G10" s="7">
        <v>37918</v>
      </c>
      <c r="H10" s="5" t="s">
        <v>21</v>
      </c>
      <c r="I10" s="23">
        <v>41000</v>
      </c>
    </row>
    <row r="11" spans="1:9" ht="16.5" customHeight="1" x14ac:dyDescent="0.35">
      <c r="A11" s="10">
        <f t="shared" si="0"/>
        <v>8</v>
      </c>
      <c r="B11" s="3">
        <v>659</v>
      </c>
      <c r="C11" s="5" t="s">
        <v>147</v>
      </c>
      <c r="D11" s="5" t="s">
        <v>31</v>
      </c>
      <c r="E11" s="5" t="s">
        <v>103</v>
      </c>
      <c r="F11" s="5" t="s">
        <v>100</v>
      </c>
      <c r="G11" s="7">
        <v>38125</v>
      </c>
      <c r="H11" s="5" t="s">
        <v>21</v>
      </c>
      <c r="I11" s="23">
        <v>64967.027999999998</v>
      </c>
    </row>
    <row r="12" spans="1:9" ht="16.5" customHeight="1" x14ac:dyDescent="0.35">
      <c r="A12" s="10">
        <f t="shared" si="0"/>
        <v>9</v>
      </c>
      <c r="B12" s="3">
        <v>663</v>
      </c>
      <c r="C12" s="5" t="s">
        <v>148</v>
      </c>
      <c r="D12" s="5" t="s">
        <v>149</v>
      </c>
      <c r="E12" s="5" t="s">
        <v>103</v>
      </c>
      <c r="F12" s="5" t="s">
        <v>103</v>
      </c>
      <c r="G12" s="7">
        <v>38131</v>
      </c>
      <c r="H12" s="5" t="s">
        <v>21</v>
      </c>
      <c r="I12" s="23">
        <v>41800</v>
      </c>
    </row>
    <row r="13" spans="1:9" ht="16.5" customHeight="1" x14ac:dyDescent="0.35">
      <c r="A13" s="10">
        <f t="shared" si="0"/>
        <v>10</v>
      </c>
      <c r="B13" s="3">
        <v>787</v>
      </c>
      <c r="C13" s="5" t="s">
        <v>159</v>
      </c>
      <c r="D13" s="5" t="s">
        <v>160</v>
      </c>
      <c r="E13" s="5" t="s">
        <v>161</v>
      </c>
      <c r="F13" s="5" t="s">
        <v>161</v>
      </c>
      <c r="G13" s="7">
        <v>38281</v>
      </c>
      <c r="H13" s="5" t="s">
        <v>21</v>
      </c>
      <c r="I13" s="23">
        <v>34092</v>
      </c>
    </row>
    <row r="14" spans="1:9" ht="16.5" customHeight="1" x14ac:dyDescent="0.35">
      <c r="A14" s="10">
        <f t="shared" si="0"/>
        <v>11</v>
      </c>
      <c r="B14" s="3">
        <v>847</v>
      </c>
      <c r="C14" s="5" t="s">
        <v>166</v>
      </c>
      <c r="D14" s="5" t="s">
        <v>167</v>
      </c>
      <c r="E14" s="5" t="s">
        <v>103</v>
      </c>
      <c r="F14" s="5" t="s">
        <v>103</v>
      </c>
      <c r="G14" s="7">
        <v>38413</v>
      </c>
      <c r="H14" s="5" t="s">
        <v>21</v>
      </c>
      <c r="I14" s="23">
        <v>47641.925000000003</v>
      </c>
    </row>
    <row r="15" spans="1:9" ht="16.5" customHeight="1" x14ac:dyDescent="0.35">
      <c r="A15" s="10">
        <f t="shared" si="0"/>
        <v>12</v>
      </c>
      <c r="B15" s="3">
        <v>1422</v>
      </c>
      <c r="C15" s="5" t="s">
        <v>215</v>
      </c>
      <c r="D15" s="5" t="s">
        <v>216</v>
      </c>
      <c r="E15" s="5" t="s">
        <v>68</v>
      </c>
      <c r="F15" s="5" t="s">
        <v>179</v>
      </c>
      <c r="G15" s="7">
        <v>39128</v>
      </c>
      <c r="H15" s="5" t="s">
        <v>21</v>
      </c>
      <c r="I15" s="23">
        <v>33091.75</v>
      </c>
    </row>
    <row r="16" spans="1:9" ht="16.5" customHeight="1" x14ac:dyDescent="0.35">
      <c r="A16" s="10">
        <f t="shared" si="0"/>
        <v>13</v>
      </c>
      <c r="B16" s="3">
        <v>1561</v>
      </c>
      <c r="C16" s="5" t="s">
        <v>229</v>
      </c>
      <c r="D16" s="5" t="s">
        <v>124</v>
      </c>
      <c r="E16" s="5" t="s">
        <v>116</v>
      </c>
      <c r="F16" s="5" t="s">
        <v>25</v>
      </c>
      <c r="G16" s="7">
        <v>39204</v>
      </c>
      <c r="H16" s="5" t="s">
        <v>21</v>
      </c>
      <c r="I16" s="23">
        <v>157500</v>
      </c>
    </row>
    <row r="17" spans="1:9" ht="16.5" customHeight="1" x14ac:dyDescent="0.35">
      <c r="A17" s="10">
        <f t="shared" si="0"/>
        <v>14</v>
      </c>
      <c r="B17" s="3">
        <v>1796</v>
      </c>
      <c r="C17" s="5" t="s">
        <v>259</v>
      </c>
      <c r="D17" s="5" t="s">
        <v>38</v>
      </c>
      <c r="E17" s="5" t="s">
        <v>68</v>
      </c>
      <c r="F17" s="5" t="s">
        <v>179</v>
      </c>
      <c r="G17" s="7">
        <v>39326</v>
      </c>
      <c r="H17" s="5" t="s">
        <v>13</v>
      </c>
      <c r="I17" s="23">
        <v>38000</v>
      </c>
    </row>
    <row r="18" spans="1:9" ht="16.5" customHeight="1" x14ac:dyDescent="0.35">
      <c r="A18" s="10">
        <f t="shared" si="0"/>
        <v>15</v>
      </c>
      <c r="B18" s="3">
        <v>1899</v>
      </c>
      <c r="C18" s="5" t="s">
        <v>272</v>
      </c>
      <c r="D18" s="5" t="s">
        <v>273</v>
      </c>
      <c r="E18" s="5" t="s">
        <v>24</v>
      </c>
      <c r="F18" s="5" t="s">
        <v>25</v>
      </c>
      <c r="G18" s="7">
        <v>39448</v>
      </c>
      <c r="H18" s="5" t="s">
        <v>21</v>
      </c>
      <c r="I18" s="23">
        <v>55000</v>
      </c>
    </row>
    <row r="19" spans="1:9" ht="16.5" customHeight="1" x14ac:dyDescent="0.35">
      <c r="A19" s="10">
        <f t="shared" si="0"/>
        <v>16</v>
      </c>
      <c r="B19" s="3">
        <v>1939</v>
      </c>
      <c r="C19" s="5" t="s">
        <v>283</v>
      </c>
      <c r="D19" s="5" t="s">
        <v>284</v>
      </c>
      <c r="E19" s="5" t="s">
        <v>165</v>
      </c>
      <c r="F19" s="5" t="s">
        <v>285</v>
      </c>
      <c r="G19" s="7">
        <v>39539</v>
      </c>
      <c r="H19" s="5" t="s">
        <v>21</v>
      </c>
      <c r="I19" s="23">
        <v>63558</v>
      </c>
    </row>
    <row r="20" spans="1:9" ht="16.5" customHeight="1" x14ac:dyDescent="0.35">
      <c r="A20" s="10">
        <f t="shared" si="0"/>
        <v>17</v>
      </c>
      <c r="B20" s="3">
        <v>2047</v>
      </c>
      <c r="C20" s="5" t="s">
        <v>299</v>
      </c>
      <c r="D20" s="5" t="s">
        <v>38</v>
      </c>
      <c r="E20" s="5" t="s">
        <v>198</v>
      </c>
      <c r="F20" s="5" t="s">
        <v>300</v>
      </c>
      <c r="G20" s="7">
        <v>39636</v>
      </c>
      <c r="H20" s="5" t="s">
        <v>13</v>
      </c>
      <c r="I20" s="23">
        <v>35909.129499999995</v>
      </c>
    </row>
    <row r="21" spans="1:9" ht="16.5" customHeight="1" x14ac:dyDescent="0.35">
      <c r="A21" s="10">
        <f t="shared" si="0"/>
        <v>18</v>
      </c>
      <c r="B21" s="3">
        <v>2166</v>
      </c>
      <c r="C21" s="5" t="s">
        <v>305</v>
      </c>
      <c r="D21" s="5" t="s">
        <v>167</v>
      </c>
      <c r="E21" s="5" t="s">
        <v>57</v>
      </c>
      <c r="F21" s="5" t="s">
        <v>306</v>
      </c>
      <c r="G21" s="7">
        <v>39736</v>
      </c>
      <c r="H21" s="5" t="s">
        <v>21</v>
      </c>
      <c r="I21" s="23">
        <v>46100.5</v>
      </c>
    </row>
    <row r="22" spans="1:9" ht="16.5" customHeight="1" x14ac:dyDescent="0.35">
      <c r="A22" s="10">
        <f t="shared" si="0"/>
        <v>19</v>
      </c>
      <c r="B22" s="3">
        <v>2256</v>
      </c>
      <c r="C22" s="5" t="s">
        <v>320</v>
      </c>
      <c r="D22" s="5" t="s">
        <v>321</v>
      </c>
      <c r="E22" s="5" t="s">
        <v>322</v>
      </c>
      <c r="F22" s="5" t="s">
        <v>100</v>
      </c>
      <c r="G22" s="7">
        <v>39867</v>
      </c>
      <c r="H22" s="5" t="s">
        <v>21</v>
      </c>
      <c r="I22" s="23">
        <v>122630.85699999999</v>
      </c>
    </row>
    <row r="23" spans="1:9" ht="16.5" customHeight="1" x14ac:dyDescent="0.35">
      <c r="A23" s="10">
        <f t="shared" si="0"/>
        <v>20</v>
      </c>
      <c r="B23" s="3">
        <v>2258</v>
      </c>
      <c r="C23" s="5" t="s">
        <v>323</v>
      </c>
      <c r="D23" s="5" t="s">
        <v>324</v>
      </c>
      <c r="E23" s="5" t="s">
        <v>57</v>
      </c>
      <c r="F23" s="5" t="s">
        <v>58</v>
      </c>
      <c r="G23" s="7">
        <v>39876</v>
      </c>
      <c r="H23" s="5" t="s">
        <v>127</v>
      </c>
      <c r="I23" s="23">
        <v>265000</v>
      </c>
    </row>
    <row r="24" spans="1:9" ht="16.5" customHeight="1" x14ac:dyDescent="0.35">
      <c r="A24" s="10">
        <f t="shared" si="0"/>
        <v>21</v>
      </c>
      <c r="B24" s="3">
        <v>2438</v>
      </c>
      <c r="C24" s="5" t="s">
        <v>342</v>
      </c>
      <c r="D24" s="5" t="s">
        <v>38</v>
      </c>
      <c r="E24" s="5" t="s">
        <v>343</v>
      </c>
      <c r="F24" s="5" t="s">
        <v>344</v>
      </c>
      <c r="G24" s="7">
        <v>39448</v>
      </c>
      <c r="H24" s="5" t="s">
        <v>13</v>
      </c>
      <c r="I24" s="23">
        <v>33621.099499999997</v>
      </c>
    </row>
    <row r="25" spans="1:9" ht="16.5" customHeight="1" x14ac:dyDescent="0.35">
      <c r="A25" s="10">
        <f t="shared" si="0"/>
        <v>22</v>
      </c>
      <c r="B25" s="3">
        <v>262</v>
      </c>
      <c r="C25" s="5" t="s">
        <v>357</v>
      </c>
      <c r="D25" s="5" t="s">
        <v>358</v>
      </c>
      <c r="E25" s="5" t="s">
        <v>314</v>
      </c>
      <c r="F25" s="5" t="s">
        <v>315</v>
      </c>
      <c r="G25" s="7">
        <v>37638</v>
      </c>
      <c r="H25" s="5" t="s">
        <v>127</v>
      </c>
      <c r="I25" s="23">
        <v>105000</v>
      </c>
    </row>
    <row r="26" spans="1:9" ht="16.5" customHeight="1" x14ac:dyDescent="0.35">
      <c r="A26" s="10">
        <f t="shared" si="0"/>
        <v>23</v>
      </c>
      <c r="B26" s="3">
        <v>2881</v>
      </c>
      <c r="C26" s="5" t="s">
        <v>385</v>
      </c>
      <c r="D26" s="5" t="s">
        <v>386</v>
      </c>
      <c r="E26" s="5" t="s">
        <v>387</v>
      </c>
      <c r="F26" s="5" t="s">
        <v>388</v>
      </c>
      <c r="G26" s="7">
        <v>40401</v>
      </c>
      <c r="H26" s="5" t="s">
        <v>21</v>
      </c>
      <c r="I26" s="23">
        <v>124402.85</v>
      </c>
    </row>
    <row r="27" spans="1:9" ht="16.5" customHeight="1" x14ac:dyDescent="0.35">
      <c r="A27" s="10">
        <f t="shared" si="0"/>
        <v>24</v>
      </c>
      <c r="B27" s="3">
        <v>3069</v>
      </c>
      <c r="C27" s="5" t="s">
        <v>435</v>
      </c>
      <c r="D27" s="5" t="s">
        <v>436</v>
      </c>
      <c r="E27" s="5" t="s">
        <v>100</v>
      </c>
      <c r="F27" s="5" t="s">
        <v>141</v>
      </c>
      <c r="G27" s="7">
        <v>40452</v>
      </c>
      <c r="H27" s="5" t="s">
        <v>21</v>
      </c>
      <c r="I27" s="23">
        <v>42469.21875</v>
      </c>
    </row>
    <row r="28" spans="1:9" ht="16.5" customHeight="1" x14ac:dyDescent="0.35">
      <c r="A28" s="10">
        <f t="shared" si="0"/>
        <v>25</v>
      </c>
      <c r="B28" s="3">
        <v>3287</v>
      </c>
      <c r="C28" s="5" t="s">
        <v>460</v>
      </c>
      <c r="D28" s="5" t="s">
        <v>461</v>
      </c>
      <c r="E28" s="5" t="s">
        <v>263</v>
      </c>
      <c r="F28" s="5" t="s">
        <v>462</v>
      </c>
      <c r="G28" s="7">
        <v>40599</v>
      </c>
      <c r="H28" s="5" t="s">
        <v>21</v>
      </c>
      <c r="I28" s="23">
        <v>72985.5</v>
      </c>
    </row>
    <row r="29" spans="1:9" ht="16.5" customHeight="1" x14ac:dyDescent="0.35">
      <c r="A29" s="10">
        <f t="shared" si="0"/>
        <v>26</v>
      </c>
      <c r="B29" s="3">
        <v>3435</v>
      </c>
      <c r="C29" s="5" t="s">
        <v>474</v>
      </c>
      <c r="D29" s="5" t="s">
        <v>475</v>
      </c>
      <c r="E29" s="5" t="s">
        <v>94</v>
      </c>
      <c r="F29" s="5" t="s">
        <v>94</v>
      </c>
      <c r="G29" s="7">
        <v>38534</v>
      </c>
      <c r="H29" s="5" t="s">
        <v>13</v>
      </c>
      <c r="I29" s="23">
        <v>40428.014999999999</v>
      </c>
    </row>
    <row r="30" spans="1:9" ht="16.5" customHeight="1" x14ac:dyDescent="0.35">
      <c r="A30" s="10">
        <f t="shared" si="0"/>
        <v>27</v>
      </c>
      <c r="B30" s="3">
        <v>4324</v>
      </c>
      <c r="C30" s="5" t="s">
        <v>581</v>
      </c>
      <c r="D30" s="5" t="s">
        <v>582</v>
      </c>
      <c r="E30" s="5" t="s">
        <v>561</v>
      </c>
      <c r="F30" s="5" t="s">
        <v>583</v>
      </c>
      <c r="G30" s="7">
        <v>41045</v>
      </c>
      <c r="H30" s="5" t="s">
        <v>21</v>
      </c>
      <c r="I30" s="23">
        <v>83460</v>
      </c>
    </row>
    <row r="31" spans="1:9" ht="16.5" customHeight="1" x14ac:dyDescent="0.35">
      <c r="A31" s="10">
        <f t="shared" si="0"/>
        <v>28</v>
      </c>
      <c r="B31" s="3">
        <v>4919</v>
      </c>
      <c r="C31" s="5" t="s">
        <v>643</v>
      </c>
      <c r="D31" s="5" t="s">
        <v>38</v>
      </c>
      <c r="E31" s="5" t="s">
        <v>116</v>
      </c>
      <c r="F31" s="5" t="s">
        <v>117</v>
      </c>
      <c r="G31" s="7">
        <v>41743</v>
      </c>
      <c r="H31" s="5" t="s">
        <v>21</v>
      </c>
      <c r="I31" s="23">
        <v>43549</v>
      </c>
    </row>
    <row r="32" spans="1:9" ht="16.5" customHeight="1" x14ac:dyDescent="0.35">
      <c r="A32" s="10">
        <f t="shared" si="0"/>
        <v>29</v>
      </c>
      <c r="B32" s="3">
        <v>5075</v>
      </c>
      <c r="C32" s="5" t="s">
        <v>666</v>
      </c>
      <c r="D32" s="5" t="s">
        <v>31</v>
      </c>
      <c r="E32" s="5" t="s">
        <v>181</v>
      </c>
      <c r="F32" s="5" t="s">
        <v>181</v>
      </c>
      <c r="G32" s="7">
        <v>42005</v>
      </c>
      <c r="H32" s="5" t="s">
        <v>21</v>
      </c>
      <c r="I32" s="23">
        <v>53500</v>
      </c>
    </row>
    <row r="33" spans="1:9" ht="16.5" customHeight="1" x14ac:dyDescent="0.35">
      <c r="A33" s="10">
        <f t="shared" si="0"/>
        <v>30</v>
      </c>
      <c r="B33" s="3">
        <v>5229</v>
      </c>
      <c r="C33" s="5" t="s">
        <v>685</v>
      </c>
      <c r="D33" s="5" t="s">
        <v>686</v>
      </c>
      <c r="E33" s="5" t="s">
        <v>51</v>
      </c>
      <c r="F33" s="5" t="s">
        <v>583</v>
      </c>
      <c r="G33" s="7">
        <v>42102</v>
      </c>
      <c r="H33" s="5" t="s">
        <v>127</v>
      </c>
      <c r="I33" s="23">
        <v>104000</v>
      </c>
    </row>
    <row r="34" spans="1:9" ht="16.5" customHeight="1" x14ac:dyDescent="0.35">
      <c r="A34" s="10">
        <f t="shared" si="0"/>
        <v>31</v>
      </c>
      <c r="B34" s="3">
        <v>5632</v>
      </c>
      <c r="C34" s="5" t="s">
        <v>712</v>
      </c>
      <c r="D34" s="5" t="s">
        <v>713</v>
      </c>
      <c r="E34" s="5" t="s">
        <v>424</v>
      </c>
      <c r="F34" s="5" t="s">
        <v>714</v>
      </c>
      <c r="G34" s="7">
        <v>42237</v>
      </c>
      <c r="H34" s="5" t="s">
        <v>21</v>
      </c>
      <c r="I34" s="23">
        <v>280883</v>
      </c>
    </row>
    <row r="35" spans="1:9" ht="16.5" customHeight="1" x14ac:dyDescent="0.35">
      <c r="A35" s="10">
        <f t="shared" si="0"/>
        <v>32</v>
      </c>
      <c r="B35" s="3">
        <v>5722</v>
      </c>
      <c r="C35" s="5" t="s">
        <v>734</v>
      </c>
      <c r="D35" s="5" t="s">
        <v>735</v>
      </c>
      <c r="E35" s="5" t="s">
        <v>424</v>
      </c>
      <c r="F35" s="5" t="s">
        <v>424</v>
      </c>
      <c r="G35" s="7">
        <v>42303</v>
      </c>
      <c r="H35" s="5" t="s">
        <v>21</v>
      </c>
      <c r="I35" s="23">
        <v>85000</v>
      </c>
    </row>
    <row r="36" spans="1:9" ht="16.5" customHeight="1" x14ac:dyDescent="0.35">
      <c r="A36" s="10">
        <f t="shared" si="0"/>
        <v>33</v>
      </c>
      <c r="B36" s="3">
        <v>5895</v>
      </c>
      <c r="C36" s="5" t="s">
        <v>760</v>
      </c>
      <c r="D36" s="5" t="s">
        <v>761</v>
      </c>
      <c r="E36" s="5" t="s">
        <v>68</v>
      </c>
      <c r="F36" s="5" t="s">
        <v>100</v>
      </c>
      <c r="G36" s="7">
        <v>42499</v>
      </c>
      <c r="H36" s="5" t="s">
        <v>21</v>
      </c>
      <c r="I36" s="23">
        <v>54601</v>
      </c>
    </row>
    <row r="37" spans="1:9" ht="16.5" customHeight="1" x14ac:dyDescent="0.35">
      <c r="A37" s="10">
        <f t="shared" ref="A37:A68" si="1">+A36+1</f>
        <v>34</v>
      </c>
      <c r="B37" s="3">
        <v>5964</v>
      </c>
      <c r="C37" s="5" t="s">
        <v>773</v>
      </c>
      <c r="D37" s="5" t="s">
        <v>38</v>
      </c>
      <c r="E37" s="5" t="s">
        <v>493</v>
      </c>
      <c r="F37" s="5" t="s">
        <v>494</v>
      </c>
      <c r="G37" s="7">
        <v>42583</v>
      </c>
      <c r="H37" s="5" t="s">
        <v>13</v>
      </c>
      <c r="I37" s="23">
        <v>32956.25</v>
      </c>
    </row>
    <row r="38" spans="1:9" ht="16.5" customHeight="1" x14ac:dyDescent="0.35">
      <c r="A38" s="10">
        <f t="shared" si="1"/>
        <v>35</v>
      </c>
      <c r="B38" s="3">
        <v>6114</v>
      </c>
      <c r="C38" s="5" t="s">
        <v>792</v>
      </c>
      <c r="D38" s="5" t="s">
        <v>793</v>
      </c>
      <c r="E38" s="5" t="s">
        <v>94</v>
      </c>
      <c r="F38" s="5" t="s">
        <v>794</v>
      </c>
      <c r="G38" s="7">
        <v>42706</v>
      </c>
      <c r="H38" s="5" t="s">
        <v>21</v>
      </c>
      <c r="I38" s="23">
        <v>92448</v>
      </c>
    </row>
    <row r="39" spans="1:9" ht="16.5" customHeight="1" x14ac:dyDescent="0.35">
      <c r="A39" s="10">
        <f t="shared" si="1"/>
        <v>36</v>
      </c>
      <c r="B39" s="3">
        <v>6738</v>
      </c>
      <c r="C39" s="5" t="s">
        <v>885</v>
      </c>
      <c r="D39" s="5" t="s">
        <v>31</v>
      </c>
      <c r="E39" s="5" t="s">
        <v>886</v>
      </c>
      <c r="F39" s="5" t="s">
        <v>887</v>
      </c>
      <c r="G39" s="7">
        <v>43283</v>
      </c>
      <c r="H39" s="5" t="s">
        <v>888</v>
      </c>
      <c r="I39" s="23">
        <v>70000</v>
      </c>
    </row>
    <row r="40" spans="1:9" ht="16.5" customHeight="1" x14ac:dyDescent="0.35">
      <c r="A40" s="10">
        <f t="shared" si="1"/>
        <v>37</v>
      </c>
      <c r="B40" s="3">
        <v>6768</v>
      </c>
      <c r="C40" s="5" t="s">
        <v>894</v>
      </c>
      <c r="D40" s="5" t="s">
        <v>895</v>
      </c>
      <c r="E40" s="5" t="s">
        <v>769</v>
      </c>
      <c r="F40" s="5" t="s">
        <v>583</v>
      </c>
      <c r="G40" s="7">
        <v>43320</v>
      </c>
      <c r="H40" s="5" t="s">
        <v>21</v>
      </c>
      <c r="I40" s="23">
        <v>54573.5</v>
      </c>
    </row>
    <row r="41" spans="1:9" ht="16.5" customHeight="1" x14ac:dyDescent="0.35">
      <c r="A41" s="10">
        <f t="shared" si="1"/>
        <v>38</v>
      </c>
      <c r="B41" s="3">
        <v>6925</v>
      </c>
      <c r="C41" s="5" t="s">
        <v>915</v>
      </c>
      <c r="D41" s="5" t="s">
        <v>916</v>
      </c>
      <c r="E41" s="5" t="s">
        <v>800</v>
      </c>
      <c r="F41" s="5" t="s">
        <v>100</v>
      </c>
      <c r="G41" s="7">
        <v>43444</v>
      </c>
      <c r="H41" s="5" t="s">
        <v>21</v>
      </c>
      <c r="I41" s="23">
        <v>64680</v>
      </c>
    </row>
    <row r="42" spans="1:9" ht="16.5" customHeight="1" x14ac:dyDescent="0.35">
      <c r="A42" s="10">
        <f t="shared" si="1"/>
        <v>39</v>
      </c>
      <c r="B42" s="3">
        <v>7175</v>
      </c>
      <c r="C42" s="5" t="s">
        <v>938</v>
      </c>
      <c r="D42" s="5" t="s">
        <v>939</v>
      </c>
      <c r="E42" s="5" t="s">
        <v>28</v>
      </c>
      <c r="F42" s="5" t="s">
        <v>940</v>
      </c>
      <c r="G42" s="7">
        <v>43752</v>
      </c>
      <c r="H42" s="5" t="s">
        <v>21</v>
      </c>
      <c r="I42" s="23">
        <v>70550</v>
      </c>
    </row>
    <row r="43" spans="1:9" ht="16.5" customHeight="1" x14ac:dyDescent="0.35">
      <c r="A43" s="10">
        <f t="shared" si="1"/>
        <v>40</v>
      </c>
      <c r="B43" s="3">
        <v>7254</v>
      </c>
      <c r="C43" s="5" t="s">
        <v>949</v>
      </c>
      <c r="D43" s="5" t="s">
        <v>31</v>
      </c>
      <c r="E43" s="5" t="s">
        <v>950</v>
      </c>
      <c r="F43" s="5" t="s">
        <v>100</v>
      </c>
      <c r="G43" s="7">
        <v>44004</v>
      </c>
      <c r="H43" s="5" t="s">
        <v>21</v>
      </c>
      <c r="I43" s="23">
        <v>33000</v>
      </c>
    </row>
    <row r="44" spans="1:9" ht="16.5" customHeight="1" x14ac:dyDescent="0.35">
      <c r="A44" s="10">
        <f t="shared" si="1"/>
        <v>41</v>
      </c>
      <c r="B44" s="3">
        <v>7408</v>
      </c>
      <c r="C44" s="5" t="s">
        <v>967</v>
      </c>
      <c r="D44" s="5" t="s">
        <v>968</v>
      </c>
      <c r="E44" s="5" t="s">
        <v>94</v>
      </c>
      <c r="F44" s="5" t="s">
        <v>94</v>
      </c>
      <c r="G44" s="7">
        <v>44172</v>
      </c>
      <c r="H44" s="5" t="s">
        <v>21</v>
      </c>
      <c r="I44" s="23">
        <v>51975</v>
      </c>
    </row>
    <row r="45" spans="1:9" ht="16.5" customHeight="1" x14ac:dyDescent="0.35">
      <c r="A45" s="10">
        <f t="shared" si="1"/>
        <v>42</v>
      </c>
      <c r="B45" s="3">
        <v>7785</v>
      </c>
      <c r="C45" s="5" t="s">
        <v>1029</v>
      </c>
      <c r="D45" s="5" t="s">
        <v>1030</v>
      </c>
      <c r="E45" s="5" t="s">
        <v>505</v>
      </c>
      <c r="F45" s="5" t="s">
        <v>505</v>
      </c>
      <c r="G45" s="7">
        <v>44538</v>
      </c>
      <c r="H45" s="5" t="s">
        <v>1031</v>
      </c>
      <c r="I45" s="23">
        <v>32958.25</v>
      </c>
    </row>
    <row r="46" spans="1:9" ht="16.5" customHeight="1" x14ac:dyDescent="0.35">
      <c r="A46" s="10">
        <f t="shared" si="1"/>
        <v>43</v>
      </c>
      <c r="B46" s="3">
        <v>7887</v>
      </c>
      <c r="C46" s="5" t="s">
        <v>1058</v>
      </c>
      <c r="D46" s="5" t="s">
        <v>31</v>
      </c>
      <c r="E46" s="5" t="s">
        <v>54</v>
      </c>
      <c r="F46" s="5" t="s">
        <v>583</v>
      </c>
      <c r="G46" s="7">
        <v>44636</v>
      </c>
      <c r="H46" s="5" t="s">
        <v>21</v>
      </c>
      <c r="I46" s="23">
        <v>60060</v>
      </c>
    </row>
    <row r="47" spans="1:9" ht="16.5" customHeight="1" x14ac:dyDescent="0.35">
      <c r="A47" s="10">
        <f t="shared" si="1"/>
        <v>44</v>
      </c>
      <c r="B47" s="3">
        <v>7893</v>
      </c>
      <c r="C47" s="5" t="s">
        <v>1059</v>
      </c>
      <c r="D47" s="5" t="s">
        <v>1060</v>
      </c>
      <c r="E47" s="5" t="s">
        <v>1061</v>
      </c>
      <c r="F47" s="5" t="s">
        <v>100</v>
      </c>
      <c r="G47" s="7">
        <v>44641</v>
      </c>
      <c r="H47" s="5" t="s">
        <v>21</v>
      </c>
      <c r="I47" s="23">
        <v>53910</v>
      </c>
    </row>
    <row r="48" spans="1:9" ht="16.5" customHeight="1" x14ac:dyDescent="0.35">
      <c r="A48" s="10">
        <f t="shared" si="1"/>
        <v>45</v>
      </c>
      <c r="B48" s="3">
        <v>7957</v>
      </c>
      <c r="C48" s="5" t="s">
        <v>1076</v>
      </c>
      <c r="D48" s="5" t="s">
        <v>38</v>
      </c>
      <c r="E48" s="5" t="s">
        <v>640</v>
      </c>
      <c r="F48" s="5" t="s">
        <v>100</v>
      </c>
      <c r="G48" s="7">
        <v>44692</v>
      </c>
      <c r="H48" s="5" t="s">
        <v>13</v>
      </c>
      <c r="I48" s="23">
        <v>25453.035</v>
      </c>
    </row>
    <row r="49" spans="1:9" ht="16.5" customHeight="1" x14ac:dyDescent="0.35">
      <c r="A49" s="10">
        <f t="shared" si="1"/>
        <v>46</v>
      </c>
      <c r="B49" s="3">
        <v>8031</v>
      </c>
      <c r="C49" s="5" t="s">
        <v>1092</v>
      </c>
      <c r="D49" s="5" t="s">
        <v>1093</v>
      </c>
      <c r="E49" s="5" t="s">
        <v>57</v>
      </c>
      <c r="F49" s="5" t="s">
        <v>58</v>
      </c>
      <c r="G49" s="7">
        <v>44760</v>
      </c>
      <c r="H49" s="5" t="s">
        <v>127</v>
      </c>
      <c r="I49" s="23">
        <v>1356900</v>
      </c>
    </row>
    <row r="50" spans="1:9" ht="16.5" customHeight="1" x14ac:dyDescent="0.35">
      <c r="A50" s="10">
        <f t="shared" si="1"/>
        <v>47</v>
      </c>
      <c r="B50" s="3">
        <v>8071</v>
      </c>
      <c r="C50" s="5" t="s">
        <v>1103</v>
      </c>
      <c r="D50" s="5" t="s">
        <v>1104</v>
      </c>
      <c r="E50" s="5" t="s">
        <v>505</v>
      </c>
      <c r="F50" s="5" t="s">
        <v>505</v>
      </c>
      <c r="G50" s="7">
        <v>44795</v>
      </c>
      <c r="H50" s="5" t="s">
        <v>21</v>
      </c>
      <c r="I50" s="23">
        <v>51000</v>
      </c>
    </row>
    <row r="51" spans="1:9" ht="16.5" customHeight="1" x14ac:dyDescent="0.35">
      <c r="A51" s="10">
        <f t="shared" si="1"/>
        <v>48</v>
      </c>
      <c r="B51" s="3">
        <v>8303</v>
      </c>
      <c r="C51" s="5" t="s">
        <v>1162</v>
      </c>
      <c r="D51" s="5" t="s">
        <v>1163</v>
      </c>
      <c r="E51" s="5" t="s">
        <v>165</v>
      </c>
      <c r="F51" s="5" t="s">
        <v>100</v>
      </c>
      <c r="G51" s="7">
        <v>44958</v>
      </c>
      <c r="H51" s="5" t="s">
        <v>21</v>
      </c>
      <c r="I51" s="23">
        <v>105000</v>
      </c>
    </row>
    <row r="52" spans="1:9" ht="16.5" customHeight="1" x14ac:dyDescent="0.35">
      <c r="A52" s="10">
        <f t="shared" si="1"/>
        <v>49</v>
      </c>
      <c r="B52" s="3">
        <v>8341</v>
      </c>
      <c r="C52" s="5" t="s">
        <v>1172</v>
      </c>
      <c r="D52" s="5" t="s">
        <v>1173</v>
      </c>
      <c r="E52" s="5" t="s">
        <v>94</v>
      </c>
      <c r="F52" s="5" t="s">
        <v>794</v>
      </c>
      <c r="G52" s="7">
        <v>44980</v>
      </c>
      <c r="H52" s="5" t="s">
        <v>21</v>
      </c>
      <c r="I52" s="23">
        <v>105000</v>
      </c>
    </row>
    <row r="53" spans="1:9" ht="16.5" customHeight="1" x14ac:dyDescent="0.35">
      <c r="A53" s="10">
        <f t="shared" si="1"/>
        <v>50</v>
      </c>
      <c r="B53" s="3">
        <v>8480</v>
      </c>
      <c r="C53" s="5" t="s">
        <v>1213</v>
      </c>
      <c r="D53" s="5" t="s">
        <v>38</v>
      </c>
      <c r="E53" s="5" t="s">
        <v>61</v>
      </c>
      <c r="F53" s="5" t="s">
        <v>583</v>
      </c>
      <c r="G53" s="7">
        <v>45061</v>
      </c>
      <c r="H53" s="5" t="s">
        <v>13</v>
      </c>
      <c r="I53" s="23">
        <v>38500</v>
      </c>
    </row>
    <row r="54" spans="1:9" ht="16.5" customHeight="1" x14ac:dyDescent="0.35">
      <c r="A54" s="10">
        <f t="shared" si="1"/>
        <v>51</v>
      </c>
      <c r="B54" s="3">
        <v>8485</v>
      </c>
      <c r="C54" s="5" t="s">
        <v>1218</v>
      </c>
      <c r="D54" s="5" t="s">
        <v>1219</v>
      </c>
      <c r="E54" s="5" t="s">
        <v>68</v>
      </c>
      <c r="F54" s="5" t="s">
        <v>179</v>
      </c>
      <c r="G54" s="7">
        <v>45068</v>
      </c>
      <c r="H54" s="5" t="s">
        <v>13</v>
      </c>
      <c r="I54" s="23">
        <v>24903.302</v>
      </c>
    </row>
    <row r="55" spans="1:9" ht="16.5" customHeight="1" x14ac:dyDescent="0.35">
      <c r="A55" s="10">
        <f t="shared" si="1"/>
        <v>52</v>
      </c>
      <c r="B55" s="3">
        <v>8564</v>
      </c>
      <c r="C55" s="5" t="s">
        <v>1245</v>
      </c>
      <c r="D55" s="5" t="s">
        <v>1246</v>
      </c>
      <c r="E55" s="5" t="s">
        <v>1061</v>
      </c>
      <c r="F55" s="5" t="s">
        <v>1247</v>
      </c>
      <c r="G55" s="7">
        <v>45131</v>
      </c>
      <c r="H55" s="5" t="s">
        <v>13</v>
      </c>
      <c r="I55" s="23">
        <v>37500</v>
      </c>
    </row>
    <row r="56" spans="1:9" ht="16.5" customHeight="1" x14ac:dyDescent="0.35">
      <c r="A56" s="10">
        <f t="shared" si="1"/>
        <v>53</v>
      </c>
      <c r="B56" s="3">
        <v>8706</v>
      </c>
      <c r="C56" s="5" t="s">
        <v>1296</v>
      </c>
      <c r="D56" s="5" t="s">
        <v>1297</v>
      </c>
      <c r="E56" s="5" t="s">
        <v>378</v>
      </c>
      <c r="F56" s="5" t="s">
        <v>300</v>
      </c>
      <c r="G56" s="7">
        <v>45271</v>
      </c>
      <c r="H56" s="5" t="s">
        <v>21</v>
      </c>
      <c r="I56" s="23">
        <v>46200</v>
      </c>
    </row>
    <row r="57" spans="1:9" ht="16.5" customHeight="1" x14ac:dyDescent="0.35">
      <c r="A57" s="10">
        <f t="shared" si="1"/>
        <v>54</v>
      </c>
      <c r="B57" s="3">
        <v>8733</v>
      </c>
      <c r="C57" s="5" t="s">
        <v>1305</v>
      </c>
      <c r="D57" s="5" t="s">
        <v>1306</v>
      </c>
      <c r="E57" s="5" t="s">
        <v>100</v>
      </c>
      <c r="F57" s="5" t="s">
        <v>58</v>
      </c>
      <c r="G57" s="7">
        <v>45296</v>
      </c>
      <c r="H57" s="5" t="s">
        <v>127</v>
      </c>
      <c r="I57" s="23">
        <v>350000</v>
      </c>
    </row>
    <row r="58" spans="1:9" ht="16.5" customHeight="1" x14ac:dyDescent="0.35">
      <c r="A58" s="10">
        <f t="shared" si="1"/>
        <v>55</v>
      </c>
      <c r="B58" s="3">
        <v>8905</v>
      </c>
      <c r="C58" s="5" t="s">
        <v>1389</v>
      </c>
      <c r="D58" s="5" t="s">
        <v>1390</v>
      </c>
      <c r="E58" s="5" t="s">
        <v>1315</v>
      </c>
      <c r="F58" s="5" t="s">
        <v>100</v>
      </c>
      <c r="G58" s="7">
        <v>45406</v>
      </c>
      <c r="H58" s="5" t="s">
        <v>21</v>
      </c>
      <c r="I58" s="23">
        <v>71500</v>
      </c>
    </row>
    <row r="59" spans="1:9" ht="16.5" customHeight="1" x14ac:dyDescent="0.35">
      <c r="A59" s="10">
        <f t="shared" si="1"/>
        <v>56</v>
      </c>
      <c r="B59" s="3">
        <v>8933</v>
      </c>
      <c r="C59" s="5" t="s">
        <v>1403</v>
      </c>
      <c r="D59" s="5" t="s">
        <v>1404</v>
      </c>
      <c r="E59" s="5" t="s">
        <v>16</v>
      </c>
      <c r="F59" s="5" t="s">
        <v>583</v>
      </c>
      <c r="G59" s="7">
        <v>45427</v>
      </c>
      <c r="H59" s="5" t="s">
        <v>1075</v>
      </c>
      <c r="I59" s="23">
        <v>148500</v>
      </c>
    </row>
    <row r="60" spans="1:9" ht="16.5" customHeight="1" x14ac:dyDescent="0.35">
      <c r="A60" s="10">
        <f t="shared" si="1"/>
        <v>57</v>
      </c>
      <c r="B60" s="3">
        <v>8991</v>
      </c>
      <c r="C60" s="5" t="s">
        <v>1429</v>
      </c>
      <c r="D60" s="5" t="s">
        <v>38</v>
      </c>
      <c r="E60" s="5" t="s">
        <v>561</v>
      </c>
      <c r="F60" s="5" t="s">
        <v>561</v>
      </c>
      <c r="G60" s="7">
        <v>45483</v>
      </c>
      <c r="H60" s="5" t="s">
        <v>21</v>
      </c>
      <c r="I60" s="23">
        <v>45000</v>
      </c>
    </row>
    <row r="61" spans="1:9" ht="16.5" customHeight="1" x14ac:dyDescent="0.35">
      <c r="A61" s="10">
        <f t="shared" si="1"/>
        <v>58</v>
      </c>
      <c r="B61" s="3">
        <v>9022</v>
      </c>
      <c r="C61" s="5" t="s">
        <v>1445</v>
      </c>
      <c r="D61" s="5" t="s">
        <v>1446</v>
      </c>
      <c r="E61" s="5" t="s">
        <v>68</v>
      </c>
      <c r="F61" s="5" t="s">
        <v>179</v>
      </c>
      <c r="G61" s="7">
        <v>45523</v>
      </c>
      <c r="H61" s="5" t="s">
        <v>13</v>
      </c>
      <c r="I61" s="23">
        <v>30000</v>
      </c>
    </row>
    <row r="62" spans="1:9" ht="16.5" customHeight="1" x14ac:dyDescent="0.35">
      <c r="A62" s="10">
        <f t="shared" si="1"/>
        <v>59</v>
      </c>
      <c r="B62" s="3">
        <v>9101</v>
      </c>
      <c r="C62" s="5" t="s">
        <v>1489</v>
      </c>
      <c r="D62" s="5" t="s">
        <v>1490</v>
      </c>
      <c r="E62" s="5" t="s">
        <v>35</v>
      </c>
      <c r="F62" s="5" t="s">
        <v>100</v>
      </c>
      <c r="G62" s="7">
        <v>45607</v>
      </c>
      <c r="H62" s="5" t="s">
        <v>21</v>
      </c>
      <c r="I62" s="23">
        <v>80000</v>
      </c>
    </row>
    <row r="63" spans="1:9" ht="16.5" customHeight="1" x14ac:dyDescent="0.35">
      <c r="A63" s="10">
        <f t="shared" si="1"/>
        <v>60</v>
      </c>
      <c r="B63" s="3">
        <v>9102</v>
      </c>
      <c r="C63" s="5" t="s">
        <v>1491</v>
      </c>
      <c r="D63" s="5" t="s">
        <v>1246</v>
      </c>
      <c r="E63" s="5" t="s">
        <v>1061</v>
      </c>
      <c r="F63" s="5" t="s">
        <v>1247</v>
      </c>
      <c r="G63" s="7">
        <v>45609</v>
      </c>
      <c r="H63" s="5" t="s">
        <v>13</v>
      </c>
      <c r="I63" s="23">
        <v>34426.400000000001</v>
      </c>
    </row>
    <row r="64" spans="1:9" ht="16.5" customHeight="1" x14ac:dyDescent="0.35">
      <c r="A64" s="10">
        <f t="shared" si="1"/>
        <v>61</v>
      </c>
      <c r="B64" s="3">
        <v>9116</v>
      </c>
      <c r="C64" s="5" t="s">
        <v>1498</v>
      </c>
      <c r="D64" s="5" t="s">
        <v>124</v>
      </c>
      <c r="E64" s="5" t="s">
        <v>24</v>
      </c>
      <c r="F64" s="5" t="s">
        <v>25</v>
      </c>
      <c r="G64" s="7">
        <v>45614</v>
      </c>
      <c r="H64" s="5" t="s">
        <v>21</v>
      </c>
      <c r="I64" s="23">
        <v>175000</v>
      </c>
    </row>
    <row r="65" spans="1:9" ht="16.5" customHeight="1" x14ac:dyDescent="0.35">
      <c r="A65" s="10">
        <f t="shared" si="1"/>
        <v>62</v>
      </c>
      <c r="B65" s="3">
        <v>9119</v>
      </c>
      <c r="C65" s="5" t="s">
        <v>1501</v>
      </c>
      <c r="D65" s="5" t="s">
        <v>1219</v>
      </c>
      <c r="E65" s="5" t="s">
        <v>68</v>
      </c>
      <c r="F65" s="5" t="s">
        <v>179</v>
      </c>
      <c r="G65" s="7">
        <v>45621</v>
      </c>
      <c r="H65" s="5" t="s">
        <v>1075</v>
      </c>
      <c r="I65" s="23">
        <v>33426.400000000001</v>
      </c>
    </row>
    <row r="66" spans="1:9" ht="16.5" customHeight="1" x14ac:dyDescent="0.35">
      <c r="A66" s="10">
        <f t="shared" si="1"/>
        <v>63</v>
      </c>
      <c r="B66" s="3">
        <v>9129</v>
      </c>
      <c r="C66" s="5" t="s">
        <v>1504</v>
      </c>
      <c r="D66" s="5" t="s">
        <v>31</v>
      </c>
      <c r="E66" s="5" t="s">
        <v>117</v>
      </c>
      <c r="F66" s="5" t="s">
        <v>25</v>
      </c>
      <c r="G66" s="7">
        <v>45628</v>
      </c>
      <c r="H66" s="5" t="s">
        <v>21</v>
      </c>
      <c r="I66" s="23">
        <v>70000</v>
      </c>
    </row>
    <row r="67" spans="1:9" ht="16.5" customHeight="1" x14ac:dyDescent="0.35">
      <c r="A67" s="10">
        <f t="shared" si="1"/>
        <v>64</v>
      </c>
      <c r="B67" s="3">
        <v>9186</v>
      </c>
      <c r="C67" s="5" t="s">
        <v>1536</v>
      </c>
      <c r="D67" s="5" t="s">
        <v>1537</v>
      </c>
      <c r="E67" s="5" t="s">
        <v>100</v>
      </c>
      <c r="F67" s="5" t="s">
        <v>100</v>
      </c>
      <c r="G67" s="7">
        <v>45729</v>
      </c>
      <c r="H67" s="5" t="s">
        <v>1075</v>
      </c>
      <c r="I67" s="23">
        <v>60000</v>
      </c>
    </row>
    <row r="68" spans="1:9" ht="16.5" customHeight="1" x14ac:dyDescent="0.35">
      <c r="A68" s="10">
        <f t="shared" si="1"/>
        <v>65</v>
      </c>
      <c r="B68" s="3">
        <v>9304</v>
      </c>
      <c r="C68" s="5" t="s">
        <v>1619</v>
      </c>
      <c r="D68" s="5" t="s">
        <v>1620</v>
      </c>
      <c r="E68" s="5" t="s">
        <v>1061</v>
      </c>
      <c r="F68" s="5" t="s">
        <v>100</v>
      </c>
      <c r="G68" s="7">
        <v>45849</v>
      </c>
      <c r="H68" s="5" t="s">
        <v>1075</v>
      </c>
      <c r="I68" s="23">
        <v>120000</v>
      </c>
    </row>
    <row r="69" spans="1:9" ht="16.5" customHeight="1" x14ac:dyDescent="0.35">
      <c r="A69" s="10">
        <f t="shared" ref="A69:A85" si="2">+A68+1</f>
        <v>66</v>
      </c>
      <c r="B69" s="3">
        <v>9341</v>
      </c>
      <c r="C69" s="5" t="s">
        <v>1653</v>
      </c>
      <c r="D69" s="5" t="s">
        <v>1654</v>
      </c>
      <c r="E69" s="5" t="s">
        <v>407</v>
      </c>
      <c r="F69" s="5" t="s">
        <v>408</v>
      </c>
      <c r="G69" s="7">
        <v>45876</v>
      </c>
      <c r="H69" s="5" t="s">
        <v>13</v>
      </c>
      <c r="I69" s="23">
        <v>120000</v>
      </c>
    </row>
    <row r="70" spans="1:9" ht="16.5" customHeight="1" x14ac:dyDescent="0.35">
      <c r="A70" s="10">
        <f t="shared" si="2"/>
        <v>67</v>
      </c>
      <c r="B70" s="3">
        <v>9342</v>
      </c>
      <c r="C70" s="5" t="s">
        <v>1655</v>
      </c>
      <c r="D70" s="5" t="s">
        <v>31</v>
      </c>
      <c r="E70" s="5" t="s">
        <v>343</v>
      </c>
      <c r="F70" s="5" t="s">
        <v>100</v>
      </c>
      <c r="G70" s="7">
        <v>45880</v>
      </c>
      <c r="H70" s="5" t="s">
        <v>1075</v>
      </c>
      <c r="I70" s="23">
        <v>60000</v>
      </c>
    </row>
    <row r="71" spans="1:9" ht="16.5" customHeight="1" x14ac:dyDescent="0.35">
      <c r="A71" s="10">
        <f t="shared" si="2"/>
        <v>68</v>
      </c>
      <c r="B71" s="3">
        <v>9348</v>
      </c>
      <c r="C71" s="5" t="s">
        <v>1657</v>
      </c>
      <c r="D71" s="5" t="s">
        <v>31</v>
      </c>
      <c r="E71" s="5" t="s">
        <v>198</v>
      </c>
      <c r="F71" s="5" t="s">
        <v>100</v>
      </c>
      <c r="G71" s="7">
        <v>45885</v>
      </c>
      <c r="H71" s="5" t="s">
        <v>1075</v>
      </c>
      <c r="I71" s="23">
        <v>50000</v>
      </c>
    </row>
    <row r="72" spans="1:9" ht="16.5" customHeight="1" x14ac:dyDescent="0.35">
      <c r="A72" s="10">
        <f t="shared" si="2"/>
        <v>69</v>
      </c>
      <c r="B72" s="3">
        <v>9441</v>
      </c>
      <c r="C72" s="5" t="s">
        <v>1712</v>
      </c>
      <c r="D72" s="5" t="s">
        <v>1713</v>
      </c>
      <c r="E72" s="5" t="s">
        <v>57</v>
      </c>
      <c r="F72" s="5" t="s">
        <v>306</v>
      </c>
      <c r="G72" s="7">
        <v>45964</v>
      </c>
      <c r="H72" s="5" t="s">
        <v>1075</v>
      </c>
      <c r="I72" s="23">
        <v>80000</v>
      </c>
    </row>
    <row r="73" spans="1:9" ht="16.5" customHeight="1" x14ac:dyDescent="0.35">
      <c r="A73" s="10">
        <f t="shared" si="2"/>
        <v>70</v>
      </c>
      <c r="B73" s="3">
        <v>9463</v>
      </c>
      <c r="C73" s="5" t="s">
        <v>1729</v>
      </c>
      <c r="D73" s="5" t="s">
        <v>1730</v>
      </c>
      <c r="E73" s="5" t="s">
        <v>16</v>
      </c>
      <c r="F73" s="5" t="s">
        <v>20</v>
      </c>
      <c r="G73" s="7">
        <v>45981</v>
      </c>
      <c r="H73" s="5" t="s">
        <v>1075</v>
      </c>
      <c r="I73" s="23">
        <v>60000</v>
      </c>
    </row>
    <row r="74" spans="1:9" ht="16.5" customHeight="1" x14ac:dyDescent="0.35">
      <c r="A74" s="10">
        <f t="shared" si="2"/>
        <v>71</v>
      </c>
      <c r="B74" s="3">
        <v>9479</v>
      </c>
      <c r="C74" s="5" t="s">
        <v>1743</v>
      </c>
      <c r="D74" s="5" t="s">
        <v>38</v>
      </c>
      <c r="E74" s="5" t="s">
        <v>505</v>
      </c>
      <c r="F74" s="5" t="s">
        <v>505</v>
      </c>
      <c r="G74" s="7">
        <v>46001</v>
      </c>
      <c r="H74" s="5" t="s">
        <v>1075</v>
      </c>
      <c r="I74" s="23">
        <v>50000</v>
      </c>
    </row>
    <row r="75" spans="1:9" ht="16.5" customHeight="1" x14ac:dyDescent="0.35">
      <c r="A75" s="10">
        <f t="shared" si="2"/>
        <v>72</v>
      </c>
      <c r="B75" s="3">
        <v>9524</v>
      </c>
      <c r="C75" s="5" t="s">
        <v>1773</v>
      </c>
      <c r="D75" s="5" t="s">
        <v>1774</v>
      </c>
      <c r="E75" s="5" t="s">
        <v>1775</v>
      </c>
      <c r="F75" s="5" t="s">
        <v>58</v>
      </c>
      <c r="G75" s="7">
        <v>46041</v>
      </c>
      <c r="H75" s="5" t="s">
        <v>1075</v>
      </c>
      <c r="I75" s="23">
        <v>90000</v>
      </c>
    </row>
    <row r="76" spans="1:9" ht="16.5" customHeight="1" x14ac:dyDescent="0.35">
      <c r="A76" s="10">
        <f t="shared" si="2"/>
        <v>73</v>
      </c>
      <c r="B76" s="3">
        <v>9536</v>
      </c>
      <c r="C76" s="5" t="s">
        <v>1784</v>
      </c>
      <c r="D76" s="5" t="s">
        <v>1785</v>
      </c>
      <c r="E76" s="5" t="s">
        <v>505</v>
      </c>
      <c r="F76" s="5" t="s">
        <v>100</v>
      </c>
      <c r="G76" s="7">
        <v>46055</v>
      </c>
      <c r="H76" s="5" t="s">
        <v>1075</v>
      </c>
      <c r="I76" s="23">
        <v>130000</v>
      </c>
    </row>
    <row r="77" spans="1:9" ht="16.5" customHeight="1" x14ac:dyDescent="0.35">
      <c r="A77" s="10">
        <f t="shared" si="2"/>
        <v>74</v>
      </c>
      <c r="B77" s="3">
        <v>9537</v>
      </c>
      <c r="C77" s="5" t="s">
        <v>1786</v>
      </c>
      <c r="D77" s="5" t="s">
        <v>38</v>
      </c>
      <c r="E77" s="5" t="s">
        <v>1061</v>
      </c>
      <c r="F77" s="5" t="s">
        <v>1247</v>
      </c>
      <c r="G77" s="7">
        <v>46055</v>
      </c>
      <c r="H77" s="5" t="s">
        <v>1075</v>
      </c>
      <c r="I77" s="23">
        <v>37500</v>
      </c>
    </row>
    <row r="78" spans="1:9" ht="16.5" customHeight="1" x14ac:dyDescent="0.35">
      <c r="A78" s="10">
        <f t="shared" si="2"/>
        <v>75</v>
      </c>
      <c r="B78" s="3">
        <v>9542</v>
      </c>
      <c r="C78" s="5" t="s">
        <v>1787</v>
      </c>
      <c r="D78" s="5" t="s">
        <v>1788</v>
      </c>
      <c r="E78" s="5" t="s">
        <v>24</v>
      </c>
      <c r="F78" s="5" t="s">
        <v>58</v>
      </c>
      <c r="G78" s="7">
        <v>46074</v>
      </c>
      <c r="H78" s="5" t="s">
        <v>1075</v>
      </c>
      <c r="I78" s="23">
        <v>300000</v>
      </c>
    </row>
    <row r="79" spans="1:9" ht="16.5" customHeight="1" x14ac:dyDescent="0.35">
      <c r="A79" s="10">
        <f t="shared" si="2"/>
        <v>76</v>
      </c>
      <c r="B79" s="3">
        <v>9561</v>
      </c>
      <c r="C79" s="5" t="s">
        <v>1806</v>
      </c>
      <c r="D79" s="5" t="s">
        <v>38</v>
      </c>
      <c r="E79" s="5" t="s">
        <v>1061</v>
      </c>
      <c r="F79" s="5" t="s">
        <v>1247</v>
      </c>
      <c r="G79" s="7">
        <v>46065</v>
      </c>
      <c r="H79" s="5" t="s">
        <v>1075</v>
      </c>
      <c r="I79" s="23">
        <v>42000</v>
      </c>
    </row>
    <row r="80" spans="1:9" ht="16.5" customHeight="1" x14ac:dyDescent="0.35">
      <c r="A80" s="10">
        <f t="shared" si="2"/>
        <v>77</v>
      </c>
      <c r="B80" s="3">
        <v>9579</v>
      </c>
      <c r="C80" s="5" t="s">
        <v>1821</v>
      </c>
      <c r="D80" s="5" t="s">
        <v>1822</v>
      </c>
      <c r="E80" s="5" t="s">
        <v>57</v>
      </c>
      <c r="F80" s="5" t="s">
        <v>58</v>
      </c>
      <c r="G80" s="7">
        <v>46071</v>
      </c>
      <c r="H80" s="5" t="s">
        <v>21</v>
      </c>
      <c r="I80" s="23">
        <v>1416666</v>
      </c>
    </row>
    <row r="81" spans="1:9" ht="16.5" customHeight="1" x14ac:dyDescent="0.35">
      <c r="A81" s="10">
        <f t="shared" si="2"/>
        <v>78</v>
      </c>
      <c r="B81" s="3">
        <v>9580</v>
      </c>
      <c r="C81" s="5" t="s">
        <v>1823</v>
      </c>
      <c r="D81" s="5" t="s">
        <v>1824</v>
      </c>
      <c r="E81" s="5" t="s">
        <v>57</v>
      </c>
      <c r="F81" s="5" t="s">
        <v>58</v>
      </c>
      <c r="G81" s="7">
        <v>46076</v>
      </c>
      <c r="H81" s="5" t="s">
        <v>21</v>
      </c>
      <c r="I81" s="23">
        <v>1083333</v>
      </c>
    </row>
    <row r="82" spans="1:9" ht="16.5" customHeight="1" x14ac:dyDescent="0.35">
      <c r="A82" s="10">
        <f t="shared" si="2"/>
        <v>79</v>
      </c>
      <c r="B82" s="3">
        <v>9600</v>
      </c>
      <c r="C82" s="5" t="s">
        <v>1843</v>
      </c>
      <c r="D82" s="5" t="s">
        <v>38</v>
      </c>
      <c r="E82" s="5" t="s">
        <v>1061</v>
      </c>
      <c r="F82" s="5" t="s">
        <v>1247</v>
      </c>
      <c r="G82" s="7">
        <v>46086</v>
      </c>
      <c r="H82" s="5" t="s">
        <v>1075</v>
      </c>
      <c r="I82" s="23">
        <v>38000</v>
      </c>
    </row>
    <row r="83" spans="1:9" ht="16.5" customHeight="1" x14ac:dyDescent="0.35">
      <c r="A83" s="10">
        <f t="shared" si="2"/>
        <v>80</v>
      </c>
      <c r="B83" s="3">
        <v>9654</v>
      </c>
      <c r="C83" s="5" t="s">
        <v>1887</v>
      </c>
      <c r="D83" s="5" t="s">
        <v>31</v>
      </c>
      <c r="E83" s="5" t="s">
        <v>1646</v>
      </c>
      <c r="F83" s="5" t="s">
        <v>1647</v>
      </c>
      <c r="G83" s="7">
        <v>46136</v>
      </c>
      <c r="H83" s="5" t="s">
        <v>888</v>
      </c>
      <c r="I83" s="22">
        <v>69488</v>
      </c>
    </row>
    <row r="84" spans="1:9" ht="16.5" customHeight="1" x14ac:dyDescent="0.35">
      <c r="A84" s="10">
        <f t="shared" si="2"/>
        <v>81</v>
      </c>
      <c r="B84" s="3" t="s">
        <v>1888</v>
      </c>
      <c r="C84" s="5" t="s">
        <v>1889</v>
      </c>
      <c r="D84" s="5" t="s">
        <v>1890</v>
      </c>
      <c r="E84" s="5" t="s">
        <v>1891</v>
      </c>
      <c r="F84" s="5" t="s">
        <v>58</v>
      </c>
      <c r="G84" s="7">
        <v>46000</v>
      </c>
      <c r="H84" s="5" t="s">
        <v>21</v>
      </c>
      <c r="I84" s="23">
        <v>333333</v>
      </c>
    </row>
    <row r="85" spans="1:9" ht="16.5" customHeight="1" x14ac:dyDescent="0.35">
      <c r="A85" s="10">
        <f t="shared" si="2"/>
        <v>82</v>
      </c>
      <c r="B85" s="3">
        <v>66</v>
      </c>
      <c r="C85" s="5" t="s">
        <v>37</v>
      </c>
      <c r="D85" s="5" t="s">
        <v>38</v>
      </c>
      <c r="E85" s="5" t="s">
        <v>16</v>
      </c>
      <c r="F85" s="5" t="s">
        <v>20</v>
      </c>
      <c r="G85" s="7">
        <v>37571</v>
      </c>
      <c r="H85" s="11">
        <v>23.4</v>
      </c>
      <c r="I85" s="23">
        <v>37525.801999999996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0E45-AEDC-434D-9A63-8FF9C9876C9A}">
  <dimension ref="A1:H1410"/>
  <sheetViews>
    <sheetView showGridLines="0" workbookViewId="0">
      <selection activeCell="E19" sqref="E19"/>
    </sheetView>
  </sheetViews>
  <sheetFormatPr defaultRowHeight="14.5" x14ac:dyDescent="0.35"/>
  <cols>
    <col min="1" max="1" width="5" bestFit="1" customWidth="1"/>
    <col min="2" max="2" width="7.81640625" bestFit="1" customWidth="1"/>
    <col min="3" max="3" width="23.453125" customWidth="1"/>
    <col min="4" max="5" width="36.54296875" bestFit="1" customWidth="1"/>
    <col min="6" max="6" width="35.81640625" bestFit="1" customWidth="1"/>
    <col min="7" max="7" width="12" bestFit="1" customWidth="1"/>
    <col min="8" max="8" width="20.81640625" bestFit="1" customWidth="1"/>
  </cols>
  <sheetData>
    <row r="1" spans="1:8" ht="15" customHeight="1" x14ac:dyDescent="0.35">
      <c r="A1" s="45" t="s">
        <v>0</v>
      </c>
      <c r="B1" s="46"/>
      <c r="C1" s="46"/>
      <c r="D1" s="46"/>
      <c r="E1" s="46"/>
      <c r="F1" s="46"/>
      <c r="G1" s="46"/>
      <c r="H1" s="46"/>
    </row>
    <row r="2" spans="1:8" ht="15" customHeight="1" x14ac:dyDescent="0.35">
      <c r="A2" s="47" t="s">
        <v>1</v>
      </c>
      <c r="B2" s="46"/>
      <c r="C2" s="46"/>
      <c r="D2" s="46"/>
      <c r="E2" s="46"/>
      <c r="F2" s="46"/>
      <c r="G2" s="46"/>
      <c r="H2" s="46"/>
    </row>
    <row r="3" spans="1:8" x14ac:dyDescent="0.35">
      <c r="A3" s="2"/>
    </row>
    <row r="4" spans="1:8" x14ac:dyDescent="0.35">
      <c r="A4" s="9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x14ac:dyDescent="0.35">
      <c r="A5" s="10">
        <v>1</v>
      </c>
      <c r="B5" s="8">
        <v>3</v>
      </c>
      <c r="C5" s="5" t="s">
        <v>10</v>
      </c>
      <c r="D5" s="5" t="s">
        <v>11</v>
      </c>
      <c r="E5" s="5" t="s">
        <v>12</v>
      </c>
      <c r="F5" s="5" t="s">
        <v>12</v>
      </c>
      <c r="G5" s="7">
        <v>36678</v>
      </c>
      <c r="H5" s="5" t="s">
        <v>13</v>
      </c>
    </row>
    <row r="6" spans="1:8" x14ac:dyDescent="0.35">
      <c r="A6" s="10">
        <f t="shared" ref="A6:A69" si="0">+A5+1</f>
        <v>2</v>
      </c>
      <c r="B6" s="8">
        <v>19</v>
      </c>
      <c r="C6" s="5" t="s">
        <v>14</v>
      </c>
      <c r="D6" s="5" t="s">
        <v>15</v>
      </c>
      <c r="E6" s="5" t="s">
        <v>16</v>
      </c>
      <c r="F6" s="5" t="s">
        <v>17</v>
      </c>
      <c r="G6" s="7">
        <v>37591</v>
      </c>
      <c r="H6" s="5" t="s">
        <v>13</v>
      </c>
    </row>
    <row r="7" spans="1:8" x14ac:dyDescent="0.35">
      <c r="A7" s="10">
        <f t="shared" si="0"/>
        <v>3</v>
      </c>
      <c r="B7" s="8">
        <v>38</v>
      </c>
      <c r="C7" s="5" t="s">
        <v>26</v>
      </c>
      <c r="D7" s="5" t="s">
        <v>27</v>
      </c>
      <c r="E7" s="5" t="s">
        <v>28</v>
      </c>
      <c r="F7" s="5" t="s">
        <v>29</v>
      </c>
      <c r="G7" s="7">
        <v>37509</v>
      </c>
      <c r="H7" s="5" t="s">
        <v>13</v>
      </c>
    </row>
    <row r="8" spans="1:8" x14ac:dyDescent="0.35">
      <c r="A8" s="10">
        <f t="shared" si="0"/>
        <v>4</v>
      </c>
      <c r="B8" s="8">
        <v>44</v>
      </c>
      <c r="C8" s="5" t="s">
        <v>30</v>
      </c>
      <c r="D8" s="5" t="s">
        <v>31</v>
      </c>
      <c r="E8" s="5" t="s">
        <v>16</v>
      </c>
      <c r="F8" s="5" t="s">
        <v>20</v>
      </c>
      <c r="G8" s="7">
        <v>37515</v>
      </c>
      <c r="H8" s="5" t="s">
        <v>21</v>
      </c>
    </row>
    <row r="9" spans="1:8" x14ac:dyDescent="0.35">
      <c r="A9" s="10">
        <f t="shared" si="0"/>
        <v>5</v>
      </c>
      <c r="B9" s="5">
        <v>47</v>
      </c>
      <c r="C9" s="5" t="s">
        <v>32</v>
      </c>
      <c r="D9" s="5" t="s">
        <v>31</v>
      </c>
      <c r="E9" s="5" t="s">
        <v>16</v>
      </c>
      <c r="F9" s="5" t="s">
        <v>20</v>
      </c>
      <c r="G9" s="7">
        <v>37515</v>
      </c>
      <c r="H9" s="5" t="s">
        <v>21</v>
      </c>
    </row>
    <row r="10" spans="1:8" x14ac:dyDescent="0.35">
      <c r="A10" s="10">
        <f t="shared" si="0"/>
        <v>6</v>
      </c>
      <c r="B10" s="5">
        <v>62</v>
      </c>
      <c r="C10" s="5" t="s">
        <v>33</v>
      </c>
      <c r="D10" s="5" t="s">
        <v>34</v>
      </c>
      <c r="E10" s="5" t="s">
        <v>35</v>
      </c>
      <c r="F10" s="5" t="s">
        <v>36</v>
      </c>
      <c r="G10" s="7">
        <v>37567</v>
      </c>
      <c r="H10" s="5" t="s">
        <v>13</v>
      </c>
    </row>
    <row r="11" spans="1:8" x14ac:dyDescent="0.35">
      <c r="A11" s="10">
        <f t="shared" si="0"/>
        <v>7</v>
      </c>
      <c r="B11" s="5">
        <v>66</v>
      </c>
      <c r="C11" s="5" t="s">
        <v>37</v>
      </c>
      <c r="D11" s="5" t="s">
        <v>38</v>
      </c>
      <c r="E11" s="5" t="s">
        <v>16</v>
      </c>
      <c r="F11" s="5" t="s">
        <v>20</v>
      </c>
      <c r="G11" s="7">
        <v>37571</v>
      </c>
      <c r="H11" s="5" t="s">
        <v>13</v>
      </c>
    </row>
    <row r="12" spans="1:8" x14ac:dyDescent="0.35">
      <c r="A12" s="10">
        <f t="shared" si="0"/>
        <v>8</v>
      </c>
      <c r="B12" s="5">
        <v>69</v>
      </c>
      <c r="C12" s="5" t="s">
        <v>39</v>
      </c>
      <c r="D12" s="5" t="s">
        <v>40</v>
      </c>
      <c r="E12" s="5" t="s">
        <v>16</v>
      </c>
      <c r="F12" s="5" t="s">
        <v>41</v>
      </c>
      <c r="G12" s="7">
        <v>37572</v>
      </c>
      <c r="H12" s="5" t="s">
        <v>13</v>
      </c>
    </row>
    <row r="13" spans="1:8" x14ac:dyDescent="0.35">
      <c r="A13" s="10">
        <f t="shared" si="0"/>
        <v>9</v>
      </c>
      <c r="B13" s="5">
        <v>70</v>
      </c>
      <c r="C13" s="5" t="s">
        <v>42</v>
      </c>
      <c r="D13" s="5" t="s">
        <v>43</v>
      </c>
      <c r="E13" s="5" t="s">
        <v>44</v>
      </c>
      <c r="F13" s="5" t="s">
        <v>45</v>
      </c>
      <c r="G13" s="7">
        <v>37572</v>
      </c>
      <c r="H13" s="5" t="s">
        <v>13</v>
      </c>
    </row>
    <row r="14" spans="1:8" x14ac:dyDescent="0.35">
      <c r="A14" s="10">
        <f t="shared" si="0"/>
        <v>10</v>
      </c>
      <c r="B14" s="5">
        <v>76</v>
      </c>
      <c r="C14" s="5" t="s">
        <v>46</v>
      </c>
      <c r="D14" s="5" t="s">
        <v>40</v>
      </c>
      <c r="E14" s="5" t="s">
        <v>16</v>
      </c>
      <c r="F14" s="5" t="s">
        <v>41</v>
      </c>
      <c r="G14" s="7">
        <v>37575</v>
      </c>
      <c r="H14" s="5" t="s">
        <v>13</v>
      </c>
    </row>
    <row r="15" spans="1:8" x14ac:dyDescent="0.35">
      <c r="A15" s="10">
        <f t="shared" si="0"/>
        <v>11</v>
      </c>
      <c r="B15" s="5">
        <v>94</v>
      </c>
      <c r="C15" s="5" t="s">
        <v>47</v>
      </c>
      <c r="D15" s="5" t="s">
        <v>40</v>
      </c>
      <c r="E15" s="5" t="s">
        <v>16</v>
      </c>
      <c r="F15" s="5" t="s">
        <v>48</v>
      </c>
      <c r="G15" s="7">
        <v>38029</v>
      </c>
      <c r="H15" s="5" t="s">
        <v>13</v>
      </c>
    </row>
    <row r="16" spans="1:8" x14ac:dyDescent="0.35">
      <c r="A16" s="10">
        <f t="shared" si="0"/>
        <v>12</v>
      </c>
      <c r="B16" s="5">
        <v>117</v>
      </c>
      <c r="C16" s="5" t="s">
        <v>49</v>
      </c>
      <c r="D16" s="5" t="s">
        <v>50</v>
      </c>
      <c r="E16" s="5" t="s">
        <v>51</v>
      </c>
      <c r="F16" s="5" t="s">
        <v>51</v>
      </c>
      <c r="G16" s="7">
        <v>40497</v>
      </c>
      <c r="H16" s="5" t="s">
        <v>13</v>
      </c>
    </row>
    <row r="17" spans="1:8" x14ac:dyDescent="0.35">
      <c r="A17" s="10">
        <f t="shared" si="0"/>
        <v>13</v>
      </c>
      <c r="B17" s="5">
        <v>144</v>
      </c>
      <c r="C17" s="5" t="s">
        <v>52</v>
      </c>
      <c r="D17" s="5" t="s">
        <v>53</v>
      </c>
      <c r="E17" s="5" t="s">
        <v>54</v>
      </c>
      <c r="F17" s="5" t="s">
        <v>54</v>
      </c>
      <c r="G17" s="7">
        <v>37610</v>
      </c>
      <c r="H17" s="5" t="s">
        <v>13</v>
      </c>
    </row>
    <row r="18" spans="1:8" x14ac:dyDescent="0.35">
      <c r="A18" s="10">
        <f t="shared" si="0"/>
        <v>14</v>
      </c>
      <c r="B18" s="5">
        <v>165</v>
      </c>
      <c r="C18" s="5" t="s">
        <v>59</v>
      </c>
      <c r="D18" s="5" t="s">
        <v>60</v>
      </c>
      <c r="E18" s="5" t="s">
        <v>61</v>
      </c>
      <c r="F18" s="5" t="s">
        <v>61</v>
      </c>
      <c r="G18" s="7">
        <v>37621</v>
      </c>
      <c r="H18" s="5" t="s">
        <v>13</v>
      </c>
    </row>
    <row r="19" spans="1:8" x14ac:dyDescent="0.35">
      <c r="A19" s="10">
        <f t="shared" si="0"/>
        <v>15</v>
      </c>
      <c r="B19" s="5">
        <v>169</v>
      </c>
      <c r="C19" s="5" t="s">
        <v>62</v>
      </c>
      <c r="D19" s="5" t="s">
        <v>63</v>
      </c>
      <c r="E19" s="5" t="s">
        <v>64</v>
      </c>
      <c r="F19" s="5" t="s">
        <v>64</v>
      </c>
      <c r="G19" s="7">
        <v>37622</v>
      </c>
      <c r="H19" s="5" t="s">
        <v>13</v>
      </c>
    </row>
    <row r="20" spans="1:8" x14ac:dyDescent="0.35">
      <c r="A20" s="10">
        <f t="shared" si="0"/>
        <v>16</v>
      </c>
      <c r="B20" s="5">
        <v>170</v>
      </c>
      <c r="C20" s="5" t="s">
        <v>65</v>
      </c>
      <c r="D20" s="5" t="s">
        <v>15</v>
      </c>
      <c r="E20" s="5" t="s">
        <v>16</v>
      </c>
      <c r="F20" s="5" t="s">
        <v>17</v>
      </c>
      <c r="G20" s="7">
        <v>37622</v>
      </c>
      <c r="H20" s="5" t="s">
        <v>13</v>
      </c>
    </row>
    <row r="21" spans="1:8" x14ac:dyDescent="0.35">
      <c r="A21" s="10">
        <f t="shared" si="0"/>
        <v>17</v>
      </c>
      <c r="B21" s="5">
        <v>174</v>
      </c>
      <c r="C21" s="5" t="s">
        <v>66</v>
      </c>
      <c r="D21" s="5" t="s">
        <v>63</v>
      </c>
      <c r="E21" s="5" t="s">
        <v>64</v>
      </c>
      <c r="F21" s="5" t="s">
        <v>64</v>
      </c>
      <c r="G21" s="7">
        <v>37622</v>
      </c>
      <c r="H21" s="5" t="s">
        <v>13</v>
      </c>
    </row>
    <row r="22" spans="1:8" x14ac:dyDescent="0.35">
      <c r="A22" s="10">
        <f t="shared" si="0"/>
        <v>18</v>
      </c>
      <c r="B22" s="5">
        <v>193</v>
      </c>
      <c r="C22" s="5" t="s">
        <v>67</v>
      </c>
      <c r="D22" s="5" t="s">
        <v>21</v>
      </c>
      <c r="E22" s="5" t="s">
        <v>68</v>
      </c>
      <c r="F22" s="5" t="s">
        <v>69</v>
      </c>
      <c r="G22" s="7">
        <v>37690</v>
      </c>
      <c r="H22" s="5" t="s">
        <v>13</v>
      </c>
    </row>
    <row r="23" spans="1:8" x14ac:dyDescent="0.35">
      <c r="A23" s="10">
        <f t="shared" si="0"/>
        <v>19</v>
      </c>
      <c r="B23" s="5">
        <v>207</v>
      </c>
      <c r="C23" s="5" t="s">
        <v>70</v>
      </c>
      <c r="D23" s="5" t="s">
        <v>40</v>
      </c>
      <c r="E23" s="5" t="s">
        <v>16</v>
      </c>
      <c r="F23" s="5" t="s">
        <v>41</v>
      </c>
      <c r="G23" s="7">
        <v>37628</v>
      </c>
      <c r="H23" s="5" t="s">
        <v>13</v>
      </c>
    </row>
    <row r="24" spans="1:8" x14ac:dyDescent="0.35">
      <c r="A24" s="10">
        <f t="shared" si="0"/>
        <v>20</v>
      </c>
      <c r="B24" s="5">
        <v>213</v>
      </c>
      <c r="C24" s="5" t="s">
        <v>71</v>
      </c>
      <c r="D24" s="5" t="s">
        <v>40</v>
      </c>
      <c r="E24" s="5" t="s">
        <v>16</v>
      </c>
      <c r="F24" s="5" t="s">
        <v>41</v>
      </c>
      <c r="G24" s="7">
        <v>37628</v>
      </c>
      <c r="H24" s="5" t="s">
        <v>13</v>
      </c>
    </row>
    <row r="25" spans="1:8" x14ac:dyDescent="0.35">
      <c r="A25" s="10">
        <f t="shared" si="0"/>
        <v>21</v>
      </c>
      <c r="B25" s="5">
        <v>228</v>
      </c>
      <c r="C25" s="5" t="s">
        <v>72</v>
      </c>
      <c r="D25" s="5" t="s">
        <v>31</v>
      </c>
      <c r="E25" s="5" t="s">
        <v>16</v>
      </c>
      <c r="F25" s="5" t="s">
        <v>20</v>
      </c>
      <c r="G25" s="7">
        <v>37550</v>
      </c>
      <c r="H25" s="5" t="s">
        <v>21</v>
      </c>
    </row>
    <row r="26" spans="1:8" x14ac:dyDescent="0.35">
      <c r="A26" s="10">
        <f t="shared" si="0"/>
        <v>22</v>
      </c>
      <c r="B26" s="5">
        <v>232</v>
      </c>
      <c r="C26" s="5" t="s">
        <v>73</v>
      </c>
      <c r="D26" s="5" t="s">
        <v>74</v>
      </c>
      <c r="E26" s="5" t="s">
        <v>64</v>
      </c>
      <c r="F26" s="5" t="s">
        <v>64</v>
      </c>
      <c r="G26" s="7">
        <v>37631</v>
      </c>
      <c r="H26" s="5" t="s">
        <v>13</v>
      </c>
    </row>
    <row r="27" spans="1:8" x14ac:dyDescent="0.35">
      <c r="A27" s="10">
        <f t="shared" si="0"/>
        <v>23</v>
      </c>
      <c r="B27" s="5">
        <v>245</v>
      </c>
      <c r="C27" s="5" t="s">
        <v>75</v>
      </c>
      <c r="D27" s="5" t="s">
        <v>40</v>
      </c>
      <c r="E27" s="5" t="s">
        <v>16</v>
      </c>
      <c r="F27" s="5" t="s">
        <v>41</v>
      </c>
      <c r="G27" s="7">
        <v>37634</v>
      </c>
      <c r="H27" s="5" t="s">
        <v>13</v>
      </c>
    </row>
    <row r="28" spans="1:8" x14ac:dyDescent="0.35">
      <c r="A28" s="10">
        <f t="shared" si="0"/>
        <v>24</v>
      </c>
      <c r="B28" s="5">
        <v>256</v>
      </c>
      <c r="C28" s="5" t="s">
        <v>76</v>
      </c>
      <c r="D28" s="5" t="s">
        <v>77</v>
      </c>
      <c r="E28" s="5" t="s">
        <v>61</v>
      </c>
      <c r="F28" s="5" t="s">
        <v>61</v>
      </c>
      <c r="G28" s="7">
        <v>37636</v>
      </c>
      <c r="H28" s="5" t="s">
        <v>13</v>
      </c>
    </row>
    <row r="29" spans="1:8" x14ac:dyDescent="0.35">
      <c r="A29" s="10">
        <f t="shared" si="0"/>
        <v>25</v>
      </c>
      <c r="B29" s="5">
        <v>263</v>
      </c>
      <c r="C29" s="5" t="s">
        <v>78</v>
      </c>
      <c r="D29" s="5" t="s">
        <v>40</v>
      </c>
      <c r="E29" s="5" t="s">
        <v>16</v>
      </c>
      <c r="F29" s="5" t="s">
        <v>41</v>
      </c>
      <c r="G29" s="7">
        <v>37638</v>
      </c>
      <c r="H29" s="5" t="s">
        <v>13</v>
      </c>
    </row>
    <row r="30" spans="1:8" x14ac:dyDescent="0.35">
      <c r="A30" s="10">
        <f t="shared" si="0"/>
        <v>26</v>
      </c>
      <c r="B30" s="5">
        <v>265</v>
      </c>
      <c r="C30" s="5" t="s">
        <v>79</v>
      </c>
      <c r="D30" s="5" t="s">
        <v>80</v>
      </c>
      <c r="E30" s="5" t="s">
        <v>35</v>
      </c>
      <c r="F30" s="5" t="s">
        <v>36</v>
      </c>
      <c r="G30" s="7">
        <v>37642</v>
      </c>
      <c r="H30" s="5" t="s">
        <v>13</v>
      </c>
    </row>
    <row r="31" spans="1:8" x14ac:dyDescent="0.35">
      <c r="A31" s="10">
        <f t="shared" si="0"/>
        <v>27</v>
      </c>
      <c r="B31" s="5">
        <v>269</v>
      </c>
      <c r="C31" s="5" t="s">
        <v>81</v>
      </c>
      <c r="D31" s="5" t="s">
        <v>40</v>
      </c>
      <c r="E31" s="5" t="s">
        <v>16</v>
      </c>
      <c r="F31" s="5" t="s">
        <v>41</v>
      </c>
      <c r="G31" s="7">
        <v>37641</v>
      </c>
      <c r="H31" s="5" t="s">
        <v>13</v>
      </c>
    </row>
    <row r="32" spans="1:8" x14ac:dyDescent="0.35">
      <c r="A32" s="10">
        <f t="shared" si="0"/>
        <v>28</v>
      </c>
      <c r="B32" s="5">
        <v>270</v>
      </c>
      <c r="C32" s="5" t="s">
        <v>82</v>
      </c>
      <c r="D32" s="5" t="s">
        <v>83</v>
      </c>
      <c r="E32" s="5" t="s">
        <v>35</v>
      </c>
      <c r="F32" s="5" t="s">
        <v>84</v>
      </c>
      <c r="G32" s="7">
        <v>37641</v>
      </c>
      <c r="H32" s="5" t="s">
        <v>13</v>
      </c>
    </row>
    <row r="33" spans="1:8" x14ac:dyDescent="0.35">
      <c r="A33" s="10">
        <f t="shared" si="0"/>
        <v>29</v>
      </c>
      <c r="B33" s="5">
        <v>274</v>
      </c>
      <c r="C33" s="5" t="s">
        <v>85</v>
      </c>
      <c r="D33" s="5" t="s">
        <v>86</v>
      </c>
      <c r="E33" s="5" t="s">
        <v>87</v>
      </c>
      <c r="F33" s="5" t="s">
        <v>88</v>
      </c>
      <c r="G33" s="7">
        <v>37643</v>
      </c>
      <c r="H33" s="5" t="s">
        <v>13</v>
      </c>
    </row>
    <row r="34" spans="1:8" x14ac:dyDescent="0.35">
      <c r="A34" s="10">
        <f t="shared" si="0"/>
        <v>30</v>
      </c>
      <c r="B34" s="5">
        <v>282</v>
      </c>
      <c r="C34" s="5" t="s">
        <v>89</v>
      </c>
      <c r="D34" s="5" t="s">
        <v>63</v>
      </c>
      <c r="E34" s="5" t="s">
        <v>64</v>
      </c>
      <c r="F34" s="5" t="s">
        <v>64</v>
      </c>
      <c r="G34" s="7">
        <v>37653</v>
      </c>
      <c r="H34" s="5" t="s">
        <v>13</v>
      </c>
    </row>
    <row r="35" spans="1:8" x14ac:dyDescent="0.35">
      <c r="A35" s="10">
        <f t="shared" si="0"/>
        <v>31</v>
      </c>
      <c r="B35" s="5">
        <v>285</v>
      </c>
      <c r="C35" s="5" t="s">
        <v>90</v>
      </c>
      <c r="D35" s="5" t="s">
        <v>15</v>
      </c>
      <c r="E35" s="5" t="s">
        <v>16</v>
      </c>
      <c r="F35" s="5" t="s">
        <v>17</v>
      </c>
      <c r="G35" s="7">
        <v>37655</v>
      </c>
      <c r="H35" s="5" t="s">
        <v>13</v>
      </c>
    </row>
    <row r="36" spans="1:8" x14ac:dyDescent="0.35">
      <c r="A36" s="10">
        <f t="shared" si="0"/>
        <v>32</v>
      </c>
      <c r="B36" s="5">
        <v>317</v>
      </c>
      <c r="C36" s="5" t="s">
        <v>91</v>
      </c>
      <c r="D36" s="5" t="s">
        <v>40</v>
      </c>
      <c r="E36" s="5" t="s">
        <v>16</v>
      </c>
      <c r="F36" s="5" t="s">
        <v>41</v>
      </c>
      <c r="G36" s="7">
        <v>37669</v>
      </c>
      <c r="H36" s="5" t="s">
        <v>13</v>
      </c>
    </row>
    <row r="37" spans="1:8" x14ac:dyDescent="0.35">
      <c r="A37" s="10">
        <f t="shared" si="0"/>
        <v>33</v>
      </c>
      <c r="B37" s="5">
        <v>329</v>
      </c>
      <c r="C37" s="5" t="s">
        <v>92</v>
      </c>
      <c r="D37" s="5" t="s">
        <v>40</v>
      </c>
      <c r="E37" s="5" t="s">
        <v>16</v>
      </c>
      <c r="F37" s="5" t="s">
        <v>41</v>
      </c>
      <c r="G37" s="7">
        <v>37683</v>
      </c>
      <c r="H37" s="5" t="s">
        <v>13</v>
      </c>
    </row>
    <row r="38" spans="1:8" x14ac:dyDescent="0.35">
      <c r="A38" s="10">
        <f t="shared" si="0"/>
        <v>34</v>
      </c>
      <c r="B38" s="5">
        <v>335</v>
      </c>
      <c r="C38" s="5" t="s">
        <v>93</v>
      </c>
      <c r="D38" s="5" t="s">
        <v>74</v>
      </c>
      <c r="E38" s="5" t="s">
        <v>94</v>
      </c>
      <c r="F38" s="5" t="s">
        <v>94</v>
      </c>
      <c r="G38" s="7">
        <v>37683</v>
      </c>
      <c r="H38" s="5" t="s">
        <v>13</v>
      </c>
    </row>
    <row r="39" spans="1:8" x14ac:dyDescent="0.35">
      <c r="A39" s="10">
        <f t="shared" si="0"/>
        <v>35</v>
      </c>
      <c r="B39" s="5">
        <v>337</v>
      </c>
      <c r="C39" s="5" t="s">
        <v>95</v>
      </c>
      <c r="D39" s="5" t="s">
        <v>40</v>
      </c>
      <c r="E39" s="5" t="s">
        <v>16</v>
      </c>
      <c r="F39" s="5" t="s">
        <v>41</v>
      </c>
      <c r="G39" s="7">
        <v>37683</v>
      </c>
      <c r="H39" s="5" t="s">
        <v>13</v>
      </c>
    </row>
    <row r="40" spans="1:8" x14ac:dyDescent="0.35">
      <c r="A40" s="10">
        <f t="shared" si="0"/>
        <v>36</v>
      </c>
      <c r="B40" s="5">
        <v>349</v>
      </c>
      <c r="C40" s="5" t="s">
        <v>96</v>
      </c>
      <c r="D40" s="5" t="s">
        <v>40</v>
      </c>
      <c r="E40" s="5" t="s">
        <v>16</v>
      </c>
      <c r="F40" s="5" t="s">
        <v>41</v>
      </c>
      <c r="G40" s="7">
        <v>37697</v>
      </c>
      <c r="H40" s="5" t="s">
        <v>13</v>
      </c>
    </row>
    <row r="41" spans="1:8" x14ac:dyDescent="0.35">
      <c r="A41" s="10">
        <f t="shared" si="0"/>
        <v>37</v>
      </c>
      <c r="B41" s="5">
        <v>353</v>
      </c>
      <c r="C41" s="5" t="s">
        <v>97</v>
      </c>
      <c r="D41" s="5" t="s">
        <v>98</v>
      </c>
      <c r="E41" s="5" t="s">
        <v>99</v>
      </c>
      <c r="F41" s="5" t="s">
        <v>100</v>
      </c>
      <c r="G41" s="7">
        <v>37699</v>
      </c>
      <c r="H41" s="5" t="s">
        <v>13</v>
      </c>
    </row>
    <row r="42" spans="1:8" x14ac:dyDescent="0.35">
      <c r="A42" s="10">
        <f t="shared" si="0"/>
        <v>38</v>
      </c>
      <c r="B42" s="5">
        <v>355</v>
      </c>
      <c r="C42" s="5" t="s">
        <v>101</v>
      </c>
      <c r="D42" s="5" t="s">
        <v>102</v>
      </c>
      <c r="E42" s="5" t="s">
        <v>103</v>
      </c>
      <c r="F42" s="5" t="s">
        <v>103</v>
      </c>
      <c r="G42" s="7">
        <v>37700</v>
      </c>
      <c r="H42" s="5" t="s">
        <v>13</v>
      </c>
    </row>
    <row r="43" spans="1:8" x14ac:dyDescent="0.35">
      <c r="A43" s="10">
        <f t="shared" si="0"/>
        <v>39</v>
      </c>
      <c r="B43" s="5">
        <v>365</v>
      </c>
      <c r="C43" s="5" t="s">
        <v>104</v>
      </c>
      <c r="D43" s="5" t="s">
        <v>40</v>
      </c>
      <c r="E43" s="5" t="s">
        <v>16</v>
      </c>
      <c r="F43" s="5" t="s">
        <v>48</v>
      </c>
      <c r="G43" s="7">
        <v>37719</v>
      </c>
      <c r="H43" s="5" t="s">
        <v>13</v>
      </c>
    </row>
    <row r="44" spans="1:8" x14ac:dyDescent="0.35">
      <c r="A44" s="10">
        <f t="shared" si="0"/>
        <v>40</v>
      </c>
      <c r="B44" s="5">
        <v>376</v>
      </c>
      <c r="C44" s="5" t="s">
        <v>105</v>
      </c>
      <c r="D44" s="5" t="s">
        <v>106</v>
      </c>
      <c r="E44" s="5" t="s">
        <v>35</v>
      </c>
      <c r="F44" s="5" t="s">
        <v>36</v>
      </c>
      <c r="G44" s="7">
        <v>37767</v>
      </c>
      <c r="H44" s="5" t="s">
        <v>13</v>
      </c>
    </row>
    <row r="45" spans="1:8" x14ac:dyDescent="0.35">
      <c r="A45" s="10">
        <f t="shared" si="0"/>
        <v>41</v>
      </c>
      <c r="B45" s="5">
        <v>380</v>
      </c>
      <c r="C45" s="5" t="s">
        <v>107</v>
      </c>
      <c r="D45" s="5" t="s">
        <v>40</v>
      </c>
      <c r="E45" s="5" t="s">
        <v>16</v>
      </c>
      <c r="F45" s="5" t="s">
        <v>41</v>
      </c>
      <c r="G45" s="7">
        <v>37767</v>
      </c>
      <c r="H45" s="5" t="s">
        <v>13</v>
      </c>
    </row>
    <row r="46" spans="1:8" x14ac:dyDescent="0.35">
      <c r="A46" s="10">
        <f t="shared" si="0"/>
        <v>42</v>
      </c>
      <c r="B46" s="5">
        <v>386</v>
      </c>
      <c r="C46" s="5" t="s">
        <v>108</v>
      </c>
      <c r="D46" s="5" t="s">
        <v>109</v>
      </c>
      <c r="E46" s="5" t="s">
        <v>16</v>
      </c>
      <c r="F46" s="5" t="s">
        <v>110</v>
      </c>
      <c r="G46" s="7">
        <v>37787</v>
      </c>
      <c r="H46" s="5" t="s">
        <v>13</v>
      </c>
    </row>
    <row r="47" spans="1:8" x14ac:dyDescent="0.35">
      <c r="A47" s="10">
        <f t="shared" si="0"/>
        <v>43</v>
      </c>
      <c r="B47" s="5">
        <v>442</v>
      </c>
      <c r="C47" s="5" t="s">
        <v>118</v>
      </c>
      <c r="D47" s="5" t="s">
        <v>40</v>
      </c>
      <c r="E47" s="5" t="s">
        <v>16</v>
      </c>
      <c r="F47" s="5" t="s">
        <v>41</v>
      </c>
      <c r="G47" s="7">
        <v>37718</v>
      </c>
      <c r="H47" s="5" t="s">
        <v>13</v>
      </c>
    </row>
    <row r="48" spans="1:8" x14ac:dyDescent="0.35">
      <c r="A48" s="10">
        <f t="shared" si="0"/>
        <v>44</v>
      </c>
      <c r="B48" s="5">
        <v>466</v>
      </c>
      <c r="C48" s="5" t="s">
        <v>119</v>
      </c>
      <c r="D48" s="5" t="s">
        <v>40</v>
      </c>
      <c r="E48" s="5" t="s">
        <v>16</v>
      </c>
      <c r="F48" s="5" t="s">
        <v>41</v>
      </c>
      <c r="G48" s="7">
        <v>37767</v>
      </c>
      <c r="H48" s="5" t="s">
        <v>13</v>
      </c>
    </row>
    <row r="49" spans="1:8" x14ac:dyDescent="0.35">
      <c r="A49" s="10">
        <f t="shared" si="0"/>
        <v>45</v>
      </c>
      <c r="B49" s="5">
        <v>467</v>
      </c>
      <c r="C49" s="5" t="s">
        <v>120</v>
      </c>
      <c r="D49" s="5" t="s">
        <v>80</v>
      </c>
      <c r="E49" s="5" t="s">
        <v>35</v>
      </c>
      <c r="F49" s="5" t="s">
        <v>36</v>
      </c>
      <c r="G49" s="7">
        <v>37804</v>
      </c>
      <c r="H49" s="5" t="s">
        <v>13</v>
      </c>
    </row>
    <row r="50" spans="1:8" x14ac:dyDescent="0.35">
      <c r="A50" s="10">
        <f t="shared" si="0"/>
        <v>46</v>
      </c>
      <c r="B50" s="5">
        <v>473</v>
      </c>
      <c r="C50" s="5" t="s">
        <v>121</v>
      </c>
      <c r="D50" s="5" t="s">
        <v>43</v>
      </c>
      <c r="E50" s="5" t="s">
        <v>16</v>
      </c>
      <c r="F50" s="5" t="s">
        <v>41</v>
      </c>
      <c r="G50" s="7">
        <v>37810</v>
      </c>
      <c r="H50" s="5" t="s">
        <v>13</v>
      </c>
    </row>
    <row r="51" spans="1:8" x14ac:dyDescent="0.35">
      <c r="A51" s="10">
        <f t="shared" si="0"/>
        <v>47</v>
      </c>
      <c r="B51" s="5">
        <v>478</v>
      </c>
      <c r="C51" s="5" t="s">
        <v>122</v>
      </c>
      <c r="D51" s="5" t="s">
        <v>40</v>
      </c>
      <c r="E51" s="5" t="s">
        <v>16</v>
      </c>
      <c r="F51" s="5" t="s">
        <v>41</v>
      </c>
      <c r="G51" s="7">
        <v>37812</v>
      </c>
      <c r="H51" s="5" t="s">
        <v>13</v>
      </c>
    </row>
    <row r="52" spans="1:8" x14ac:dyDescent="0.35">
      <c r="A52" s="10">
        <f t="shared" si="0"/>
        <v>48</v>
      </c>
      <c r="B52" s="5">
        <v>483</v>
      </c>
      <c r="C52" s="5" t="s">
        <v>123</v>
      </c>
      <c r="D52" s="5" t="s">
        <v>124</v>
      </c>
      <c r="E52" s="5" t="s">
        <v>16</v>
      </c>
      <c r="F52" s="5" t="s">
        <v>20</v>
      </c>
      <c r="G52" s="7">
        <v>37825</v>
      </c>
      <c r="H52" s="5" t="s">
        <v>21</v>
      </c>
    </row>
    <row r="53" spans="1:8" x14ac:dyDescent="0.35">
      <c r="A53" s="10">
        <f t="shared" si="0"/>
        <v>49</v>
      </c>
      <c r="B53" s="5">
        <v>517</v>
      </c>
      <c r="C53" s="5" t="s">
        <v>128</v>
      </c>
      <c r="D53" s="5" t="s">
        <v>129</v>
      </c>
      <c r="E53" s="5" t="s">
        <v>35</v>
      </c>
      <c r="F53" s="5" t="s">
        <v>84</v>
      </c>
      <c r="G53" s="7">
        <v>36529</v>
      </c>
      <c r="H53" s="5" t="s">
        <v>21</v>
      </c>
    </row>
    <row r="54" spans="1:8" x14ac:dyDescent="0.35">
      <c r="A54" s="10">
        <f t="shared" si="0"/>
        <v>50</v>
      </c>
      <c r="B54" s="5">
        <v>518</v>
      </c>
      <c r="C54" s="5" t="s">
        <v>130</v>
      </c>
      <c r="D54" s="5" t="s">
        <v>83</v>
      </c>
      <c r="E54" s="5" t="s">
        <v>35</v>
      </c>
      <c r="F54" s="5" t="s">
        <v>84</v>
      </c>
      <c r="G54" s="7">
        <v>37196</v>
      </c>
      <c r="H54" s="5" t="s">
        <v>13</v>
      </c>
    </row>
    <row r="55" spans="1:8" x14ac:dyDescent="0.35">
      <c r="A55" s="10">
        <f t="shared" si="0"/>
        <v>51</v>
      </c>
      <c r="B55" s="5">
        <v>531</v>
      </c>
      <c r="C55" s="5" t="s">
        <v>131</v>
      </c>
      <c r="D55" s="5" t="s">
        <v>15</v>
      </c>
      <c r="E55" s="5" t="s">
        <v>68</v>
      </c>
      <c r="F55" s="5" t="s">
        <v>132</v>
      </c>
      <c r="G55" s="7">
        <v>37851</v>
      </c>
      <c r="H55" s="5" t="s">
        <v>13</v>
      </c>
    </row>
    <row r="56" spans="1:8" x14ac:dyDescent="0.35">
      <c r="A56" s="10">
        <f t="shared" si="0"/>
        <v>52</v>
      </c>
      <c r="B56" s="5">
        <v>533</v>
      </c>
      <c r="C56" s="5" t="s">
        <v>133</v>
      </c>
      <c r="D56" s="5" t="s">
        <v>31</v>
      </c>
      <c r="E56" s="5" t="s">
        <v>16</v>
      </c>
      <c r="F56" s="5" t="s">
        <v>20</v>
      </c>
      <c r="G56" s="7">
        <v>37869</v>
      </c>
      <c r="H56" s="5" t="s">
        <v>21</v>
      </c>
    </row>
    <row r="57" spans="1:8" x14ac:dyDescent="0.35">
      <c r="A57" s="10">
        <f t="shared" si="0"/>
        <v>53</v>
      </c>
      <c r="B57" s="5">
        <v>548</v>
      </c>
      <c r="C57" s="5" t="s">
        <v>134</v>
      </c>
      <c r="D57" s="5" t="s">
        <v>40</v>
      </c>
      <c r="E57" s="5" t="s">
        <v>16</v>
      </c>
      <c r="F57" s="5" t="s">
        <v>41</v>
      </c>
      <c r="G57" s="7">
        <v>37886</v>
      </c>
      <c r="H57" s="5" t="s">
        <v>13</v>
      </c>
    </row>
    <row r="58" spans="1:8" x14ac:dyDescent="0.35">
      <c r="A58" s="10">
        <f t="shared" si="0"/>
        <v>54</v>
      </c>
      <c r="B58" s="5">
        <v>568</v>
      </c>
      <c r="C58" s="5" t="s">
        <v>135</v>
      </c>
      <c r="D58" s="5" t="s">
        <v>136</v>
      </c>
      <c r="E58" s="5" t="s">
        <v>68</v>
      </c>
      <c r="F58" s="5" t="s">
        <v>137</v>
      </c>
      <c r="G58" s="7">
        <v>39142</v>
      </c>
      <c r="H58" s="5" t="s">
        <v>13</v>
      </c>
    </row>
    <row r="59" spans="1:8" x14ac:dyDescent="0.35">
      <c r="A59" s="10">
        <f t="shared" si="0"/>
        <v>55</v>
      </c>
      <c r="B59" s="5">
        <v>581</v>
      </c>
      <c r="C59" s="5" t="s">
        <v>140</v>
      </c>
      <c r="D59" s="5" t="s">
        <v>31</v>
      </c>
      <c r="E59" s="5" t="s">
        <v>16</v>
      </c>
      <c r="F59" s="5" t="s">
        <v>141</v>
      </c>
      <c r="G59" s="7">
        <v>37942</v>
      </c>
      <c r="H59" s="5" t="s">
        <v>21</v>
      </c>
    </row>
    <row r="60" spans="1:8" x14ac:dyDescent="0.35">
      <c r="A60" s="10">
        <f t="shared" si="0"/>
        <v>56</v>
      </c>
      <c r="B60" s="5">
        <v>587</v>
      </c>
      <c r="C60" s="5" t="s">
        <v>142</v>
      </c>
      <c r="D60" s="5" t="s">
        <v>40</v>
      </c>
      <c r="E60" s="5" t="s">
        <v>16</v>
      </c>
      <c r="F60" s="5" t="s">
        <v>41</v>
      </c>
      <c r="G60" s="7">
        <v>37972</v>
      </c>
      <c r="H60" s="5" t="s">
        <v>13</v>
      </c>
    </row>
    <row r="61" spans="1:8" x14ac:dyDescent="0.35">
      <c r="A61" s="10">
        <f t="shared" si="0"/>
        <v>57</v>
      </c>
      <c r="B61" s="5">
        <v>621</v>
      </c>
      <c r="C61" s="5" t="s">
        <v>143</v>
      </c>
      <c r="D61" s="5" t="s">
        <v>40</v>
      </c>
      <c r="E61" s="5" t="s">
        <v>16</v>
      </c>
      <c r="F61" s="5" t="s">
        <v>144</v>
      </c>
      <c r="G61" s="7">
        <v>38028</v>
      </c>
      <c r="H61" s="5" t="s">
        <v>13</v>
      </c>
    </row>
    <row r="62" spans="1:8" x14ac:dyDescent="0.35">
      <c r="A62" s="10">
        <f t="shared" si="0"/>
        <v>58</v>
      </c>
      <c r="B62" s="5">
        <v>633</v>
      </c>
      <c r="C62" s="5" t="s">
        <v>145</v>
      </c>
      <c r="D62" s="5" t="s">
        <v>146</v>
      </c>
      <c r="E62" s="5" t="s">
        <v>12</v>
      </c>
      <c r="F62" s="5" t="s">
        <v>12</v>
      </c>
      <c r="G62" s="7">
        <v>38048</v>
      </c>
      <c r="H62" s="5" t="s">
        <v>13</v>
      </c>
    </row>
    <row r="63" spans="1:8" x14ac:dyDescent="0.35">
      <c r="A63" s="10">
        <f t="shared" si="0"/>
        <v>59</v>
      </c>
      <c r="B63" s="5">
        <v>730</v>
      </c>
      <c r="C63" s="5" t="s">
        <v>150</v>
      </c>
      <c r="D63" s="5" t="s">
        <v>151</v>
      </c>
      <c r="E63" s="5" t="s">
        <v>24</v>
      </c>
      <c r="F63" s="5" t="s">
        <v>152</v>
      </c>
      <c r="G63" s="7">
        <v>38261</v>
      </c>
      <c r="H63" s="5" t="s">
        <v>13</v>
      </c>
    </row>
    <row r="64" spans="1:8" x14ac:dyDescent="0.35">
      <c r="A64" s="10">
        <f t="shared" si="0"/>
        <v>60</v>
      </c>
      <c r="B64" s="5">
        <v>733</v>
      </c>
      <c r="C64" s="5" t="s">
        <v>153</v>
      </c>
      <c r="D64" s="5" t="s">
        <v>80</v>
      </c>
      <c r="E64" s="5" t="s">
        <v>35</v>
      </c>
      <c r="F64" s="5" t="s">
        <v>84</v>
      </c>
      <c r="G64" s="7">
        <v>38261</v>
      </c>
      <c r="H64" s="5" t="s">
        <v>13</v>
      </c>
    </row>
    <row r="65" spans="1:8" x14ac:dyDescent="0.35">
      <c r="A65" s="10">
        <f t="shared" si="0"/>
        <v>61</v>
      </c>
      <c r="B65" s="5">
        <v>759</v>
      </c>
      <c r="C65" s="5" t="s">
        <v>154</v>
      </c>
      <c r="D65" s="5" t="s">
        <v>40</v>
      </c>
      <c r="E65" s="5" t="s">
        <v>16</v>
      </c>
      <c r="F65" s="5" t="s">
        <v>41</v>
      </c>
      <c r="G65" s="7">
        <v>38258</v>
      </c>
      <c r="H65" s="5" t="s">
        <v>13</v>
      </c>
    </row>
    <row r="66" spans="1:8" x14ac:dyDescent="0.35">
      <c r="A66" s="10">
        <f t="shared" si="0"/>
        <v>62</v>
      </c>
      <c r="B66" s="5">
        <v>775</v>
      </c>
      <c r="C66" s="5" t="s">
        <v>155</v>
      </c>
      <c r="D66" s="5" t="s">
        <v>40</v>
      </c>
      <c r="E66" s="5" t="s">
        <v>16</v>
      </c>
      <c r="F66" s="5" t="s">
        <v>41</v>
      </c>
      <c r="G66" s="7">
        <v>38293</v>
      </c>
      <c r="H66" s="5" t="s">
        <v>13</v>
      </c>
    </row>
    <row r="67" spans="1:8" x14ac:dyDescent="0.35">
      <c r="A67" s="10">
        <f t="shared" si="0"/>
        <v>63</v>
      </c>
      <c r="B67" s="5">
        <v>777</v>
      </c>
      <c r="C67" s="5" t="s">
        <v>156</v>
      </c>
      <c r="D67" s="5" t="s">
        <v>157</v>
      </c>
      <c r="E67" s="5" t="s">
        <v>16</v>
      </c>
      <c r="F67" s="5" t="s">
        <v>41</v>
      </c>
      <c r="G67" s="7">
        <v>38257</v>
      </c>
      <c r="H67" s="5" t="s">
        <v>13</v>
      </c>
    </row>
    <row r="68" spans="1:8" x14ac:dyDescent="0.35">
      <c r="A68" s="10">
        <f t="shared" si="0"/>
        <v>64</v>
      </c>
      <c r="B68" s="5">
        <v>779</v>
      </c>
      <c r="C68" s="5" t="s">
        <v>158</v>
      </c>
      <c r="D68" s="5" t="s">
        <v>109</v>
      </c>
      <c r="E68" s="5" t="s">
        <v>16</v>
      </c>
      <c r="F68" s="5" t="s">
        <v>41</v>
      </c>
      <c r="G68" s="7">
        <v>38268</v>
      </c>
      <c r="H68" s="5" t="s">
        <v>13</v>
      </c>
    </row>
    <row r="69" spans="1:8" x14ac:dyDescent="0.35">
      <c r="A69" s="10">
        <f t="shared" si="0"/>
        <v>65</v>
      </c>
      <c r="B69" s="5">
        <v>839</v>
      </c>
      <c r="C69" s="5" t="s">
        <v>162</v>
      </c>
      <c r="D69" s="5" t="s">
        <v>40</v>
      </c>
      <c r="E69" s="5" t="s">
        <v>16</v>
      </c>
      <c r="F69" s="5" t="s">
        <v>41</v>
      </c>
      <c r="G69" s="7">
        <v>38413</v>
      </c>
      <c r="H69" s="5" t="s">
        <v>13</v>
      </c>
    </row>
    <row r="70" spans="1:8" x14ac:dyDescent="0.35">
      <c r="A70" s="10">
        <f t="shared" ref="A70:A133" si="1">+A69+1</f>
        <v>66</v>
      </c>
      <c r="B70" s="5">
        <v>846</v>
      </c>
      <c r="C70" s="5" t="s">
        <v>163</v>
      </c>
      <c r="D70" s="5" t="s">
        <v>164</v>
      </c>
      <c r="E70" s="5" t="s">
        <v>165</v>
      </c>
      <c r="F70" s="5" t="s">
        <v>165</v>
      </c>
      <c r="G70" s="7">
        <v>38413</v>
      </c>
      <c r="H70" s="5" t="s">
        <v>13</v>
      </c>
    </row>
    <row r="71" spans="1:8" x14ac:dyDescent="0.35">
      <c r="A71" s="10">
        <f t="shared" si="1"/>
        <v>67</v>
      </c>
      <c r="B71" s="5">
        <v>870</v>
      </c>
      <c r="C71" s="5" t="s">
        <v>168</v>
      </c>
      <c r="D71" s="5" t="s">
        <v>31</v>
      </c>
      <c r="E71" s="5" t="s">
        <v>16</v>
      </c>
      <c r="F71" s="5" t="s">
        <v>20</v>
      </c>
      <c r="G71" s="7">
        <v>38417</v>
      </c>
      <c r="H71" s="5" t="s">
        <v>21</v>
      </c>
    </row>
    <row r="72" spans="1:8" x14ac:dyDescent="0.35">
      <c r="A72" s="10">
        <f t="shared" si="1"/>
        <v>68</v>
      </c>
      <c r="B72" s="5">
        <v>876</v>
      </c>
      <c r="C72" s="5" t="s">
        <v>169</v>
      </c>
      <c r="D72" s="5" t="s">
        <v>31</v>
      </c>
      <c r="E72" s="5" t="s">
        <v>16</v>
      </c>
      <c r="F72" s="5" t="s">
        <v>20</v>
      </c>
      <c r="G72" s="7">
        <v>37603</v>
      </c>
      <c r="H72" s="5" t="s">
        <v>21</v>
      </c>
    </row>
    <row r="73" spans="1:8" x14ac:dyDescent="0.35">
      <c r="A73" s="10">
        <f t="shared" si="1"/>
        <v>69</v>
      </c>
      <c r="B73" s="5">
        <v>882</v>
      </c>
      <c r="C73" s="5" t="s">
        <v>170</v>
      </c>
      <c r="D73" s="5" t="s">
        <v>40</v>
      </c>
      <c r="E73" s="5" t="s">
        <v>16</v>
      </c>
      <c r="F73" s="5" t="s">
        <v>41</v>
      </c>
      <c r="G73" s="7">
        <v>39479</v>
      </c>
      <c r="H73" s="5" t="s">
        <v>13</v>
      </c>
    </row>
    <row r="74" spans="1:8" x14ac:dyDescent="0.35">
      <c r="A74" s="10">
        <f t="shared" si="1"/>
        <v>70</v>
      </c>
      <c r="B74" s="5">
        <v>885</v>
      </c>
      <c r="C74" s="5" t="s">
        <v>171</v>
      </c>
      <c r="D74" s="5" t="s">
        <v>109</v>
      </c>
      <c r="E74" s="5" t="s">
        <v>16</v>
      </c>
      <c r="F74" s="5" t="s">
        <v>41</v>
      </c>
      <c r="G74" s="7">
        <v>38474</v>
      </c>
      <c r="H74" s="5" t="s">
        <v>13</v>
      </c>
    </row>
    <row r="75" spans="1:8" x14ac:dyDescent="0.35">
      <c r="A75" s="10">
        <f t="shared" si="1"/>
        <v>71</v>
      </c>
      <c r="B75" s="5">
        <v>903</v>
      </c>
      <c r="C75" s="5" t="s">
        <v>172</v>
      </c>
      <c r="D75" s="5" t="s">
        <v>40</v>
      </c>
      <c r="E75" s="5" t="s">
        <v>16</v>
      </c>
      <c r="F75" s="5" t="s">
        <v>141</v>
      </c>
      <c r="G75" s="7">
        <v>38511</v>
      </c>
      <c r="H75" s="5" t="s">
        <v>13</v>
      </c>
    </row>
    <row r="76" spans="1:8" x14ac:dyDescent="0.35">
      <c r="A76" s="10">
        <f t="shared" si="1"/>
        <v>72</v>
      </c>
      <c r="B76" s="5">
        <v>944</v>
      </c>
      <c r="C76" s="5" t="s">
        <v>173</v>
      </c>
      <c r="D76" s="5" t="s">
        <v>40</v>
      </c>
      <c r="E76" s="5" t="s">
        <v>16</v>
      </c>
      <c r="F76" s="5" t="s">
        <v>41</v>
      </c>
      <c r="G76" s="7">
        <v>38551</v>
      </c>
      <c r="H76" s="5" t="s">
        <v>13</v>
      </c>
    </row>
    <row r="77" spans="1:8" x14ac:dyDescent="0.35">
      <c r="A77" s="10">
        <f t="shared" si="1"/>
        <v>73</v>
      </c>
      <c r="B77" s="5">
        <v>979</v>
      </c>
      <c r="C77" s="5" t="s">
        <v>174</v>
      </c>
      <c r="D77" s="5" t="s">
        <v>15</v>
      </c>
      <c r="E77" s="5" t="s">
        <v>103</v>
      </c>
      <c r="F77" s="5" t="s">
        <v>103</v>
      </c>
      <c r="G77" s="7">
        <v>38571</v>
      </c>
      <c r="H77" s="5" t="s">
        <v>13</v>
      </c>
    </row>
    <row r="78" spans="1:8" x14ac:dyDescent="0.35">
      <c r="A78" s="10">
        <f t="shared" si="1"/>
        <v>74</v>
      </c>
      <c r="B78" s="5">
        <v>981</v>
      </c>
      <c r="C78" s="5" t="s">
        <v>175</v>
      </c>
      <c r="D78" s="5" t="s">
        <v>21</v>
      </c>
      <c r="E78" s="5" t="s">
        <v>117</v>
      </c>
      <c r="F78" s="5" t="s">
        <v>176</v>
      </c>
      <c r="G78" s="7">
        <v>39508</v>
      </c>
      <c r="H78" s="5" t="s">
        <v>13</v>
      </c>
    </row>
    <row r="79" spans="1:8" x14ac:dyDescent="0.35">
      <c r="A79" s="10">
        <f t="shared" si="1"/>
        <v>75</v>
      </c>
      <c r="B79" s="5">
        <v>989</v>
      </c>
      <c r="C79" s="5" t="s">
        <v>177</v>
      </c>
      <c r="D79" s="5" t="s">
        <v>178</v>
      </c>
      <c r="E79" s="5" t="s">
        <v>68</v>
      </c>
      <c r="F79" s="5" t="s">
        <v>179</v>
      </c>
      <c r="G79" s="7">
        <v>38596</v>
      </c>
      <c r="H79" s="5" t="s">
        <v>13</v>
      </c>
    </row>
    <row r="80" spans="1:8" x14ac:dyDescent="0.35">
      <c r="A80" s="10">
        <f t="shared" si="1"/>
        <v>76</v>
      </c>
      <c r="B80" s="5">
        <v>1013</v>
      </c>
      <c r="C80" s="5" t="s">
        <v>180</v>
      </c>
      <c r="D80" s="5" t="s">
        <v>21</v>
      </c>
      <c r="E80" s="5" t="s">
        <v>181</v>
      </c>
      <c r="F80" s="5" t="s">
        <v>181</v>
      </c>
      <c r="G80" s="7">
        <v>38636</v>
      </c>
      <c r="H80" s="5" t="s">
        <v>13</v>
      </c>
    </row>
    <row r="81" spans="1:8" x14ac:dyDescent="0.35">
      <c r="A81" s="10">
        <f t="shared" si="1"/>
        <v>77</v>
      </c>
      <c r="B81" s="5">
        <v>1014</v>
      </c>
      <c r="C81" s="5" t="s">
        <v>182</v>
      </c>
      <c r="D81" s="5" t="s">
        <v>178</v>
      </c>
      <c r="E81" s="5" t="s">
        <v>68</v>
      </c>
      <c r="F81" s="5" t="s">
        <v>179</v>
      </c>
      <c r="G81" s="7">
        <v>38626</v>
      </c>
      <c r="H81" s="5" t="s">
        <v>13</v>
      </c>
    </row>
    <row r="82" spans="1:8" x14ac:dyDescent="0.35">
      <c r="A82" s="10">
        <f t="shared" si="1"/>
        <v>78</v>
      </c>
      <c r="B82" s="5">
        <v>1022</v>
      </c>
      <c r="C82" s="5" t="s">
        <v>183</v>
      </c>
      <c r="D82" s="5" t="s">
        <v>15</v>
      </c>
      <c r="E82" s="5" t="s">
        <v>16</v>
      </c>
      <c r="F82" s="5" t="s">
        <v>17</v>
      </c>
      <c r="G82" s="7">
        <v>38659</v>
      </c>
      <c r="H82" s="5" t="s">
        <v>13</v>
      </c>
    </row>
    <row r="83" spans="1:8" x14ac:dyDescent="0.35">
      <c r="A83" s="10">
        <f t="shared" si="1"/>
        <v>79</v>
      </c>
      <c r="B83" s="5">
        <v>1031</v>
      </c>
      <c r="C83" s="5" t="s">
        <v>184</v>
      </c>
      <c r="D83" s="5" t="s">
        <v>40</v>
      </c>
      <c r="E83" s="5" t="s">
        <v>16</v>
      </c>
      <c r="F83" s="5" t="s">
        <v>41</v>
      </c>
      <c r="G83" s="7">
        <v>38667</v>
      </c>
      <c r="H83" s="5" t="s">
        <v>13</v>
      </c>
    </row>
    <row r="84" spans="1:8" x14ac:dyDescent="0.35">
      <c r="A84" s="10">
        <f t="shared" si="1"/>
        <v>80</v>
      </c>
      <c r="B84" s="5">
        <v>1042</v>
      </c>
      <c r="C84" s="5" t="s">
        <v>185</v>
      </c>
      <c r="D84" s="5" t="s">
        <v>186</v>
      </c>
      <c r="E84" s="5" t="s">
        <v>68</v>
      </c>
      <c r="F84" s="5" t="s">
        <v>187</v>
      </c>
      <c r="G84" s="7">
        <v>38687</v>
      </c>
      <c r="H84" s="5" t="s">
        <v>13</v>
      </c>
    </row>
    <row r="85" spans="1:8" x14ac:dyDescent="0.35">
      <c r="A85" s="10">
        <f t="shared" si="1"/>
        <v>81</v>
      </c>
      <c r="B85" s="5">
        <v>1062</v>
      </c>
      <c r="C85" s="5" t="s">
        <v>188</v>
      </c>
      <c r="D85" s="5" t="s">
        <v>189</v>
      </c>
      <c r="E85" s="5" t="s">
        <v>190</v>
      </c>
      <c r="F85" s="5" t="s">
        <v>190</v>
      </c>
      <c r="G85" s="7">
        <v>38734</v>
      </c>
      <c r="H85" s="5" t="s">
        <v>13</v>
      </c>
    </row>
    <row r="86" spans="1:8" x14ac:dyDescent="0.35">
      <c r="A86" s="10">
        <f t="shared" si="1"/>
        <v>82</v>
      </c>
      <c r="B86" s="5">
        <v>1092</v>
      </c>
      <c r="C86" s="5" t="s">
        <v>191</v>
      </c>
      <c r="D86" s="5" t="s">
        <v>80</v>
      </c>
      <c r="E86" s="5" t="s">
        <v>35</v>
      </c>
      <c r="F86" s="5" t="s">
        <v>36</v>
      </c>
      <c r="G86" s="7">
        <v>38777</v>
      </c>
      <c r="H86" s="5" t="s">
        <v>13</v>
      </c>
    </row>
    <row r="87" spans="1:8" x14ac:dyDescent="0.35">
      <c r="A87" s="10">
        <f t="shared" si="1"/>
        <v>83</v>
      </c>
      <c r="B87" s="5">
        <v>1097</v>
      </c>
      <c r="C87" s="5" t="s">
        <v>192</v>
      </c>
      <c r="D87" s="5" t="s">
        <v>193</v>
      </c>
      <c r="E87" s="5" t="s">
        <v>194</v>
      </c>
      <c r="F87" s="5" t="s">
        <v>194</v>
      </c>
      <c r="G87" s="7">
        <v>38777</v>
      </c>
      <c r="H87" s="5" t="s">
        <v>13</v>
      </c>
    </row>
    <row r="88" spans="1:8" x14ac:dyDescent="0.35">
      <c r="A88" s="10">
        <f t="shared" si="1"/>
        <v>84</v>
      </c>
      <c r="B88" s="5">
        <v>1100</v>
      </c>
      <c r="C88" s="5" t="s">
        <v>195</v>
      </c>
      <c r="D88" s="5" t="s">
        <v>40</v>
      </c>
      <c r="E88" s="5" t="s">
        <v>16</v>
      </c>
      <c r="F88" s="5" t="s">
        <v>41</v>
      </c>
      <c r="G88" s="7">
        <v>38777</v>
      </c>
      <c r="H88" s="5" t="s">
        <v>13</v>
      </c>
    </row>
    <row r="89" spans="1:8" x14ac:dyDescent="0.35">
      <c r="A89" s="10">
        <f t="shared" si="1"/>
        <v>85</v>
      </c>
      <c r="B89" s="5">
        <v>1118</v>
      </c>
      <c r="C89" s="5" t="s">
        <v>196</v>
      </c>
      <c r="D89" s="5" t="s">
        <v>197</v>
      </c>
      <c r="E89" s="5" t="s">
        <v>198</v>
      </c>
      <c r="F89" s="5" t="s">
        <v>198</v>
      </c>
      <c r="G89" s="7">
        <v>38777</v>
      </c>
      <c r="H89" s="5" t="s">
        <v>13</v>
      </c>
    </row>
    <row r="90" spans="1:8" x14ac:dyDescent="0.35">
      <c r="A90" s="10">
        <f t="shared" si="1"/>
        <v>86</v>
      </c>
      <c r="B90" s="5">
        <v>1119</v>
      </c>
      <c r="C90" s="5" t="s">
        <v>199</v>
      </c>
      <c r="D90" s="5" t="s">
        <v>146</v>
      </c>
      <c r="E90" s="5" t="s">
        <v>12</v>
      </c>
      <c r="F90" s="5" t="s">
        <v>12</v>
      </c>
      <c r="G90" s="7">
        <v>38777</v>
      </c>
      <c r="H90" s="5" t="s">
        <v>13</v>
      </c>
    </row>
    <row r="91" spans="1:8" x14ac:dyDescent="0.35">
      <c r="A91" s="10">
        <f t="shared" si="1"/>
        <v>87</v>
      </c>
      <c r="B91" s="5">
        <v>1127</v>
      </c>
      <c r="C91" s="5" t="s">
        <v>200</v>
      </c>
      <c r="D91" s="5" t="s">
        <v>124</v>
      </c>
      <c r="E91" s="5" t="s">
        <v>16</v>
      </c>
      <c r="F91" s="5" t="s">
        <v>20</v>
      </c>
      <c r="G91" s="7">
        <v>38804</v>
      </c>
      <c r="H91" s="5" t="s">
        <v>21</v>
      </c>
    </row>
    <row r="92" spans="1:8" x14ac:dyDescent="0.35">
      <c r="A92" s="10">
        <f t="shared" si="1"/>
        <v>88</v>
      </c>
      <c r="B92" s="5">
        <v>1134</v>
      </c>
      <c r="C92" s="5" t="s">
        <v>201</v>
      </c>
      <c r="D92" s="5" t="s">
        <v>202</v>
      </c>
      <c r="E92" s="5" t="s">
        <v>68</v>
      </c>
      <c r="F92" s="5" t="s">
        <v>179</v>
      </c>
      <c r="G92" s="7">
        <v>38808</v>
      </c>
      <c r="H92" s="5" t="s">
        <v>13</v>
      </c>
    </row>
    <row r="93" spans="1:8" x14ac:dyDescent="0.35">
      <c r="A93" s="10">
        <f t="shared" si="1"/>
        <v>89</v>
      </c>
      <c r="B93" s="5">
        <v>1143</v>
      </c>
      <c r="C93" s="5" t="s">
        <v>203</v>
      </c>
      <c r="D93" s="5" t="s">
        <v>204</v>
      </c>
      <c r="E93" s="5" t="s">
        <v>16</v>
      </c>
      <c r="F93" s="5" t="s">
        <v>141</v>
      </c>
      <c r="G93" s="7">
        <v>38817</v>
      </c>
      <c r="H93" s="5" t="s">
        <v>13</v>
      </c>
    </row>
    <row r="94" spans="1:8" x14ac:dyDescent="0.35">
      <c r="A94" s="10">
        <f t="shared" si="1"/>
        <v>90</v>
      </c>
      <c r="B94" s="5">
        <v>1162</v>
      </c>
      <c r="C94" s="5" t="s">
        <v>205</v>
      </c>
      <c r="D94" s="5" t="s">
        <v>40</v>
      </c>
      <c r="E94" s="5" t="s">
        <v>16</v>
      </c>
      <c r="F94" s="5" t="s">
        <v>48</v>
      </c>
      <c r="G94" s="7">
        <v>38838</v>
      </c>
      <c r="H94" s="5" t="s">
        <v>13</v>
      </c>
    </row>
    <row r="95" spans="1:8" x14ac:dyDescent="0.35">
      <c r="A95" s="10">
        <f t="shared" si="1"/>
        <v>91</v>
      </c>
      <c r="B95" s="5">
        <v>1202</v>
      </c>
      <c r="C95" s="5" t="s">
        <v>206</v>
      </c>
      <c r="D95" s="5" t="s">
        <v>207</v>
      </c>
      <c r="E95" s="5" t="s">
        <v>61</v>
      </c>
      <c r="F95" s="5" t="s">
        <v>61</v>
      </c>
      <c r="G95" s="7">
        <v>38869</v>
      </c>
      <c r="H95" s="5" t="s">
        <v>13</v>
      </c>
    </row>
    <row r="96" spans="1:8" x14ac:dyDescent="0.35">
      <c r="A96" s="10">
        <f t="shared" si="1"/>
        <v>92</v>
      </c>
      <c r="B96" s="5">
        <v>1222</v>
      </c>
      <c r="C96" s="5" t="s">
        <v>208</v>
      </c>
      <c r="D96" s="5" t="s">
        <v>106</v>
      </c>
      <c r="E96" s="5" t="s">
        <v>35</v>
      </c>
      <c r="F96" s="5" t="s">
        <v>36</v>
      </c>
      <c r="G96" s="7">
        <v>40163</v>
      </c>
      <c r="H96" s="5" t="s">
        <v>13</v>
      </c>
    </row>
    <row r="97" spans="1:8" x14ac:dyDescent="0.35">
      <c r="A97" s="10">
        <f t="shared" si="1"/>
        <v>93</v>
      </c>
      <c r="B97" s="5">
        <v>1297</v>
      </c>
      <c r="C97" s="5" t="s">
        <v>209</v>
      </c>
      <c r="D97" s="5" t="s">
        <v>109</v>
      </c>
      <c r="E97" s="5" t="s">
        <v>16</v>
      </c>
      <c r="F97" s="5" t="s">
        <v>48</v>
      </c>
      <c r="G97" s="7">
        <v>38985</v>
      </c>
      <c r="H97" s="5" t="s">
        <v>13</v>
      </c>
    </row>
    <row r="98" spans="1:8" x14ac:dyDescent="0.35">
      <c r="A98" s="10">
        <f t="shared" si="1"/>
        <v>94</v>
      </c>
      <c r="B98" s="5">
        <v>1327</v>
      </c>
      <c r="C98" s="5" t="s">
        <v>210</v>
      </c>
      <c r="D98" s="5" t="s">
        <v>53</v>
      </c>
      <c r="E98" s="5" t="s">
        <v>112</v>
      </c>
      <c r="F98" s="5" t="s">
        <v>112</v>
      </c>
      <c r="G98" s="7">
        <v>39023</v>
      </c>
      <c r="H98" s="5" t="s">
        <v>13</v>
      </c>
    </row>
    <row r="99" spans="1:8" x14ac:dyDescent="0.35">
      <c r="A99" s="10">
        <f t="shared" si="1"/>
        <v>95</v>
      </c>
      <c r="B99" s="5">
        <v>1387</v>
      </c>
      <c r="C99" s="5" t="s">
        <v>211</v>
      </c>
      <c r="D99" s="5" t="s">
        <v>40</v>
      </c>
      <c r="E99" s="5" t="s">
        <v>16</v>
      </c>
      <c r="F99" s="5" t="s">
        <v>41</v>
      </c>
      <c r="G99" s="7">
        <v>39100</v>
      </c>
      <c r="H99" s="5" t="s">
        <v>13</v>
      </c>
    </row>
    <row r="100" spans="1:8" x14ac:dyDescent="0.35">
      <c r="A100" s="10">
        <f t="shared" si="1"/>
        <v>96</v>
      </c>
      <c r="B100" s="5">
        <v>1406</v>
      </c>
      <c r="C100" s="5" t="s">
        <v>212</v>
      </c>
      <c r="D100" s="5" t="s">
        <v>213</v>
      </c>
      <c r="E100" s="5" t="s">
        <v>94</v>
      </c>
      <c r="F100" s="5" t="s">
        <v>94</v>
      </c>
      <c r="G100" s="7">
        <v>39114</v>
      </c>
      <c r="H100" s="5" t="s">
        <v>13</v>
      </c>
    </row>
    <row r="101" spans="1:8" x14ac:dyDescent="0.35">
      <c r="A101" s="10">
        <f t="shared" si="1"/>
        <v>97</v>
      </c>
      <c r="B101" s="5">
        <v>1418</v>
      </c>
      <c r="C101" s="5" t="s">
        <v>214</v>
      </c>
      <c r="D101" s="5" t="s">
        <v>40</v>
      </c>
      <c r="E101" s="5" t="s">
        <v>16</v>
      </c>
      <c r="F101" s="5" t="s">
        <v>41</v>
      </c>
      <c r="G101" s="7">
        <v>39118</v>
      </c>
      <c r="H101" s="5" t="s">
        <v>13</v>
      </c>
    </row>
    <row r="102" spans="1:8" x14ac:dyDescent="0.35">
      <c r="A102" s="10">
        <f t="shared" si="1"/>
        <v>98</v>
      </c>
      <c r="B102" s="5">
        <v>1433</v>
      </c>
      <c r="C102" s="5" t="s">
        <v>217</v>
      </c>
      <c r="D102" s="5" t="s">
        <v>146</v>
      </c>
      <c r="E102" s="5" t="s">
        <v>12</v>
      </c>
      <c r="F102" s="5" t="s">
        <v>12</v>
      </c>
      <c r="G102" s="7">
        <v>39120</v>
      </c>
      <c r="H102" s="5" t="s">
        <v>13</v>
      </c>
    </row>
    <row r="103" spans="1:8" x14ac:dyDescent="0.35">
      <c r="A103" s="10">
        <f t="shared" si="1"/>
        <v>99</v>
      </c>
      <c r="B103" s="5">
        <v>1458</v>
      </c>
      <c r="C103" s="5" t="s">
        <v>218</v>
      </c>
      <c r="D103" s="5" t="s">
        <v>40</v>
      </c>
      <c r="E103" s="5" t="s">
        <v>16</v>
      </c>
      <c r="F103" s="5" t="s">
        <v>41</v>
      </c>
      <c r="G103" s="7">
        <v>39160</v>
      </c>
      <c r="H103" s="5" t="s">
        <v>13</v>
      </c>
    </row>
    <row r="104" spans="1:8" x14ac:dyDescent="0.35">
      <c r="A104" s="10">
        <f t="shared" si="1"/>
        <v>100</v>
      </c>
      <c r="B104" s="5">
        <v>1460</v>
      </c>
      <c r="C104" s="5" t="s">
        <v>219</v>
      </c>
      <c r="D104" s="5" t="s">
        <v>21</v>
      </c>
      <c r="E104" s="5" t="s">
        <v>54</v>
      </c>
      <c r="F104" s="5" t="s">
        <v>54</v>
      </c>
      <c r="G104" s="7">
        <v>39142</v>
      </c>
      <c r="H104" s="5" t="s">
        <v>13</v>
      </c>
    </row>
    <row r="105" spans="1:8" x14ac:dyDescent="0.35">
      <c r="A105" s="10">
        <f t="shared" si="1"/>
        <v>101</v>
      </c>
      <c r="B105" s="5">
        <v>1467</v>
      </c>
      <c r="C105" s="5" t="s">
        <v>220</v>
      </c>
      <c r="D105" s="5" t="s">
        <v>136</v>
      </c>
      <c r="E105" s="5" t="s">
        <v>68</v>
      </c>
      <c r="F105" s="5" t="s">
        <v>69</v>
      </c>
      <c r="G105" s="7">
        <v>39142</v>
      </c>
      <c r="H105" s="5" t="s">
        <v>13</v>
      </c>
    </row>
    <row r="106" spans="1:8" x14ac:dyDescent="0.35">
      <c r="A106" s="10">
        <f t="shared" si="1"/>
        <v>102</v>
      </c>
      <c r="B106" s="5">
        <v>1476</v>
      </c>
      <c r="C106" s="5" t="s">
        <v>221</v>
      </c>
      <c r="D106" s="5" t="s">
        <v>40</v>
      </c>
      <c r="E106" s="5" t="s">
        <v>16</v>
      </c>
      <c r="F106" s="5" t="s">
        <v>41</v>
      </c>
      <c r="G106" s="7">
        <v>39142</v>
      </c>
      <c r="H106" s="5" t="s">
        <v>13</v>
      </c>
    </row>
    <row r="107" spans="1:8" x14ac:dyDescent="0.35">
      <c r="A107" s="10">
        <f t="shared" si="1"/>
        <v>103</v>
      </c>
      <c r="B107" s="5">
        <v>1479</v>
      </c>
      <c r="C107" s="5" t="s">
        <v>222</v>
      </c>
      <c r="D107" s="5" t="s">
        <v>15</v>
      </c>
      <c r="E107" s="5" t="s">
        <v>16</v>
      </c>
      <c r="F107" s="5" t="s">
        <v>17</v>
      </c>
      <c r="G107" s="7">
        <v>39142</v>
      </c>
      <c r="H107" s="5" t="s">
        <v>13</v>
      </c>
    </row>
    <row r="108" spans="1:8" x14ac:dyDescent="0.35">
      <c r="A108" s="10">
        <f t="shared" si="1"/>
        <v>104</v>
      </c>
      <c r="B108" s="5">
        <v>1543</v>
      </c>
      <c r="C108" s="5" t="s">
        <v>223</v>
      </c>
      <c r="D108" s="5" t="s">
        <v>15</v>
      </c>
      <c r="E108" s="5" t="s">
        <v>16</v>
      </c>
      <c r="F108" s="5" t="s">
        <v>194</v>
      </c>
      <c r="G108" s="7">
        <v>39173</v>
      </c>
      <c r="H108" s="5" t="s">
        <v>13</v>
      </c>
    </row>
    <row r="109" spans="1:8" x14ac:dyDescent="0.35">
      <c r="A109" s="10">
        <f t="shared" si="1"/>
        <v>105</v>
      </c>
      <c r="B109" s="5">
        <v>1544</v>
      </c>
      <c r="C109" s="5" t="s">
        <v>224</v>
      </c>
      <c r="D109" s="5" t="s">
        <v>15</v>
      </c>
      <c r="E109" s="5" t="s">
        <v>16</v>
      </c>
      <c r="F109" s="5" t="s">
        <v>17</v>
      </c>
      <c r="G109" s="7">
        <v>39173</v>
      </c>
      <c r="H109" s="5" t="s">
        <v>13</v>
      </c>
    </row>
    <row r="110" spans="1:8" x14ac:dyDescent="0.35">
      <c r="A110" s="10">
        <f t="shared" si="1"/>
        <v>106</v>
      </c>
      <c r="B110" s="5">
        <v>1548</v>
      </c>
      <c r="C110" s="5" t="s">
        <v>225</v>
      </c>
      <c r="D110" s="5" t="s">
        <v>151</v>
      </c>
      <c r="E110" s="5" t="s">
        <v>24</v>
      </c>
      <c r="F110" s="5" t="s">
        <v>152</v>
      </c>
      <c r="G110" s="7">
        <v>39173</v>
      </c>
      <c r="H110" s="5" t="s">
        <v>13</v>
      </c>
    </row>
    <row r="111" spans="1:8" x14ac:dyDescent="0.35">
      <c r="A111" s="10">
        <f t="shared" si="1"/>
        <v>107</v>
      </c>
      <c r="B111" s="5">
        <v>1550</v>
      </c>
      <c r="C111" s="5" t="s">
        <v>226</v>
      </c>
      <c r="D111" s="5" t="s">
        <v>227</v>
      </c>
      <c r="E111" s="5" t="s">
        <v>228</v>
      </c>
      <c r="F111" s="5" t="s">
        <v>228</v>
      </c>
      <c r="G111" s="7">
        <v>39188</v>
      </c>
      <c r="H111" s="5" t="s">
        <v>13</v>
      </c>
    </row>
    <row r="112" spans="1:8" x14ac:dyDescent="0.35">
      <c r="A112" s="10">
        <f t="shared" si="1"/>
        <v>108</v>
      </c>
      <c r="B112" s="5">
        <v>1605</v>
      </c>
      <c r="C112" s="5" t="s">
        <v>230</v>
      </c>
      <c r="D112" s="5" t="s">
        <v>151</v>
      </c>
      <c r="E112" s="5" t="s">
        <v>28</v>
      </c>
      <c r="F112" s="5" t="s">
        <v>29</v>
      </c>
      <c r="G112" s="7">
        <v>39203</v>
      </c>
      <c r="H112" s="5" t="s">
        <v>13</v>
      </c>
    </row>
    <row r="113" spans="1:8" x14ac:dyDescent="0.35">
      <c r="A113" s="10">
        <f t="shared" si="1"/>
        <v>109</v>
      </c>
      <c r="B113" s="5">
        <v>1607</v>
      </c>
      <c r="C113" s="5" t="s">
        <v>231</v>
      </c>
      <c r="D113" s="5" t="s">
        <v>232</v>
      </c>
      <c r="E113" s="5" t="s">
        <v>117</v>
      </c>
      <c r="F113" s="5" t="s">
        <v>176</v>
      </c>
      <c r="G113" s="7">
        <v>39203</v>
      </c>
      <c r="H113" s="5" t="s">
        <v>13</v>
      </c>
    </row>
    <row r="114" spans="1:8" x14ac:dyDescent="0.35">
      <c r="A114" s="10">
        <f t="shared" si="1"/>
        <v>110</v>
      </c>
      <c r="B114" s="5">
        <v>1611</v>
      </c>
      <c r="C114" s="5" t="s">
        <v>233</v>
      </c>
      <c r="D114" s="5" t="s">
        <v>146</v>
      </c>
      <c r="E114" s="5" t="s">
        <v>12</v>
      </c>
      <c r="F114" s="5" t="s">
        <v>12</v>
      </c>
      <c r="G114" s="7">
        <v>39203</v>
      </c>
      <c r="H114" s="5" t="s">
        <v>13</v>
      </c>
    </row>
    <row r="115" spans="1:8" x14ac:dyDescent="0.35">
      <c r="A115" s="10">
        <f t="shared" si="1"/>
        <v>111</v>
      </c>
      <c r="B115" s="5">
        <v>1626</v>
      </c>
      <c r="C115" s="5" t="s">
        <v>234</v>
      </c>
      <c r="D115" s="5" t="s">
        <v>235</v>
      </c>
      <c r="E115" s="5" t="s">
        <v>117</v>
      </c>
      <c r="F115" s="5" t="s">
        <v>176</v>
      </c>
      <c r="G115" s="7">
        <v>39234</v>
      </c>
      <c r="H115" s="5" t="s">
        <v>13</v>
      </c>
    </row>
    <row r="116" spans="1:8" x14ac:dyDescent="0.35">
      <c r="A116" s="10">
        <f t="shared" si="1"/>
        <v>112</v>
      </c>
      <c r="B116" s="5">
        <v>1668</v>
      </c>
      <c r="C116" s="5" t="s">
        <v>236</v>
      </c>
      <c r="D116" s="5" t="s">
        <v>237</v>
      </c>
      <c r="E116" s="5" t="s">
        <v>16</v>
      </c>
      <c r="F116" s="5" t="s">
        <v>238</v>
      </c>
      <c r="G116" s="7">
        <v>39254</v>
      </c>
      <c r="H116" s="5" t="s">
        <v>13</v>
      </c>
    </row>
    <row r="117" spans="1:8" x14ac:dyDescent="0.35">
      <c r="A117" s="10">
        <f t="shared" si="1"/>
        <v>113</v>
      </c>
      <c r="B117" s="5">
        <v>1672</v>
      </c>
      <c r="C117" s="5" t="s">
        <v>239</v>
      </c>
      <c r="D117" s="5" t="s">
        <v>40</v>
      </c>
      <c r="E117" s="5" t="s">
        <v>16</v>
      </c>
      <c r="F117" s="5" t="s">
        <v>41</v>
      </c>
      <c r="G117" s="7">
        <v>39254</v>
      </c>
      <c r="H117" s="5" t="s">
        <v>13</v>
      </c>
    </row>
    <row r="118" spans="1:8" x14ac:dyDescent="0.35">
      <c r="A118" s="10">
        <f t="shared" si="1"/>
        <v>114</v>
      </c>
      <c r="B118" s="5">
        <v>1677</v>
      </c>
      <c r="C118" s="5" t="s">
        <v>240</v>
      </c>
      <c r="D118" s="5" t="s">
        <v>151</v>
      </c>
      <c r="E118" s="5" t="s">
        <v>68</v>
      </c>
      <c r="F118" s="5" t="s">
        <v>69</v>
      </c>
      <c r="G118" s="7">
        <v>39234</v>
      </c>
      <c r="H118" s="5" t="s">
        <v>13</v>
      </c>
    </row>
    <row r="119" spans="1:8" x14ac:dyDescent="0.35">
      <c r="A119" s="10">
        <f t="shared" si="1"/>
        <v>115</v>
      </c>
      <c r="B119" s="5">
        <v>1689</v>
      </c>
      <c r="C119" s="5" t="s">
        <v>241</v>
      </c>
      <c r="D119" s="5" t="s">
        <v>40</v>
      </c>
      <c r="E119" s="5" t="s">
        <v>16</v>
      </c>
      <c r="F119" s="5" t="s">
        <v>41</v>
      </c>
      <c r="G119" s="7">
        <v>38455</v>
      </c>
      <c r="H119" s="5" t="s">
        <v>13</v>
      </c>
    </row>
    <row r="120" spans="1:8" x14ac:dyDescent="0.35">
      <c r="A120" s="10">
        <f t="shared" si="1"/>
        <v>116</v>
      </c>
      <c r="B120" s="5">
        <v>1704</v>
      </c>
      <c r="C120" s="5" t="s">
        <v>242</v>
      </c>
      <c r="D120" s="5" t="s">
        <v>243</v>
      </c>
      <c r="E120" s="5" t="s">
        <v>35</v>
      </c>
      <c r="F120" s="5" t="s">
        <v>84</v>
      </c>
      <c r="G120" s="7">
        <v>39265</v>
      </c>
      <c r="H120" s="5" t="s">
        <v>13</v>
      </c>
    </row>
    <row r="121" spans="1:8" x14ac:dyDescent="0.35">
      <c r="A121" s="10">
        <f t="shared" si="1"/>
        <v>117</v>
      </c>
      <c r="B121" s="5">
        <v>1728</v>
      </c>
      <c r="C121" s="5" t="s">
        <v>244</v>
      </c>
      <c r="D121" s="5" t="s">
        <v>40</v>
      </c>
      <c r="E121" s="5" t="s">
        <v>16</v>
      </c>
      <c r="F121" s="5" t="s">
        <v>41</v>
      </c>
      <c r="G121" s="7">
        <v>39295</v>
      </c>
      <c r="H121" s="5" t="s">
        <v>13</v>
      </c>
    </row>
    <row r="122" spans="1:8" x14ac:dyDescent="0.35">
      <c r="A122" s="10">
        <f t="shared" si="1"/>
        <v>118</v>
      </c>
      <c r="B122" s="5">
        <v>173</v>
      </c>
      <c r="C122" s="5" t="s">
        <v>245</v>
      </c>
      <c r="D122" s="5" t="s">
        <v>63</v>
      </c>
      <c r="E122" s="5" t="s">
        <v>64</v>
      </c>
      <c r="F122" s="5" t="s">
        <v>64</v>
      </c>
      <c r="G122" s="7">
        <v>37622</v>
      </c>
      <c r="H122" s="5" t="s">
        <v>13</v>
      </c>
    </row>
    <row r="123" spans="1:8" x14ac:dyDescent="0.35">
      <c r="A123" s="10">
        <f t="shared" si="1"/>
        <v>119</v>
      </c>
      <c r="B123" s="5">
        <v>1730</v>
      </c>
      <c r="C123" s="5" t="s">
        <v>246</v>
      </c>
      <c r="D123" s="5" t="s">
        <v>40</v>
      </c>
      <c r="E123" s="5" t="s">
        <v>16</v>
      </c>
      <c r="F123" s="5" t="s">
        <v>247</v>
      </c>
      <c r="G123" s="7">
        <v>39280</v>
      </c>
      <c r="H123" s="5" t="s">
        <v>13</v>
      </c>
    </row>
    <row r="124" spans="1:8" x14ac:dyDescent="0.35">
      <c r="A124" s="10">
        <f t="shared" si="1"/>
        <v>120</v>
      </c>
      <c r="B124" s="5">
        <v>1732</v>
      </c>
      <c r="C124" s="5" t="s">
        <v>248</v>
      </c>
      <c r="D124" s="5" t="s">
        <v>151</v>
      </c>
      <c r="E124" s="5" t="s">
        <v>99</v>
      </c>
      <c r="F124" s="5" t="s">
        <v>249</v>
      </c>
      <c r="G124" s="7">
        <v>39264</v>
      </c>
      <c r="H124" s="5" t="s">
        <v>13</v>
      </c>
    </row>
    <row r="125" spans="1:8" x14ac:dyDescent="0.35">
      <c r="A125" s="10">
        <f t="shared" si="1"/>
        <v>121</v>
      </c>
      <c r="B125" s="5">
        <v>1735</v>
      </c>
      <c r="C125" s="5" t="s">
        <v>250</v>
      </c>
      <c r="D125" s="5" t="s">
        <v>15</v>
      </c>
      <c r="E125" s="5" t="s">
        <v>16</v>
      </c>
      <c r="F125" s="5" t="s">
        <v>17</v>
      </c>
      <c r="G125" s="7">
        <v>39264</v>
      </c>
      <c r="H125" s="5" t="s">
        <v>13</v>
      </c>
    </row>
    <row r="126" spans="1:8" x14ac:dyDescent="0.35">
      <c r="A126" s="10">
        <f t="shared" si="1"/>
        <v>122</v>
      </c>
      <c r="B126" s="5">
        <v>1737</v>
      </c>
      <c r="C126" s="5" t="s">
        <v>251</v>
      </c>
      <c r="D126" s="5" t="s">
        <v>21</v>
      </c>
      <c r="E126" s="5" t="s">
        <v>117</v>
      </c>
      <c r="F126" s="5" t="s">
        <v>176</v>
      </c>
      <c r="G126" s="7">
        <v>39264</v>
      </c>
      <c r="H126" s="5" t="s">
        <v>13</v>
      </c>
    </row>
    <row r="127" spans="1:8" x14ac:dyDescent="0.35">
      <c r="A127" s="10">
        <f t="shared" si="1"/>
        <v>123</v>
      </c>
      <c r="B127" s="5">
        <v>1738</v>
      </c>
      <c r="C127" s="5" t="s">
        <v>252</v>
      </c>
      <c r="D127" s="5" t="s">
        <v>151</v>
      </c>
      <c r="E127" s="5" t="s">
        <v>28</v>
      </c>
      <c r="F127" s="5" t="s">
        <v>29</v>
      </c>
      <c r="G127" s="7">
        <v>39264</v>
      </c>
      <c r="H127" s="5" t="s">
        <v>13</v>
      </c>
    </row>
    <row r="128" spans="1:8" x14ac:dyDescent="0.35">
      <c r="A128" s="10">
        <f t="shared" si="1"/>
        <v>124</v>
      </c>
      <c r="B128" s="5">
        <v>1739</v>
      </c>
      <c r="C128" s="5" t="s">
        <v>253</v>
      </c>
      <c r="D128" s="5" t="s">
        <v>136</v>
      </c>
      <c r="E128" s="5" t="s">
        <v>68</v>
      </c>
      <c r="F128" s="5" t="s">
        <v>254</v>
      </c>
      <c r="G128" s="7">
        <v>39264</v>
      </c>
      <c r="H128" s="5" t="s">
        <v>13</v>
      </c>
    </row>
    <row r="129" spans="1:8" x14ac:dyDescent="0.35">
      <c r="A129" s="10">
        <f t="shared" si="1"/>
        <v>125</v>
      </c>
      <c r="B129" s="5">
        <v>1773</v>
      </c>
      <c r="C129" s="5" t="s">
        <v>255</v>
      </c>
      <c r="D129" s="5" t="s">
        <v>15</v>
      </c>
      <c r="E129" s="5" t="s">
        <v>16</v>
      </c>
      <c r="F129" s="5" t="s">
        <v>17</v>
      </c>
      <c r="G129" s="7">
        <v>39965</v>
      </c>
      <c r="H129" s="5" t="s">
        <v>13</v>
      </c>
    </row>
    <row r="130" spans="1:8" x14ac:dyDescent="0.35">
      <c r="A130" s="10">
        <f t="shared" si="1"/>
        <v>126</v>
      </c>
      <c r="B130" s="5">
        <v>1790</v>
      </c>
      <c r="C130" s="5" t="s">
        <v>256</v>
      </c>
      <c r="D130" s="5" t="s">
        <v>257</v>
      </c>
      <c r="E130" s="5" t="s">
        <v>228</v>
      </c>
      <c r="F130" s="5" t="s">
        <v>228</v>
      </c>
      <c r="G130" s="7">
        <v>39331</v>
      </c>
      <c r="H130" s="5" t="s">
        <v>13</v>
      </c>
    </row>
    <row r="131" spans="1:8" x14ac:dyDescent="0.35">
      <c r="A131" s="10">
        <f t="shared" si="1"/>
        <v>127</v>
      </c>
      <c r="B131" s="5">
        <v>1794</v>
      </c>
      <c r="C131" s="5" t="s">
        <v>258</v>
      </c>
      <c r="D131" s="5" t="s">
        <v>60</v>
      </c>
      <c r="E131" s="5" t="s">
        <v>61</v>
      </c>
      <c r="F131" s="5" t="s">
        <v>61</v>
      </c>
      <c r="G131" s="7">
        <v>39326</v>
      </c>
      <c r="H131" s="5" t="s">
        <v>13</v>
      </c>
    </row>
    <row r="132" spans="1:8" x14ac:dyDescent="0.35">
      <c r="A132" s="10">
        <f t="shared" si="1"/>
        <v>128</v>
      </c>
      <c r="B132" s="5">
        <v>1798</v>
      </c>
      <c r="C132" s="5" t="s">
        <v>260</v>
      </c>
      <c r="D132" s="5" t="s">
        <v>151</v>
      </c>
      <c r="E132" s="5" t="s">
        <v>99</v>
      </c>
      <c r="F132" s="5" t="s">
        <v>249</v>
      </c>
      <c r="G132" s="7">
        <v>39326</v>
      </c>
      <c r="H132" s="5" t="s">
        <v>13</v>
      </c>
    </row>
    <row r="133" spans="1:8" x14ac:dyDescent="0.35">
      <c r="A133" s="10">
        <f t="shared" si="1"/>
        <v>129</v>
      </c>
      <c r="B133" s="5">
        <v>1824</v>
      </c>
      <c r="C133" s="5" t="s">
        <v>261</v>
      </c>
      <c r="D133" s="5" t="s">
        <v>15</v>
      </c>
      <c r="E133" s="5" t="s">
        <v>64</v>
      </c>
      <c r="F133" s="5" t="s">
        <v>64</v>
      </c>
      <c r="G133" s="7">
        <v>39356</v>
      </c>
      <c r="H133" s="5" t="s">
        <v>13</v>
      </c>
    </row>
    <row r="134" spans="1:8" x14ac:dyDescent="0.35">
      <c r="A134" s="10">
        <f t="shared" ref="A134:A197" si="2">+A133+1</f>
        <v>130</v>
      </c>
      <c r="B134" s="5">
        <v>1839</v>
      </c>
      <c r="C134" s="5" t="s">
        <v>262</v>
      </c>
      <c r="D134" s="5" t="s">
        <v>151</v>
      </c>
      <c r="E134" s="5" t="s">
        <v>263</v>
      </c>
      <c r="F134" s="5" t="s">
        <v>264</v>
      </c>
      <c r="G134" s="7">
        <v>39387</v>
      </c>
      <c r="H134" s="5" t="s">
        <v>13</v>
      </c>
    </row>
    <row r="135" spans="1:8" x14ac:dyDescent="0.35">
      <c r="A135" s="10">
        <f t="shared" si="2"/>
        <v>131</v>
      </c>
      <c r="B135" s="5">
        <v>1840</v>
      </c>
      <c r="C135" s="5" t="s">
        <v>265</v>
      </c>
      <c r="D135" s="5" t="s">
        <v>21</v>
      </c>
      <c r="E135" s="5" t="s">
        <v>54</v>
      </c>
      <c r="F135" s="5" t="s">
        <v>54</v>
      </c>
      <c r="G135" s="7">
        <v>39387</v>
      </c>
      <c r="H135" s="5" t="s">
        <v>13</v>
      </c>
    </row>
    <row r="136" spans="1:8" x14ac:dyDescent="0.35">
      <c r="A136" s="10">
        <f t="shared" si="2"/>
        <v>132</v>
      </c>
      <c r="B136" s="5">
        <v>1842</v>
      </c>
      <c r="C136" s="5" t="s">
        <v>266</v>
      </c>
      <c r="D136" s="5" t="s">
        <v>186</v>
      </c>
      <c r="E136" s="5" t="s">
        <v>68</v>
      </c>
      <c r="F136" s="5" t="s">
        <v>187</v>
      </c>
      <c r="G136" s="7">
        <v>39387</v>
      </c>
      <c r="H136" s="5" t="s">
        <v>13</v>
      </c>
    </row>
    <row r="137" spans="1:8" x14ac:dyDescent="0.35">
      <c r="A137" s="10">
        <f t="shared" si="2"/>
        <v>133</v>
      </c>
      <c r="B137" s="5">
        <v>1845</v>
      </c>
      <c r="C137" s="5" t="s">
        <v>267</v>
      </c>
      <c r="D137" s="5" t="s">
        <v>268</v>
      </c>
      <c r="E137" s="5" t="s">
        <v>24</v>
      </c>
      <c r="F137" s="5" t="s">
        <v>152</v>
      </c>
      <c r="G137" s="7">
        <v>39387</v>
      </c>
      <c r="H137" s="5" t="s">
        <v>13</v>
      </c>
    </row>
    <row r="138" spans="1:8" x14ac:dyDescent="0.35">
      <c r="A138" s="10">
        <f t="shared" si="2"/>
        <v>134</v>
      </c>
      <c r="B138" s="5">
        <v>1846</v>
      </c>
      <c r="C138" s="5" t="s">
        <v>269</v>
      </c>
      <c r="D138" s="5" t="s">
        <v>257</v>
      </c>
      <c r="E138" s="5" t="s">
        <v>94</v>
      </c>
      <c r="F138" s="5" t="s">
        <v>94</v>
      </c>
      <c r="G138" s="7">
        <v>39387</v>
      </c>
      <c r="H138" s="5" t="s">
        <v>13</v>
      </c>
    </row>
    <row r="139" spans="1:8" x14ac:dyDescent="0.35">
      <c r="A139" s="10">
        <f t="shared" si="2"/>
        <v>135</v>
      </c>
      <c r="B139" s="5">
        <v>1852</v>
      </c>
      <c r="C139" s="5" t="s">
        <v>270</v>
      </c>
      <c r="D139" s="5" t="s">
        <v>146</v>
      </c>
      <c r="E139" s="5" t="s">
        <v>12</v>
      </c>
      <c r="F139" s="5" t="s">
        <v>12</v>
      </c>
      <c r="G139" s="7">
        <v>39419</v>
      </c>
      <c r="H139" s="5" t="s">
        <v>13</v>
      </c>
    </row>
    <row r="140" spans="1:8" x14ac:dyDescent="0.35">
      <c r="A140" s="10">
        <f t="shared" si="2"/>
        <v>136</v>
      </c>
      <c r="B140" s="5">
        <v>1864</v>
      </c>
      <c r="C140" s="5" t="s">
        <v>271</v>
      </c>
      <c r="D140" s="5" t="s">
        <v>186</v>
      </c>
      <c r="E140" s="5" t="s">
        <v>68</v>
      </c>
      <c r="F140" s="5" t="s">
        <v>187</v>
      </c>
      <c r="G140" s="7">
        <v>39417</v>
      </c>
      <c r="H140" s="5" t="s">
        <v>13</v>
      </c>
    </row>
    <row r="141" spans="1:8" x14ac:dyDescent="0.35">
      <c r="A141" s="10">
        <f t="shared" si="2"/>
        <v>137</v>
      </c>
      <c r="B141" s="5">
        <v>1903</v>
      </c>
      <c r="C141" s="5" t="s">
        <v>274</v>
      </c>
      <c r="D141" s="5" t="s">
        <v>275</v>
      </c>
      <c r="E141" s="5" t="s">
        <v>263</v>
      </c>
      <c r="F141" s="5" t="s">
        <v>276</v>
      </c>
      <c r="G141" s="7">
        <v>37592</v>
      </c>
      <c r="H141" s="5" t="s">
        <v>13</v>
      </c>
    </row>
    <row r="142" spans="1:8" x14ac:dyDescent="0.35">
      <c r="A142" s="10">
        <f t="shared" si="2"/>
        <v>138</v>
      </c>
      <c r="B142" s="5">
        <v>1909</v>
      </c>
      <c r="C142" s="5" t="s">
        <v>277</v>
      </c>
      <c r="D142" s="5" t="s">
        <v>151</v>
      </c>
      <c r="E142" s="5" t="s">
        <v>68</v>
      </c>
      <c r="F142" s="5" t="s">
        <v>69</v>
      </c>
      <c r="G142" s="7">
        <v>39508</v>
      </c>
      <c r="H142" s="5" t="s">
        <v>13</v>
      </c>
    </row>
    <row r="143" spans="1:8" x14ac:dyDescent="0.35">
      <c r="A143" s="10">
        <f t="shared" si="2"/>
        <v>139</v>
      </c>
      <c r="B143" s="5">
        <v>1915</v>
      </c>
      <c r="C143" s="5" t="s">
        <v>278</v>
      </c>
      <c r="D143" s="5" t="s">
        <v>186</v>
      </c>
      <c r="E143" s="5" t="s">
        <v>68</v>
      </c>
      <c r="F143" s="5" t="s">
        <v>187</v>
      </c>
      <c r="G143" s="7">
        <v>39508</v>
      </c>
      <c r="H143" s="5" t="s">
        <v>13</v>
      </c>
    </row>
    <row r="144" spans="1:8" x14ac:dyDescent="0.35">
      <c r="A144" s="10">
        <f t="shared" si="2"/>
        <v>140</v>
      </c>
      <c r="B144" s="5">
        <v>1922</v>
      </c>
      <c r="C144" s="5" t="s">
        <v>279</v>
      </c>
      <c r="D144" s="5" t="s">
        <v>280</v>
      </c>
      <c r="E144" s="5" t="s">
        <v>68</v>
      </c>
      <c r="F144" s="5" t="s">
        <v>187</v>
      </c>
      <c r="G144" s="7">
        <v>39508</v>
      </c>
      <c r="H144" s="5" t="s">
        <v>13</v>
      </c>
    </row>
    <row r="145" spans="1:8" x14ac:dyDescent="0.35">
      <c r="A145" s="10">
        <f t="shared" si="2"/>
        <v>141</v>
      </c>
      <c r="B145" s="5">
        <v>1923</v>
      </c>
      <c r="C145" s="5" t="s">
        <v>281</v>
      </c>
      <c r="D145" s="5" t="s">
        <v>282</v>
      </c>
      <c r="E145" s="5" t="s">
        <v>116</v>
      </c>
      <c r="F145" s="5" t="s">
        <v>117</v>
      </c>
      <c r="G145" s="7">
        <v>39508</v>
      </c>
      <c r="H145" s="5" t="s">
        <v>13</v>
      </c>
    </row>
    <row r="146" spans="1:8" x14ac:dyDescent="0.35">
      <c r="A146" s="10">
        <f t="shared" si="2"/>
        <v>142</v>
      </c>
      <c r="B146" s="5">
        <v>1949</v>
      </c>
      <c r="C146" s="5" t="s">
        <v>286</v>
      </c>
      <c r="D146" s="5" t="s">
        <v>237</v>
      </c>
      <c r="E146" s="5" t="s">
        <v>16</v>
      </c>
      <c r="F146" s="5" t="s">
        <v>141</v>
      </c>
      <c r="G146" s="7">
        <v>39550</v>
      </c>
      <c r="H146" s="5" t="s">
        <v>13</v>
      </c>
    </row>
    <row r="147" spans="1:8" x14ac:dyDescent="0.35">
      <c r="A147" s="10">
        <f t="shared" si="2"/>
        <v>143</v>
      </c>
      <c r="B147" s="5">
        <v>1958</v>
      </c>
      <c r="C147" s="5" t="s">
        <v>287</v>
      </c>
      <c r="D147" s="5" t="s">
        <v>38</v>
      </c>
      <c r="E147" s="5" t="s">
        <v>16</v>
      </c>
      <c r="F147" s="5" t="s">
        <v>20</v>
      </c>
      <c r="G147" s="7">
        <v>39559</v>
      </c>
      <c r="H147" s="5" t="s">
        <v>21</v>
      </c>
    </row>
    <row r="148" spans="1:8" x14ac:dyDescent="0.35">
      <c r="A148" s="10">
        <f t="shared" si="2"/>
        <v>144</v>
      </c>
      <c r="B148" s="5">
        <v>197</v>
      </c>
      <c r="C148" s="5" t="s">
        <v>288</v>
      </c>
      <c r="D148" s="5" t="s">
        <v>282</v>
      </c>
      <c r="E148" s="5" t="s">
        <v>116</v>
      </c>
      <c r="F148" s="5" t="s">
        <v>117</v>
      </c>
      <c r="G148" s="7">
        <v>37627</v>
      </c>
      <c r="H148" s="5" t="s">
        <v>13</v>
      </c>
    </row>
    <row r="149" spans="1:8" x14ac:dyDescent="0.35">
      <c r="A149" s="10">
        <f t="shared" si="2"/>
        <v>145</v>
      </c>
      <c r="B149" s="5">
        <v>1977</v>
      </c>
      <c r="C149" s="5" t="s">
        <v>289</v>
      </c>
      <c r="D149" s="5" t="s">
        <v>40</v>
      </c>
      <c r="E149" s="5" t="s">
        <v>16</v>
      </c>
      <c r="F149" s="5" t="s">
        <v>41</v>
      </c>
      <c r="G149" s="7">
        <v>39539</v>
      </c>
      <c r="H149" s="5" t="s">
        <v>13</v>
      </c>
    </row>
    <row r="150" spans="1:8" x14ac:dyDescent="0.35">
      <c r="A150" s="10">
        <f t="shared" si="2"/>
        <v>146</v>
      </c>
      <c r="B150" s="5">
        <v>1980</v>
      </c>
      <c r="C150" s="5" t="s">
        <v>290</v>
      </c>
      <c r="D150" s="5" t="s">
        <v>280</v>
      </c>
      <c r="E150" s="5" t="s">
        <v>68</v>
      </c>
      <c r="F150" s="5" t="s">
        <v>187</v>
      </c>
      <c r="G150" s="7">
        <v>39539</v>
      </c>
      <c r="H150" s="5" t="s">
        <v>13</v>
      </c>
    </row>
    <row r="151" spans="1:8" x14ac:dyDescent="0.35">
      <c r="A151" s="10">
        <f t="shared" si="2"/>
        <v>147</v>
      </c>
      <c r="B151" s="5">
        <v>1981</v>
      </c>
      <c r="C151" s="5" t="s">
        <v>291</v>
      </c>
      <c r="D151" s="5" t="s">
        <v>292</v>
      </c>
      <c r="E151" s="5" t="s">
        <v>87</v>
      </c>
      <c r="F151" s="5" t="s">
        <v>293</v>
      </c>
      <c r="G151" s="7">
        <v>39539</v>
      </c>
      <c r="H151" s="5" t="s">
        <v>13</v>
      </c>
    </row>
    <row r="152" spans="1:8" x14ac:dyDescent="0.35">
      <c r="A152" s="10">
        <f t="shared" si="2"/>
        <v>148</v>
      </c>
      <c r="B152" s="5">
        <v>2008</v>
      </c>
      <c r="C152" s="5" t="s">
        <v>294</v>
      </c>
      <c r="D152" s="5" t="s">
        <v>295</v>
      </c>
      <c r="E152" s="5" t="s">
        <v>16</v>
      </c>
      <c r="F152" s="5" t="s">
        <v>20</v>
      </c>
      <c r="G152" s="7">
        <v>39608</v>
      </c>
      <c r="H152" s="5" t="s">
        <v>21</v>
      </c>
    </row>
    <row r="153" spans="1:8" x14ac:dyDescent="0.35">
      <c r="A153" s="10">
        <f t="shared" si="2"/>
        <v>149</v>
      </c>
      <c r="B153" s="5">
        <v>2013</v>
      </c>
      <c r="C153" s="5" t="s">
        <v>296</v>
      </c>
      <c r="D153" s="5" t="s">
        <v>237</v>
      </c>
      <c r="E153" s="5" t="s">
        <v>16</v>
      </c>
      <c r="F153" s="5" t="s">
        <v>20</v>
      </c>
      <c r="G153" s="7">
        <v>39611</v>
      </c>
      <c r="H153" s="5" t="s">
        <v>13</v>
      </c>
    </row>
    <row r="154" spans="1:8" x14ac:dyDescent="0.35">
      <c r="A154" s="10">
        <f t="shared" si="2"/>
        <v>150</v>
      </c>
      <c r="B154" s="5">
        <v>2038</v>
      </c>
      <c r="C154" s="5" t="s">
        <v>297</v>
      </c>
      <c r="D154" s="5" t="s">
        <v>298</v>
      </c>
      <c r="E154" s="5" t="s">
        <v>99</v>
      </c>
      <c r="F154" s="5" t="s">
        <v>249</v>
      </c>
      <c r="G154" s="7">
        <v>39600</v>
      </c>
      <c r="H154" s="5" t="s">
        <v>13</v>
      </c>
    </row>
    <row r="155" spans="1:8" x14ac:dyDescent="0.35">
      <c r="A155" s="10">
        <f t="shared" si="2"/>
        <v>151</v>
      </c>
      <c r="B155" s="5">
        <v>2049</v>
      </c>
      <c r="C155" s="5" t="s">
        <v>301</v>
      </c>
      <c r="D155" s="5" t="s">
        <v>237</v>
      </c>
      <c r="E155" s="5" t="s">
        <v>16</v>
      </c>
      <c r="F155" s="5" t="s">
        <v>302</v>
      </c>
      <c r="G155" s="7">
        <v>39636</v>
      </c>
      <c r="H155" s="5" t="s">
        <v>13</v>
      </c>
    </row>
    <row r="156" spans="1:8" x14ac:dyDescent="0.35">
      <c r="A156" s="10">
        <f t="shared" si="2"/>
        <v>152</v>
      </c>
      <c r="B156" s="5">
        <v>2079</v>
      </c>
      <c r="C156" s="5" t="s">
        <v>303</v>
      </c>
      <c r="D156" s="5" t="s">
        <v>164</v>
      </c>
      <c r="E156" s="5" t="s">
        <v>165</v>
      </c>
      <c r="F156" s="5" t="s">
        <v>165</v>
      </c>
      <c r="G156" s="7">
        <v>39671</v>
      </c>
      <c r="H156" s="5" t="s">
        <v>13</v>
      </c>
    </row>
    <row r="157" spans="1:8" x14ac:dyDescent="0.35">
      <c r="A157" s="10">
        <f t="shared" si="2"/>
        <v>153</v>
      </c>
      <c r="B157" s="5">
        <v>2106</v>
      </c>
      <c r="C157" s="5" t="s">
        <v>304</v>
      </c>
      <c r="D157" s="5" t="s">
        <v>237</v>
      </c>
      <c r="E157" s="5" t="s">
        <v>16</v>
      </c>
      <c r="F157" s="5" t="s">
        <v>20</v>
      </c>
      <c r="G157" s="7">
        <v>39706</v>
      </c>
      <c r="H157" s="5" t="s">
        <v>13</v>
      </c>
    </row>
    <row r="158" spans="1:8" x14ac:dyDescent="0.35">
      <c r="A158" s="10">
        <f t="shared" si="2"/>
        <v>154</v>
      </c>
      <c r="B158" s="5">
        <v>2186</v>
      </c>
      <c r="C158" s="5" t="s">
        <v>307</v>
      </c>
      <c r="D158" s="5" t="s">
        <v>308</v>
      </c>
      <c r="E158" s="5" t="s">
        <v>103</v>
      </c>
      <c r="F158" s="5" t="s">
        <v>103</v>
      </c>
      <c r="G158" s="7">
        <v>39753</v>
      </c>
      <c r="H158" s="5" t="s">
        <v>13</v>
      </c>
    </row>
    <row r="159" spans="1:8" x14ac:dyDescent="0.35">
      <c r="A159" s="10">
        <f t="shared" si="2"/>
        <v>155</v>
      </c>
      <c r="B159" s="5">
        <v>2216</v>
      </c>
      <c r="C159" s="5" t="s">
        <v>309</v>
      </c>
      <c r="D159" s="5" t="s">
        <v>40</v>
      </c>
      <c r="E159" s="5" t="s">
        <v>16</v>
      </c>
      <c r="F159" s="5" t="s">
        <v>41</v>
      </c>
      <c r="G159" s="7">
        <v>39814</v>
      </c>
      <c r="H159" s="5" t="s">
        <v>13</v>
      </c>
    </row>
    <row r="160" spans="1:8" x14ac:dyDescent="0.35">
      <c r="A160" s="10">
        <f t="shared" si="2"/>
        <v>156</v>
      </c>
      <c r="B160" s="5">
        <v>2219</v>
      </c>
      <c r="C160" s="5" t="s">
        <v>310</v>
      </c>
      <c r="D160" s="5" t="s">
        <v>21</v>
      </c>
      <c r="E160" s="5" t="s">
        <v>198</v>
      </c>
      <c r="F160" s="5" t="s">
        <v>198</v>
      </c>
      <c r="G160" s="7">
        <v>39783</v>
      </c>
      <c r="H160" s="5" t="s">
        <v>13</v>
      </c>
    </row>
    <row r="161" spans="1:8" x14ac:dyDescent="0.35">
      <c r="A161" s="10">
        <f t="shared" si="2"/>
        <v>157</v>
      </c>
      <c r="B161" s="5">
        <v>2223</v>
      </c>
      <c r="C161" s="5" t="s">
        <v>311</v>
      </c>
      <c r="D161" s="5" t="s">
        <v>21</v>
      </c>
      <c r="E161" s="5" t="s">
        <v>28</v>
      </c>
      <c r="F161" s="5" t="s">
        <v>29</v>
      </c>
      <c r="G161" s="7">
        <v>40504</v>
      </c>
      <c r="H161" s="5" t="s">
        <v>13</v>
      </c>
    </row>
    <row r="162" spans="1:8" x14ac:dyDescent="0.35">
      <c r="A162" s="10">
        <f t="shared" si="2"/>
        <v>158</v>
      </c>
      <c r="B162" s="5">
        <v>2231</v>
      </c>
      <c r="C162" s="5" t="s">
        <v>312</v>
      </c>
      <c r="D162" s="5" t="s">
        <v>313</v>
      </c>
      <c r="E162" s="5" t="s">
        <v>314</v>
      </c>
      <c r="F162" s="5" t="s">
        <v>315</v>
      </c>
      <c r="G162" s="7">
        <v>39811</v>
      </c>
      <c r="H162" s="5" t="s">
        <v>13</v>
      </c>
    </row>
    <row r="163" spans="1:8" x14ac:dyDescent="0.35">
      <c r="A163" s="10">
        <f t="shared" si="2"/>
        <v>159</v>
      </c>
      <c r="B163" s="5">
        <v>2236</v>
      </c>
      <c r="C163" s="5" t="s">
        <v>316</v>
      </c>
      <c r="D163" s="5" t="s">
        <v>317</v>
      </c>
      <c r="E163" s="5" t="s">
        <v>16</v>
      </c>
      <c r="F163" s="5" t="s">
        <v>20</v>
      </c>
      <c r="G163" s="7">
        <v>39783</v>
      </c>
      <c r="H163" s="5" t="s">
        <v>21</v>
      </c>
    </row>
    <row r="164" spans="1:8" x14ac:dyDescent="0.35">
      <c r="A164" s="10">
        <f t="shared" si="2"/>
        <v>160</v>
      </c>
      <c r="B164" s="5">
        <v>2238</v>
      </c>
      <c r="C164" s="5" t="s">
        <v>318</v>
      </c>
      <c r="D164" s="5" t="s">
        <v>257</v>
      </c>
      <c r="E164" s="5" t="s">
        <v>228</v>
      </c>
      <c r="F164" s="5" t="s">
        <v>228</v>
      </c>
      <c r="G164" s="7">
        <v>39808</v>
      </c>
      <c r="H164" s="5" t="s">
        <v>13</v>
      </c>
    </row>
    <row r="165" spans="1:8" x14ac:dyDescent="0.35">
      <c r="A165" s="10">
        <f t="shared" si="2"/>
        <v>161</v>
      </c>
      <c r="B165" s="5">
        <v>2242</v>
      </c>
      <c r="C165" s="5" t="s">
        <v>319</v>
      </c>
      <c r="D165" s="5" t="s">
        <v>38</v>
      </c>
      <c r="E165" s="5" t="s">
        <v>16</v>
      </c>
      <c r="F165" s="5" t="s">
        <v>20</v>
      </c>
      <c r="G165" s="7">
        <v>39753</v>
      </c>
      <c r="H165" s="5" t="s">
        <v>21</v>
      </c>
    </row>
    <row r="166" spans="1:8" x14ac:dyDescent="0.35">
      <c r="A166" s="10">
        <f t="shared" si="2"/>
        <v>162</v>
      </c>
      <c r="B166" s="5">
        <v>2266</v>
      </c>
      <c r="C166" s="5" t="s">
        <v>325</v>
      </c>
      <c r="D166" s="5" t="s">
        <v>237</v>
      </c>
      <c r="E166" s="5" t="s">
        <v>16</v>
      </c>
      <c r="F166" s="5" t="s">
        <v>326</v>
      </c>
      <c r="G166" s="7">
        <v>39853</v>
      </c>
      <c r="H166" s="5" t="s">
        <v>13</v>
      </c>
    </row>
    <row r="167" spans="1:8" x14ac:dyDescent="0.35">
      <c r="A167" s="10">
        <f t="shared" si="2"/>
        <v>163</v>
      </c>
      <c r="B167" s="5">
        <v>2271</v>
      </c>
      <c r="C167" s="5" t="s">
        <v>327</v>
      </c>
      <c r="D167" s="5" t="s">
        <v>40</v>
      </c>
      <c r="E167" s="5" t="s">
        <v>16</v>
      </c>
      <c r="F167" s="5" t="s">
        <v>41</v>
      </c>
      <c r="G167" s="7">
        <v>39508</v>
      </c>
      <c r="H167" s="5" t="s">
        <v>13</v>
      </c>
    </row>
    <row r="168" spans="1:8" x14ac:dyDescent="0.35">
      <c r="A168" s="10">
        <f t="shared" si="2"/>
        <v>164</v>
      </c>
      <c r="B168" s="5">
        <v>2297</v>
      </c>
      <c r="C168" s="5" t="s">
        <v>328</v>
      </c>
      <c r="D168" s="5" t="s">
        <v>257</v>
      </c>
      <c r="E168" s="5" t="s">
        <v>94</v>
      </c>
      <c r="F168" s="5" t="s">
        <v>94</v>
      </c>
      <c r="G168" s="7">
        <v>39923</v>
      </c>
      <c r="H168" s="5" t="s">
        <v>13</v>
      </c>
    </row>
    <row r="169" spans="1:8" x14ac:dyDescent="0.35">
      <c r="A169" s="10">
        <f t="shared" si="2"/>
        <v>165</v>
      </c>
      <c r="B169" s="5">
        <v>2321</v>
      </c>
      <c r="C169" s="5" t="s">
        <v>329</v>
      </c>
      <c r="D169" s="5" t="s">
        <v>330</v>
      </c>
      <c r="E169" s="5" t="s">
        <v>54</v>
      </c>
      <c r="F169" s="5" t="s">
        <v>54</v>
      </c>
      <c r="G169" s="7">
        <v>39979</v>
      </c>
      <c r="H169" s="5" t="s">
        <v>13</v>
      </c>
    </row>
    <row r="170" spans="1:8" x14ac:dyDescent="0.35">
      <c r="A170" s="10">
        <f t="shared" si="2"/>
        <v>166</v>
      </c>
      <c r="B170" s="5">
        <v>2337</v>
      </c>
      <c r="C170" s="5" t="s">
        <v>331</v>
      </c>
      <c r="D170" s="5" t="s">
        <v>332</v>
      </c>
      <c r="E170" s="5" t="s">
        <v>181</v>
      </c>
      <c r="F170" s="5" t="s">
        <v>181</v>
      </c>
      <c r="G170" s="7">
        <v>39965</v>
      </c>
      <c r="H170" s="5" t="s">
        <v>13</v>
      </c>
    </row>
    <row r="171" spans="1:8" x14ac:dyDescent="0.35">
      <c r="A171" s="10">
        <f t="shared" si="2"/>
        <v>167</v>
      </c>
      <c r="B171" s="5">
        <v>2341</v>
      </c>
      <c r="C171" s="5" t="s">
        <v>333</v>
      </c>
      <c r="D171" s="5" t="s">
        <v>80</v>
      </c>
      <c r="E171" s="5" t="s">
        <v>165</v>
      </c>
      <c r="F171" s="5" t="s">
        <v>165</v>
      </c>
      <c r="G171" s="7">
        <v>39965</v>
      </c>
      <c r="H171" s="5" t="s">
        <v>13</v>
      </c>
    </row>
    <row r="172" spans="1:8" x14ac:dyDescent="0.35">
      <c r="A172" s="10">
        <f t="shared" si="2"/>
        <v>168</v>
      </c>
      <c r="B172" s="5">
        <v>2358</v>
      </c>
      <c r="C172" s="5" t="s">
        <v>334</v>
      </c>
      <c r="D172" s="5" t="s">
        <v>21</v>
      </c>
      <c r="E172" s="5" t="s">
        <v>64</v>
      </c>
      <c r="F172" s="5" t="s">
        <v>64</v>
      </c>
      <c r="G172" s="7">
        <v>39753</v>
      </c>
      <c r="H172" s="5" t="s">
        <v>13</v>
      </c>
    </row>
    <row r="173" spans="1:8" x14ac:dyDescent="0.35">
      <c r="A173" s="10">
        <f t="shared" si="2"/>
        <v>169</v>
      </c>
      <c r="B173" s="5">
        <v>2382</v>
      </c>
      <c r="C173" s="5" t="s">
        <v>335</v>
      </c>
      <c r="D173" s="5" t="s">
        <v>151</v>
      </c>
      <c r="E173" s="5" t="s">
        <v>24</v>
      </c>
      <c r="F173" s="5" t="s">
        <v>152</v>
      </c>
      <c r="G173" s="7">
        <v>39995</v>
      </c>
      <c r="H173" s="5" t="s">
        <v>13</v>
      </c>
    </row>
    <row r="174" spans="1:8" x14ac:dyDescent="0.35">
      <c r="A174" s="10">
        <f t="shared" si="2"/>
        <v>170</v>
      </c>
      <c r="B174" s="5">
        <v>2386</v>
      </c>
      <c r="C174" s="5" t="s">
        <v>336</v>
      </c>
      <c r="D174" s="5" t="s">
        <v>317</v>
      </c>
      <c r="E174" s="5" t="s">
        <v>16</v>
      </c>
      <c r="F174" s="5" t="s">
        <v>20</v>
      </c>
      <c r="G174" s="7">
        <v>40042</v>
      </c>
      <c r="H174" s="5" t="s">
        <v>21</v>
      </c>
    </row>
    <row r="175" spans="1:8" x14ac:dyDescent="0.35">
      <c r="A175" s="10">
        <f t="shared" si="2"/>
        <v>171</v>
      </c>
      <c r="B175" s="5">
        <v>2389</v>
      </c>
      <c r="C175" s="5" t="s">
        <v>337</v>
      </c>
      <c r="D175" s="5" t="s">
        <v>80</v>
      </c>
      <c r="E175" s="5" t="s">
        <v>165</v>
      </c>
      <c r="F175" s="5" t="s">
        <v>165</v>
      </c>
      <c r="G175" s="7">
        <v>39995</v>
      </c>
      <c r="H175" s="5" t="s">
        <v>13</v>
      </c>
    </row>
    <row r="176" spans="1:8" x14ac:dyDescent="0.35">
      <c r="A176" s="10">
        <f t="shared" si="2"/>
        <v>172</v>
      </c>
      <c r="B176" s="5">
        <v>2392</v>
      </c>
      <c r="C176" s="5" t="s">
        <v>338</v>
      </c>
      <c r="D176" s="5" t="s">
        <v>186</v>
      </c>
      <c r="E176" s="5" t="s">
        <v>68</v>
      </c>
      <c r="F176" s="5" t="s">
        <v>187</v>
      </c>
      <c r="G176" s="7">
        <v>39995</v>
      </c>
      <c r="H176" s="5" t="s">
        <v>13</v>
      </c>
    </row>
    <row r="177" spans="1:8" x14ac:dyDescent="0.35">
      <c r="A177" s="10">
        <f t="shared" si="2"/>
        <v>173</v>
      </c>
      <c r="B177" s="5">
        <v>2403</v>
      </c>
      <c r="C177" s="5" t="s">
        <v>339</v>
      </c>
      <c r="D177" s="5" t="s">
        <v>340</v>
      </c>
      <c r="E177" s="5" t="s">
        <v>68</v>
      </c>
      <c r="F177" s="5" t="s">
        <v>69</v>
      </c>
      <c r="G177" s="7">
        <v>40026</v>
      </c>
      <c r="H177" s="5" t="s">
        <v>13</v>
      </c>
    </row>
    <row r="178" spans="1:8" x14ac:dyDescent="0.35">
      <c r="A178" s="10">
        <f t="shared" si="2"/>
        <v>174</v>
      </c>
      <c r="B178" s="5">
        <v>2415</v>
      </c>
      <c r="C178" s="5" t="s">
        <v>341</v>
      </c>
      <c r="D178" s="5" t="s">
        <v>63</v>
      </c>
      <c r="E178" s="5" t="s">
        <v>64</v>
      </c>
      <c r="F178" s="5" t="s">
        <v>64</v>
      </c>
      <c r="G178" s="7">
        <v>40087</v>
      </c>
      <c r="H178" s="5" t="s">
        <v>13</v>
      </c>
    </row>
    <row r="179" spans="1:8" x14ac:dyDescent="0.35">
      <c r="A179" s="10">
        <f t="shared" si="2"/>
        <v>175</v>
      </c>
      <c r="B179" s="5">
        <v>2440</v>
      </c>
      <c r="C179" s="5" t="s">
        <v>345</v>
      </c>
      <c r="D179" s="5" t="s">
        <v>346</v>
      </c>
      <c r="E179" s="5" t="s">
        <v>68</v>
      </c>
      <c r="F179" s="5" t="s">
        <v>254</v>
      </c>
      <c r="G179" s="7">
        <v>40026</v>
      </c>
      <c r="H179" s="5" t="s">
        <v>13</v>
      </c>
    </row>
    <row r="180" spans="1:8" x14ac:dyDescent="0.35">
      <c r="A180" s="10">
        <f t="shared" si="2"/>
        <v>176</v>
      </c>
      <c r="B180" s="5">
        <v>2468</v>
      </c>
      <c r="C180" s="5" t="s">
        <v>347</v>
      </c>
      <c r="D180" s="5" t="s">
        <v>332</v>
      </c>
      <c r="E180" s="5" t="s">
        <v>94</v>
      </c>
      <c r="F180" s="5" t="s">
        <v>94</v>
      </c>
      <c r="G180" s="7">
        <v>40126</v>
      </c>
      <c r="H180" s="5" t="s">
        <v>13</v>
      </c>
    </row>
    <row r="181" spans="1:8" x14ac:dyDescent="0.35">
      <c r="A181" s="10">
        <f t="shared" si="2"/>
        <v>177</v>
      </c>
      <c r="B181" s="5">
        <v>2479</v>
      </c>
      <c r="C181" s="5" t="s">
        <v>348</v>
      </c>
      <c r="D181" s="5" t="s">
        <v>38</v>
      </c>
      <c r="E181" s="5" t="s">
        <v>16</v>
      </c>
      <c r="F181" s="5" t="s">
        <v>20</v>
      </c>
      <c r="G181" s="7">
        <v>40135</v>
      </c>
      <c r="H181" s="5" t="s">
        <v>21</v>
      </c>
    </row>
    <row r="182" spans="1:8" x14ac:dyDescent="0.35">
      <c r="A182" s="10">
        <f t="shared" si="2"/>
        <v>178</v>
      </c>
      <c r="B182" s="5">
        <v>2556</v>
      </c>
      <c r="C182" s="5" t="s">
        <v>349</v>
      </c>
      <c r="D182" s="5" t="s">
        <v>295</v>
      </c>
      <c r="E182" s="5" t="s">
        <v>16</v>
      </c>
      <c r="F182" s="5" t="s">
        <v>20</v>
      </c>
      <c r="G182" s="7">
        <v>40148</v>
      </c>
      <c r="H182" s="5" t="s">
        <v>21</v>
      </c>
    </row>
    <row r="183" spans="1:8" x14ac:dyDescent="0.35">
      <c r="A183" s="10">
        <f t="shared" si="2"/>
        <v>179</v>
      </c>
      <c r="B183" s="5">
        <v>2574</v>
      </c>
      <c r="C183" s="5" t="s">
        <v>350</v>
      </c>
      <c r="D183" s="5" t="s">
        <v>237</v>
      </c>
      <c r="E183" s="5" t="s">
        <v>16</v>
      </c>
      <c r="F183" s="5" t="s">
        <v>141</v>
      </c>
      <c r="G183" s="7">
        <v>40179</v>
      </c>
      <c r="H183" s="5" t="s">
        <v>13</v>
      </c>
    </row>
    <row r="184" spans="1:8" x14ac:dyDescent="0.35">
      <c r="A184" s="10">
        <f t="shared" si="2"/>
        <v>180</v>
      </c>
      <c r="B184" s="5">
        <v>2585</v>
      </c>
      <c r="C184" s="5" t="s">
        <v>351</v>
      </c>
      <c r="D184" s="5" t="s">
        <v>129</v>
      </c>
      <c r="E184" s="5" t="s">
        <v>16</v>
      </c>
      <c r="F184" s="5" t="s">
        <v>20</v>
      </c>
      <c r="G184" s="7">
        <v>39995</v>
      </c>
      <c r="H184" s="5" t="s">
        <v>21</v>
      </c>
    </row>
    <row r="185" spans="1:8" x14ac:dyDescent="0.35">
      <c r="A185" s="10">
        <f t="shared" si="2"/>
        <v>181</v>
      </c>
      <c r="B185" s="5">
        <v>2587</v>
      </c>
      <c r="C185" s="5" t="s">
        <v>352</v>
      </c>
      <c r="D185" s="5" t="s">
        <v>237</v>
      </c>
      <c r="E185" s="5" t="s">
        <v>16</v>
      </c>
      <c r="F185" s="5" t="s">
        <v>353</v>
      </c>
      <c r="G185" s="7">
        <v>40210</v>
      </c>
      <c r="H185" s="5" t="s">
        <v>13</v>
      </c>
    </row>
    <row r="186" spans="1:8" x14ac:dyDescent="0.35">
      <c r="A186" s="10">
        <f t="shared" si="2"/>
        <v>182</v>
      </c>
      <c r="B186" s="5">
        <v>2596</v>
      </c>
      <c r="C186" s="5" t="s">
        <v>354</v>
      </c>
      <c r="D186" s="5" t="s">
        <v>355</v>
      </c>
      <c r="E186" s="5" t="s">
        <v>35</v>
      </c>
      <c r="F186" s="5" t="s">
        <v>84</v>
      </c>
      <c r="G186" s="7">
        <v>40224</v>
      </c>
      <c r="H186" s="5" t="s">
        <v>13</v>
      </c>
    </row>
    <row r="187" spans="1:8" x14ac:dyDescent="0.35">
      <c r="A187" s="10">
        <f t="shared" si="2"/>
        <v>183</v>
      </c>
      <c r="B187" s="5">
        <v>2608</v>
      </c>
      <c r="C187" s="5" t="s">
        <v>356</v>
      </c>
      <c r="D187" s="5" t="s">
        <v>237</v>
      </c>
      <c r="E187" s="5" t="s">
        <v>16</v>
      </c>
      <c r="F187" s="5" t="s">
        <v>141</v>
      </c>
      <c r="G187" s="7">
        <v>40245</v>
      </c>
      <c r="H187" s="5" t="s">
        <v>13</v>
      </c>
    </row>
    <row r="188" spans="1:8" x14ac:dyDescent="0.35">
      <c r="A188" s="10">
        <f t="shared" si="2"/>
        <v>184</v>
      </c>
      <c r="B188" s="5">
        <v>2627</v>
      </c>
      <c r="C188" s="5" t="s">
        <v>359</v>
      </c>
      <c r="D188" s="5" t="s">
        <v>317</v>
      </c>
      <c r="E188" s="5" t="s">
        <v>16</v>
      </c>
      <c r="F188" s="5" t="s">
        <v>20</v>
      </c>
      <c r="G188" s="7">
        <v>40245</v>
      </c>
      <c r="H188" s="5" t="s">
        <v>21</v>
      </c>
    </row>
    <row r="189" spans="1:8" x14ac:dyDescent="0.35">
      <c r="A189" s="10">
        <f t="shared" si="2"/>
        <v>185</v>
      </c>
      <c r="B189" s="5">
        <v>2630</v>
      </c>
      <c r="C189" s="5" t="s">
        <v>360</v>
      </c>
      <c r="D189" s="5" t="s">
        <v>21</v>
      </c>
      <c r="E189" s="5" t="s">
        <v>24</v>
      </c>
      <c r="F189" s="5" t="s">
        <v>152</v>
      </c>
      <c r="G189" s="7">
        <v>40210</v>
      </c>
      <c r="H189" s="5" t="s">
        <v>13</v>
      </c>
    </row>
    <row r="190" spans="1:8" x14ac:dyDescent="0.35">
      <c r="A190" s="10">
        <f t="shared" si="2"/>
        <v>186</v>
      </c>
      <c r="B190" s="5">
        <v>2660</v>
      </c>
      <c r="C190" s="5" t="s">
        <v>361</v>
      </c>
      <c r="D190" s="5" t="s">
        <v>40</v>
      </c>
      <c r="E190" s="5" t="s">
        <v>16</v>
      </c>
      <c r="F190" s="5" t="s">
        <v>141</v>
      </c>
      <c r="G190" s="7">
        <v>40269</v>
      </c>
      <c r="H190" s="5" t="s">
        <v>13</v>
      </c>
    </row>
    <row r="191" spans="1:8" x14ac:dyDescent="0.35">
      <c r="A191" s="10">
        <f t="shared" si="2"/>
        <v>187</v>
      </c>
      <c r="B191" s="5">
        <v>2668</v>
      </c>
      <c r="C191" s="5" t="s">
        <v>362</v>
      </c>
      <c r="D191" s="5" t="s">
        <v>40</v>
      </c>
      <c r="E191" s="5" t="s">
        <v>16</v>
      </c>
      <c r="F191" s="5" t="s">
        <v>41</v>
      </c>
      <c r="G191" s="7">
        <v>40269</v>
      </c>
      <c r="H191" s="5" t="s">
        <v>13</v>
      </c>
    </row>
    <row r="192" spans="1:8" x14ac:dyDescent="0.35">
      <c r="A192" s="10">
        <f t="shared" si="2"/>
        <v>188</v>
      </c>
      <c r="B192" s="5">
        <v>2670</v>
      </c>
      <c r="C192" s="5" t="s">
        <v>363</v>
      </c>
      <c r="D192" s="5" t="s">
        <v>40</v>
      </c>
      <c r="E192" s="5" t="s">
        <v>16</v>
      </c>
      <c r="F192" s="5" t="s">
        <v>41</v>
      </c>
      <c r="G192" s="7">
        <v>40269</v>
      </c>
      <c r="H192" s="5" t="s">
        <v>13</v>
      </c>
    </row>
    <row r="193" spans="1:8" x14ac:dyDescent="0.35">
      <c r="A193" s="10">
        <f t="shared" si="2"/>
        <v>189</v>
      </c>
      <c r="B193" s="5">
        <v>2672</v>
      </c>
      <c r="C193" s="5" t="s">
        <v>364</v>
      </c>
      <c r="D193" s="5" t="s">
        <v>40</v>
      </c>
      <c r="E193" s="5" t="s">
        <v>16</v>
      </c>
      <c r="F193" s="5" t="s">
        <v>144</v>
      </c>
      <c r="G193" s="7">
        <v>40269</v>
      </c>
      <c r="H193" s="5" t="s">
        <v>13</v>
      </c>
    </row>
    <row r="194" spans="1:8" x14ac:dyDescent="0.35">
      <c r="A194" s="10">
        <f t="shared" si="2"/>
        <v>190</v>
      </c>
      <c r="B194" s="5">
        <v>2678</v>
      </c>
      <c r="C194" s="5" t="s">
        <v>365</v>
      </c>
      <c r="D194" s="5" t="s">
        <v>40</v>
      </c>
      <c r="E194" s="5" t="s">
        <v>16</v>
      </c>
      <c r="F194" s="5" t="s">
        <v>41</v>
      </c>
      <c r="G194" s="7">
        <v>40269</v>
      </c>
      <c r="H194" s="5" t="s">
        <v>13</v>
      </c>
    </row>
    <row r="195" spans="1:8" x14ac:dyDescent="0.35">
      <c r="A195" s="10">
        <f t="shared" si="2"/>
        <v>191</v>
      </c>
      <c r="B195" s="5">
        <v>2688</v>
      </c>
      <c r="C195" s="5" t="s">
        <v>366</v>
      </c>
      <c r="D195" s="5" t="s">
        <v>367</v>
      </c>
      <c r="E195" s="5" t="s">
        <v>16</v>
      </c>
      <c r="F195" s="5" t="s">
        <v>368</v>
      </c>
      <c r="G195" s="7">
        <v>40002</v>
      </c>
      <c r="H195" s="5" t="s">
        <v>13</v>
      </c>
    </row>
    <row r="196" spans="1:8" x14ac:dyDescent="0.35">
      <c r="A196" s="10">
        <f t="shared" si="2"/>
        <v>192</v>
      </c>
      <c r="B196" s="5">
        <v>2707</v>
      </c>
      <c r="C196" s="5" t="s">
        <v>369</v>
      </c>
      <c r="D196" s="5" t="s">
        <v>367</v>
      </c>
      <c r="E196" s="5" t="s">
        <v>16</v>
      </c>
      <c r="F196" s="5" t="s">
        <v>141</v>
      </c>
      <c r="G196" s="7">
        <v>40154</v>
      </c>
      <c r="H196" s="5" t="s">
        <v>13</v>
      </c>
    </row>
    <row r="197" spans="1:8" x14ac:dyDescent="0.35">
      <c r="A197" s="10">
        <f t="shared" si="2"/>
        <v>193</v>
      </c>
      <c r="B197" s="5">
        <v>2720</v>
      </c>
      <c r="C197" s="5" t="s">
        <v>370</v>
      </c>
      <c r="D197" s="5" t="s">
        <v>40</v>
      </c>
      <c r="E197" s="5" t="s">
        <v>16</v>
      </c>
      <c r="F197" s="5" t="s">
        <v>41</v>
      </c>
      <c r="G197" s="7">
        <v>39753</v>
      </c>
      <c r="H197" s="5" t="s">
        <v>13</v>
      </c>
    </row>
    <row r="198" spans="1:8" x14ac:dyDescent="0.35">
      <c r="A198" s="10">
        <f t="shared" ref="A198:A261" si="3">+A197+1</f>
        <v>194</v>
      </c>
      <c r="B198" s="5">
        <v>2722</v>
      </c>
      <c r="C198" s="5" t="s">
        <v>371</v>
      </c>
      <c r="D198" s="5" t="s">
        <v>129</v>
      </c>
      <c r="E198" s="5" t="s">
        <v>16</v>
      </c>
      <c r="F198" s="5" t="s">
        <v>20</v>
      </c>
      <c r="G198" s="7">
        <v>39748</v>
      </c>
      <c r="H198" s="5" t="s">
        <v>21</v>
      </c>
    </row>
    <row r="199" spans="1:8" x14ac:dyDescent="0.35">
      <c r="A199" s="10">
        <f t="shared" si="3"/>
        <v>195</v>
      </c>
      <c r="B199" s="5">
        <v>2727</v>
      </c>
      <c r="C199" s="5" t="s">
        <v>372</v>
      </c>
      <c r="D199" s="5" t="s">
        <v>295</v>
      </c>
      <c r="E199" s="5" t="s">
        <v>16</v>
      </c>
      <c r="F199" s="5" t="s">
        <v>20</v>
      </c>
      <c r="G199" s="7">
        <v>39995</v>
      </c>
      <c r="H199" s="5" t="s">
        <v>21</v>
      </c>
    </row>
    <row r="200" spans="1:8" x14ac:dyDescent="0.35">
      <c r="A200" s="10">
        <f t="shared" si="3"/>
        <v>196</v>
      </c>
      <c r="B200" s="5">
        <v>2745</v>
      </c>
      <c r="C200" s="5" t="s">
        <v>373</v>
      </c>
      <c r="D200" s="5" t="s">
        <v>40</v>
      </c>
      <c r="E200" s="5" t="s">
        <v>16</v>
      </c>
      <c r="F200" s="5" t="s">
        <v>41</v>
      </c>
      <c r="G200" s="7">
        <v>40269</v>
      </c>
      <c r="H200" s="5" t="s">
        <v>13</v>
      </c>
    </row>
    <row r="201" spans="1:8" x14ac:dyDescent="0.35">
      <c r="A201" s="10">
        <f t="shared" si="3"/>
        <v>197</v>
      </c>
      <c r="B201" s="5">
        <v>2761</v>
      </c>
      <c r="C201" s="5" t="s">
        <v>374</v>
      </c>
      <c r="D201" s="5" t="s">
        <v>375</v>
      </c>
      <c r="E201" s="5" t="s">
        <v>376</v>
      </c>
      <c r="F201" s="5" t="s">
        <v>179</v>
      </c>
      <c r="G201" s="7">
        <v>39692</v>
      </c>
      <c r="H201" s="5" t="s">
        <v>13</v>
      </c>
    </row>
    <row r="202" spans="1:8" x14ac:dyDescent="0.35">
      <c r="A202" s="10">
        <f t="shared" si="3"/>
        <v>198</v>
      </c>
      <c r="B202" s="5">
        <v>2765</v>
      </c>
      <c r="C202" s="5" t="s">
        <v>377</v>
      </c>
      <c r="D202" s="5" t="s">
        <v>151</v>
      </c>
      <c r="E202" s="5" t="s">
        <v>378</v>
      </c>
      <c r="F202" s="5" t="s">
        <v>198</v>
      </c>
      <c r="G202" s="7">
        <v>40233</v>
      </c>
      <c r="H202" s="5" t="s">
        <v>13</v>
      </c>
    </row>
    <row r="203" spans="1:8" x14ac:dyDescent="0.35">
      <c r="A203" s="10">
        <f t="shared" si="3"/>
        <v>199</v>
      </c>
      <c r="B203" s="5">
        <v>278</v>
      </c>
      <c r="C203" s="5" t="s">
        <v>379</v>
      </c>
      <c r="D203" s="5" t="s">
        <v>380</v>
      </c>
      <c r="E203" s="5" t="s">
        <v>24</v>
      </c>
      <c r="F203" s="5" t="s">
        <v>152</v>
      </c>
      <c r="G203" s="7">
        <v>37683</v>
      </c>
      <c r="H203" s="5" t="s">
        <v>13</v>
      </c>
    </row>
    <row r="204" spans="1:8" x14ac:dyDescent="0.35">
      <c r="A204" s="10">
        <f t="shared" si="3"/>
        <v>200</v>
      </c>
      <c r="B204" s="5">
        <v>2798</v>
      </c>
      <c r="C204" s="5" t="s">
        <v>381</v>
      </c>
      <c r="D204" s="5" t="s">
        <v>280</v>
      </c>
      <c r="E204" s="5" t="s">
        <v>68</v>
      </c>
      <c r="F204" s="5" t="s">
        <v>187</v>
      </c>
      <c r="G204" s="7">
        <v>40269</v>
      </c>
      <c r="H204" s="5" t="s">
        <v>13</v>
      </c>
    </row>
    <row r="205" spans="1:8" x14ac:dyDescent="0.35">
      <c r="A205" s="10">
        <f t="shared" si="3"/>
        <v>201</v>
      </c>
      <c r="B205" s="5">
        <v>2815</v>
      </c>
      <c r="C205" s="5" t="s">
        <v>382</v>
      </c>
      <c r="D205" s="5" t="s">
        <v>151</v>
      </c>
      <c r="E205" s="5" t="s">
        <v>165</v>
      </c>
      <c r="F205" s="5" t="s">
        <v>165</v>
      </c>
      <c r="G205" s="7">
        <v>40057</v>
      </c>
      <c r="H205" s="5" t="s">
        <v>13</v>
      </c>
    </row>
    <row r="206" spans="1:8" x14ac:dyDescent="0.35">
      <c r="A206" s="10">
        <f t="shared" si="3"/>
        <v>202</v>
      </c>
      <c r="B206" s="5">
        <v>2835</v>
      </c>
      <c r="C206" s="5" t="s">
        <v>383</v>
      </c>
      <c r="D206" s="5" t="s">
        <v>21</v>
      </c>
      <c r="E206" s="5" t="s">
        <v>64</v>
      </c>
      <c r="F206" s="5" t="s">
        <v>64</v>
      </c>
      <c r="G206" s="7">
        <v>40422</v>
      </c>
      <c r="H206" s="5" t="s">
        <v>13</v>
      </c>
    </row>
    <row r="207" spans="1:8" x14ac:dyDescent="0.35">
      <c r="A207" s="10">
        <f t="shared" si="3"/>
        <v>203</v>
      </c>
      <c r="B207" s="5">
        <v>2872</v>
      </c>
      <c r="C207" s="5" t="s">
        <v>384</v>
      </c>
      <c r="D207" s="5" t="s">
        <v>295</v>
      </c>
      <c r="E207" s="5" t="s">
        <v>16</v>
      </c>
      <c r="F207" s="5" t="s">
        <v>20</v>
      </c>
      <c r="G207" s="7">
        <v>40365</v>
      </c>
      <c r="H207" s="5" t="s">
        <v>21</v>
      </c>
    </row>
    <row r="208" spans="1:8" x14ac:dyDescent="0.35">
      <c r="A208" s="10">
        <f t="shared" si="3"/>
        <v>204</v>
      </c>
      <c r="B208" s="5">
        <v>2885</v>
      </c>
      <c r="C208" s="5" t="s">
        <v>389</v>
      </c>
      <c r="D208" s="5" t="s">
        <v>40</v>
      </c>
      <c r="E208" s="5" t="s">
        <v>16</v>
      </c>
      <c r="F208" s="5" t="s">
        <v>144</v>
      </c>
      <c r="G208" s="7">
        <v>40391</v>
      </c>
      <c r="H208" s="5" t="s">
        <v>13</v>
      </c>
    </row>
    <row r="209" spans="1:8" x14ac:dyDescent="0.35">
      <c r="A209" s="10">
        <f t="shared" si="3"/>
        <v>205</v>
      </c>
      <c r="B209" s="5">
        <v>2888</v>
      </c>
      <c r="C209" s="5" t="s">
        <v>390</v>
      </c>
      <c r="D209" s="5" t="s">
        <v>40</v>
      </c>
      <c r="E209" s="5" t="s">
        <v>16</v>
      </c>
      <c r="F209" s="5" t="s">
        <v>41</v>
      </c>
      <c r="G209" s="7">
        <v>40391</v>
      </c>
      <c r="H209" s="5" t="s">
        <v>13</v>
      </c>
    </row>
    <row r="210" spans="1:8" x14ac:dyDescent="0.35">
      <c r="A210" s="10">
        <f t="shared" si="3"/>
        <v>206</v>
      </c>
      <c r="B210" s="5">
        <v>2926</v>
      </c>
      <c r="C210" s="5" t="s">
        <v>391</v>
      </c>
      <c r="D210" s="5" t="s">
        <v>40</v>
      </c>
      <c r="E210" s="5" t="s">
        <v>16</v>
      </c>
      <c r="F210" s="5" t="s">
        <v>144</v>
      </c>
      <c r="G210" s="7">
        <v>40391</v>
      </c>
      <c r="H210" s="5" t="s">
        <v>13</v>
      </c>
    </row>
    <row r="211" spans="1:8" x14ac:dyDescent="0.35">
      <c r="A211" s="10">
        <f t="shared" si="3"/>
        <v>207</v>
      </c>
      <c r="B211" s="5">
        <v>2927</v>
      </c>
      <c r="C211" s="5" t="s">
        <v>392</v>
      </c>
      <c r="D211" s="5" t="s">
        <v>15</v>
      </c>
      <c r="E211" s="5" t="s">
        <v>103</v>
      </c>
      <c r="F211" s="5" t="s">
        <v>103</v>
      </c>
      <c r="G211" s="7">
        <v>40118</v>
      </c>
      <c r="H211" s="5" t="s">
        <v>13</v>
      </c>
    </row>
    <row r="212" spans="1:8" x14ac:dyDescent="0.35">
      <c r="A212" s="10">
        <f t="shared" si="3"/>
        <v>208</v>
      </c>
      <c r="B212" s="5">
        <v>2933</v>
      </c>
      <c r="C212" s="5" t="s">
        <v>393</v>
      </c>
      <c r="D212" s="5" t="s">
        <v>15</v>
      </c>
      <c r="E212" s="5" t="s">
        <v>194</v>
      </c>
      <c r="F212" s="5" t="s">
        <v>194</v>
      </c>
      <c r="G212" s="7">
        <v>40276</v>
      </c>
      <c r="H212" s="5" t="s">
        <v>13</v>
      </c>
    </row>
    <row r="213" spans="1:8" x14ac:dyDescent="0.35">
      <c r="A213" s="10">
        <f t="shared" si="3"/>
        <v>209</v>
      </c>
      <c r="B213" s="5">
        <v>2941</v>
      </c>
      <c r="C213" s="5" t="s">
        <v>394</v>
      </c>
      <c r="D213" s="5" t="s">
        <v>15</v>
      </c>
      <c r="E213" s="5" t="s">
        <v>61</v>
      </c>
      <c r="F213" s="5" t="s">
        <v>61</v>
      </c>
      <c r="G213" s="7">
        <v>40000</v>
      </c>
      <c r="H213" s="5" t="s">
        <v>13</v>
      </c>
    </row>
    <row r="214" spans="1:8" x14ac:dyDescent="0.35">
      <c r="A214" s="10">
        <f t="shared" si="3"/>
        <v>210</v>
      </c>
      <c r="B214" s="5">
        <v>2944</v>
      </c>
      <c r="C214" s="5" t="s">
        <v>395</v>
      </c>
      <c r="D214" s="5" t="s">
        <v>15</v>
      </c>
      <c r="E214" s="5" t="s">
        <v>16</v>
      </c>
      <c r="F214" s="5" t="s">
        <v>17</v>
      </c>
      <c r="G214" s="7">
        <v>39539</v>
      </c>
      <c r="H214" s="5" t="s">
        <v>13</v>
      </c>
    </row>
    <row r="215" spans="1:8" x14ac:dyDescent="0.35">
      <c r="A215" s="10">
        <f t="shared" si="3"/>
        <v>211</v>
      </c>
      <c r="B215" s="5">
        <v>2946</v>
      </c>
      <c r="C215" s="5" t="s">
        <v>396</v>
      </c>
      <c r="D215" s="5" t="s">
        <v>15</v>
      </c>
      <c r="E215" s="5" t="s">
        <v>103</v>
      </c>
      <c r="F215" s="5" t="s">
        <v>103</v>
      </c>
      <c r="G215" s="7">
        <v>39968</v>
      </c>
      <c r="H215" s="5" t="s">
        <v>13</v>
      </c>
    </row>
    <row r="216" spans="1:8" x14ac:dyDescent="0.35">
      <c r="A216" s="10">
        <f t="shared" si="3"/>
        <v>212</v>
      </c>
      <c r="B216" s="5">
        <v>2948</v>
      </c>
      <c r="C216" s="5" t="s">
        <v>397</v>
      </c>
      <c r="D216" s="5" t="s">
        <v>21</v>
      </c>
      <c r="E216" s="5" t="s">
        <v>117</v>
      </c>
      <c r="F216" s="5" t="s">
        <v>176</v>
      </c>
      <c r="G216" s="7">
        <v>39937</v>
      </c>
      <c r="H216" s="5" t="s">
        <v>13</v>
      </c>
    </row>
    <row r="217" spans="1:8" x14ac:dyDescent="0.35">
      <c r="A217" s="10">
        <f t="shared" si="3"/>
        <v>213</v>
      </c>
      <c r="B217" s="5">
        <v>2959</v>
      </c>
      <c r="C217" s="5" t="s">
        <v>398</v>
      </c>
      <c r="D217" s="5" t="s">
        <v>399</v>
      </c>
      <c r="E217" s="5" t="s">
        <v>194</v>
      </c>
      <c r="F217" s="5" t="s">
        <v>194</v>
      </c>
      <c r="G217" s="7">
        <v>40291</v>
      </c>
      <c r="H217" s="5" t="s">
        <v>13</v>
      </c>
    </row>
    <row r="218" spans="1:8" x14ac:dyDescent="0.35">
      <c r="A218" s="10">
        <f t="shared" si="3"/>
        <v>214</v>
      </c>
      <c r="B218" s="5">
        <v>2966</v>
      </c>
      <c r="C218" s="5" t="s">
        <v>400</v>
      </c>
      <c r="D218" s="5" t="s">
        <v>15</v>
      </c>
      <c r="E218" s="5" t="s">
        <v>16</v>
      </c>
      <c r="F218" s="5" t="s">
        <v>17</v>
      </c>
      <c r="G218" s="7">
        <v>39448</v>
      </c>
      <c r="H218" s="5" t="s">
        <v>13</v>
      </c>
    </row>
    <row r="219" spans="1:8" x14ac:dyDescent="0.35">
      <c r="A219" s="10">
        <f t="shared" si="3"/>
        <v>215</v>
      </c>
      <c r="B219" s="5">
        <v>2968</v>
      </c>
      <c r="C219" s="5" t="s">
        <v>401</v>
      </c>
      <c r="D219" s="5" t="s">
        <v>15</v>
      </c>
      <c r="E219" s="5" t="s">
        <v>16</v>
      </c>
      <c r="F219" s="5" t="s">
        <v>17</v>
      </c>
      <c r="G219" s="7">
        <v>40007</v>
      </c>
      <c r="H219" s="5" t="s">
        <v>13</v>
      </c>
    </row>
    <row r="220" spans="1:8" x14ac:dyDescent="0.35">
      <c r="A220" s="10">
        <f t="shared" si="3"/>
        <v>216</v>
      </c>
      <c r="B220" s="5">
        <v>2970</v>
      </c>
      <c r="C220" s="5" t="s">
        <v>402</v>
      </c>
      <c r="D220" s="5" t="s">
        <v>21</v>
      </c>
      <c r="E220" s="5" t="s">
        <v>117</v>
      </c>
      <c r="F220" s="5" t="s">
        <v>176</v>
      </c>
      <c r="G220" s="7">
        <v>40105</v>
      </c>
      <c r="H220" s="5" t="s">
        <v>13</v>
      </c>
    </row>
    <row r="221" spans="1:8" x14ac:dyDescent="0.35">
      <c r="A221" s="10">
        <f t="shared" si="3"/>
        <v>217</v>
      </c>
      <c r="B221" s="5">
        <v>2973</v>
      </c>
      <c r="C221" s="5" t="s">
        <v>403</v>
      </c>
      <c r="D221" s="5" t="s">
        <v>15</v>
      </c>
      <c r="E221" s="5" t="s">
        <v>16</v>
      </c>
      <c r="F221" s="5" t="s">
        <v>17</v>
      </c>
      <c r="G221" s="7">
        <v>40164</v>
      </c>
      <c r="H221" s="5" t="s">
        <v>13</v>
      </c>
    </row>
    <row r="222" spans="1:8" x14ac:dyDescent="0.35">
      <c r="A222" s="10">
        <f t="shared" si="3"/>
        <v>218</v>
      </c>
      <c r="B222" s="5">
        <v>2977</v>
      </c>
      <c r="C222" s="5" t="s">
        <v>404</v>
      </c>
      <c r="D222" s="5" t="s">
        <v>21</v>
      </c>
      <c r="E222" s="5" t="s">
        <v>35</v>
      </c>
      <c r="F222" s="5" t="s">
        <v>405</v>
      </c>
      <c r="G222" s="7">
        <v>40161</v>
      </c>
      <c r="H222" s="5" t="s">
        <v>13</v>
      </c>
    </row>
    <row r="223" spans="1:8" x14ac:dyDescent="0.35">
      <c r="A223" s="10">
        <f t="shared" si="3"/>
        <v>219</v>
      </c>
      <c r="B223" s="5">
        <v>2982</v>
      </c>
      <c r="C223" s="5" t="s">
        <v>406</v>
      </c>
      <c r="D223" s="5" t="s">
        <v>15</v>
      </c>
      <c r="E223" s="5" t="s">
        <v>407</v>
      </c>
      <c r="F223" s="5" t="s">
        <v>408</v>
      </c>
      <c r="G223" s="7">
        <v>40135</v>
      </c>
      <c r="H223" s="5" t="s">
        <v>13</v>
      </c>
    </row>
    <row r="224" spans="1:8" x14ac:dyDescent="0.35">
      <c r="A224" s="10">
        <f t="shared" si="3"/>
        <v>220</v>
      </c>
      <c r="B224" s="5">
        <v>2984</v>
      </c>
      <c r="C224" s="5" t="s">
        <v>409</v>
      </c>
      <c r="D224" s="5" t="s">
        <v>15</v>
      </c>
      <c r="E224" s="5" t="s">
        <v>61</v>
      </c>
      <c r="F224" s="5" t="s">
        <v>61</v>
      </c>
      <c r="G224" s="7">
        <v>39508</v>
      </c>
      <c r="H224" s="5" t="s">
        <v>13</v>
      </c>
    </row>
    <row r="225" spans="1:8" x14ac:dyDescent="0.35">
      <c r="A225" s="10">
        <f t="shared" si="3"/>
        <v>221</v>
      </c>
      <c r="B225" s="5">
        <v>2985</v>
      </c>
      <c r="C225" s="5" t="s">
        <v>410</v>
      </c>
      <c r="D225" s="5" t="s">
        <v>15</v>
      </c>
      <c r="E225" s="5" t="s">
        <v>16</v>
      </c>
      <c r="F225" s="5" t="s">
        <v>17</v>
      </c>
      <c r="G225" s="7">
        <v>39722</v>
      </c>
      <c r="H225" s="5" t="s">
        <v>13</v>
      </c>
    </row>
    <row r="226" spans="1:8" x14ac:dyDescent="0.35">
      <c r="A226" s="10">
        <f t="shared" si="3"/>
        <v>222</v>
      </c>
      <c r="B226" s="5">
        <v>2990</v>
      </c>
      <c r="C226" s="5" t="s">
        <v>411</v>
      </c>
      <c r="D226" s="5" t="s">
        <v>15</v>
      </c>
      <c r="E226" s="5" t="s">
        <v>68</v>
      </c>
      <c r="F226" s="5" t="s">
        <v>132</v>
      </c>
      <c r="G226" s="7">
        <v>40000</v>
      </c>
      <c r="H226" s="5" t="s">
        <v>13</v>
      </c>
    </row>
    <row r="227" spans="1:8" x14ac:dyDescent="0.35">
      <c r="A227" s="10">
        <f t="shared" si="3"/>
        <v>223</v>
      </c>
      <c r="B227" s="5">
        <v>2991</v>
      </c>
      <c r="C227" s="5" t="s">
        <v>412</v>
      </c>
      <c r="D227" s="5" t="s">
        <v>15</v>
      </c>
      <c r="E227" s="5" t="s">
        <v>16</v>
      </c>
      <c r="F227" s="5" t="s">
        <v>17</v>
      </c>
      <c r="G227" s="7">
        <v>40190</v>
      </c>
      <c r="H227" s="5" t="s">
        <v>13</v>
      </c>
    </row>
    <row r="228" spans="1:8" x14ac:dyDescent="0.35">
      <c r="A228" s="10">
        <f t="shared" si="3"/>
        <v>224</v>
      </c>
      <c r="B228" s="5">
        <v>2992</v>
      </c>
      <c r="C228" s="5" t="s">
        <v>413</v>
      </c>
      <c r="D228" s="5" t="s">
        <v>15</v>
      </c>
      <c r="E228" s="5" t="s">
        <v>16</v>
      </c>
      <c r="F228" s="5" t="s">
        <v>17</v>
      </c>
      <c r="G228" s="7">
        <v>40087</v>
      </c>
      <c r="H228" s="5" t="s">
        <v>13</v>
      </c>
    </row>
    <row r="229" spans="1:8" x14ac:dyDescent="0.35">
      <c r="A229" s="10">
        <f t="shared" si="3"/>
        <v>225</v>
      </c>
      <c r="B229" s="5">
        <v>2995</v>
      </c>
      <c r="C229" s="5" t="s">
        <v>414</v>
      </c>
      <c r="D229" s="5" t="s">
        <v>15</v>
      </c>
      <c r="E229" s="5" t="s">
        <v>68</v>
      </c>
      <c r="F229" s="5" t="s">
        <v>132</v>
      </c>
      <c r="G229" s="7">
        <v>39508</v>
      </c>
      <c r="H229" s="5" t="s">
        <v>13</v>
      </c>
    </row>
    <row r="230" spans="1:8" x14ac:dyDescent="0.35">
      <c r="A230" s="10">
        <f t="shared" si="3"/>
        <v>226</v>
      </c>
      <c r="B230" s="5">
        <v>2998</v>
      </c>
      <c r="C230" s="5" t="s">
        <v>415</v>
      </c>
      <c r="D230" s="5" t="s">
        <v>21</v>
      </c>
      <c r="E230" s="5" t="s">
        <v>112</v>
      </c>
      <c r="F230" s="5" t="s">
        <v>112</v>
      </c>
      <c r="G230" s="7">
        <v>40232</v>
      </c>
      <c r="H230" s="5" t="s">
        <v>13</v>
      </c>
    </row>
    <row r="231" spans="1:8" x14ac:dyDescent="0.35">
      <c r="A231" s="10">
        <f t="shared" si="3"/>
        <v>227</v>
      </c>
      <c r="B231" s="5">
        <v>2999</v>
      </c>
      <c r="C231" s="5" t="s">
        <v>416</v>
      </c>
      <c r="D231" s="5" t="s">
        <v>15</v>
      </c>
      <c r="E231" s="5" t="s">
        <v>16</v>
      </c>
      <c r="F231" s="5" t="s">
        <v>17</v>
      </c>
      <c r="G231" s="7">
        <v>40000</v>
      </c>
      <c r="H231" s="5" t="s">
        <v>13</v>
      </c>
    </row>
    <row r="232" spans="1:8" x14ac:dyDescent="0.35">
      <c r="A232" s="10">
        <f t="shared" si="3"/>
        <v>228</v>
      </c>
      <c r="B232" s="5">
        <v>3000</v>
      </c>
      <c r="C232" s="5" t="s">
        <v>417</v>
      </c>
      <c r="D232" s="5" t="s">
        <v>60</v>
      </c>
      <c r="E232" s="5" t="s">
        <v>61</v>
      </c>
      <c r="F232" s="5" t="s">
        <v>61</v>
      </c>
      <c r="G232" s="7">
        <v>40148</v>
      </c>
      <c r="H232" s="5" t="s">
        <v>13</v>
      </c>
    </row>
    <row r="233" spans="1:8" x14ac:dyDescent="0.35">
      <c r="A233" s="10">
        <f t="shared" si="3"/>
        <v>229</v>
      </c>
      <c r="B233" s="5">
        <v>3001</v>
      </c>
      <c r="C233" s="5" t="s">
        <v>418</v>
      </c>
      <c r="D233" s="5" t="s">
        <v>15</v>
      </c>
      <c r="E233" s="5" t="s">
        <v>16</v>
      </c>
      <c r="F233" s="5" t="s">
        <v>17</v>
      </c>
      <c r="G233" s="7">
        <v>40238</v>
      </c>
      <c r="H233" s="5" t="s">
        <v>13</v>
      </c>
    </row>
    <row r="234" spans="1:8" x14ac:dyDescent="0.35">
      <c r="A234" s="10">
        <f t="shared" si="3"/>
        <v>230</v>
      </c>
      <c r="B234" s="5">
        <v>3009</v>
      </c>
      <c r="C234" s="5" t="s">
        <v>419</v>
      </c>
      <c r="D234" s="5" t="s">
        <v>295</v>
      </c>
      <c r="E234" s="5" t="s">
        <v>16</v>
      </c>
      <c r="F234" s="5" t="s">
        <v>20</v>
      </c>
      <c r="G234" s="7">
        <v>39783</v>
      </c>
      <c r="H234" s="5" t="s">
        <v>21</v>
      </c>
    </row>
    <row r="235" spans="1:8" x14ac:dyDescent="0.35">
      <c r="A235" s="10">
        <f t="shared" si="3"/>
        <v>231</v>
      </c>
      <c r="B235" s="5">
        <v>3014</v>
      </c>
      <c r="C235" s="5" t="s">
        <v>420</v>
      </c>
      <c r="D235" s="5" t="s">
        <v>421</v>
      </c>
      <c r="E235" s="5" t="s">
        <v>61</v>
      </c>
      <c r="F235" s="5" t="s">
        <v>61</v>
      </c>
      <c r="G235" s="7">
        <v>39448</v>
      </c>
      <c r="H235" s="5" t="s">
        <v>13</v>
      </c>
    </row>
    <row r="236" spans="1:8" x14ac:dyDescent="0.35">
      <c r="A236" s="10">
        <f t="shared" si="3"/>
        <v>232</v>
      </c>
      <c r="B236" s="5">
        <v>3015</v>
      </c>
      <c r="C236" s="5" t="s">
        <v>422</v>
      </c>
      <c r="D236" s="5" t="s">
        <v>151</v>
      </c>
      <c r="E236" s="5" t="s">
        <v>198</v>
      </c>
      <c r="F236" s="5" t="s">
        <v>198</v>
      </c>
      <c r="G236" s="7">
        <v>39448</v>
      </c>
      <c r="H236" s="5" t="s">
        <v>13</v>
      </c>
    </row>
    <row r="237" spans="1:8" x14ac:dyDescent="0.35">
      <c r="A237" s="10">
        <f t="shared" si="3"/>
        <v>233</v>
      </c>
      <c r="B237" s="5">
        <v>3016</v>
      </c>
      <c r="C237" s="5" t="s">
        <v>423</v>
      </c>
      <c r="D237" s="5" t="s">
        <v>15</v>
      </c>
      <c r="E237" s="5" t="s">
        <v>424</v>
      </c>
      <c r="F237" s="5" t="s">
        <v>424</v>
      </c>
      <c r="G237" s="7">
        <v>39600</v>
      </c>
      <c r="H237" s="5" t="s">
        <v>13</v>
      </c>
    </row>
    <row r="238" spans="1:8" x14ac:dyDescent="0.35">
      <c r="A238" s="10">
        <f t="shared" si="3"/>
        <v>234</v>
      </c>
      <c r="B238" s="5">
        <v>3023</v>
      </c>
      <c r="C238" s="5" t="s">
        <v>425</v>
      </c>
      <c r="D238" s="5" t="s">
        <v>15</v>
      </c>
      <c r="E238" s="5" t="s">
        <v>16</v>
      </c>
      <c r="F238" s="5" t="s">
        <v>17</v>
      </c>
      <c r="G238" s="7">
        <v>40042</v>
      </c>
      <c r="H238" s="5" t="s">
        <v>13</v>
      </c>
    </row>
    <row r="239" spans="1:8" x14ac:dyDescent="0.35">
      <c r="A239" s="10">
        <f t="shared" si="3"/>
        <v>235</v>
      </c>
      <c r="B239" s="5">
        <v>3031</v>
      </c>
      <c r="C239" s="5" t="s">
        <v>426</v>
      </c>
      <c r="D239" s="5" t="s">
        <v>427</v>
      </c>
      <c r="E239" s="5" t="s">
        <v>68</v>
      </c>
      <c r="F239" s="5" t="s">
        <v>69</v>
      </c>
      <c r="G239" s="7">
        <v>40427</v>
      </c>
      <c r="H239" s="5" t="s">
        <v>13</v>
      </c>
    </row>
    <row r="240" spans="1:8" x14ac:dyDescent="0.35">
      <c r="A240" s="10">
        <f t="shared" si="3"/>
        <v>236</v>
      </c>
      <c r="B240" s="5">
        <v>3032</v>
      </c>
      <c r="C240" s="5" t="s">
        <v>428</v>
      </c>
      <c r="D240" s="5" t="s">
        <v>146</v>
      </c>
      <c r="E240" s="5" t="s">
        <v>12</v>
      </c>
      <c r="F240" s="5" t="s">
        <v>12</v>
      </c>
      <c r="G240" s="7">
        <v>40436</v>
      </c>
      <c r="H240" s="5" t="s">
        <v>13</v>
      </c>
    </row>
    <row r="241" spans="1:8" x14ac:dyDescent="0.35">
      <c r="A241" s="10">
        <f t="shared" si="3"/>
        <v>237</v>
      </c>
      <c r="B241" s="5">
        <v>3043</v>
      </c>
      <c r="C241" s="5" t="s">
        <v>429</v>
      </c>
      <c r="D241" s="5" t="s">
        <v>430</v>
      </c>
      <c r="E241" s="5" t="s">
        <v>35</v>
      </c>
      <c r="F241" s="5" t="s">
        <v>36</v>
      </c>
      <c r="G241" s="7">
        <v>40422</v>
      </c>
      <c r="H241" s="5" t="s">
        <v>13</v>
      </c>
    </row>
    <row r="242" spans="1:8" x14ac:dyDescent="0.35">
      <c r="A242" s="10">
        <f t="shared" si="3"/>
        <v>238</v>
      </c>
      <c r="B242" s="5">
        <v>3047</v>
      </c>
      <c r="C242" s="5" t="s">
        <v>431</v>
      </c>
      <c r="D242" s="5" t="s">
        <v>151</v>
      </c>
      <c r="E242" s="5" t="s">
        <v>24</v>
      </c>
      <c r="F242" s="5" t="s">
        <v>152</v>
      </c>
      <c r="G242" s="7">
        <v>40391</v>
      </c>
      <c r="H242" s="5" t="s">
        <v>13</v>
      </c>
    </row>
    <row r="243" spans="1:8" x14ac:dyDescent="0.35">
      <c r="A243" s="10">
        <f t="shared" si="3"/>
        <v>239</v>
      </c>
      <c r="B243" s="5">
        <v>3048</v>
      </c>
      <c r="C243" s="5" t="s">
        <v>432</v>
      </c>
      <c r="D243" s="5" t="s">
        <v>186</v>
      </c>
      <c r="E243" s="5" t="s">
        <v>68</v>
      </c>
      <c r="F243" s="5" t="s">
        <v>187</v>
      </c>
      <c r="G243" s="7">
        <v>40452</v>
      </c>
      <c r="H243" s="5" t="s">
        <v>13</v>
      </c>
    </row>
    <row r="244" spans="1:8" x14ac:dyDescent="0.35">
      <c r="A244" s="10">
        <f t="shared" si="3"/>
        <v>240</v>
      </c>
      <c r="B244" s="5">
        <v>3067</v>
      </c>
      <c r="C244" s="5" t="s">
        <v>433</v>
      </c>
      <c r="D244" s="5" t="s">
        <v>367</v>
      </c>
      <c r="E244" s="5" t="s">
        <v>16</v>
      </c>
      <c r="F244" s="5" t="s">
        <v>434</v>
      </c>
      <c r="G244" s="7">
        <v>40452</v>
      </c>
      <c r="H244" s="5" t="s">
        <v>13</v>
      </c>
    </row>
    <row r="245" spans="1:8" x14ac:dyDescent="0.35">
      <c r="A245" s="10">
        <f t="shared" si="3"/>
        <v>241</v>
      </c>
      <c r="B245" s="5">
        <v>3072</v>
      </c>
      <c r="C245" s="5" t="s">
        <v>437</v>
      </c>
      <c r="D245" s="5" t="s">
        <v>295</v>
      </c>
      <c r="E245" s="5" t="s">
        <v>16</v>
      </c>
      <c r="F245" s="5" t="s">
        <v>20</v>
      </c>
      <c r="G245" s="7">
        <v>40422</v>
      </c>
      <c r="H245" s="5" t="s">
        <v>21</v>
      </c>
    </row>
    <row r="246" spans="1:8" x14ac:dyDescent="0.35">
      <c r="A246" s="10">
        <f t="shared" si="3"/>
        <v>242</v>
      </c>
      <c r="B246" s="5">
        <v>3082</v>
      </c>
      <c r="C246" s="5" t="s">
        <v>438</v>
      </c>
      <c r="D246" s="5" t="s">
        <v>367</v>
      </c>
      <c r="E246" s="5" t="s">
        <v>16</v>
      </c>
      <c r="F246" s="5" t="s">
        <v>439</v>
      </c>
      <c r="G246" s="7">
        <v>40452</v>
      </c>
      <c r="H246" s="5" t="s">
        <v>13</v>
      </c>
    </row>
    <row r="247" spans="1:8" x14ac:dyDescent="0.35">
      <c r="A247" s="10">
        <f t="shared" si="3"/>
        <v>243</v>
      </c>
      <c r="B247" s="5">
        <v>3111</v>
      </c>
      <c r="C247" s="5" t="s">
        <v>440</v>
      </c>
      <c r="D247" s="5" t="s">
        <v>295</v>
      </c>
      <c r="E247" s="5" t="s">
        <v>16</v>
      </c>
      <c r="F247" s="5" t="s">
        <v>20</v>
      </c>
      <c r="G247" s="7">
        <v>40391</v>
      </c>
      <c r="H247" s="5" t="s">
        <v>21</v>
      </c>
    </row>
    <row r="248" spans="1:8" x14ac:dyDescent="0.35">
      <c r="A248" s="10">
        <f t="shared" si="3"/>
        <v>244</v>
      </c>
      <c r="B248" s="5">
        <v>3140</v>
      </c>
      <c r="C248" s="5" t="s">
        <v>441</v>
      </c>
      <c r="D248" s="5" t="s">
        <v>442</v>
      </c>
      <c r="E248" s="5" t="s">
        <v>103</v>
      </c>
      <c r="F248" s="5" t="s">
        <v>103</v>
      </c>
      <c r="G248" s="7">
        <v>40513</v>
      </c>
      <c r="H248" s="5" t="s">
        <v>13</v>
      </c>
    </row>
    <row r="249" spans="1:8" x14ac:dyDescent="0.35">
      <c r="A249" s="10">
        <f t="shared" si="3"/>
        <v>245</v>
      </c>
      <c r="B249" s="5">
        <v>3148</v>
      </c>
      <c r="C249" s="5" t="s">
        <v>443</v>
      </c>
      <c r="D249" s="5" t="s">
        <v>129</v>
      </c>
      <c r="E249" s="5" t="s">
        <v>16</v>
      </c>
      <c r="F249" s="5" t="s">
        <v>20</v>
      </c>
      <c r="G249" s="7">
        <v>40513</v>
      </c>
      <c r="H249" s="5" t="s">
        <v>21</v>
      </c>
    </row>
    <row r="250" spans="1:8" x14ac:dyDescent="0.35">
      <c r="A250" s="10">
        <f t="shared" si="3"/>
        <v>246</v>
      </c>
      <c r="B250" s="5">
        <v>3164</v>
      </c>
      <c r="C250" s="5" t="s">
        <v>444</v>
      </c>
      <c r="D250" s="5" t="s">
        <v>15</v>
      </c>
      <c r="E250" s="5" t="s">
        <v>16</v>
      </c>
      <c r="F250" s="5" t="s">
        <v>17</v>
      </c>
      <c r="G250" s="7">
        <v>40330</v>
      </c>
      <c r="H250" s="5" t="s">
        <v>13</v>
      </c>
    </row>
    <row r="251" spans="1:8" x14ac:dyDescent="0.35">
      <c r="A251" s="10">
        <f t="shared" si="3"/>
        <v>247</v>
      </c>
      <c r="B251" s="5">
        <v>3179</v>
      </c>
      <c r="C251" s="5" t="s">
        <v>445</v>
      </c>
      <c r="D251" s="5" t="s">
        <v>15</v>
      </c>
      <c r="E251" s="5" t="s">
        <v>16</v>
      </c>
      <c r="F251" s="5" t="s">
        <v>17</v>
      </c>
      <c r="G251" s="7">
        <v>40513</v>
      </c>
      <c r="H251" s="5" t="s">
        <v>13</v>
      </c>
    </row>
    <row r="252" spans="1:8" x14ac:dyDescent="0.35">
      <c r="A252" s="10">
        <f t="shared" si="3"/>
        <v>248</v>
      </c>
      <c r="B252" s="5">
        <v>3190</v>
      </c>
      <c r="C252" s="5" t="s">
        <v>446</v>
      </c>
      <c r="D252" s="5" t="s">
        <v>295</v>
      </c>
      <c r="E252" s="5" t="s">
        <v>16</v>
      </c>
      <c r="F252" s="5" t="s">
        <v>20</v>
      </c>
      <c r="G252" s="7">
        <v>40518</v>
      </c>
      <c r="H252" s="5" t="s">
        <v>21</v>
      </c>
    </row>
    <row r="253" spans="1:8" x14ac:dyDescent="0.35">
      <c r="A253" s="10">
        <f t="shared" si="3"/>
        <v>249</v>
      </c>
      <c r="B253" s="5">
        <v>3194</v>
      </c>
      <c r="C253" s="5" t="s">
        <v>447</v>
      </c>
      <c r="D253" s="5" t="s">
        <v>308</v>
      </c>
      <c r="E253" s="5" t="s">
        <v>103</v>
      </c>
      <c r="F253" s="5" t="s">
        <v>103</v>
      </c>
      <c r="G253" s="7">
        <v>40513</v>
      </c>
      <c r="H253" s="5" t="s">
        <v>13</v>
      </c>
    </row>
    <row r="254" spans="1:8" x14ac:dyDescent="0.35">
      <c r="A254" s="10">
        <f t="shared" si="3"/>
        <v>250</v>
      </c>
      <c r="B254" s="5">
        <v>3195</v>
      </c>
      <c r="C254" s="5" t="s">
        <v>448</v>
      </c>
      <c r="D254" s="5" t="s">
        <v>60</v>
      </c>
      <c r="E254" s="5" t="s">
        <v>61</v>
      </c>
      <c r="F254" s="5" t="s">
        <v>61</v>
      </c>
      <c r="G254" s="7">
        <v>40525</v>
      </c>
      <c r="H254" s="5" t="s">
        <v>13</v>
      </c>
    </row>
    <row r="255" spans="1:8" x14ac:dyDescent="0.35">
      <c r="A255" s="10">
        <f t="shared" si="3"/>
        <v>251</v>
      </c>
      <c r="B255" s="5">
        <v>3204</v>
      </c>
      <c r="C255" s="5" t="s">
        <v>449</v>
      </c>
      <c r="D255" s="5" t="s">
        <v>151</v>
      </c>
      <c r="E255" s="5" t="s">
        <v>24</v>
      </c>
      <c r="F255" s="5" t="s">
        <v>152</v>
      </c>
      <c r="G255" s="7">
        <v>40513</v>
      </c>
      <c r="H255" s="5" t="s">
        <v>13</v>
      </c>
    </row>
    <row r="256" spans="1:8" x14ac:dyDescent="0.35">
      <c r="A256" s="10">
        <f t="shared" si="3"/>
        <v>252</v>
      </c>
      <c r="B256" s="5">
        <v>3219</v>
      </c>
      <c r="C256" s="5" t="s">
        <v>450</v>
      </c>
      <c r="D256" s="5" t="s">
        <v>367</v>
      </c>
      <c r="E256" s="5" t="s">
        <v>16</v>
      </c>
      <c r="F256" s="5" t="s">
        <v>451</v>
      </c>
      <c r="G256" s="7">
        <v>40544</v>
      </c>
      <c r="H256" s="5" t="s">
        <v>13</v>
      </c>
    </row>
    <row r="257" spans="1:8" x14ac:dyDescent="0.35">
      <c r="A257" s="10">
        <f t="shared" si="3"/>
        <v>253</v>
      </c>
      <c r="B257" s="5">
        <v>323</v>
      </c>
      <c r="C257" s="5" t="s">
        <v>452</v>
      </c>
      <c r="D257" s="5" t="s">
        <v>453</v>
      </c>
      <c r="E257" s="5" t="s">
        <v>194</v>
      </c>
      <c r="F257" s="5" t="s">
        <v>344</v>
      </c>
      <c r="G257" s="7">
        <v>37673</v>
      </c>
      <c r="H257" s="5" t="s">
        <v>13</v>
      </c>
    </row>
    <row r="258" spans="1:8" x14ac:dyDescent="0.35">
      <c r="A258" s="10">
        <f t="shared" si="3"/>
        <v>254</v>
      </c>
      <c r="B258" s="5">
        <v>3234</v>
      </c>
      <c r="C258" s="5" t="s">
        <v>454</v>
      </c>
      <c r="D258" s="5" t="s">
        <v>455</v>
      </c>
      <c r="E258" s="5" t="s">
        <v>112</v>
      </c>
      <c r="F258" s="5" t="s">
        <v>112</v>
      </c>
      <c r="G258" s="7">
        <v>40575</v>
      </c>
      <c r="H258" s="5" t="s">
        <v>13</v>
      </c>
    </row>
    <row r="259" spans="1:8" x14ac:dyDescent="0.35">
      <c r="A259" s="10">
        <f t="shared" si="3"/>
        <v>255</v>
      </c>
      <c r="B259" s="5">
        <v>325</v>
      </c>
      <c r="C259" s="5" t="s">
        <v>456</v>
      </c>
      <c r="D259" s="5" t="s">
        <v>40</v>
      </c>
      <c r="E259" s="5" t="s">
        <v>16</v>
      </c>
      <c r="F259" s="5" t="s">
        <v>20</v>
      </c>
      <c r="G259" s="7">
        <v>37674</v>
      </c>
      <c r="H259" s="5" t="s">
        <v>13</v>
      </c>
    </row>
    <row r="260" spans="1:8" x14ac:dyDescent="0.35">
      <c r="A260" s="10">
        <f t="shared" si="3"/>
        <v>256</v>
      </c>
      <c r="B260" s="5">
        <v>3282</v>
      </c>
      <c r="C260" s="5" t="s">
        <v>457</v>
      </c>
      <c r="D260" s="5" t="s">
        <v>442</v>
      </c>
      <c r="E260" s="5" t="s">
        <v>103</v>
      </c>
      <c r="F260" s="5" t="s">
        <v>103</v>
      </c>
      <c r="G260" s="7">
        <v>40595</v>
      </c>
      <c r="H260" s="5" t="s">
        <v>13</v>
      </c>
    </row>
    <row r="261" spans="1:8" x14ac:dyDescent="0.35">
      <c r="A261" s="10">
        <f t="shared" si="3"/>
        <v>257</v>
      </c>
      <c r="B261" s="5">
        <v>3284</v>
      </c>
      <c r="C261" s="5" t="s">
        <v>458</v>
      </c>
      <c r="D261" s="5" t="s">
        <v>15</v>
      </c>
      <c r="E261" s="5" t="s">
        <v>16</v>
      </c>
      <c r="F261" s="5" t="s">
        <v>17</v>
      </c>
      <c r="G261" s="7">
        <v>40595</v>
      </c>
      <c r="H261" s="5" t="s">
        <v>13</v>
      </c>
    </row>
    <row r="262" spans="1:8" x14ac:dyDescent="0.35">
      <c r="A262" s="10">
        <f t="shared" ref="A262:A325" si="4">+A261+1</f>
        <v>258</v>
      </c>
      <c r="B262" s="5">
        <v>3285</v>
      </c>
      <c r="C262" s="5" t="s">
        <v>459</v>
      </c>
      <c r="D262" s="5" t="s">
        <v>15</v>
      </c>
      <c r="E262" s="5" t="s">
        <v>16</v>
      </c>
      <c r="F262" s="5" t="s">
        <v>17</v>
      </c>
      <c r="G262" s="7">
        <v>40596</v>
      </c>
      <c r="H262" s="5" t="s">
        <v>13</v>
      </c>
    </row>
    <row r="263" spans="1:8" x14ac:dyDescent="0.35">
      <c r="A263" s="10">
        <f t="shared" si="4"/>
        <v>259</v>
      </c>
      <c r="B263" s="5">
        <v>3309</v>
      </c>
      <c r="C263" s="5" t="s">
        <v>463</v>
      </c>
      <c r="D263" s="5" t="s">
        <v>330</v>
      </c>
      <c r="E263" s="5" t="s">
        <v>54</v>
      </c>
      <c r="F263" s="5" t="s">
        <v>54</v>
      </c>
      <c r="G263" s="7">
        <v>40603</v>
      </c>
      <c r="H263" s="5" t="s">
        <v>13</v>
      </c>
    </row>
    <row r="264" spans="1:8" x14ac:dyDescent="0.35">
      <c r="A264" s="10">
        <f t="shared" si="4"/>
        <v>260</v>
      </c>
      <c r="B264" s="5">
        <v>3333</v>
      </c>
      <c r="C264" s="5" t="s">
        <v>464</v>
      </c>
      <c r="D264" s="5" t="s">
        <v>367</v>
      </c>
      <c r="E264" s="5" t="s">
        <v>16</v>
      </c>
      <c r="F264" s="5" t="s">
        <v>439</v>
      </c>
      <c r="G264" s="7">
        <v>40609</v>
      </c>
      <c r="H264" s="5" t="s">
        <v>13</v>
      </c>
    </row>
    <row r="265" spans="1:8" x14ac:dyDescent="0.35">
      <c r="A265" s="10">
        <f t="shared" si="4"/>
        <v>261</v>
      </c>
      <c r="B265" s="5">
        <v>3365</v>
      </c>
      <c r="C265" s="5" t="s">
        <v>465</v>
      </c>
      <c r="D265" s="5" t="s">
        <v>151</v>
      </c>
      <c r="E265" s="5" t="s">
        <v>376</v>
      </c>
      <c r="F265" s="5" t="s">
        <v>466</v>
      </c>
      <c r="G265" s="7">
        <v>40575</v>
      </c>
      <c r="H265" s="5" t="s">
        <v>13</v>
      </c>
    </row>
    <row r="266" spans="1:8" x14ac:dyDescent="0.35">
      <c r="A266" s="10">
        <f t="shared" si="4"/>
        <v>262</v>
      </c>
      <c r="B266" s="5">
        <v>3374</v>
      </c>
      <c r="C266" s="5" t="s">
        <v>467</v>
      </c>
      <c r="D266" s="5" t="s">
        <v>40</v>
      </c>
      <c r="E266" s="5" t="s">
        <v>16</v>
      </c>
      <c r="F266" s="5" t="s">
        <v>41</v>
      </c>
      <c r="G266" s="7">
        <v>40616</v>
      </c>
      <c r="H266" s="5" t="s">
        <v>13</v>
      </c>
    </row>
    <row r="267" spans="1:8" x14ac:dyDescent="0.35">
      <c r="A267" s="10">
        <f t="shared" si="4"/>
        <v>263</v>
      </c>
      <c r="B267" s="5">
        <v>3381</v>
      </c>
      <c r="C267" s="5" t="s">
        <v>468</v>
      </c>
      <c r="D267" s="5" t="s">
        <v>469</v>
      </c>
      <c r="E267" s="5" t="s">
        <v>161</v>
      </c>
      <c r="F267" s="5" t="s">
        <v>161</v>
      </c>
      <c r="G267" s="7">
        <v>40624</v>
      </c>
      <c r="H267" s="5" t="s">
        <v>13</v>
      </c>
    </row>
    <row r="268" spans="1:8" x14ac:dyDescent="0.35">
      <c r="A268" s="10">
        <f t="shared" si="4"/>
        <v>264</v>
      </c>
      <c r="B268" s="5">
        <v>3393</v>
      </c>
      <c r="C268" s="5" t="s">
        <v>413</v>
      </c>
      <c r="D268" s="5" t="s">
        <v>151</v>
      </c>
      <c r="E268" s="5" t="s">
        <v>376</v>
      </c>
      <c r="F268" s="5" t="s">
        <v>466</v>
      </c>
      <c r="G268" s="7">
        <v>40639</v>
      </c>
      <c r="H268" s="5" t="s">
        <v>13</v>
      </c>
    </row>
    <row r="269" spans="1:8" x14ac:dyDescent="0.35">
      <c r="A269" s="10">
        <f t="shared" si="4"/>
        <v>265</v>
      </c>
      <c r="B269" s="5">
        <v>3402</v>
      </c>
      <c r="C269" s="5" t="s">
        <v>470</v>
      </c>
      <c r="D269" s="5" t="s">
        <v>21</v>
      </c>
      <c r="E269" s="5" t="s">
        <v>99</v>
      </c>
      <c r="F269" s="5" t="s">
        <v>249</v>
      </c>
      <c r="G269" s="7">
        <v>40664</v>
      </c>
      <c r="H269" s="5" t="s">
        <v>13</v>
      </c>
    </row>
    <row r="270" spans="1:8" x14ac:dyDescent="0.35">
      <c r="A270" s="10">
        <f t="shared" si="4"/>
        <v>266</v>
      </c>
      <c r="B270" s="5">
        <v>3426</v>
      </c>
      <c r="C270" s="5" t="s">
        <v>471</v>
      </c>
      <c r="D270" s="5" t="s">
        <v>340</v>
      </c>
      <c r="E270" s="5" t="s">
        <v>68</v>
      </c>
      <c r="F270" s="5" t="s">
        <v>69</v>
      </c>
      <c r="G270" s="7">
        <v>40664</v>
      </c>
      <c r="H270" s="5" t="s">
        <v>13</v>
      </c>
    </row>
    <row r="271" spans="1:8" x14ac:dyDescent="0.35">
      <c r="A271" s="10">
        <f t="shared" si="4"/>
        <v>267</v>
      </c>
      <c r="B271" s="5">
        <v>3427</v>
      </c>
      <c r="C271" s="5" t="s">
        <v>472</v>
      </c>
      <c r="D271" s="5" t="s">
        <v>15</v>
      </c>
      <c r="E271" s="5" t="s">
        <v>16</v>
      </c>
      <c r="F271" s="5" t="s">
        <v>17</v>
      </c>
      <c r="G271" s="7">
        <v>40664</v>
      </c>
      <c r="H271" s="5" t="s">
        <v>13</v>
      </c>
    </row>
    <row r="272" spans="1:8" x14ac:dyDescent="0.35">
      <c r="A272" s="10">
        <f t="shared" si="4"/>
        <v>268</v>
      </c>
      <c r="B272" s="5">
        <v>3428</v>
      </c>
      <c r="C272" s="5" t="s">
        <v>473</v>
      </c>
      <c r="D272" s="5" t="s">
        <v>308</v>
      </c>
      <c r="E272" s="5" t="s">
        <v>103</v>
      </c>
      <c r="F272" s="5" t="s">
        <v>103</v>
      </c>
      <c r="G272" s="7">
        <v>40664</v>
      </c>
      <c r="H272" s="5" t="s">
        <v>13</v>
      </c>
    </row>
    <row r="273" spans="1:8" x14ac:dyDescent="0.35">
      <c r="A273" s="10">
        <f t="shared" si="4"/>
        <v>269</v>
      </c>
      <c r="B273" s="5">
        <v>3451</v>
      </c>
      <c r="C273" s="5" t="s">
        <v>476</v>
      </c>
      <c r="D273" s="5" t="s">
        <v>129</v>
      </c>
      <c r="E273" s="5" t="s">
        <v>112</v>
      </c>
      <c r="F273" s="5" t="s">
        <v>112</v>
      </c>
      <c r="G273" s="7">
        <v>40695</v>
      </c>
      <c r="H273" s="5" t="s">
        <v>13</v>
      </c>
    </row>
    <row r="274" spans="1:8" x14ac:dyDescent="0.35">
      <c r="A274" s="10">
        <f t="shared" si="4"/>
        <v>270</v>
      </c>
      <c r="B274" s="5">
        <v>3452</v>
      </c>
      <c r="C274" s="5" t="s">
        <v>477</v>
      </c>
      <c r="D274" s="5" t="s">
        <v>15</v>
      </c>
      <c r="E274" s="5" t="s">
        <v>181</v>
      </c>
      <c r="F274" s="5" t="s">
        <v>181</v>
      </c>
      <c r="G274" s="7">
        <v>40695</v>
      </c>
      <c r="H274" s="5" t="s">
        <v>13</v>
      </c>
    </row>
    <row r="275" spans="1:8" x14ac:dyDescent="0.35">
      <c r="A275" s="10">
        <f t="shared" si="4"/>
        <v>271</v>
      </c>
      <c r="B275" s="5">
        <v>3474</v>
      </c>
      <c r="C275" s="5" t="s">
        <v>478</v>
      </c>
      <c r="D275" s="5" t="s">
        <v>21</v>
      </c>
      <c r="E275" s="5" t="s">
        <v>24</v>
      </c>
      <c r="F275" s="5" t="s">
        <v>152</v>
      </c>
      <c r="G275" s="7">
        <v>40695</v>
      </c>
      <c r="H275" s="5" t="s">
        <v>13</v>
      </c>
    </row>
    <row r="276" spans="1:8" x14ac:dyDescent="0.35">
      <c r="A276" s="10">
        <f t="shared" si="4"/>
        <v>272</v>
      </c>
      <c r="B276" s="5">
        <v>3489</v>
      </c>
      <c r="C276" s="5" t="s">
        <v>479</v>
      </c>
      <c r="D276" s="5" t="s">
        <v>367</v>
      </c>
      <c r="E276" s="5" t="s">
        <v>16</v>
      </c>
      <c r="F276" s="5" t="s">
        <v>480</v>
      </c>
      <c r="G276" s="7">
        <v>40749</v>
      </c>
      <c r="H276" s="5" t="s">
        <v>13</v>
      </c>
    </row>
    <row r="277" spans="1:8" x14ac:dyDescent="0.35">
      <c r="A277" s="10">
        <f t="shared" si="4"/>
        <v>273</v>
      </c>
      <c r="B277" s="5">
        <v>3502</v>
      </c>
      <c r="C277" s="5" t="s">
        <v>481</v>
      </c>
      <c r="D277" s="5" t="s">
        <v>367</v>
      </c>
      <c r="E277" s="5" t="s">
        <v>16</v>
      </c>
      <c r="F277" s="5" t="s">
        <v>141</v>
      </c>
      <c r="G277" s="7">
        <v>40749</v>
      </c>
      <c r="H277" s="5" t="s">
        <v>13</v>
      </c>
    </row>
    <row r="278" spans="1:8" x14ac:dyDescent="0.35">
      <c r="A278" s="10">
        <f t="shared" si="4"/>
        <v>274</v>
      </c>
      <c r="B278" s="5">
        <v>3529</v>
      </c>
      <c r="C278" s="5" t="s">
        <v>482</v>
      </c>
      <c r="D278" s="5" t="s">
        <v>367</v>
      </c>
      <c r="E278" s="5" t="s">
        <v>16</v>
      </c>
      <c r="F278" s="5" t="s">
        <v>483</v>
      </c>
      <c r="G278" s="7">
        <v>40771</v>
      </c>
      <c r="H278" s="5" t="s">
        <v>13</v>
      </c>
    </row>
    <row r="279" spans="1:8" x14ac:dyDescent="0.35">
      <c r="A279" s="10">
        <f t="shared" si="4"/>
        <v>275</v>
      </c>
      <c r="B279" s="5">
        <v>3536</v>
      </c>
      <c r="C279" s="5" t="s">
        <v>484</v>
      </c>
      <c r="D279" s="5" t="s">
        <v>308</v>
      </c>
      <c r="E279" s="5" t="s">
        <v>103</v>
      </c>
      <c r="F279" s="5" t="s">
        <v>103</v>
      </c>
      <c r="G279" s="7">
        <v>40756</v>
      </c>
      <c r="H279" s="5" t="s">
        <v>13</v>
      </c>
    </row>
    <row r="280" spans="1:8" x14ac:dyDescent="0.35">
      <c r="A280" s="10">
        <f t="shared" si="4"/>
        <v>276</v>
      </c>
      <c r="B280" s="5">
        <v>356</v>
      </c>
      <c r="C280" s="5" t="s">
        <v>485</v>
      </c>
      <c r="D280" s="5" t="s">
        <v>486</v>
      </c>
      <c r="E280" s="5" t="s">
        <v>24</v>
      </c>
      <c r="F280" s="5" t="s">
        <v>152</v>
      </c>
      <c r="G280" s="7">
        <v>37697</v>
      </c>
      <c r="H280" s="5" t="s">
        <v>13</v>
      </c>
    </row>
    <row r="281" spans="1:8" x14ac:dyDescent="0.35">
      <c r="A281" s="10">
        <f t="shared" si="4"/>
        <v>277</v>
      </c>
      <c r="B281" s="5">
        <v>3573</v>
      </c>
      <c r="C281" s="5" t="s">
        <v>487</v>
      </c>
      <c r="D281" s="5" t="s">
        <v>488</v>
      </c>
      <c r="E281" s="5" t="s">
        <v>64</v>
      </c>
      <c r="F281" s="5" t="s">
        <v>64</v>
      </c>
      <c r="G281" s="7">
        <v>40817</v>
      </c>
      <c r="H281" s="5" t="s">
        <v>13</v>
      </c>
    </row>
    <row r="282" spans="1:8" x14ac:dyDescent="0.35">
      <c r="A282" s="10">
        <f t="shared" si="4"/>
        <v>278</v>
      </c>
      <c r="B282" s="5">
        <v>3582</v>
      </c>
      <c r="C282" s="5" t="s">
        <v>489</v>
      </c>
      <c r="D282" s="5" t="s">
        <v>399</v>
      </c>
      <c r="E282" s="5" t="s">
        <v>194</v>
      </c>
      <c r="F282" s="5" t="s">
        <v>194</v>
      </c>
      <c r="G282" s="7">
        <v>40817</v>
      </c>
      <c r="H282" s="5" t="s">
        <v>13</v>
      </c>
    </row>
    <row r="283" spans="1:8" x14ac:dyDescent="0.35">
      <c r="A283" s="10">
        <f t="shared" si="4"/>
        <v>279</v>
      </c>
      <c r="B283" s="5">
        <v>3592</v>
      </c>
      <c r="C283" s="5" t="s">
        <v>490</v>
      </c>
      <c r="D283" s="5" t="s">
        <v>15</v>
      </c>
      <c r="E283" s="5" t="s">
        <v>181</v>
      </c>
      <c r="F283" s="5" t="s">
        <v>181</v>
      </c>
      <c r="G283" s="7">
        <v>40637</v>
      </c>
      <c r="H283" s="5" t="s">
        <v>13</v>
      </c>
    </row>
    <row r="284" spans="1:8" x14ac:dyDescent="0.35">
      <c r="A284" s="10">
        <f t="shared" si="4"/>
        <v>280</v>
      </c>
      <c r="B284" s="5">
        <v>3594</v>
      </c>
      <c r="C284" s="5" t="s">
        <v>491</v>
      </c>
      <c r="D284" s="5" t="s">
        <v>492</v>
      </c>
      <c r="E284" s="5" t="s">
        <v>493</v>
      </c>
      <c r="F284" s="5" t="s">
        <v>494</v>
      </c>
      <c r="G284" s="7">
        <v>40828</v>
      </c>
      <c r="H284" s="5" t="s">
        <v>13</v>
      </c>
    </row>
    <row r="285" spans="1:8" x14ac:dyDescent="0.35">
      <c r="A285" s="10">
        <f t="shared" si="4"/>
        <v>281</v>
      </c>
      <c r="B285" s="5">
        <v>3610</v>
      </c>
      <c r="C285" s="5" t="s">
        <v>495</v>
      </c>
      <c r="D285" s="5" t="s">
        <v>340</v>
      </c>
      <c r="E285" s="5" t="s">
        <v>68</v>
      </c>
      <c r="F285" s="5" t="s">
        <v>69</v>
      </c>
      <c r="G285" s="7">
        <v>40848</v>
      </c>
      <c r="H285" s="5" t="s">
        <v>13</v>
      </c>
    </row>
    <row r="286" spans="1:8" x14ac:dyDescent="0.35">
      <c r="A286" s="10">
        <f t="shared" si="4"/>
        <v>282</v>
      </c>
      <c r="B286" s="5">
        <v>3625</v>
      </c>
      <c r="C286" s="5" t="s">
        <v>496</v>
      </c>
      <c r="D286" s="5" t="s">
        <v>367</v>
      </c>
      <c r="E286" s="5" t="s">
        <v>16</v>
      </c>
      <c r="F286" s="5" t="s">
        <v>497</v>
      </c>
      <c r="G286" s="7">
        <v>40848</v>
      </c>
      <c r="H286" s="5" t="s">
        <v>13</v>
      </c>
    </row>
    <row r="287" spans="1:8" x14ac:dyDescent="0.35">
      <c r="A287" s="10">
        <f t="shared" si="4"/>
        <v>283</v>
      </c>
      <c r="B287" s="5">
        <v>3628</v>
      </c>
      <c r="C287" s="5" t="s">
        <v>498</v>
      </c>
      <c r="D287" s="5" t="s">
        <v>40</v>
      </c>
      <c r="E287" s="5" t="s">
        <v>16</v>
      </c>
      <c r="F287" s="5" t="s">
        <v>41</v>
      </c>
      <c r="G287" s="7">
        <v>40854</v>
      </c>
      <c r="H287" s="5" t="s">
        <v>13</v>
      </c>
    </row>
    <row r="288" spans="1:8" x14ac:dyDescent="0.35">
      <c r="A288" s="10">
        <f t="shared" si="4"/>
        <v>284</v>
      </c>
      <c r="B288" s="5">
        <v>3629</v>
      </c>
      <c r="C288" s="5" t="s">
        <v>499</v>
      </c>
      <c r="D288" s="5" t="s">
        <v>15</v>
      </c>
      <c r="E288" s="5" t="s">
        <v>16</v>
      </c>
      <c r="F288" s="5" t="s">
        <v>17</v>
      </c>
      <c r="G288" s="7">
        <v>40854</v>
      </c>
      <c r="H288" s="5" t="s">
        <v>13</v>
      </c>
    </row>
    <row r="289" spans="1:8" x14ac:dyDescent="0.35">
      <c r="A289" s="10">
        <f t="shared" si="4"/>
        <v>285</v>
      </c>
      <c r="B289" s="5">
        <v>3630</v>
      </c>
      <c r="C289" s="5" t="s">
        <v>500</v>
      </c>
      <c r="D289" s="5" t="s">
        <v>15</v>
      </c>
      <c r="E289" s="5" t="s">
        <v>16</v>
      </c>
      <c r="F289" s="5" t="s">
        <v>17</v>
      </c>
      <c r="G289" s="7">
        <v>40850</v>
      </c>
      <c r="H289" s="5" t="s">
        <v>13</v>
      </c>
    </row>
    <row r="290" spans="1:8" x14ac:dyDescent="0.35">
      <c r="A290" s="10">
        <f t="shared" si="4"/>
        <v>286</v>
      </c>
      <c r="B290" s="5">
        <v>3631</v>
      </c>
      <c r="C290" s="5" t="s">
        <v>501</v>
      </c>
      <c r="D290" s="5" t="s">
        <v>15</v>
      </c>
      <c r="E290" s="5" t="s">
        <v>16</v>
      </c>
      <c r="F290" s="5" t="s">
        <v>17</v>
      </c>
      <c r="G290" s="7">
        <v>40854</v>
      </c>
      <c r="H290" s="5" t="s">
        <v>13</v>
      </c>
    </row>
    <row r="291" spans="1:8" x14ac:dyDescent="0.35">
      <c r="A291" s="10">
        <f t="shared" si="4"/>
        <v>287</v>
      </c>
      <c r="B291" s="5">
        <v>3635</v>
      </c>
      <c r="C291" s="5" t="s">
        <v>502</v>
      </c>
      <c r="D291" s="5" t="s">
        <v>15</v>
      </c>
      <c r="E291" s="5" t="s">
        <v>61</v>
      </c>
      <c r="F291" s="5" t="s">
        <v>61</v>
      </c>
      <c r="G291" s="7">
        <v>40848</v>
      </c>
      <c r="H291" s="5" t="s">
        <v>13</v>
      </c>
    </row>
    <row r="292" spans="1:8" x14ac:dyDescent="0.35">
      <c r="A292" s="10">
        <f t="shared" si="4"/>
        <v>288</v>
      </c>
      <c r="B292" s="5">
        <v>3637</v>
      </c>
      <c r="C292" s="5" t="s">
        <v>503</v>
      </c>
      <c r="D292" s="5" t="s">
        <v>488</v>
      </c>
      <c r="E292" s="5" t="s">
        <v>64</v>
      </c>
      <c r="F292" s="5" t="s">
        <v>64</v>
      </c>
      <c r="G292" s="7">
        <v>40848</v>
      </c>
      <c r="H292" s="5" t="s">
        <v>13</v>
      </c>
    </row>
    <row r="293" spans="1:8" x14ac:dyDescent="0.35">
      <c r="A293" s="10">
        <f t="shared" si="4"/>
        <v>289</v>
      </c>
      <c r="B293" s="5">
        <v>3642</v>
      </c>
      <c r="C293" s="5" t="s">
        <v>504</v>
      </c>
      <c r="D293" s="5" t="s">
        <v>151</v>
      </c>
      <c r="E293" s="5" t="s">
        <v>505</v>
      </c>
      <c r="F293" s="5" t="s">
        <v>505</v>
      </c>
      <c r="G293" s="7">
        <v>40848</v>
      </c>
      <c r="H293" s="5" t="s">
        <v>13</v>
      </c>
    </row>
    <row r="294" spans="1:8" x14ac:dyDescent="0.35">
      <c r="A294" s="10">
        <f t="shared" si="4"/>
        <v>290</v>
      </c>
      <c r="B294" s="5">
        <v>3643</v>
      </c>
      <c r="C294" s="5" t="s">
        <v>506</v>
      </c>
      <c r="D294" s="5" t="s">
        <v>15</v>
      </c>
      <c r="E294" s="5" t="s">
        <v>16</v>
      </c>
      <c r="F294" s="5" t="s">
        <v>17</v>
      </c>
      <c r="G294" s="7">
        <v>40878</v>
      </c>
      <c r="H294" s="5" t="s">
        <v>13</v>
      </c>
    </row>
    <row r="295" spans="1:8" x14ac:dyDescent="0.35">
      <c r="A295" s="10">
        <f t="shared" si="4"/>
        <v>291</v>
      </c>
      <c r="B295" s="5">
        <v>3658</v>
      </c>
      <c r="C295" s="5" t="s">
        <v>507</v>
      </c>
      <c r="D295" s="5" t="s">
        <v>340</v>
      </c>
      <c r="E295" s="5" t="s">
        <v>68</v>
      </c>
      <c r="F295" s="5" t="s">
        <v>69</v>
      </c>
      <c r="G295" s="7">
        <v>40848</v>
      </c>
      <c r="H295" s="5" t="s">
        <v>13</v>
      </c>
    </row>
    <row r="296" spans="1:8" x14ac:dyDescent="0.35">
      <c r="A296" s="10">
        <f t="shared" si="4"/>
        <v>292</v>
      </c>
      <c r="B296" s="5">
        <v>3671</v>
      </c>
      <c r="C296" s="5" t="s">
        <v>508</v>
      </c>
      <c r="D296" s="5" t="s">
        <v>151</v>
      </c>
      <c r="E296" s="5" t="s">
        <v>68</v>
      </c>
      <c r="F296" s="5" t="s">
        <v>137</v>
      </c>
      <c r="G296" s="7">
        <v>40889</v>
      </c>
      <c r="H296" s="5" t="s">
        <v>13</v>
      </c>
    </row>
    <row r="297" spans="1:8" x14ac:dyDescent="0.35">
      <c r="A297" s="10">
        <f t="shared" si="4"/>
        <v>293</v>
      </c>
      <c r="B297" s="5">
        <v>3675</v>
      </c>
      <c r="C297" s="5" t="s">
        <v>509</v>
      </c>
      <c r="D297" s="5" t="s">
        <v>77</v>
      </c>
      <c r="E297" s="5" t="s">
        <v>61</v>
      </c>
      <c r="F297" s="5" t="s">
        <v>61</v>
      </c>
      <c r="G297" s="7">
        <v>40878</v>
      </c>
      <c r="H297" s="5" t="s">
        <v>13</v>
      </c>
    </row>
    <row r="298" spans="1:8" x14ac:dyDescent="0.35">
      <c r="A298" s="10">
        <f t="shared" si="4"/>
        <v>294</v>
      </c>
      <c r="B298" s="5">
        <v>3690</v>
      </c>
      <c r="C298" s="5" t="s">
        <v>510</v>
      </c>
      <c r="D298" s="5" t="s">
        <v>367</v>
      </c>
      <c r="E298" s="5" t="s">
        <v>16</v>
      </c>
      <c r="F298" s="5" t="s">
        <v>141</v>
      </c>
      <c r="G298" s="7">
        <v>40903</v>
      </c>
      <c r="H298" s="5" t="s">
        <v>13</v>
      </c>
    </row>
    <row r="299" spans="1:8" x14ac:dyDescent="0.35">
      <c r="A299" s="10">
        <f t="shared" si="4"/>
        <v>295</v>
      </c>
      <c r="B299" s="5">
        <v>3695</v>
      </c>
      <c r="C299" s="5" t="s">
        <v>511</v>
      </c>
      <c r="D299" s="5" t="s">
        <v>38</v>
      </c>
      <c r="E299" s="5" t="s">
        <v>16</v>
      </c>
      <c r="F299" s="5" t="s">
        <v>20</v>
      </c>
      <c r="G299" s="7">
        <v>40903</v>
      </c>
      <c r="H299" s="5" t="s">
        <v>21</v>
      </c>
    </row>
    <row r="300" spans="1:8" x14ac:dyDescent="0.35">
      <c r="A300" s="10">
        <f t="shared" si="4"/>
        <v>296</v>
      </c>
      <c r="B300" s="5">
        <v>3722</v>
      </c>
      <c r="C300" s="5" t="s">
        <v>512</v>
      </c>
      <c r="D300" s="5" t="s">
        <v>367</v>
      </c>
      <c r="E300" s="5" t="s">
        <v>16</v>
      </c>
      <c r="F300" s="5" t="s">
        <v>368</v>
      </c>
      <c r="G300" s="7">
        <v>40938</v>
      </c>
      <c r="H300" s="5" t="s">
        <v>13</v>
      </c>
    </row>
    <row r="301" spans="1:8" x14ac:dyDescent="0.35">
      <c r="A301" s="10">
        <f t="shared" si="4"/>
        <v>297</v>
      </c>
      <c r="B301" s="5">
        <v>3723</v>
      </c>
      <c r="C301" s="5" t="s">
        <v>513</v>
      </c>
      <c r="D301" s="5" t="s">
        <v>129</v>
      </c>
      <c r="E301" s="5" t="s">
        <v>16</v>
      </c>
      <c r="F301" s="5" t="s">
        <v>20</v>
      </c>
      <c r="G301" s="7">
        <v>40939</v>
      </c>
      <c r="H301" s="5" t="s">
        <v>21</v>
      </c>
    </row>
    <row r="302" spans="1:8" x14ac:dyDescent="0.35">
      <c r="A302" s="10">
        <f t="shared" si="4"/>
        <v>298</v>
      </c>
      <c r="B302" s="5">
        <v>3772</v>
      </c>
      <c r="C302" s="5" t="s">
        <v>514</v>
      </c>
      <c r="D302" s="5" t="s">
        <v>367</v>
      </c>
      <c r="E302" s="5" t="s">
        <v>16</v>
      </c>
      <c r="F302" s="5" t="s">
        <v>480</v>
      </c>
      <c r="G302" s="7">
        <v>40941</v>
      </c>
      <c r="H302" s="5" t="s">
        <v>13</v>
      </c>
    </row>
    <row r="303" spans="1:8" x14ac:dyDescent="0.35">
      <c r="A303" s="10">
        <f t="shared" si="4"/>
        <v>299</v>
      </c>
      <c r="B303" s="5">
        <v>3825</v>
      </c>
      <c r="C303" s="5" t="s">
        <v>515</v>
      </c>
      <c r="D303" s="5" t="s">
        <v>237</v>
      </c>
      <c r="E303" s="5" t="s">
        <v>16</v>
      </c>
      <c r="F303" s="5" t="s">
        <v>144</v>
      </c>
      <c r="G303" s="7">
        <v>40941</v>
      </c>
      <c r="H303" s="5" t="s">
        <v>13</v>
      </c>
    </row>
    <row r="304" spans="1:8" x14ac:dyDescent="0.35">
      <c r="A304" s="10">
        <f t="shared" si="4"/>
        <v>300</v>
      </c>
      <c r="B304" s="5">
        <v>3826</v>
      </c>
      <c r="C304" s="5" t="s">
        <v>516</v>
      </c>
      <c r="D304" s="5" t="s">
        <v>367</v>
      </c>
      <c r="E304" s="5" t="s">
        <v>16</v>
      </c>
      <c r="F304" s="5" t="s">
        <v>517</v>
      </c>
      <c r="G304" s="7">
        <v>40941</v>
      </c>
      <c r="H304" s="5" t="s">
        <v>13</v>
      </c>
    </row>
    <row r="305" spans="1:8" x14ac:dyDescent="0.35">
      <c r="A305" s="10">
        <f t="shared" si="4"/>
        <v>301</v>
      </c>
      <c r="B305" s="5">
        <v>3834</v>
      </c>
      <c r="C305" s="5" t="s">
        <v>518</v>
      </c>
      <c r="D305" s="5" t="s">
        <v>519</v>
      </c>
      <c r="E305" s="5" t="s">
        <v>24</v>
      </c>
      <c r="F305" s="5" t="s">
        <v>24</v>
      </c>
      <c r="G305" s="7">
        <v>40940</v>
      </c>
      <c r="H305" s="5" t="s">
        <v>13</v>
      </c>
    </row>
    <row r="306" spans="1:8" x14ac:dyDescent="0.35">
      <c r="A306" s="10">
        <f t="shared" si="4"/>
        <v>302</v>
      </c>
      <c r="B306" s="5">
        <v>3835</v>
      </c>
      <c r="C306" s="5" t="s">
        <v>520</v>
      </c>
      <c r="D306" s="5" t="s">
        <v>15</v>
      </c>
      <c r="E306" s="5" t="s">
        <v>16</v>
      </c>
      <c r="F306" s="5" t="s">
        <v>17</v>
      </c>
      <c r="G306" s="7">
        <v>40931</v>
      </c>
      <c r="H306" s="5" t="s">
        <v>13</v>
      </c>
    </row>
    <row r="307" spans="1:8" x14ac:dyDescent="0.35">
      <c r="A307" s="10">
        <f t="shared" si="4"/>
        <v>303</v>
      </c>
      <c r="B307" s="5">
        <v>3844</v>
      </c>
      <c r="C307" s="5" t="s">
        <v>521</v>
      </c>
      <c r="D307" s="5" t="s">
        <v>340</v>
      </c>
      <c r="E307" s="5" t="s">
        <v>68</v>
      </c>
      <c r="F307" s="5" t="s">
        <v>69</v>
      </c>
      <c r="G307" s="7">
        <v>40969</v>
      </c>
      <c r="H307" s="5" t="s">
        <v>13</v>
      </c>
    </row>
    <row r="308" spans="1:8" x14ac:dyDescent="0.35">
      <c r="A308" s="10">
        <f t="shared" si="4"/>
        <v>304</v>
      </c>
      <c r="B308" s="5">
        <v>3845</v>
      </c>
      <c r="C308" s="5" t="s">
        <v>522</v>
      </c>
      <c r="D308" s="5" t="s">
        <v>280</v>
      </c>
      <c r="E308" s="5" t="s">
        <v>68</v>
      </c>
      <c r="F308" s="5" t="s">
        <v>187</v>
      </c>
      <c r="G308" s="7">
        <v>40969</v>
      </c>
      <c r="H308" s="5" t="s">
        <v>13</v>
      </c>
    </row>
    <row r="309" spans="1:8" x14ac:dyDescent="0.35">
      <c r="A309" s="10">
        <f t="shared" si="4"/>
        <v>305</v>
      </c>
      <c r="B309" s="5">
        <v>3852</v>
      </c>
      <c r="C309" s="5" t="s">
        <v>523</v>
      </c>
      <c r="D309" s="5" t="s">
        <v>340</v>
      </c>
      <c r="E309" s="5" t="s">
        <v>68</v>
      </c>
      <c r="F309" s="5" t="s">
        <v>69</v>
      </c>
      <c r="G309" s="7">
        <v>40961</v>
      </c>
      <c r="H309" s="5" t="s">
        <v>13</v>
      </c>
    </row>
    <row r="310" spans="1:8" x14ac:dyDescent="0.35">
      <c r="A310" s="10">
        <f t="shared" si="4"/>
        <v>306</v>
      </c>
      <c r="B310" s="5">
        <v>3855</v>
      </c>
      <c r="C310" s="5" t="s">
        <v>524</v>
      </c>
      <c r="D310" s="5" t="s">
        <v>340</v>
      </c>
      <c r="E310" s="5" t="s">
        <v>68</v>
      </c>
      <c r="F310" s="5" t="s">
        <v>69</v>
      </c>
      <c r="G310" s="7">
        <v>40961</v>
      </c>
      <c r="H310" s="5" t="s">
        <v>13</v>
      </c>
    </row>
    <row r="311" spans="1:8" x14ac:dyDescent="0.35">
      <c r="A311" s="10">
        <f t="shared" si="4"/>
        <v>307</v>
      </c>
      <c r="B311" s="5">
        <v>3857</v>
      </c>
      <c r="C311" s="5" t="s">
        <v>525</v>
      </c>
      <c r="D311" s="5" t="s">
        <v>136</v>
      </c>
      <c r="E311" s="5" t="s">
        <v>68</v>
      </c>
      <c r="F311" s="5" t="s">
        <v>254</v>
      </c>
      <c r="G311" s="7">
        <v>41016</v>
      </c>
      <c r="H311" s="5" t="s">
        <v>13</v>
      </c>
    </row>
    <row r="312" spans="1:8" x14ac:dyDescent="0.35">
      <c r="A312" s="10">
        <f t="shared" si="4"/>
        <v>308</v>
      </c>
      <c r="B312" s="5">
        <v>3863</v>
      </c>
      <c r="C312" s="5" t="s">
        <v>526</v>
      </c>
      <c r="D312" s="5" t="s">
        <v>60</v>
      </c>
      <c r="E312" s="5" t="s">
        <v>61</v>
      </c>
      <c r="F312" s="5" t="s">
        <v>61</v>
      </c>
      <c r="G312" s="7">
        <v>41016</v>
      </c>
      <c r="H312" s="5" t="s">
        <v>13</v>
      </c>
    </row>
    <row r="313" spans="1:8" x14ac:dyDescent="0.35">
      <c r="A313" s="10">
        <f t="shared" si="4"/>
        <v>309</v>
      </c>
      <c r="B313" s="5">
        <v>3864</v>
      </c>
      <c r="C313" s="5" t="s">
        <v>527</v>
      </c>
      <c r="D313" s="5" t="s">
        <v>80</v>
      </c>
      <c r="E313" s="5" t="s">
        <v>181</v>
      </c>
      <c r="F313" s="5" t="s">
        <v>181</v>
      </c>
      <c r="G313" s="7">
        <v>41021</v>
      </c>
      <c r="H313" s="5" t="s">
        <v>13</v>
      </c>
    </row>
    <row r="314" spans="1:8" x14ac:dyDescent="0.35">
      <c r="A314" s="10">
        <f t="shared" si="4"/>
        <v>310</v>
      </c>
      <c r="B314" s="5">
        <v>3882</v>
      </c>
      <c r="C314" s="5" t="s">
        <v>528</v>
      </c>
      <c r="D314" s="5" t="s">
        <v>38</v>
      </c>
      <c r="E314" s="5" t="s">
        <v>16</v>
      </c>
      <c r="F314" s="5" t="s">
        <v>20</v>
      </c>
      <c r="G314" s="7">
        <v>41001</v>
      </c>
      <c r="H314" s="5" t="s">
        <v>21</v>
      </c>
    </row>
    <row r="315" spans="1:8" x14ac:dyDescent="0.35">
      <c r="A315" s="10">
        <f t="shared" si="4"/>
        <v>311</v>
      </c>
      <c r="B315" s="5">
        <v>3890</v>
      </c>
      <c r="C315" s="5" t="s">
        <v>529</v>
      </c>
      <c r="D315" s="5" t="s">
        <v>38</v>
      </c>
      <c r="E315" s="5" t="s">
        <v>16</v>
      </c>
      <c r="F315" s="5" t="s">
        <v>20</v>
      </c>
      <c r="G315" s="7">
        <v>41003</v>
      </c>
      <c r="H315" s="5" t="s">
        <v>21</v>
      </c>
    </row>
    <row r="316" spans="1:8" x14ac:dyDescent="0.35">
      <c r="A316" s="10">
        <f t="shared" si="4"/>
        <v>312</v>
      </c>
      <c r="B316" s="5">
        <v>3911</v>
      </c>
      <c r="C316" s="5" t="s">
        <v>530</v>
      </c>
      <c r="D316" s="5" t="s">
        <v>295</v>
      </c>
      <c r="E316" s="5" t="s">
        <v>16</v>
      </c>
      <c r="F316" s="5" t="s">
        <v>20</v>
      </c>
      <c r="G316" s="7">
        <v>41005</v>
      </c>
      <c r="H316" s="5" t="s">
        <v>21</v>
      </c>
    </row>
    <row r="317" spans="1:8" x14ac:dyDescent="0.35">
      <c r="A317" s="10">
        <f t="shared" si="4"/>
        <v>313</v>
      </c>
      <c r="B317" s="5">
        <v>3920</v>
      </c>
      <c r="C317" s="5" t="s">
        <v>531</v>
      </c>
      <c r="D317" s="5" t="s">
        <v>77</v>
      </c>
      <c r="E317" s="5" t="s">
        <v>61</v>
      </c>
      <c r="F317" s="5" t="s">
        <v>61</v>
      </c>
      <c r="G317" s="7">
        <v>41037</v>
      </c>
      <c r="H317" s="5" t="s">
        <v>13</v>
      </c>
    </row>
    <row r="318" spans="1:8" x14ac:dyDescent="0.35">
      <c r="A318" s="10">
        <f t="shared" si="4"/>
        <v>314</v>
      </c>
      <c r="B318" s="5">
        <v>3926</v>
      </c>
      <c r="C318" s="5" t="s">
        <v>532</v>
      </c>
      <c r="D318" s="5" t="s">
        <v>15</v>
      </c>
      <c r="E318" s="5" t="s">
        <v>16</v>
      </c>
      <c r="F318" s="5" t="s">
        <v>17</v>
      </c>
      <c r="G318" s="7">
        <v>41051</v>
      </c>
      <c r="H318" s="5" t="s">
        <v>13</v>
      </c>
    </row>
    <row r="319" spans="1:8" x14ac:dyDescent="0.35">
      <c r="A319" s="10">
        <f t="shared" si="4"/>
        <v>315</v>
      </c>
      <c r="B319" s="5">
        <v>3930</v>
      </c>
      <c r="C319" s="5" t="s">
        <v>533</v>
      </c>
      <c r="D319" s="5" t="s">
        <v>15</v>
      </c>
      <c r="E319" s="5" t="s">
        <v>16</v>
      </c>
      <c r="F319" s="5" t="s">
        <v>17</v>
      </c>
      <c r="G319" s="7">
        <v>41061</v>
      </c>
      <c r="H319" s="5" t="s">
        <v>13</v>
      </c>
    </row>
    <row r="320" spans="1:8" x14ac:dyDescent="0.35">
      <c r="A320" s="10">
        <f t="shared" si="4"/>
        <v>316</v>
      </c>
      <c r="B320" s="5">
        <v>3937</v>
      </c>
      <c r="C320" s="5" t="s">
        <v>534</v>
      </c>
      <c r="D320" s="5" t="s">
        <v>535</v>
      </c>
      <c r="E320" s="5" t="s">
        <v>376</v>
      </c>
      <c r="F320" s="5" t="s">
        <v>466</v>
      </c>
      <c r="G320" s="7">
        <v>41091</v>
      </c>
      <c r="H320" s="5" t="s">
        <v>13</v>
      </c>
    </row>
    <row r="321" spans="1:8" x14ac:dyDescent="0.35">
      <c r="A321" s="10">
        <f t="shared" si="4"/>
        <v>317</v>
      </c>
      <c r="B321" s="5">
        <v>3946</v>
      </c>
      <c r="C321" s="5" t="s">
        <v>536</v>
      </c>
      <c r="D321" s="5" t="s">
        <v>537</v>
      </c>
      <c r="E321" s="5" t="s">
        <v>538</v>
      </c>
      <c r="F321" s="5" t="s">
        <v>538</v>
      </c>
      <c r="G321" s="7">
        <v>41106</v>
      </c>
      <c r="H321" s="5" t="s">
        <v>13</v>
      </c>
    </row>
    <row r="322" spans="1:8" x14ac:dyDescent="0.35">
      <c r="A322" s="10">
        <f t="shared" si="4"/>
        <v>318</v>
      </c>
      <c r="B322" s="5">
        <v>3964</v>
      </c>
      <c r="C322" s="5" t="s">
        <v>539</v>
      </c>
      <c r="D322" s="5" t="s">
        <v>15</v>
      </c>
      <c r="E322" s="5" t="s">
        <v>16</v>
      </c>
      <c r="F322" s="5" t="s">
        <v>17</v>
      </c>
      <c r="G322" s="7">
        <v>41122</v>
      </c>
      <c r="H322" s="5" t="s">
        <v>13</v>
      </c>
    </row>
    <row r="323" spans="1:8" x14ac:dyDescent="0.35">
      <c r="A323" s="10">
        <f t="shared" si="4"/>
        <v>319</v>
      </c>
      <c r="B323" s="5">
        <v>3971</v>
      </c>
      <c r="C323" s="5" t="s">
        <v>540</v>
      </c>
      <c r="D323" s="5" t="s">
        <v>21</v>
      </c>
      <c r="E323" s="5" t="s">
        <v>28</v>
      </c>
      <c r="F323" s="5" t="s">
        <v>29</v>
      </c>
      <c r="G323" s="7">
        <v>41039</v>
      </c>
      <c r="H323" s="5" t="s">
        <v>13</v>
      </c>
    </row>
    <row r="324" spans="1:8" x14ac:dyDescent="0.35">
      <c r="A324" s="10">
        <f t="shared" si="4"/>
        <v>320</v>
      </c>
      <c r="B324" s="5">
        <v>3972</v>
      </c>
      <c r="C324" s="5" t="s">
        <v>541</v>
      </c>
      <c r="D324" s="5" t="s">
        <v>186</v>
      </c>
      <c r="E324" s="5" t="s">
        <v>68</v>
      </c>
      <c r="F324" s="5" t="s">
        <v>187</v>
      </c>
      <c r="G324" s="7">
        <v>41039</v>
      </c>
      <c r="H324" s="5" t="s">
        <v>13</v>
      </c>
    </row>
    <row r="325" spans="1:8" x14ac:dyDescent="0.35">
      <c r="A325" s="10">
        <f t="shared" si="4"/>
        <v>321</v>
      </c>
      <c r="B325" s="5">
        <v>3973</v>
      </c>
      <c r="C325" s="5" t="s">
        <v>542</v>
      </c>
      <c r="D325" s="5" t="s">
        <v>186</v>
      </c>
      <c r="E325" s="5" t="s">
        <v>68</v>
      </c>
      <c r="F325" s="5" t="s">
        <v>187</v>
      </c>
      <c r="G325" s="7">
        <v>41037</v>
      </c>
      <c r="H325" s="5" t="s">
        <v>13</v>
      </c>
    </row>
    <row r="326" spans="1:8" x14ac:dyDescent="0.35">
      <c r="A326" s="10">
        <f t="shared" ref="A326:A389" si="5">+A325+1</f>
        <v>322</v>
      </c>
      <c r="B326" s="5">
        <v>3982</v>
      </c>
      <c r="C326" s="5" t="s">
        <v>543</v>
      </c>
      <c r="D326" s="5" t="s">
        <v>268</v>
      </c>
      <c r="E326" s="5" t="s">
        <v>24</v>
      </c>
      <c r="F326" s="5" t="s">
        <v>152</v>
      </c>
      <c r="G326" s="7">
        <v>41043</v>
      </c>
      <c r="H326" s="5" t="s">
        <v>13</v>
      </c>
    </row>
    <row r="327" spans="1:8" x14ac:dyDescent="0.35">
      <c r="A327" s="10">
        <f t="shared" si="5"/>
        <v>323</v>
      </c>
      <c r="B327" s="5">
        <v>3983</v>
      </c>
      <c r="C327" s="5" t="s">
        <v>544</v>
      </c>
      <c r="D327" s="5" t="s">
        <v>545</v>
      </c>
      <c r="E327" s="5" t="s">
        <v>263</v>
      </c>
      <c r="F327" s="5" t="s">
        <v>546</v>
      </c>
      <c r="G327" s="7">
        <v>41137</v>
      </c>
      <c r="H327" s="5" t="s">
        <v>21</v>
      </c>
    </row>
    <row r="328" spans="1:8" x14ac:dyDescent="0.35">
      <c r="A328" s="10">
        <f t="shared" si="5"/>
        <v>324</v>
      </c>
      <c r="B328" s="5">
        <v>4000</v>
      </c>
      <c r="C328" s="5" t="s">
        <v>547</v>
      </c>
      <c r="D328" s="5" t="s">
        <v>295</v>
      </c>
      <c r="E328" s="5" t="s">
        <v>16</v>
      </c>
      <c r="F328" s="5" t="s">
        <v>20</v>
      </c>
      <c r="G328" s="7">
        <v>41137</v>
      </c>
      <c r="H328" s="5" t="s">
        <v>21</v>
      </c>
    </row>
    <row r="329" spans="1:8" x14ac:dyDescent="0.35">
      <c r="A329" s="10">
        <f t="shared" si="5"/>
        <v>325</v>
      </c>
      <c r="B329" s="5">
        <v>4004</v>
      </c>
      <c r="C329" s="5" t="s">
        <v>548</v>
      </c>
      <c r="D329" s="5" t="s">
        <v>549</v>
      </c>
      <c r="E329" s="5" t="s">
        <v>68</v>
      </c>
      <c r="F329" s="5" t="s">
        <v>187</v>
      </c>
      <c r="G329" s="7">
        <v>41057</v>
      </c>
      <c r="H329" s="5" t="s">
        <v>13</v>
      </c>
    </row>
    <row r="330" spans="1:8" x14ac:dyDescent="0.35">
      <c r="A330" s="10">
        <f t="shared" si="5"/>
        <v>326</v>
      </c>
      <c r="B330" s="5">
        <v>4005</v>
      </c>
      <c r="C330" s="5" t="s">
        <v>550</v>
      </c>
      <c r="D330" s="5" t="s">
        <v>21</v>
      </c>
      <c r="E330" s="5" t="s">
        <v>68</v>
      </c>
      <c r="F330" s="5" t="s">
        <v>69</v>
      </c>
      <c r="G330" s="7">
        <v>41173</v>
      </c>
      <c r="H330" s="5" t="s">
        <v>13</v>
      </c>
    </row>
    <row r="331" spans="1:8" x14ac:dyDescent="0.35">
      <c r="A331" s="10">
        <f t="shared" si="5"/>
        <v>327</v>
      </c>
      <c r="B331" s="5">
        <v>4019</v>
      </c>
      <c r="C331" s="5" t="s">
        <v>551</v>
      </c>
      <c r="D331" s="5" t="s">
        <v>38</v>
      </c>
      <c r="E331" s="5" t="s">
        <v>16</v>
      </c>
      <c r="F331" s="5" t="s">
        <v>20</v>
      </c>
      <c r="G331" s="7">
        <v>41169</v>
      </c>
      <c r="H331" s="5" t="s">
        <v>21</v>
      </c>
    </row>
    <row r="332" spans="1:8" x14ac:dyDescent="0.35">
      <c r="A332" s="10">
        <f t="shared" si="5"/>
        <v>328</v>
      </c>
      <c r="B332" s="5">
        <v>4041</v>
      </c>
      <c r="C332" s="5" t="s">
        <v>552</v>
      </c>
      <c r="D332" s="5" t="s">
        <v>21</v>
      </c>
      <c r="E332" s="5" t="s">
        <v>68</v>
      </c>
      <c r="F332" s="5" t="s">
        <v>69</v>
      </c>
      <c r="G332" s="7">
        <v>41183</v>
      </c>
      <c r="H332" s="5" t="s">
        <v>13</v>
      </c>
    </row>
    <row r="333" spans="1:8" x14ac:dyDescent="0.35">
      <c r="A333" s="10">
        <f t="shared" si="5"/>
        <v>329</v>
      </c>
      <c r="B333" s="5">
        <v>4044</v>
      </c>
      <c r="C333" s="5" t="s">
        <v>553</v>
      </c>
      <c r="D333" s="5" t="s">
        <v>151</v>
      </c>
      <c r="E333" s="5" t="s">
        <v>68</v>
      </c>
      <c r="F333" s="5" t="s">
        <v>69</v>
      </c>
      <c r="G333" s="7">
        <v>41183</v>
      </c>
      <c r="H333" s="5" t="s">
        <v>13</v>
      </c>
    </row>
    <row r="334" spans="1:8" x14ac:dyDescent="0.35">
      <c r="A334" s="10">
        <f t="shared" si="5"/>
        <v>330</v>
      </c>
      <c r="B334" s="5">
        <v>4047</v>
      </c>
      <c r="C334" s="5" t="s">
        <v>554</v>
      </c>
      <c r="D334" s="5" t="s">
        <v>21</v>
      </c>
      <c r="E334" s="5" t="s">
        <v>68</v>
      </c>
      <c r="F334" s="5" t="s">
        <v>69</v>
      </c>
      <c r="G334" s="7">
        <v>41183</v>
      </c>
      <c r="H334" s="5" t="s">
        <v>13</v>
      </c>
    </row>
    <row r="335" spans="1:8" x14ac:dyDescent="0.35">
      <c r="A335" s="10">
        <f t="shared" si="5"/>
        <v>331</v>
      </c>
      <c r="B335" s="5">
        <v>4050</v>
      </c>
      <c r="C335" s="5" t="s">
        <v>555</v>
      </c>
      <c r="D335" s="5" t="s">
        <v>455</v>
      </c>
      <c r="E335" s="5" t="s">
        <v>112</v>
      </c>
      <c r="F335" s="5" t="s">
        <v>112</v>
      </c>
      <c r="G335" s="7">
        <v>41183</v>
      </c>
      <c r="H335" s="5" t="s">
        <v>13</v>
      </c>
    </row>
    <row r="336" spans="1:8" x14ac:dyDescent="0.35">
      <c r="A336" s="10">
        <f t="shared" si="5"/>
        <v>332</v>
      </c>
      <c r="B336" s="5">
        <v>4051</v>
      </c>
      <c r="C336" s="5" t="s">
        <v>556</v>
      </c>
      <c r="D336" s="5" t="s">
        <v>557</v>
      </c>
      <c r="E336" s="5" t="s">
        <v>16</v>
      </c>
      <c r="F336" s="5" t="s">
        <v>17</v>
      </c>
      <c r="G336" s="7">
        <v>41183</v>
      </c>
      <c r="H336" s="5" t="s">
        <v>13</v>
      </c>
    </row>
    <row r="337" spans="1:8" x14ac:dyDescent="0.35">
      <c r="A337" s="10">
        <f t="shared" si="5"/>
        <v>333</v>
      </c>
      <c r="B337" s="5">
        <v>4058</v>
      </c>
      <c r="C337" s="5" t="s">
        <v>558</v>
      </c>
      <c r="D337" s="5" t="s">
        <v>340</v>
      </c>
      <c r="E337" s="5" t="s">
        <v>68</v>
      </c>
      <c r="F337" s="5" t="s">
        <v>69</v>
      </c>
      <c r="G337" s="7">
        <v>41183</v>
      </c>
      <c r="H337" s="5" t="s">
        <v>13</v>
      </c>
    </row>
    <row r="338" spans="1:8" x14ac:dyDescent="0.35">
      <c r="A338" s="10">
        <f t="shared" si="5"/>
        <v>334</v>
      </c>
      <c r="B338" s="5">
        <v>4061</v>
      </c>
      <c r="C338" s="5" t="s">
        <v>559</v>
      </c>
      <c r="D338" s="5" t="s">
        <v>560</v>
      </c>
      <c r="E338" s="5" t="s">
        <v>561</v>
      </c>
      <c r="F338" s="5" t="s">
        <v>561</v>
      </c>
      <c r="G338" s="7">
        <v>41183</v>
      </c>
      <c r="H338" s="5" t="s">
        <v>13</v>
      </c>
    </row>
    <row r="339" spans="1:8" x14ac:dyDescent="0.35">
      <c r="A339" s="10">
        <f t="shared" si="5"/>
        <v>335</v>
      </c>
      <c r="B339" s="5">
        <v>4115</v>
      </c>
      <c r="C339" s="5" t="s">
        <v>562</v>
      </c>
      <c r="D339" s="5" t="s">
        <v>563</v>
      </c>
      <c r="E339" s="5" t="s">
        <v>16</v>
      </c>
      <c r="F339" s="5" t="s">
        <v>20</v>
      </c>
      <c r="G339" s="7">
        <v>41246</v>
      </c>
      <c r="H339" s="5" t="s">
        <v>13</v>
      </c>
    </row>
    <row r="340" spans="1:8" x14ac:dyDescent="0.35">
      <c r="A340" s="10">
        <f t="shared" si="5"/>
        <v>336</v>
      </c>
      <c r="B340" s="5">
        <v>4128</v>
      </c>
      <c r="C340" s="5" t="s">
        <v>564</v>
      </c>
      <c r="D340" s="5" t="s">
        <v>40</v>
      </c>
      <c r="E340" s="5" t="s">
        <v>16</v>
      </c>
      <c r="F340" s="5" t="s">
        <v>144</v>
      </c>
      <c r="G340" s="7">
        <v>41253</v>
      </c>
      <c r="H340" s="5" t="s">
        <v>13</v>
      </c>
    </row>
    <row r="341" spans="1:8" x14ac:dyDescent="0.35">
      <c r="A341" s="10">
        <f t="shared" si="5"/>
        <v>337</v>
      </c>
      <c r="B341" s="5">
        <v>4160</v>
      </c>
      <c r="C341" s="5" t="s">
        <v>565</v>
      </c>
      <c r="D341" s="5" t="s">
        <v>235</v>
      </c>
      <c r="E341" s="5" t="s">
        <v>117</v>
      </c>
      <c r="F341" s="5" t="s">
        <v>176</v>
      </c>
      <c r="G341" s="7">
        <v>41300</v>
      </c>
      <c r="H341" s="5" t="s">
        <v>13</v>
      </c>
    </row>
    <row r="342" spans="1:8" x14ac:dyDescent="0.35">
      <c r="A342" s="10">
        <f t="shared" si="5"/>
        <v>338</v>
      </c>
      <c r="B342" s="5">
        <v>4166</v>
      </c>
      <c r="C342" s="5" t="s">
        <v>566</v>
      </c>
      <c r="D342" s="5" t="s">
        <v>129</v>
      </c>
      <c r="E342" s="5" t="s">
        <v>16</v>
      </c>
      <c r="F342" s="5" t="s">
        <v>20</v>
      </c>
      <c r="G342" s="7">
        <v>41316</v>
      </c>
      <c r="H342" s="5" t="s">
        <v>21</v>
      </c>
    </row>
    <row r="343" spans="1:8" x14ac:dyDescent="0.35">
      <c r="A343" s="10">
        <f t="shared" si="5"/>
        <v>339</v>
      </c>
      <c r="B343" s="5">
        <v>4169</v>
      </c>
      <c r="C343" s="5" t="s">
        <v>567</v>
      </c>
      <c r="D343" s="5" t="s">
        <v>563</v>
      </c>
      <c r="E343" s="5" t="s">
        <v>16</v>
      </c>
      <c r="F343" s="5" t="s">
        <v>141</v>
      </c>
      <c r="G343" s="7">
        <v>41316</v>
      </c>
      <c r="H343" s="5" t="s">
        <v>13</v>
      </c>
    </row>
    <row r="344" spans="1:8" x14ac:dyDescent="0.35">
      <c r="A344" s="10">
        <f t="shared" si="5"/>
        <v>340</v>
      </c>
      <c r="B344" s="5">
        <v>4171</v>
      </c>
      <c r="C344" s="5" t="s">
        <v>568</v>
      </c>
      <c r="D344" s="5" t="s">
        <v>129</v>
      </c>
      <c r="E344" s="5" t="s">
        <v>16</v>
      </c>
      <c r="F344" s="5" t="s">
        <v>20</v>
      </c>
      <c r="G344" s="7">
        <v>41316</v>
      </c>
      <c r="H344" s="5" t="s">
        <v>21</v>
      </c>
    </row>
    <row r="345" spans="1:8" x14ac:dyDescent="0.35">
      <c r="A345" s="10">
        <f t="shared" si="5"/>
        <v>341</v>
      </c>
      <c r="B345" s="5">
        <v>4196</v>
      </c>
      <c r="C345" s="5" t="s">
        <v>569</v>
      </c>
      <c r="D345" s="5" t="s">
        <v>563</v>
      </c>
      <c r="E345" s="5" t="s">
        <v>16</v>
      </c>
      <c r="F345" s="5" t="s">
        <v>141</v>
      </c>
      <c r="G345" s="7">
        <v>41334</v>
      </c>
      <c r="H345" s="5" t="s">
        <v>13</v>
      </c>
    </row>
    <row r="346" spans="1:8" x14ac:dyDescent="0.35">
      <c r="A346" s="10">
        <f t="shared" si="5"/>
        <v>342</v>
      </c>
      <c r="B346" s="5">
        <v>4201</v>
      </c>
      <c r="C346" s="5" t="s">
        <v>570</v>
      </c>
      <c r="D346" s="5" t="s">
        <v>571</v>
      </c>
      <c r="E346" s="5" t="s">
        <v>117</v>
      </c>
      <c r="F346" s="5" t="s">
        <v>176</v>
      </c>
      <c r="G346" s="7">
        <v>41334</v>
      </c>
      <c r="H346" s="5" t="s">
        <v>13</v>
      </c>
    </row>
    <row r="347" spans="1:8" x14ac:dyDescent="0.35">
      <c r="A347" s="10">
        <f t="shared" si="5"/>
        <v>343</v>
      </c>
      <c r="B347" s="5">
        <v>4269</v>
      </c>
      <c r="C347" s="5" t="s">
        <v>572</v>
      </c>
      <c r="D347" s="5" t="s">
        <v>204</v>
      </c>
      <c r="E347" s="5" t="s">
        <v>16</v>
      </c>
      <c r="F347" s="5" t="s">
        <v>483</v>
      </c>
      <c r="G347" s="7">
        <v>41386</v>
      </c>
      <c r="H347" s="5" t="s">
        <v>13</v>
      </c>
    </row>
    <row r="348" spans="1:8" x14ac:dyDescent="0.35">
      <c r="A348" s="10">
        <f t="shared" si="5"/>
        <v>344</v>
      </c>
      <c r="B348" s="5">
        <v>4270</v>
      </c>
      <c r="C348" s="5" t="s">
        <v>573</v>
      </c>
      <c r="D348" s="5" t="s">
        <v>367</v>
      </c>
      <c r="E348" s="5" t="s">
        <v>16</v>
      </c>
      <c r="F348" s="5" t="s">
        <v>574</v>
      </c>
      <c r="G348" s="7">
        <v>41386</v>
      </c>
      <c r="H348" s="5" t="s">
        <v>13</v>
      </c>
    </row>
    <row r="349" spans="1:8" x14ac:dyDescent="0.35">
      <c r="A349" s="10">
        <f t="shared" si="5"/>
        <v>345</v>
      </c>
      <c r="B349" s="5">
        <v>4277</v>
      </c>
      <c r="C349" s="5" t="s">
        <v>575</v>
      </c>
      <c r="D349" s="5" t="s">
        <v>576</v>
      </c>
      <c r="E349" s="5" t="s">
        <v>24</v>
      </c>
      <c r="F349" s="5" t="s">
        <v>24</v>
      </c>
      <c r="G349" s="7">
        <v>41386</v>
      </c>
      <c r="H349" s="5" t="s">
        <v>21</v>
      </c>
    </row>
    <row r="350" spans="1:8" x14ac:dyDescent="0.35">
      <c r="A350" s="10">
        <f t="shared" si="5"/>
        <v>346</v>
      </c>
      <c r="B350" s="5">
        <v>4283</v>
      </c>
      <c r="C350" s="5" t="s">
        <v>577</v>
      </c>
      <c r="D350" s="5" t="s">
        <v>38</v>
      </c>
      <c r="E350" s="5" t="s">
        <v>16</v>
      </c>
      <c r="F350" s="5" t="s">
        <v>20</v>
      </c>
      <c r="G350" s="7">
        <v>41400</v>
      </c>
      <c r="H350" s="5" t="s">
        <v>21</v>
      </c>
    </row>
    <row r="351" spans="1:8" x14ac:dyDescent="0.35">
      <c r="A351" s="10">
        <f t="shared" si="5"/>
        <v>347</v>
      </c>
      <c r="B351" s="5">
        <v>4288</v>
      </c>
      <c r="C351" s="5" t="s">
        <v>578</v>
      </c>
      <c r="D351" s="5" t="s">
        <v>563</v>
      </c>
      <c r="E351" s="5" t="s">
        <v>16</v>
      </c>
      <c r="F351" s="5" t="s">
        <v>20</v>
      </c>
      <c r="G351" s="7">
        <v>41400</v>
      </c>
      <c r="H351" s="5" t="s">
        <v>13</v>
      </c>
    </row>
    <row r="352" spans="1:8" x14ac:dyDescent="0.35">
      <c r="A352" s="10">
        <f t="shared" si="5"/>
        <v>348</v>
      </c>
      <c r="B352" s="5">
        <v>4307</v>
      </c>
      <c r="C352" s="5" t="s">
        <v>579</v>
      </c>
      <c r="D352" s="5" t="s">
        <v>367</v>
      </c>
      <c r="E352" s="5" t="s">
        <v>16</v>
      </c>
      <c r="F352" s="5" t="s">
        <v>20</v>
      </c>
      <c r="G352" s="7">
        <v>41400</v>
      </c>
      <c r="H352" s="5" t="s">
        <v>13</v>
      </c>
    </row>
    <row r="353" spans="1:8" x14ac:dyDescent="0.35">
      <c r="A353" s="10">
        <f t="shared" si="5"/>
        <v>349</v>
      </c>
      <c r="B353" s="5">
        <v>4308</v>
      </c>
      <c r="C353" s="5" t="s">
        <v>580</v>
      </c>
      <c r="D353" s="5" t="s">
        <v>40</v>
      </c>
      <c r="E353" s="5" t="s">
        <v>16</v>
      </c>
      <c r="F353" s="5" t="s">
        <v>41</v>
      </c>
      <c r="G353" s="7">
        <v>41400</v>
      </c>
      <c r="H353" s="5" t="s">
        <v>13</v>
      </c>
    </row>
    <row r="354" spans="1:8" x14ac:dyDescent="0.35">
      <c r="A354" s="10">
        <f t="shared" si="5"/>
        <v>350</v>
      </c>
      <c r="B354" s="5">
        <v>4340</v>
      </c>
      <c r="C354" s="5" t="s">
        <v>584</v>
      </c>
      <c r="D354" s="5" t="s">
        <v>129</v>
      </c>
      <c r="E354" s="5" t="s">
        <v>16</v>
      </c>
      <c r="F354" s="5" t="s">
        <v>20</v>
      </c>
      <c r="G354" s="7">
        <v>41428</v>
      </c>
      <c r="H354" s="5" t="s">
        <v>21</v>
      </c>
    </row>
    <row r="355" spans="1:8" x14ac:dyDescent="0.35">
      <c r="A355" s="10">
        <f t="shared" si="5"/>
        <v>351</v>
      </c>
      <c r="B355" s="5">
        <v>4361</v>
      </c>
      <c r="C355" s="5" t="s">
        <v>585</v>
      </c>
      <c r="D355" s="5" t="s">
        <v>586</v>
      </c>
      <c r="E355" s="5" t="s">
        <v>112</v>
      </c>
      <c r="F355" s="5" t="s">
        <v>112</v>
      </c>
      <c r="G355" s="7">
        <v>41439</v>
      </c>
      <c r="H355" s="5" t="s">
        <v>13</v>
      </c>
    </row>
    <row r="356" spans="1:8" x14ac:dyDescent="0.35">
      <c r="A356" s="10">
        <f t="shared" si="5"/>
        <v>352</v>
      </c>
      <c r="B356" s="5">
        <v>4384</v>
      </c>
      <c r="C356" s="5" t="s">
        <v>587</v>
      </c>
      <c r="D356" s="5" t="s">
        <v>563</v>
      </c>
      <c r="E356" s="5" t="s">
        <v>16</v>
      </c>
      <c r="F356" s="5" t="s">
        <v>141</v>
      </c>
      <c r="G356" s="7">
        <v>41470</v>
      </c>
      <c r="H356" s="5" t="s">
        <v>13</v>
      </c>
    </row>
    <row r="357" spans="1:8" x14ac:dyDescent="0.35">
      <c r="A357" s="10">
        <f t="shared" si="5"/>
        <v>353</v>
      </c>
      <c r="B357" s="5">
        <v>4388</v>
      </c>
      <c r="C357" s="5" t="s">
        <v>588</v>
      </c>
      <c r="D357" s="5" t="s">
        <v>563</v>
      </c>
      <c r="E357" s="5" t="s">
        <v>16</v>
      </c>
      <c r="F357" s="5" t="s">
        <v>589</v>
      </c>
      <c r="G357" s="7">
        <v>41470</v>
      </c>
      <c r="H357" s="5" t="s">
        <v>13</v>
      </c>
    </row>
    <row r="358" spans="1:8" x14ac:dyDescent="0.35">
      <c r="A358" s="10">
        <f t="shared" si="5"/>
        <v>354</v>
      </c>
      <c r="B358" s="5">
        <v>4392</v>
      </c>
      <c r="C358" s="5" t="s">
        <v>590</v>
      </c>
      <c r="D358" s="5" t="s">
        <v>563</v>
      </c>
      <c r="E358" s="5" t="s">
        <v>16</v>
      </c>
      <c r="F358" s="5" t="s">
        <v>48</v>
      </c>
      <c r="G358" s="7">
        <v>41470</v>
      </c>
      <c r="H358" s="5" t="s">
        <v>13</v>
      </c>
    </row>
    <row r="359" spans="1:8" x14ac:dyDescent="0.35">
      <c r="A359" s="10">
        <f t="shared" si="5"/>
        <v>355</v>
      </c>
      <c r="B359" s="5">
        <v>4398</v>
      </c>
      <c r="C359" s="5" t="s">
        <v>591</v>
      </c>
      <c r="D359" s="5" t="s">
        <v>563</v>
      </c>
      <c r="E359" s="5" t="s">
        <v>16</v>
      </c>
      <c r="F359" s="5" t="s">
        <v>368</v>
      </c>
      <c r="G359" s="7">
        <v>41470</v>
      </c>
      <c r="H359" s="5" t="s">
        <v>13</v>
      </c>
    </row>
    <row r="360" spans="1:8" x14ac:dyDescent="0.35">
      <c r="A360" s="10">
        <f t="shared" si="5"/>
        <v>356</v>
      </c>
      <c r="B360" s="5">
        <v>4400</v>
      </c>
      <c r="C360" s="5" t="s">
        <v>592</v>
      </c>
      <c r="D360" s="5" t="s">
        <v>563</v>
      </c>
      <c r="E360" s="5" t="s">
        <v>16</v>
      </c>
      <c r="F360" s="5" t="s">
        <v>451</v>
      </c>
      <c r="G360" s="7">
        <v>41470</v>
      </c>
      <c r="H360" s="5" t="s">
        <v>13</v>
      </c>
    </row>
    <row r="361" spans="1:8" x14ac:dyDescent="0.35">
      <c r="A361" s="10">
        <f t="shared" si="5"/>
        <v>357</v>
      </c>
      <c r="B361" s="5">
        <v>4404</v>
      </c>
      <c r="C361" s="5" t="s">
        <v>593</v>
      </c>
      <c r="D361" s="5" t="s">
        <v>594</v>
      </c>
      <c r="E361" s="5" t="s">
        <v>54</v>
      </c>
      <c r="F361" s="5" t="s">
        <v>54</v>
      </c>
      <c r="G361" s="7">
        <v>41183</v>
      </c>
      <c r="H361" s="5" t="s">
        <v>13</v>
      </c>
    </row>
    <row r="362" spans="1:8" x14ac:dyDescent="0.35">
      <c r="A362" s="10">
        <f t="shared" si="5"/>
        <v>358</v>
      </c>
      <c r="B362" s="5">
        <v>4421</v>
      </c>
      <c r="C362" s="5" t="s">
        <v>595</v>
      </c>
      <c r="D362" s="5" t="s">
        <v>563</v>
      </c>
      <c r="E362" s="5" t="s">
        <v>16</v>
      </c>
      <c r="F362" s="5" t="s">
        <v>20</v>
      </c>
      <c r="G362" s="7">
        <v>41498</v>
      </c>
      <c r="H362" s="5" t="s">
        <v>13</v>
      </c>
    </row>
    <row r="363" spans="1:8" x14ac:dyDescent="0.35">
      <c r="A363" s="10">
        <f t="shared" si="5"/>
        <v>359</v>
      </c>
      <c r="B363" s="5">
        <v>4442</v>
      </c>
      <c r="C363" s="5" t="s">
        <v>596</v>
      </c>
      <c r="D363" s="5" t="s">
        <v>597</v>
      </c>
      <c r="E363" s="5" t="s">
        <v>16</v>
      </c>
      <c r="F363" s="5" t="s">
        <v>41</v>
      </c>
      <c r="G363" s="7">
        <v>41498</v>
      </c>
      <c r="H363" s="5" t="s">
        <v>13</v>
      </c>
    </row>
    <row r="364" spans="1:8" x14ac:dyDescent="0.35">
      <c r="A364" s="10">
        <f t="shared" si="5"/>
        <v>360</v>
      </c>
      <c r="B364" s="5">
        <v>4460</v>
      </c>
      <c r="C364" s="5" t="s">
        <v>598</v>
      </c>
      <c r="D364" s="5" t="s">
        <v>599</v>
      </c>
      <c r="E364" s="5" t="s">
        <v>54</v>
      </c>
      <c r="F364" s="5" t="s">
        <v>54</v>
      </c>
      <c r="G364" s="7">
        <v>41526</v>
      </c>
      <c r="H364" s="5" t="s">
        <v>13</v>
      </c>
    </row>
    <row r="365" spans="1:8" x14ac:dyDescent="0.35">
      <c r="A365" s="10">
        <f t="shared" si="5"/>
        <v>361</v>
      </c>
      <c r="B365" s="5">
        <v>4461</v>
      </c>
      <c r="C365" s="5" t="s">
        <v>600</v>
      </c>
      <c r="D365" s="5" t="s">
        <v>599</v>
      </c>
      <c r="E365" s="5" t="s">
        <v>54</v>
      </c>
      <c r="F365" s="5" t="s">
        <v>54</v>
      </c>
      <c r="G365" s="7">
        <v>41526</v>
      </c>
      <c r="H365" s="5" t="s">
        <v>13</v>
      </c>
    </row>
    <row r="366" spans="1:8" x14ac:dyDescent="0.35">
      <c r="A366" s="10">
        <f t="shared" si="5"/>
        <v>362</v>
      </c>
      <c r="B366" s="5">
        <v>4485</v>
      </c>
      <c r="C366" s="5" t="s">
        <v>601</v>
      </c>
      <c r="D366" s="5" t="s">
        <v>38</v>
      </c>
      <c r="E366" s="5" t="s">
        <v>16</v>
      </c>
      <c r="F366" s="5" t="s">
        <v>20</v>
      </c>
      <c r="G366" s="7">
        <v>41526</v>
      </c>
      <c r="H366" s="5" t="s">
        <v>21</v>
      </c>
    </row>
    <row r="367" spans="1:8" x14ac:dyDescent="0.35">
      <c r="A367" s="10">
        <f t="shared" si="5"/>
        <v>363</v>
      </c>
      <c r="B367" s="5">
        <v>4511</v>
      </c>
      <c r="C367" s="5" t="s">
        <v>602</v>
      </c>
      <c r="D367" s="5" t="s">
        <v>21</v>
      </c>
      <c r="E367" s="5" t="s">
        <v>103</v>
      </c>
      <c r="F367" s="5" t="s">
        <v>103</v>
      </c>
      <c r="G367" s="7">
        <v>41190</v>
      </c>
      <c r="H367" s="5" t="s">
        <v>13</v>
      </c>
    </row>
    <row r="368" spans="1:8" x14ac:dyDescent="0.35">
      <c r="A368" s="10">
        <f t="shared" si="5"/>
        <v>364</v>
      </c>
      <c r="B368" s="5">
        <v>4512</v>
      </c>
      <c r="C368" s="5" t="s">
        <v>603</v>
      </c>
      <c r="D368" s="5" t="s">
        <v>535</v>
      </c>
      <c r="E368" s="5" t="s">
        <v>376</v>
      </c>
      <c r="F368" s="5" t="s">
        <v>466</v>
      </c>
      <c r="G368" s="7">
        <v>41374</v>
      </c>
      <c r="H368" s="5" t="s">
        <v>13</v>
      </c>
    </row>
    <row r="369" spans="1:8" x14ac:dyDescent="0.35">
      <c r="A369" s="10">
        <f t="shared" si="5"/>
        <v>365</v>
      </c>
      <c r="B369" s="5">
        <v>4515</v>
      </c>
      <c r="C369" s="5" t="s">
        <v>604</v>
      </c>
      <c r="D369" s="5" t="s">
        <v>21</v>
      </c>
      <c r="E369" s="5" t="s">
        <v>64</v>
      </c>
      <c r="F369" s="5" t="s">
        <v>64</v>
      </c>
      <c r="G369" s="7">
        <v>41555</v>
      </c>
      <c r="H369" s="5" t="s">
        <v>13</v>
      </c>
    </row>
    <row r="370" spans="1:8" x14ac:dyDescent="0.35">
      <c r="A370" s="10">
        <f t="shared" si="5"/>
        <v>366</v>
      </c>
      <c r="B370" s="5">
        <v>4522</v>
      </c>
      <c r="C370" s="5" t="s">
        <v>605</v>
      </c>
      <c r="D370" s="5" t="s">
        <v>563</v>
      </c>
      <c r="E370" s="5" t="s">
        <v>16</v>
      </c>
      <c r="F370" s="5" t="s">
        <v>144</v>
      </c>
      <c r="G370" s="7">
        <v>41555</v>
      </c>
      <c r="H370" s="5" t="s">
        <v>13</v>
      </c>
    </row>
    <row r="371" spans="1:8" x14ac:dyDescent="0.35">
      <c r="A371" s="10">
        <f t="shared" si="5"/>
        <v>367</v>
      </c>
      <c r="B371" s="5">
        <v>4523</v>
      </c>
      <c r="C371" s="5" t="s">
        <v>606</v>
      </c>
      <c r="D371" s="5" t="s">
        <v>38</v>
      </c>
      <c r="E371" s="5" t="s">
        <v>16</v>
      </c>
      <c r="F371" s="5" t="s">
        <v>20</v>
      </c>
      <c r="G371" s="7">
        <v>41555</v>
      </c>
      <c r="H371" s="5" t="s">
        <v>21</v>
      </c>
    </row>
    <row r="372" spans="1:8" x14ac:dyDescent="0.35">
      <c r="A372" s="10">
        <f t="shared" si="5"/>
        <v>368</v>
      </c>
      <c r="B372" s="5">
        <v>4567</v>
      </c>
      <c r="C372" s="5" t="s">
        <v>607</v>
      </c>
      <c r="D372" s="5" t="s">
        <v>594</v>
      </c>
      <c r="E372" s="5" t="s">
        <v>54</v>
      </c>
      <c r="F372" s="5" t="s">
        <v>54</v>
      </c>
      <c r="G372" s="7">
        <v>41254</v>
      </c>
      <c r="H372" s="5" t="s">
        <v>13</v>
      </c>
    </row>
    <row r="373" spans="1:8" x14ac:dyDescent="0.35">
      <c r="A373" s="10">
        <f t="shared" si="5"/>
        <v>369</v>
      </c>
      <c r="B373" s="5">
        <v>4604</v>
      </c>
      <c r="C373" s="5" t="s">
        <v>608</v>
      </c>
      <c r="D373" s="5" t="s">
        <v>609</v>
      </c>
      <c r="E373" s="5" t="s">
        <v>16</v>
      </c>
      <c r="F373" s="5" t="s">
        <v>20</v>
      </c>
      <c r="G373" s="7">
        <v>41654</v>
      </c>
      <c r="H373" s="5" t="s">
        <v>13</v>
      </c>
    </row>
    <row r="374" spans="1:8" x14ac:dyDescent="0.35">
      <c r="A374" s="10">
        <f t="shared" si="5"/>
        <v>370</v>
      </c>
      <c r="B374" s="5">
        <v>4637</v>
      </c>
      <c r="C374" s="5" t="s">
        <v>610</v>
      </c>
      <c r="D374" s="5" t="s">
        <v>455</v>
      </c>
      <c r="E374" s="5" t="s">
        <v>54</v>
      </c>
      <c r="F374" s="5" t="s">
        <v>54</v>
      </c>
      <c r="G374" s="7">
        <v>41534</v>
      </c>
      <c r="H374" s="5" t="s">
        <v>13</v>
      </c>
    </row>
    <row r="375" spans="1:8" x14ac:dyDescent="0.35">
      <c r="A375" s="10">
        <f t="shared" si="5"/>
        <v>371</v>
      </c>
      <c r="B375" s="5">
        <v>4645</v>
      </c>
      <c r="C375" s="5" t="s">
        <v>611</v>
      </c>
      <c r="D375" s="5" t="s">
        <v>257</v>
      </c>
      <c r="E375" s="5" t="s">
        <v>94</v>
      </c>
      <c r="F375" s="5" t="s">
        <v>94</v>
      </c>
      <c r="G375" s="7">
        <v>41701</v>
      </c>
      <c r="H375" s="5" t="s">
        <v>13</v>
      </c>
    </row>
    <row r="376" spans="1:8" x14ac:dyDescent="0.35">
      <c r="A376" s="10">
        <f t="shared" si="5"/>
        <v>372</v>
      </c>
      <c r="B376" s="5">
        <v>4653</v>
      </c>
      <c r="C376" s="5" t="s">
        <v>612</v>
      </c>
      <c r="D376" s="5" t="s">
        <v>455</v>
      </c>
      <c r="E376" s="5" t="s">
        <v>68</v>
      </c>
      <c r="F376" s="5" t="s">
        <v>69</v>
      </c>
      <c r="G376" s="7">
        <v>41715</v>
      </c>
      <c r="H376" s="5" t="s">
        <v>13</v>
      </c>
    </row>
    <row r="377" spans="1:8" x14ac:dyDescent="0.35">
      <c r="A377" s="10">
        <f t="shared" si="5"/>
        <v>373</v>
      </c>
      <c r="B377" s="5">
        <v>4656</v>
      </c>
      <c r="C377" s="5" t="s">
        <v>613</v>
      </c>
      <c r="D377" s="5" t="s">
        <v>557</v>
      </c>
      <c r="E377" s="5" t="s">
        <v>68</v>
      </c>
      <c r="F377" s="5" t="s">
        <v>132</v>
      </c>
      <c r="G377" s="7">
        <v>41334</v>
      </c>
      <c r="H377" s="5" t="s">
        <v>13</v>
      </c>
    </row>
    <row r="378" spans="1:8" x14ac:dyDescent="0.35">
      <c r="A378" s="10">
        <f t="shared" si="5"/>
        <v>374</v>
      </c>
      <c r="B378" s="5">
        <v>4658</v>
      </c>
      <c r="C378" s="5" t="s">
        <v>614</v>
      </c>
      <c r="D378" s="5" t="s">
        <v>557</v>
      </c>
      <c r="E378" s="5" t="s">
        <v>16</v>
      </c>
      <c r="F378" s="5" t="s">
        <v>17</v>
      </c>
      <c r="G378" s="7">
        <v>41548</v>
      </c>
      <c r="H378" s="5" t="s">
        <v>13</v>
      </c>
    </row>
    <row r="379" spans="1:8" x14ac:dyDescent="0.35">
      <c r="A379" s="10">
        <f t="shared" si="5"/>
        <v>375</v>
      </c>
      <c r="B379" s="5">
        <v>4706</v>
      </c>
      <c r="C379" s="5" t="s">
        <v>615</v>
      </c>
      <c r="D379" s="5" t="s">
        <v>204</v>
      </c>
      <c r="E379" s="5" t="s">
        <v>16</v>
      </c>
      <c r="F379" s="5" t="s">
        <v>574</v>
      </c>
      <c r="G379" s="7">
        <v>41750</v>
      </c>
      <c r="H379" s="5" t="s">
        <v>13</v>
      </c>
    </row>
    <row r="380" spans="1:8" x14ac:dyDescent="0.35">
      <c r="A380" s="10">
        <f t="shared" si="5"/>
        <v>376</v>
      </c>
      <c r="B380" s="5">
        <v>4724</v>
      </c>
      <c r="C380" s="5" t="s">
        <v>616</v>
      </c>
      <c r="D380" s="5" t="s">
        <v>204</v>
      </c>
      <c r="E380" s="5" t="s">
        <v>16</v>
      </c>
      <c r="F380" s="5" t="s">
        <v>517</v>
      </c>
      <c r="G380" s="7">
        <v>41772</v>
      </c>
      <c r="H380" s="5" t="s">
        <v>13</v>
      </c>
    </row>
    <row r="381" spans="1:8" x14ac:dyDescent="0.35">
      <c r="A381" s="10">
        <f t="shared" si="5"/>
        <v>377</v>
      </c>
      <c r="B381" s="5">
        <v>4733</v>
      </c>
      <c r="C381" s="5" t="s">
        <v>617</v>
      </c>
      <c r="D381" s="5" t="s">
        <v>563</v>
      </c>
      <c r="E381" s="5" t="s">
        <v>16</v>
      </c>
      <c r="F381" s="5" t="s">
        <v>497</v>
      </c>
      <c r="G381" s="7">
        <v>41778</v>
      </c>
      <c r="H381" s="5" t="s">
        <v>13</v>
      </c>
    </row>
    <row r="382" spans="1:8" x14ac:dyDescent="0.35">
      <c r="A382" s="10">
        <f t="shared" si="5"/>
        <v>378</v>
      </c>
      <c r="B382" s="5">
        <v>4746</v>
      </c>
      <c r="C382" s="5" t="s">
        <v>618</v>
      </c>
      <c r="D382" s="5" t="s">
        <v>340</v>
      </c>
      <c r="E382" s="5" t="s">
        <v>68</v>
      </c>
      <c r="F382" s="5" t="s">
        <v>254</v>
      </c>
      <c r="G382" s="7">
        <v>41610</v>
      </c>
      <c r="H382" s="5" t="s">
        <v>13</v>
      </c>
    </row>
    <row r="383" spans="1:8" x14ac:dyDescent="0.35">
      <c r="A383" s="10">
        <f t="shared" si="5"/>
        <v>379</v>
      </c>
      <c r="B383" s="5">
        <v>4758</v>
      </c>
      <c r="C383" s="5" t="s">
        <v>619</v>
      </c>
      <c r="D383" s="5" t="s">
        <v>563</v>
      </c>
      <c r="E383" s="5" t="s">
        <v>16</v>
      </c>
      <c r="F383" s="5" t="s">
        <v>620</v>
      </c>
      <c r="G383" s="7">
        <v>41792</v>
      </c>
      <c r="H383" s="5" t="s">
        <v>13</v>
      </c>
    </row>
    <row r="384" spans="1:8" x14ac:dyDescent="0.35">
      <c r="A384" s="10">
        <f t="shared" si="5"/>
        <v>380</v>
      </c>
      <c r="B384" s="5">
        <v>4781</v>
      </c>
      <c r="C384" s="5" t="s">
        <v>621</v>
      </c>
      <c r="D384" s="5" t="s">
        <v>340</v>
      </c>
      <c r="E384" s="5" t="s">
        <v>68</v>
      </c>
      <c r="F384" s="5" t="s">
        <v>137</v>
      </c>
      <c r="G384" s="7">
        <v>41806</v>
      </c>
      <c r="H384" s="5" t="s">
        <v>13</v>
      </c>
    </row>
    <row r="385" spans="1:8" x14ac:dyDescent="0.35">
      <c r="A385" s="10">
        <f t="shared" si="5"/>
        <v>381</v>
      </c>
      <c r="B385" s="5">
        <v>4787</v>
      </c>
      <c r="C385" s="5" t="s">
        <v>622</v>
      </c>
      <c r="D385" s="5" t="s">
        <v>623</v>
      </c>
      <c r="E385" s="5" t="s">
        <v>263</v>
      </c>
      <c r="F385" s="5" t="s">
        <v>264</v>
      </c>
      <c r="G385" s="7">
        <v>41654</v>
      </c>
      <c r="H385" s="5" t="s">
        <v>13</v>
      </c>
    </row>
    <row r="386" spans="1:8" x14ac:dyDescent="0.35">
      <c r="A386" s="10">
        <f t="shared" si="5"/>
        <v>382</v>
      </c>
      <c r="B386" s="5">
        <v>4798</v>
      </c>
      <c r="C386" s="5" t="s">
        <v>624</v>
      </c>
      <c r="D386" s="5" t="s">
        <v>563</v>
      </c>
      <c r="E386" s="5" t="s">
        <v>16</v>
      </c>
      <c r="F386" s="5" t="s">
        <v>326</v>
      </c>
      <c r="G386" s="7">
        <v>41834</v>
      </c>
      <c r="H386" s="5" t="s">
        <v>13</v>
      </c>
    </row>
    <row r="387" spans="1:8" x14ac:dyDescent="0.35">
      <c r="A387" s="10">
        <f t="shared" si="5"/>
        <v>383</v>
      </c>
      <c r="B387" s="5">
        <v>4815</v>
      </c>
      <c r="C387" s="5" t="s">
        <v>625</v>
      </c>
      <c r="D387" s="5" t="s">
        <v>563</v>
      </c>
      <c r="E387" s="5" t="s">
        <v>16</v>
      </c>
      <c r="F387" s="5" t="s">
        <v>626</v>
      </c>
      <c r="G387" s="7">
        <v>41834</v>
      </c>
      <c r="H387" s="5" t="s">
        <v>13</v>
      </c>
    </row>
    <row r="388" spans="1:8" x14ac:dyDescent="0.35">
      <c r="A388" s="10">
        <f t="shared" si="5"/>
        <v>384</v>
      </c>
      <c r="B388" s="5">
        <v>4822</v>
      </c>
      <c r="C388" s="5" t="s">
        <v>627</v>
      </c>
      <c r="D388" s="5" t="s">
        <v>628</v>
      </c>
      <c r="E388" s="5" t="s">
        <v>35</v>
      </c>
      <c r="F388" s="5" t="s">
        <v>84</v>
      </c>
      <c r="G388" s="7">
        <v>41834</v>
      </c>
      <c r="H388" s="5" t="s">
        <v>13</v>
      </c>
    </row>
    <row r="389" spans="1:8" x14ac:dyDescent="0.35">
      <c r="A389" s="10">
        <f t="shared" si="5"/>
        <v>385</v>
      </c>
      <c r="B389" s="5">
        <v>4825</v>
      </c>
      <c r="C389" s="5" t="s">
        <v>629</v>
      </c>
      <c r="D389" s="5" t="s">
        <v>630</v>
      </c>
      <c r="E389" s="5" t="s">
        <v>631</v>
      </c>
      <c r="F389" s="5" t="s">
        <v>632</v>
      </c>
      <c r="G389" s="7">
        <v>41835</v>
      </c>
      <c r="H389" s="5" t="s">
        <v>13</v>
      </c>
    </row>
    <row r="390" spans="1:8" x14ac:dyDescent="0.35">
      <c r="A390" s="10">
        <f t="shared" ref="A390:A453" si="6">+A389+1</f>
        <v>386</v>
      </c>
      <c r="B390" s="5">
        <v>4832</v>
      </c>
      <c r="C390" s="5" t="s">
        <v>633</v>
      </c>
      <c r="D390" s="5" t="s">
        <v>563</v>
      </c>
      <c r="E390" s="5" t="s">
        <v>16</v>
      </c>
      <c r="F390" s="5" t="s">
        <v>141</v>
      </c>
      <c r="G390" s="7">
        <v>41844</v>
      </c>
      <c r="H390" s="5" t="s">
        <v>13</v>
      </c>
    </row>
    <row r="391" spans="1:8" x14ac:dyDescent="0.35">
      <c r="A391" s="10">
        <f t="shared" si="6"/>
        <v>387</v>
      </c>
      <c r="B391" s="5">
        <v>4836</v>
      </c>
      <c r="C391" s="5" t="s">
        <v>634</v>
      </c>
      <c r="D391" s="5" t="s">
        <v>557</v>
      </c>
      <c r="E391" s="5" t="s">
        <v>103</v>
      </c>
      <c r="F391" s="5" t="s">
        <v>103</v>
      </c>
      <c r="G391" s="7">
        <v>41687</v>
      </c>
      <c r="H391" s="5" t="s">
        <v>13</v>
      </c>
    </row>
    <row r="392" spans="1:8" x14ac:dyDescent="0.35">
      <c r="A392" s="10">
        <f t="shared" si="6"/>
        <v>388</v>
      </c>
      <c r="B392" s="5">
        <v>4849</v>
      </c>
      <c r="C392" s="5" t="s">
        <v>635</v>
      </c>
      <c r="D392" s="5" t="s">
        <v>268</v>
      </c>
      <c r="E392" s="5" t="s">
        <v>24</v>
      </c>
      <c r="F392" s="5" t="s">
        <v>152</v>
      </c>
      <c r="G392" s="7">
        <v>41869</v>
      </c>
      <c r="H392" s="5" t="s">
        <v>13</v>
      </c>
    </row>
    <row r="393" spans="1:8" x14ac:dyDescent="0.35">
      <c r="A393" s="10">
        <f t="shared" si="6"/>
        <v>389</v>
      </c>
      <c r="B393" s="5">
        <v>4882</v>
      </c>
      <c r="C393" s="5" t="s">
        <v>636</v>
      </c>
      <c r="D393" s="5" t="s">
        <v>637</v>
      </c>
      <c r="E393" s="5" t="s">
        <v>538</v>
      </c>
      <c r="F393" s="5" t="s">
        <v>583</v>
      </c>
      <c r="G393" s="7">
        <v>41871</v>
      </c>
      <c r="H393" s="5" t="s">
        <v>13</v>
      </c>
    </row>
    <row r="394" spans="1:8" x14ac:dyDescent="0.35">
      <c r="A394" s="10">
        <f t="shared" si="6"/>
        <v>390</v>
      </c>
      <c r="B394" s="5">
        <v>4904</v>
      </c>
      <c r="C394" s="5" t="s">
        <v>638</v>
      </c>
      <c r="D394" s="5" t="s">
        <v>639</v>
      </c>
      <c r="E394" s="5" t="s">
        <v>640</v>
      </c>
      <c r="F394" s="5" t="s">
        <v>641</v>
      </c>
      <c r="G394" s="7">
        <v>41897</v>
      </c>
      <c r="H394" s="5" t="s">
        <v>13</v>
      </c>
    </row>
    <row r="395" spans="1:8" x14ac:dyDescent="0.35">
      <c r="A395" s="10">
        <f t="shared" si="6"/>
        <v>391</v>
      </c>
      <c r="B395" s="5">
        <v>4917</v>
      </c>
      <c r="C395" s="5" t="s">
        <v>642</v>
      </c>
      <c r="D395" s="5" t="s">
        <v>488</v>
      </c>
      <c r="E395" s="5" t="s">
        <v>94</v>
      </c>
      <c r="F395" s="5" t="s">
        <v>94</v>
      </c>
      <c r="G395" s="7">
        <v>41920</v>
      </c>
      <c r="H395" s="5" t="s">
        <v>13</v>
      </c>
    </row>
    <row r="396" spans="1:8" x14ac:dyDescent="0.35">
      <c r="A396" s="10">
        <f t="shared" si="6"/>
        <v>392</v>
      </c>
      <c r="B396" s="5">
        <v>4938</v>
      </c>
      <c r="C396" s="5" t="s">
        <v>644</v>
      </c>
      <c r="D396" s="5" t="s">
        <v>563</v>
      </c>
      <c r="E396" s="5" t="s">
        <v>16</v>
      </c>
      <c r="F396" s="5" t="s">
        <v>645</v>
      </c>
      <c r="G396" s="7">
        <v>41918</v>
      </c>
      <c r="H396" s="5" t="s">
        <v>13</v>
      </c>
    </row>
    <row r="397" spans="1:8" x14ac:dyDescent="0.35">
      <c r="A397" s="10">
        <f t="shared" si="6"/>
        <v>393</v>
      </c>
      <c r="B397" s="5">
        <v>4956</v>
      </c>
      <c r="C397" s="5" t="s">
        <v>646</v>
      </c>
      <c r="D397" s="5" t="s">
        <v>647</v>
      </c>
      <c r="E397" s="5" t="s">
        <v>94</v>
      </c>
      <c r="F397" s="5" t="s">
        <v>94</v>
      </c>
      <c r="G397" s="7">
        <v>41918</v>
      </c>
      <c r="H397" s="5" t="s">
        <v>13</v>
      </c>
    </row>
    <row r="398" spans="1:8" x14ac:dyDescent="0.35">
      <c r="A398" s="10">
        <f t="shared" si="6"/>
        <v>394</v>
      </c>
      <c r="B398" s="5">
        <v>4961</v>
      </c>
      <c r="C398" s="5" t="s">
        <v>648</v>
      </c>
      <c r="D398" s="5" t="s">
        <v>649</v>
      </c>
      <c r="E398" s="5" t="s">
        <v>322</v>
      </c>
      <c r="F398" s="5" t="s">
        <v>322</v>
      </c>
      <c r="G398" s="7">
        <v>41918</v>
      </c>
      <c r="H398" s="5" t="s">
        <v>13</v>
      </c>
    </row>
    <row r="399" spans="1:8" x14ac:dyDescent="0.35">
      <c r="A399" s="10">
        <f t="shared" si="6"/>
        <v>395</v>
      </c>
      <c r="B399" s="5">
        <v>4974</v>
      </c>
      <c r="C399" s="5" t="s">
        <v>650</v>
      </c>
      <c r="D399" s="5" t="s">
        <v>651</v>
      </c>
      <c r="E399" s="5" t="s">
        <v>16</v>
      </c>
      <c r="F399" s="5" t="s">
        <v>20</v>
      </c>
      <c r="G399" s="7">
        <v>41925</v>
      </c>
      <c r="H399" s="5" t="s">
        <v>13</v>
      </c>
    </row>
    <row r="400" spans="1:8" x14ac:dyDescent="0.35">
      <c r="A400" s="10">
        <f t="shared" si="6"/>
        <v>396</v>
      </c>
      <c r="B400" s="5">
        <v>4981</v>
      </c>
      <c r="C400" s="5" t="s">
        <v>652</v>
      </c>
      <c r="D400" s="5" t="s">
        <v>563</v>
      </c>
      <c r="E400" s="5" t="s">
        <v>16</v>
      </c>
      <c r="F400" s="5" t="s">
        <v>141</v>
      </c>
      <c r="G400" s="7">
        <v>41925</v>
      </c>
      <c r="H400" s="5" t="s">
        <v>13</v>
      </c>
    </row>
    <row r="401" spans="1:8" x14ac:dyDescent="0.35">
      <c r="A401" s="10">
        <f t="shared" si="6"/>
        <v>397</v>
      </c>
      <c r="B401" s="5">
        <v>5004</v>
      </c>
      <c r="C401" s="5" t="s">
        <v>653</v>
      </c>
      <c r="D401" s="5" t="s">
        <v>557</v>
      </c>
      <c r="E401" s="5" t="s">
        <v>16</v>
      </c>
      <c r="F401" s="5" t="s">
        <v>17</v>
      </c>
      <c r="G401" s="7">
        <v>41956</v>
      </c>
      <c r="H401" s="5" t="s">
        <v>13</v>
      </c>
    </row>
    <row r="402" spans="1:8" x14ac:dyDescent="0.35">
      <c r="A402" s="10">
        <f t="shared" si="6"/>
        <v>398</v>
      </c>
      <c r="B402" s="5">
        <v>5020</v>
      </c>
      <c r="C402" s="5" t="s">
        <v>654</v>
      </c>
      <c r="D402" s="5" t="s">
        <v>21</v>
      </c>
      <c r="E402" s="5" t="s">
        <v>103</v>
      </c>
      <c r="F402" s="5" t="s">
        <v>103</v>
      </c>
      <c r="G402" s="7">
        <v>41960</v>
      </c>
      <c r="H402" s="5" t="s">
        <v>13</v>
      </c>
    </row>
    <row r="403" spans="1:8" x14ac:dyDescent="0.35">
      <c r="A403" s="10">
        <f t="shared" si="6"/>
        <v>399</v>
      </c>
      <c r="B403" s="5">
        <v>5021</v>
      </c>
      <c r="C403" s="5" t="s">
        <v>655</v>
      </c>
      <c r="D403" s="5" t="s">
        <v>563</v>
      </c>
      <c r="E403" s="5" t="s">
        <v>16</v>
      </c>
      <c r="F403" s="5" t="s">
        <v>656</v>
      </c>
      <c r="G403" s="7">
        <v>41960</v>
      </c>
      <c r="H403" s="5" t="s">
        <v>13</v>
      </c>
    </row>
    <row r="404" spans="1:8" x14ac:dyDescent="0.35">
      <c r="A404" s="10">
        <f t="shared" si="6"/>
        <v>400</v>
      </c>
      <c r="B404" s="5">
        <v>5041</v>
      </c>
      <c r="C404" s="5" t="s">
        <v>657</v>
      </c>
      <c r="D404" s="5" t="s">
        <v>563</v>
      </c>
      <c r="E404" s="5" t="s">
        <v>16</v>
      </c>
      <c r="F404" s="5" t="s">
        <v>658</v>
      </c>
      <c r="G404" s="7">
        <v>41960</v>
      </c>
      <c r="H404" s="5" t="s">
        <v>13</v>
      </c>
    </row>
    <row r="405" spans="1:8" x14ac:dyDescent="0.35">
      <c r="A405" s="10">
        <f t="shared" si="6"/>
        <v>401</v>
      </c>
      <c r="B405" s="5">
        <v>5049</v>
      </c>
      <c r="C405" s="5" t="s">
        <v>659</v>
      </c>
      <c r="D405" s="5" t="s">
        <v>649</v>
      </c>
      <c r="E405" s="5" t="s">
        <v>322</v>
      </c>
      <c r="F405" s="5" t="s">
        <v>322</v>
      </c>
      <c r="G405" s="7">
        <v>41974</v>
      </c>
      <c r="H405" s="5" t="s">
        <v>13</v>
      </c>
    </row>
    <row r="406" spans="1:8" x14ac:dyDescent="0.35">
      <c r="A406" s="10">
        <f t="shared" si="6"/>
        <v>402</v>
      </c>
      <c r="B406" s="5">
        <v>5053</v>
      </c>
      <c r="C406" s="5" t="s">
        <v>660</v>
      </c>
      <c r="D406" s="5" t="s">
        <v>661</v>
      </c>
      <c r="E406" s="5" t="s">
        <v>662</v>
      </c>
      <c r="F406" s="5" t="s">
        <v>662</v>
      </c>
      <c r="G406" s="7">
        <v>41975</v>
      </c>
      <c r="H406" s="5" t="s">
        <v>13</v>
      </c>
    </row>
    <row r="407" spans="1:8" x14ac:dyDescent="0.35">
      <c r="A407" s="10">
        <f t="shared" si="6"/>
        <v>403</v>
      </c>
      <c r="B407" s="5">
        <v>5064</v>
      </c>
      <c r="C407" s="5" t="s">
        <v>663</v>
      </c>
      <c r="D407" s="5" t="s">
        <v>488</v>
      </c>
      <c r="E407" s="5" t="s">
        <v>64</v>
      </c>
      <c r="F407" s="5" t="s">
        <v>64</v>
      </c>
      <c r="G407" s="7">
        <v>41992</v>
      </c>
      <c r="H407" s="5" t="s">
        <v>13</v>
      </c>
    </row>
    <row r="408" spans="1:8" x14ac:dyDescent="0.35">
      <c r="A408" s="10">
        <f t="shared" si="6"/>
        <v>404</v>
      </c>
      <c r="B408" s="5">
        <v>5069</v>
      </c>
      <c r="C408" s="5" t="s">
        <v>664</v>
      </c>
      <c r="D408" s="5" t="s">
        <v>455</v>
      </c>
      <c r="E408" s="5" t="s">
        <v>165</v>
      </c>
      <c r="F408" s="5" t="s">
        <v>165</v>
      </c>
      <c r="G408" s="7">
        <v>41799</v>
      </c>
      <c r="H408" s="5" t="s">
        <v>13</v>
      </c>
    </row>
    <row r="409" spans="1:8" x14ac:dyDescent="0.35">
      <c r="A409" s="10">
        <f t="shared" si="6"/>
        <v>405</v>
      </c>
      <c r="B409" s="5">
        <v>5072</v>
      </c>
      <c r="C409" s="5" t="s">
        <v>665</v>
      </c>
      <c r="D409" s="5" t="s">
        <v>488</v>
      </c>
      <c r="E409" s="5" t="s">
        <v>228</v>
      </c>
      <c r="F409" s="5" t="s">
        <v>228</v>
      </c>
      <c r="G409" s="7">
        <v>41990</v>
      </c>
      <c r="H409" s="5" t="s">
        <v>13</v>
      </c>
    </row>
    <row r="410" spans="1:8" x14ac:dyDescent="0.35">
      <c r="A410" s="10">
        <f t="shared" si="6"/>
        <v>406</v>
      </c>
      <c r="B410" s="5">
        <v>5083</v>
      </c>
      <c r="C410" s="5" t="s">
        <v>667</v>
      </c>
      <c r="D410" s="5" t="s">
        <v>563</v>
      </c>
      <c r="E410" s="5" t="s">
        <v>16</v>
      </c>
      <c r="F410" s="5" t="s">
        <v>20</v>
      </c>
      <c r="G410" s="7">
        <v>42009</v>
      </c>
      <c r="H410" s="5" t="s">
        <v>13</v>
      </c>
    </row>
    <row r="411" spans="1:8" x14ac:dyDescent="0.35">
      <c r="A411" s="10">
        <f t="shared" si="6"/>
        <v>407</v>
      </c>
      <c r="B411" s="5">
        <v>5103</v>
      </c>
      <c r="C411" s="5" t="s">
        <v>668</v>
      </c>
      <c r="D411" s="5" t="s">
        <v>669</v>
      </c>
      <c r="E411" s="5" t="s">
        <v>103</v>
      </c>
      <c r="F411" s="5" t="s">
        <v>103</v>
      </c>
      <c r="G411" s="7">
        <v>42016</v>
      </c>
      <c r="H411" s="5" t="s">
        <v>13</v>
      </c>
    </row>
    <row r="412" spans="1:8" x14ac:dyDescent="0.35">
      <c r="A412" s="10">
        <f t="shared" si="6"/>
        <v>408</v>
      </c>
      <c r="B412" s="5">
        <v>5109</v>
      </c>
      <c r="C412" s="5" t="s">
        <v>670</v>
      </c>
      <c r="D412" s="5" t="s">
        <v>557</v>
      </c>
      <c r="E412" s="5" t="s">
        <v>16</v>
      </c>
      <c r="F412" s="5" t="s">
        <v>17</v>
      </c>
      <c r="G412" s="7">
        <v>42006</v>
      </c>
      <c r="H412" s="5" t="s">
        <v>13</v>
      </c>
    </row>
    <row r="413" spans="1:8" x14ac:dyDescent="0.35">
      <c r="A413" s="10">
        <f t="shared" si="6"/>
        <v>409</v>
      </c>
      <c r="B413" s="5">
        <v>5110</v>
      </c>
      <c r="C413" s="5" t="s">
        <v>671</v>
      </c>
      <c r="D413" s="5" t="s">
        <v>455</v>
      </c>
      <c r="E413" s="5" t="s">
        <v>68</v>
      </c>
      <c r="F413" s="5" t="s">
        <v>69</v>
      </c>
      <c r="G413" s="7">
        <v>41822</v>
      </c>
      <c r="H413" s="5" t="s">
        <v>13</v>
      </c>
    </row>
    <row r="414" spans="1:8" x14ac:dyDescent="0.35">
      <c r="A414" s="10">
        <f t="shared" si="6"/>
        <v>410</v>
      </c>
      <c r="B414" s="5">
        <v>5115</v>
      </c>
      <c r="C414" s="5" t="s">
        <v>672</v>
      </c>
      <c r="D414" s="5" t="s">
        <v>557</v>
      </c>
      <c r="E414" s="5" t="s">
        <v>61</v>
      </c>
      <c r="F414" s="5" t="s">
        <v>61</v>
      </c>
      <c r="G414" s="7">
        <v>42020</v>
      </c>
      <c r="H414" s="5" t="s">
        <v>13</v>
      </c>
    </row>
    <row r="415" spans="1:8" x14ac:dyDescent="0.35">
      <c r="A415" s="10">
        <f t="shared" si="6"/>
        <v>411</v>
      </c>
      <c r="B415" s="5">
        <v>5121</v>
      </c>
      <c r="C415" s="5" t="s">
        <v>673</v>
      </c>
      <c r="D415" s="5" t="s">
        <v>21</v>
      </c>
      <c r="E415" s="5" t="s">
        <v>103</v>
      </c>
      <c r="F415" s="5" t="s">
        <v>103</v>
      </c>
      <c r="G415" s="7">
        <v>42020</v>
      </c>
      <c r="H415" s="5" t="s">
        <v>13</v>
      </c>
    </row>
    <row r="416" spans="1:8" x14ac:dyDescent="0.35">
      <c r="A416" s="10">
        <f t="shared" si="6"/>
        <v>412</v>
      </c>
      <c r="B416" s="5">
        <v>5125</v>
      </c>
      <c r="C416" s="5" t="s">
        <v>674</v>
      </c>
      <c r="D416" s="5" t="s">
        <v>488</v>
      </c>
      <c r="E416" s="5" t="s">
        <v>64</v>
      </c>
      <c r="F416" s="5" t="s">
        <v>64</v>
      </c>
      <c r="G416" s="7">
        <v>42037</v>
      </c>
      <c r="H416" s="5" t="s">
        <v>13</v>
      </c>
    </row>
    <row r="417" spans="1:8" x14ac:dyDescent="0.35">
      <c r="A417" s="10">
        <f t="shared" si="6"/>
        <v>413</v>
      </c>
      <c r="B417" s="5">
        <v>5137</v>
      </c>
      <c r="C417" s="5" t="s">
        <v>675</v>
      </c>
      <c r="D417" s="5" t="s">
        <v>21</v>
      </c>
      <c r="E417" s="5" t="s">
        <v>24</v>
      </c>
      <c r="F417" s="5" t="s">
        <v>152</v>
      </c>
      <c r="G417" s="7">
        <v>42051</v>
      </c>
      <c r="H417" s="5" t="s">
        <v>13</v>
      </c>
    </row>
    <row r="418" spans="1:8" x14ac:dyDescent="0.35">
      <c r="A418" s="10">
        <f t="shared" si="6"/>
        <v>414</v>
      </c>
      <c r="B418" s="5">
        <v>5153</v>
      </c>
      <c r="C418" s="5" t="s">
        <v>676</v>
      </c>
      <c r="D418" s="5" t="s">
        <v>557</v>
      </c>
      <c r="E418" s="5" t="s">
        <v>16</v>
      </c>
      <c r="F418" s="5" t="s">
        <v>17</v>
      </c>
      <c r="G418" s="7">
        <v>41906</v>
      </c>
      <c r="H418" s="5" t="s">
        <v>13</v>
      </c>
    </row>
    <row r="419" spans="1:8" x14ac:dyDescent="0.35">
      <c r="A419" s="10">
        <f t="shared" si="6"/>
        <v>415</v>
      </c>
      <c r="B419" s="5">
        <v>5165</v>
      </c>
      <c r="C419" s="5" t="s">
        <v>677</v>
      </c>
      <c r="D419" s="5" t="s">
        <v>678</v>
      </c>
      <c r="E419" s="5" t="s">
        <v>87</v>
      </c>
      <c r="F419" s="5" t="s">
        <v>678</v>
      </c>
      <c r="G419" s="7">
        <v>42065</v>
      </c>
      <c r="H419" s="5" t="s">
        <v>13</v>
      </c>
    </row>
    <row r="420" spans="1:8" x14ac:dyDescent="0.35">
      <c r="A420" s="10">
        <f t="shared" si="6"/>
        <v>416</v>
      </c>
      <c r="B420" s="5">
        <v>5186</v>
      </c>
      <c r="C420" s="5" t="s">
        <v>679</v>
      </c>
      <c r="D420" s="5" t="s">
        <v>563</v>
      </c>
      <c r="E420" s="5" t="s">
        <v>16</v>
      </c>
      <c r="F420" s="5" t="s">
        <v>368</v>
      </c>
      <c r="G420" s="7">
        <v>42093</v>
      </c>
      <c r="H420" s="5" t="s">
        <v>13</v>
      </c>
    </row>
    <row r="421" spans="1:8" x14ac:dyDescent="0.35">
      <c r="A421" s="10">
        <f t="shared" si="6"/>
        <v>417</v>
      </c>
      <c r="B421" s="5">
        <v>5204</v>
      </c>
      <c r="C421" s="5" t="s">
        <v>680</v>
      </c>
      <c r="D421" s="5" t="s">
        <v>563</v>
      </c>
      <c r="E421" s="5" t="s">
        <v>16</v>
      </c>
      <c r="F421" s="5" t="s">
        <v>681</v>
      </c>
      <c r="G421" s="7">
        <v>42100</v>
      </c>
      <c r="H421" s="5" t="s">
        <v>13</v>
      </c>
    </row>
    <row r="422" spans="1:8" x14ac:dyDescent="0.35">
      <c r="A422" s="10">
        <f t="shared" si="6"/>
        <v>418</v>
      </c>
      <c r="B422" s="5">
        <v>5214</v>
      </c>
      <c r="C422" s="5" t="s">
        <v>682</v>
      </c>
      <c r="D422" s="5" t="s">
        <v>563</v>
      </c>
      <c r="E422" s="5" t="s">
        <v>16</v>
      </c>
      <c r="F422" s="5" t="s">
        <v>683</v>
      </c>
      <c r="G422" s="7">
        <v>42100</v>
      </c>
      <c r="H422" s="5" t="s">
        <v>13</v>
      </c>
    </row>
    <row r="423" spans="1:8" x14ac:dyDescent="0.35">
      <c r="A423" s="10">
        <f t="shared" si="6"/>
        <v>419</v>
      </c>
      <c r="B423" s="5">
        <v>5215</v>
      </c>
      <c r="C423" s="5" t="s">
        <v>684</v>
      </c>
      <c r="D423" s="5" t="s">
        <v>563</v>
      </c>
      <c r="E423" s="5" t="s">
        <v>16</v>
      </c>
      <c r="F423" s="5" t="s">
        <v>20</v>
      </c>
      <c r="G423" s="7">
        <v>42100</v>
      </c>
      <c r="H423" s="5" t="s">
        <v>13</v>
      </c>
    </row>
    <row r="424" spans="1:8" x14ac:dyDescent="0.35">
      <c r="A424" s="10">
        <f t="shared" si="6"/>
        <v>420</v>
      </c>
      <c r="B424" s="5">
        <v>5252</v>
      </c>
      <c r="C424" s="5" t="s">
        <v>687</v>
      </c>
      <c r="D424" s="5" t="s">
        <v>563</v>
      </c>
      <c r="E424" s="5" t="s">
        <v>16</v>
      </c>
      <c r="F424" s="5" t="s">
        <v>688</v>
      </c>
      <c r="G424" s="7">
        <v>42114</v>
      </c>
      <c r="H424" s="5" t="s">
        <v>13</v>
      </c>
    </row>
    <row r="425" spans="1:8" x14ac:dyDescent="0.35">
      <c r="A425" s="10">
        <f t="shared" si="6"/>
        <v>421</v>
      </c>
      <c r="B425" s="5">
        <v>5259</v>
      </c>
      <c r="C425" s="5" t="s">
        <v>689</v>
      </c>
      <c r="D425" s="5" t="s">
        <v>563</v>
      </c>
      <c r="E425" s="5" t="s">
        <v>16</v>
      </c>
      <c r="F425" s="5" t="s">
        <v>141</v>
      </c>
      <c r="G425" s="7">
        <v>42114</v>
      </c>
      <c r="H425" s="5" t="s">
        <v>13</v>
      </c>
    </row>
    <row r="426" spans="1:8" x14ac:dyDescent="0.35">
      <c r="A426" s="10">
        <f t="shared" si="6"/>
        <v>422</v>
      </c>
      <c r="B426" s="5">
        <v>5316</v>
      </c>
      <c r="C426" s="5" t="s">
        <v>690</v>
      </c>
      <c r="D426" s="5" t="s">
        <v>557</v>
      </c>
      <c r="E426" s="5" t="s">
        <v>16</v>
      </c>
      <c r="F426" s="5" t="s">
        <v>17</v>
      </c>
      <c r="G426" s="7">
        <v>41792</v>
      </c>
      <c r="H426" s="5" t="s">
        <v>13</v>
      </c>
    </row>
    <row r="427" spans="1:8" x14ac:dyDescent="0.35">
      <c r="A427" s="10">
        <f t="shared" si="6"/>
        <v>423</v>
      </c>
      <c r="B427" s="5">
        <v>5317</v>
      </c>
      <c r="C427" s="5" t="s">
        <v>691</v>
      </c>
      <c r="D427" s="5" t="s">
        <v>557</v>
      </c>
      <c r="E427" s="5" t="s">
        <v>16</v>
      </c>
      <c r="F427" s="5" t="s">
        <v>17</v>
      </c>
      <c r="G427" s="7">
        <v>42166</v>
      </c>
      <c r="H427" s="5" t="s">
        <v>13</v>
      </c>
    </row>
    <row r="428" spans="1:8" x14ac:dyDescent="0.35">
      <c r="A428" s="10">
        <f t="shared" si="6"/>
        <v>424</v>
      </c>
      <c r="B428" s="5">
        <v>5320</v>
      </c>
      <c r="C428" s="5" t="s">
        <v>692</v>
      </c>
      <c r="D428" s="5" t="s">
        <v>693</v>
      </c>
      <c r="E428" s="5" t="s">
        <v>181</v>
      </c>
      <c r="F428" s="5" t="s">
        <v>181</v>
      </c>
      <c r="G428" s="7">
        <v>42156</v>
      </c>
      <c r="H428" s="5" t="s">
        <v>13</v>
      </c>
    </row>
    <row r="429" spans="1:8" x14ac:dyDescent="0.35">
      <c r="A429" s="10">
        <f t="shared" si="6"/>
        <v>425</v>
      </c>
      <c r="B429" s="5">
        <v>5530</v>
      </c>
      <c r="C429" s="5" t="s">
        <v>694</v>
      </c>
      <c r="D429" s="5" t="s">
        <v>21</v>
      </c>
      <c r="E429" s="5" t="s">
        <v>103</v>
      </c>
      <c r="F429" s="5" t="s">
        <v>103</v>
      </c>
      <c r="G429" s="7">
        <v>42170</v>
      </c>
      <c r="H429" s="5" t="s">
        <v>13</v>
      </c>
    </row>
    <row r="430" spans="1:8" x14ac:dyDescent="0.35">
      <c r="A430" s="10">
        <f t="shared" si="6"/>
        <v>426</v>
      </c>
      <c r="B430" s="5">
        <v>5536</v>
      </c>
      <c r="C430" s="5" t="s">
        <v>695</v>
      </c>
      <c r="D430" s="5" t="s">
        <v>563</v>
      </c>
      <c r="E430" s="5" t="s">
        <v>16</v>
      </c>
      <c r="F430" s="5" t="s">
        <v>20</v>
      </c>
      <c r="G430" s="7">
        <v>42170</v>
      </c>
      <c r="H430" s="5" t="s">
        <v>13</v>
      </c>
    </row>
    <row r="431" spans="1:8" x14ac:dyDescent="0.35">
      <c r="A431" s="10">
        <f t="shared" si="6"/>
        <v>427</v>
      </c>
      <c r="B431" s="5">
        <v>5540</v>
      </c>
      <c r="C431" s="5" t="s">
        <v>696</v>
      </c>
      <c r="D431" s="5" t="s">
        <v>563</v>
      </c>
      <c r="E431" s="5" t="s">
        <v>16</v>
      </c>
      <c r="F431" s="5" t="s">
        <v>697</v>
      </c>
      <c r="G431" s="7">
        <v>42170</v>
      </c>
      <c r="H431" s="5" t="s">
        <v>13</v>
      </c>
    </row>
    <row r="432" spans="1:8" x14ac:dyDescent="0.35">
      <c r="A432" s="10">
        <f t="shared" si="6"/>
        <v>428</v>
      </c>
      <c r="B432" s="5">
        <v>5541</v>
      </c>
      <c r="C432" s="5" t="s">
        <v>698</v>
      </c>
      <c r="D432" s="5" t="s">
        <v>204</v>
      </c>
      <c r="E432" s="5" t="s">
        <v>16</v>
      </c>
      <c r="F432" s="5" t="s">
        <v>658</v>
      </c>
      <c r="G432" s="7">
        <v>42170</v>
      </c>
      <c r="H432" s="5" t="s">
        <v>13</v>
      </c>
    </row>
    <row r="433" spans="1:8" x14ac:dyDescent="0.35">
      <c r="A433" s="10">
        <f t="shared" si="6"/>
        <v>429</v>
      </c>
      <c r="B433" s="5">
        <v>5544</v>
      </c>
      <c r="C433" s="5" t="s">
        <v>699</v>
      </c>
      <c r="D433" s="5" t="s">
        <v>151</v>
      </c>
      <c r="E433" s="5" t="s">
        <v>493</v>
      </c>
      <c r="F433" s="5" t="s">
        <v>494</v>
      </c>
      <c r="G433" s="7">
        <v>42170</v>
      </c>
      <c r="H433" s="5" t="s">
        <v>13</v>
      </c>
    </row>
    <row r="434" spans="1:8" x14ac:dyDescent="0.35">
      <c r="A434" s="10">
        <f t="shared" si="6"/>
        <v>430</v>
      </c>
      <c r="B434" s="5">
        <v>5546</v>
      </c>
      <c r="C434" s="5" t="s">
        <v>700</v>
      </c>
      <c r="D434" s="5" t="s">
        <v>488</v>
      </c>
      <c r="E434" s="5" t="s">
        <v>228</v>
      </c>
      <c r="F434" s="5" t="s">
        <v>228</v>
      </c>
      <c r="G434" s="7">
        <v>42170</v>
      </c>
      <c r="H434" s="5" t="s">
        <v>13</v>
      </c>
    </row>
    <row r="435" spans="1:8" x14ac:dyDescent="0.35">
      <c r="A435" s="10">
        <f t="shared" si="6"/>
        <v>431</v>
      </c>
      <c r="B435" s="5">
        <v>5555</v>
      </c>
      <c r="C435" s="5" t="s">
        <v>701</v>
      </c>
      <c r="D435" s="5" t="s">
        <v>563</v>
      </c>
      <c r="E435" s="5" t="s">
        <v>16</v>
      </c>
      <c r="F435" s="5" t="s">
        <v>302</v>
      </c>
      <c r="G435" s="7">
        <v>42170</v>
      </c>
      <c r="H435" s="5" t="s">
        <v>13</v>
      </c>
    </row>
    <row r="436" spans="1:8" x14ac:dyDescent="0.35">
      <c r="A436" s="10">
        <f t="shared" si="6"/>
        <v>432</v>
      </c>
      <c r="B436" s="5">
        <v>5573</v>
      </c>
      <c r="C436" s="5" t="s">
        <v>702</v>
      </c>
      <c r="D436" s="5" t="s">
        <v>455</v>
      </c>
      <c r="E436" s="5" t="s">
        <v>94</v>
      </c>
      <c r="F436" s="5" t="s">
        <v>94</v>
      </c>
      <c r="G436" s="7">
        <v>42170</v>
      </c>
      <c r="H436" s="5" t="s">
        <v>13</v>
      </c>
    </row>
    <row r="437" spans="1:8" x14ac:dyDescent="0.35">
      <c r="A437" s="10">
        <f t="shared" si="6"/>
        <v>433</v>
      </c>
      <c r="B437" s="5">
        <v>5577</v>
      </c>
      <c r="C437" s="5" t="s">
        <v>703</v>
      </c>
      <c r="D437" s="5" t="s">
        <v>77</v>
      </c>
      <c r="E437" s="5" t="s">
        <v>61</v>
      </c>
      <c r="F437" s="5" t="s">
        <v>61</v>
      </c>
      <c r="G437" s="7">
        <v>42191</v>
      </c>
      <c r="H437" s="5" t="s">
        <v>13</v>
      </c>
    </row>
    <row r="438" spans="1:8" x14ac:dyDescent="0.35">
      <c r="A438" s="10">
        <f t="shared" si="6"/>
        <v>434</v>
      </c>
      <c r="B438" s="5">
        <v>5581</v>
      </c>
      <c r="C438" s="5" t="s">
        <v>704</v>
      </c>
      <c r="D438" s="5" t="s">
        <v>557</v>
      </c>
      <c r="E438" s="5" t="s">
        <v>16</v>
      </c>
      <c r="F438" s="5" t="s">
        <v>194</v>
      </c>
      <c r="G438" s="7">
        <v>42194</v>
      </c>
      <c r="H438" s="5" t="s">
        <v>13</v>
      </c>
    </row>
    <row r="439" spans="1:8" x14ac:dyDescent="0.35">
      <c r="A439" s="10">
        <f t="shared" si="6"/>
        <v>435</v>
      </c>
      <c r="B439" s="5">
        <v>5582</v>
      </c>
      <c r="C439" s="5" t="s">
        <v>705</v>
      </c>
      <c r="D439" s="5" t="s">
        <v>557</v>
      </c>
      <c r="E439" s="5" t="s">
        <v>16</v>
      </c>
      <c r="F439" s="5" t="s">
        <v>17</v>
      </c>
      <c r="G439" s="7">
        <v>42194</v>
      </c>
      <c r="H439" s="5" t="s">
        <v>13</v>
      </c>
    </row>
    <row r="440" spans="1:8" x14ac:dyDescent="0.35">
      <c r="A440" s="10">
        <f t="shared" si="6"/>
        <v>436</v>
      </c>
      <c r="B440" s="5">
        <v>5584</v>
      </c>
      <c r="C440" s="5" t="s">
        <v>706</v>
      </c>
      <c r="D440" s="5" t="s">
        <v>488</v>
      </c>
      <c r="E440" s="5" t="s">
        <v>64</v>
      </c>
      <c r="F440" s="5" t="s">
        <v>64</v>
      </c>
      <c r="G440" s="7">
        <v>42200</v>
      </c>
      <c r="H440" s="5" t="s">
        <v>13</v>
      </c>
    </row>
    <row r="441" spans="1:8" x14ac:dyDescent="0.35">
      <c r="A441" s="10">
        <f t="shared" si="6"/>
        <v>437</v>
      </c>
      <c r="B441" s="5">
        <v>5586</v>
      </c>
      <c r="C441" s="5" t="s">
        <v>707</v>
      </c>
      <c r="D441" s="5" t="s">
        <v>535</v>
      </c>
      <c r="E441" s="5" t="s">
        <v>376</v>
      </c>
      <c r="F441" s="5" t="s">
        <v>466</v>
      </c>
      <c r="G441" s="7">
        <v>42201</v>
      </c>
      <c r="H441" s="5" t="s">
        <v>13</v>
      </c>
    </row>
    <row r="442" spans="1:8" x14ac:dyDescent="0.35">
      <c r="A442" s="10">
        <f t="shared" si="6"/>
        <v>438</v>
      </c>
      <c r="B442" s="5">
        <v>5588</v>
      </c>
      <c r="C442" s="5" t="s">
        <v>708</v>
      </c>
      <c r="D442" s="5" t="s">
        <v>669</v>
      </c>
      <c r="E442" s="5" t="s">
        <v>103</v>
      </c>
      <c r="F442" s="5" t="s">
        <v>103</v>
      </c>
      <c r="G442" s="7">
        <v>42207</v>
      </c>
      <c r="H442" s="5" t="s">
        <v>13</v>
      </c>
    </row>
    <row r="443" spans="1:8" x14ac:dyDescent="0.35">
      <c r="A443" s="10">
        <f t="shared" si="6"/>
        <v>439</v>
      </c>
      <c r="B443" s="5">
        <v>5603</v>
      </c>
      <c r="C443" s="5" t="s">
        <v>709</v>
      </c>
      <c r="D443" s="5" t="s">
        <v>563</v>
      </c>
      <c r="E443" s="5" t="s">
        <v>16</v>
      </c>
      <c r="F443" s="5" t="s">
        <v>589</v>
      </c>
      <c r="G443" s="7">
        <v>42221</v>
      </c>
      <c r="H443" s="5" t="s">
        <v>13</v>
      </c>
    </row>
    <row r="444" spans="1:8" x14ac:dyDescent="0.35">
      <c r="A444" s="10">
        <f t="shared" si="6"/>
        <v>440</v>
      </c>
      <c r="B444" s="5">
        <v>5616</v>
      </c>
      <c r="C444" s="5" t="s">
        <v>710</v>
      </c>
      <c r="D444" s="5" t="s">
        <v>563</v>
      </c>
      <c r="E444" s="5" t="s">
        <v>16</v>
      </c>
      <c r="F444" s="5" t="s">
        <v>711</v>
      </c>
      <c r="G444" s="7">
        <v>42221</v>
      </c>
      <c r="H444" s="5" t="s">
        <v>13</v>
      </c>
    </row>
    <row r="445" spans="1:8" x14ac:dyDescent="0.35">
      <c r="A445" s="10">
        <f t="shared" si="6"/>
        <v>441</v>
      </c>
      <c r="B445" s="5">
        <v>5636</v>
      </c>
      <c r="C445" s="5" t="s">
        <v>715</v>
      </c>
      <c r="D445" s="5" t="s">
        <v>716</v>
      </c>
      <c r="E445" s="5" t="s">
        <v>35</v>
      </c>
      <c r="F445" s="5" t="s">
        <v>405</v>
      </c>
      <c r="G445" s="7">
        <v>42248</v>
      </c>
      <c r="H445" s="5" t="s">
        <v>13</v>
      </c>
    </row>
    <row r="446" spans="1:8" x14ac:dyDescent="0.35">
      <c r="A446" s="10">
        <f t="shared" si="6"/>
        <v>442</v>
      </c>
      <c r="B446" s="5">
        <v>5666</v>
      </c>
      <c r="C446" s="5" t="s">
        <v>717</v>
      </c>
      <c r="D446" s="5" t="s">
        <v>563</v>
      </c>
      <c r="E446" s="5" t="s">
        <v>16</v>
      </c>
      <c r="F446" s="5" t="s">
        <v>718</v>
      </c>
      <c r="G446" s="7">
        <v>42268</v>
      </c>
      <c r="H446" s="5" t="s">
        <v>13</v>
      </c>
    </row>
    <row r="447" spans="1:8" x14ac:dyDescent="0.35">
      <c r="A447" s="10">
        <f t="shared" si="6"/>
        <v>443</v>
      </c>
      <c r="B447" s="5">
        <v>5673</v>
      </c>
      <c r="C447" s="5" t="s">
        <v>719</v>
      </c>
      <c r="D447" s="5" t="s">
        <v>720</v>
      </c>
      <c r="E447" s="5" t="s">
        <v>424</v>
      </c>
      <c r="F447" s="5" t="s">
        <v>424</v>
      </c>
      <c r="G447" s="7">
        <v>42278</v>
      </c>
      <c r="H447" s="5" t="s">
        <v>21</v>
      </c>
    </row>
    <row r="448" spans="1:8" x14ac:dyDescent="0.35">
      <c r="A448" s="10">
        <f t="shared" si="6"/>
        <v>444</v>
      </c>
      <c r="B448" s="5">
        <v>5674</v>
      </c>
      <c r="C448" s="5" t="s">
        <v>721</v>
      </c>
      <c r="D448" s="5" t="s">
        <v>722</v>
      </c>
      <c r="E448" s="5" t="s">
        <v>424</v>
      </c>
      <c r="F448" s="5" t="s">
        <v>424</v>
      </c>
      <c r="G448" s="7">
        <v>42278</v>
      </c>
      <c r="H448" s="5" t="s">
        <v>21</v>
      </c>
    </row>
    <row r="449" spans="1:8" x14ac:dyDescent="0.35">
      <c r="A449" s="10">
        <f t="shared" si="6"/>
        <v>445</v>
      </c>
      <c r="B449" s="5">
        <v>5679</v>
      </c>
      <c r="C449" s="5" t="s">
        <v>723</v>
      </c>
      <c r="D449" s="5" t="s">
        <v>535</v>
      </c>
      <c r="E449" s="5" t="s">
        <v>376</v>
      </c>
      <c r="F449" s="5" t="s">
        <v>466</v>
      </c>
      <c r="G449" s="7">
        <v>42282</v>
      </c>
      <c r="H449" s="5" t="s">
        <v>13</v>
      </c>
    </row>
    <row r="450" spans="1:8" x14ac:dyDescent="0.35">
      <c r="A450" s="10">
        <f t="shared" si="6"/>
        <v>446</v>
      </c>
      <c r="B450" s="5">
        <v>5680</v>
      </c>
      <c r="C450" s="5" t="s">
        <v>724</v>
      </c>
      <c r="D450" s="5" t="s">
        <v>725</v>
      </c>
      <c r="E450" s="5" t="s">
        <v>94</v>
      </c>
      <c r="F450" s="5" t="s">
        <v>94</v>
      </c>
      <c r="G450" s="7">
        <v>42282</v>
      </c>
      <c r="H450" s="5" t="s">
        <v>13</v>
      </c>
    </row>
    <row r="451" spans="1:8" x14ac:dyDescent="0.35">
      <c r="A451" s="10">
        <f t="shared" si="6"/>
        <v>447</v>
      </c>
      <c r="B451" s="5">
        <v>5685</v>
      </c>
      <c r="C451" s="5" t="s">
        <v>726</v>
      </c>
      <c r="D451" s="5" t="s">
        <v>563</v>
      </c>
      <c r="E451" s="5" t="s">
        <v>16</v>
      </c>
      <c r="F451" s="5" t="s">
        <v>483</v>
      </c>
      <c r="G451" s="7">
        <v>42282</v>
      </c>
      <c r="H451" s="5" t="s">
        <v>13</v>
      </c>
    </row>
    <row r="452" spans="1:8" x14ac:dyDescent="0.35">
      <c r="A452" s="10">
        <f t="shared" si="6"/>
        <v>448</v>
      </c>
      <c r="B452" s="5">
        <v>5690</v>
      </c>
      <c r="C452" s="5" t="s">
        <v>727</v>
      </c>
      <c r="D452" s="5" t="s">
        <v>563</v>
      </c>
      <c r="E452" s="5" t="s">
        <v>16</v>
      </c>
      <c r="F452" s="5" t="s">
        <v>141</v>
      </c>
      <c r="G452" s="7">
        <v>42282</v>
      </c>
      <c r="H452" s="5" t="s">
        <v>13</v>
      </c>
    </row>
    <row r="453" spans="1:8" x14ac:dyDescent="0.35">
      <c r="A453" s="10">
        <f t="shared" si="6"/>
        <v>449</v>
      </c>
      <c r="B453" s="5">
        <v>5691</v>
      </c>
      <c r="C453" s="5" t="s">
        <v>728</v>
      </c>
      <c r="D453" s="5" t="s">
        <v>563</v>
      </c>
      <c r="E453" s="5" t="s">
        <v>16</v>
      </c>
      <c r="F453" s="5" t="s">
        <v>729</v>
      </c>
      <c r="G453" s="7">
        <v>42282</v>
      </c>
      <c r="H453" s="5" t="s">
        <v>13</v>
      </c>
    </row>
    <row r="454" spans="1:8" x14ac:dyDescent="0.35">
      <c r="A454" s="10">
        <f t="shared" ref="A454:A517" si="7">+A453+1</f>
        <v>450</v>
      </c>
      <c r="B454" s="5">
        <v>5697</v>
      </c>
      <c r="C454" s="5" t="s">
        <v>730</v>
      </c>
      <c r="D454" s="5" t="s">
        <v>563</v>
      </c>
      <c r="E454" s="5" t="s">
        <v>16</v>
      </c>
      <c r="F454" s="5" t="s">
        <v>656</v>
      </c>
      <c r="G454" s="7">
        <v>42289</v>
      </c>
      <c r="H454" s="5" t="s">
        <v>13</v>
      </c>
    </row>
    <row r="455" spans="1:8" x14ac:dyDescent="0.35">
      <c r="A455" s="10">
        <f t="shared" si="7"/>
        <v>451</v>
      </c>
      <c r="B455" s="5">
        <v>5712</v>
      </c>
      <c r="C455" s="5" t="s">
        <v>731</v>
      </c>
      <c r="D455" s="5" t="s">
        <v>157</v>
      </c>
      <c r="E455" s="5" t="s">
        <v>16</v>
      </c>
      <c r="F455" s="5" t="s">
        <v>41</v>
      </c>
      <c r="G455" s="7">
        <v>42289</v>
      </c>
      <c r="H455" s="5" t="s">
        <v>13</v>
      </c>
    </row>
    <row r="456" spans="1:8" x14ac:dyDescent="0.35">
      <c r="A456" s="10">
        <f t="shared" si="7"/>
        <v>452</v>
      </c>
      <c r="B456" s="5">
        <v>5716</v>
      </c>
      <c r="C456" s="5" t="s">
        <v>732</v>
      </c>
      <c r="D456" s="5" t="s">
        <v>733</v>
      </c>
      <c r="E456" s="5" t="s">
        <v>165</v>
      </c>
      <c r="F456" s="5" t="s">
        <v>165</v>
      </c>
      <c r="G456" s="7">
        <v>42072</v>
      </c>
      <c r="H456" s="5" t="s">
        <v>13</v>
      </c>
    </row>
    <row r="457" spans="1:8" x14ac:dyDescent="0.35">
      <c r="A457" s="10">
        <f t="shared" si="7"/>
        <v>453</v>
      </c>
      <c r="B457" s="5">
        <v>5723</v>
      </c>
      <c r="C457" s="5" t="s">
        <v>736</v>
      </c>
      <c r="D457" s="5" t="s">
        <v>21</v>
      </c>
      <c r="E457" s="5" t="s">
        <v>24</v>
      </c>
      <c r="F457" s="5" t="s">
        <v>152</v>
      </c>
      <c r="G457" s="7">
        <v>42303</v>
      </c>
      <c r="H457" s="5" t="s">
        <v>13</v>
      </c>
    </row>
    <row r="458" spans="1:8" x14ac:dyDescent="0.35">
      <c r="A458" s="10">
        <f t="shared" si="7"/>
        <v>454</v>
      </c>
      <c r="B458" s="5">
        <v>5727</v>
      </c>
      <c r="C458" s="5" t="s">
        <v>737</v>
      </c>
      <c r="D458" s="5" t="s">
        <v>38</v>
      </c>
      <c r="E458" s="5" t="s">
        <v>16</v>
      </c>
      <c r="F458" s="5" t="s">
        <v>20</v>
      </c>
      <c r="G458" s="7">
        <v>42310</v>
      </c>
      <c r="H458" s="5" t="s">
        <v>21</v>
      </c>
    </row>
    <row r="459" spans="1:8" x14ac:dyDescent="0.35">
      <c r="A459" s="10">
        <f t="shared" si="7"/>
        <v>455</v>
      </c>
      <c r="B459" s="5">
        <v>5751</v>
      </c>
      <c r="C459" s="5" t="s">
        <v>738</v>
      </c>
      <c r="D459" s="5" t="s">
        <v>563</v>
      </c>
      <c r="E459" s="5" t="s">
        <v>16</v>
      </c>
      <c r="F459" s="5" t="s">
        <v>739</v>
      </c>
      <c r="G459" s="7">
        <v>42324</v>
      </c>
      <c r="H459" s="5" t="s">
        <v>13</v>
      </c>
    </row>
    <row r="460" spans="1:8" x14ac:dyDescent="0.35">
      <c r="A460" s="10">
        <f t="shared" si="7"/>
        <v>456</v>
      </c>
      <c r="B460" s="5">
        <v>5758</v>
      </c>
      <c r="C460" s="5" t="s">
        <v>740</v>
      </c>
      <c r="D460" s="5" t="s">
        <v>21</v>
      </c>
      <c r="E460" s="5" t="s">
        <v>103</v>
      </c>
      <c r="F460" s="5" t="s">
        <v>103</v>
      </c>
      <c r="G460" s="7">
        <v>42326</v>
      </c>
      <c r="H460" s="5" t="s">
        <v>13</v>
      </c>
    </row>
    <row r="461" spans="1:8" x14ac:dyDescent="0.35">
      <c r="A461" s="10">
        <f t="shared" si="7"/>
        <v>457</v>
      </c>
      <c r="B461" s="5">
        <v>5760</v>
      </c>
      <c r="C461" s="5" t="s">
        <v>741</v>
      </c>
      <c r="D461" s="5" t="s">
        <v>249</v>
      </c>
      <c r="E461" s="5" t="s">
        <v>165</v>
      </c>
      <c r="F461" s="5" t="s">
        <v>165</v>
      </c>
      <c r="G461" s="7">
        <v>42142</v>
      </c>
      <c r="H461" s="5" t="s">
        <v>13</v>
      </c>
    </row>
    <row r="462" spans="1:8" x14ac:dyDescent="0.35">
      <c r="A462" s="10">
        <f t="shared" si="7"/>
        <v>458</v>
      </c>
      <c r="B462" s="5">
        <v>5779</v>
      </c>
      <c r="C462" s="5" t="s">
        <v>742</v>
      </c>
      <c r="D462" s="5" t="s">
        <v>563</v>
      </c>
      <c r="E462" s="5" t="s">
        <v>16</v>
      </c>
      <c r="F462" s="5" t="s">
        <v>407</v>
      </c>
      <c r="G462" s="7">
        <v>42345</v>
      </c>
      <c r="H462" s="5" t="s">
        <v>13</v>
      </c>
    </row>
    <row r="463" spans="1:8" x14ac:dyDescent="0.35">
      <c r="A463" s="10">
        <f t="shared" si="7"/>
        <v>459</v>
      </c>
      <c r="B463" s="5">
        <v>5780</v>
      </c>
      <c r="C463" s="5" t="s">
        <v>743</v>
      </c>
      <c r="D463" s="5" t="s">
        <v>563</v>
      </c>
      <c r="E463" s="5" t="s">
        <v>16</v>
      </c>
      <c r="F463" s="5" t="s">
        <v>353</v>
      </c>
      <c r="G463" s="7">
        <v>42345</v>
      </c>
      <c r="H463" s="5" t="s">
        <v>13</v>
      </c>
    </row>
    <row r="464" spans="1:8" x14ac:dyDescent="0.35">
      <c r="A464" s="10">
        <f t="shared" si="7"/>
        <v>460</v>
      </c>
      <c r="B464" s="5">
        <v>5805</v>
      </c>
      <c r="C464" s="5" t="s">
        <v>744</v>
      </c>
      <c r="D464" s="5" t="s">
        <v>563</v>
      </c>
      <c r="E464" s="5" t="s">
        <v>16</v>
      </c>
      <c r="F464" s="5" t="s">
        <v>656</v>
      </c>
      <c r="G464" s="7">
        <v>42373</v>
      </c>
      <c r="H464" s="5" t="s">
        <v>13</v>
      </c>
    </row>
    <row r="465" spans="1:8" x14ac:dyDescent="0.35">
      <c r="A465" s="10">
        <f t="shared" si="7"/>
        <v>461</v>
      </c>
      <c r="B465" s="5">
        <v>5809</v>
      </c>
      <c r="C465" s="5" t="s">
        <v>745</v>
      </c>
      <c r="D465" s="5" t="s">
        <v>563</v>
      </c>
      <c r="E465" s="5" t="s">
        <v>16</v>
      </c>
      <c r="F465" s="5" t="s">
        <v>434</v>
      </c>
      <c r="G465" s="7">
        <v>42373</v>
      </c>
      <c r="H465" s="5" t="s">
        <v>13</v>
      </c>
    </row>
    <row r="466" spans="1:8" x14ac:dyDescent="0.35">
      <c r="A466" s="10">
        <f t="shared" si="7"/>
        <v>462</v>
      </c>
      <c r="B466" s="5">
        <v>5812</v>
      </c>
      <c r="C466" s="5" t="s">
        <v>746</v>
      </c>
      <c r="D466" s="5" t="s">
        <v>332</v>
      </c>
      <c r="E466" s="5" t="s">
        <v>407</v>
      </c>
      <c r="F466" s="5" t="s">
        <v>408</v>
      </c>
      <c r="G466" s="7">
        <v>42380</v>
      </c>
      <c r="H466" s="5" t="s">
        <v>21</v>
      </c>
    </row>
    <row r="467" spans="1:8" x14ac:dyDescent="0.35">
      <c r="A467" s="10">
        <f t="shared" si="7"/>
        <v>463</v>
      </c>
      <c r="B467" s="5">
        <v>5817</v>
      </c>
      <c r="C467" s="5" t="s">
        <v>747</v>
      </c>
      <c r="D467" s="5" t="s">
        <v>748</v>
      </c>
      <c r="E467" s="5" t="s">
        <v>181</v>
      </c>
      <c r="F467" s="5" t="s">
        <v>181</v>
      </c>
      <c r="G467" s="7">
        <v>42389</v>
      </c>
      <c r="H467" s="5" t="s">
        <v>21</v>
      </c>
    </row>
    <row r="468" spans="1:8" x14ac:dyDescent="0.35">
      <c r="A468" s="10">
        <f t="shared" si="7"/>
        <v>464</v>
      </c>
      <c r="B468" s="5">
        <v>5823</v>
      </c>
      <c r="C468" s="5" t="s">
        <v>749</v>
      </c>
      <c r="D468" s="5" t="s">
        <v>21</v>
      </c>
      <c r="E468" s="5" t="s">
        <v>24</v>
      </c>
      <c r="F468" s="5" t="s">
        <v>152</v>
      </c>
      <c r="G468" s="7">
        <v>42394</v>
      </c>
      <c r="H468" s="5" t="s">
        <v>13</v>
      </c>
    </row>
    <row r="469" spans="1:8" x14ac:dyDescent="0.35">
      <c r="A469" s="10">
        <f t="shared" si="7"/>
        <v>465</v>
      </c>
      <c r="B469" s="5">
        <v>5824</v>
      </c>
      <c r="C469" s="5" t="s">
        <v>750</v>
      </c>
      <c r="D469" s="5" t="s">
        <v>21</v>
      </c>
      <c r="E469" s="5" t="s">
        <v>103</v>
      </c>
      <c r="F469" s="5" t="s">
        <v>103</v>
      </c>
      <c r="G469" s="7">
        <v>42408</v>
      </c>
      <c r="H469" s="5" t="s">
        <v>13</v>
      </c>
    </row>
    <row r="470" spans="1:8" x14ac:dyDescent="0.35">
      <c r="A470" s="10">
        <f t="shared" si="7"/>
        <v>466</v>
      </c>
      <c r="B470" s="5">
        <v>5833</v>
      </c>
      <c r="C470" s="5" t="s">
        <v>751</v>
      </c>
      <c r="D470" s="5" t="s">
        <v>204</v>
      </c>
      <c r="E470" s="5" t="s">
        <v>16</v>
      </c>
      <c r="F470" s="5" t="s">
        <v>517</v>
      </c>
      <c r="G470" s="7">
        <v>42415</v>
      </c>
      <c r="H470" s="5" t="s">
        <v>13</v>
      </c>
    </row>
    <row r="471" spans="1:8" x14ac:dyDescent="0.35">
      <c r="A471" s="10">
        <f t="shared" si="7"/>
        <v>467</v>
      </c>
      <c r="B471" s="5">
        <v>5835</v>
      </c>
      <c r="C471" s="5" t="s">
        <v>752</v>
      </c>
      <c r="D471" s="5" t="s">
        <v>563</v>
      </c>
      <c r="E471" s="5" t="s">
        <v>16</v>
      </c>
      <c r="F471" s="5" t="s">
        <v>20</v>
      </c>
      <c r="G471" s="7">
        <v>42415</v>
      </c>
      <c r="H471" s="5" t="s">
        <v>13</v>
      </c>
    </row>
    <row r="472" spans="1:8" x14ac:dyDescent="0.35">
      <c r="A472" s="10">
        <f t="shared" si="7"/>
        <v>468</v>
      </c>
      <c r="B472" s="5">
        <v>5857</v>
      </c>
      <c r="C472" s="5" t="s">
        <v>753</v>
      </c>
      <c r="D472" s="5" t="s">
        <v>557</v>
      </c>
      <c r="E472" s="5" t="s">
        <v>16</v>
      </c>
      <c r="F472" s="5" t="s">
        <v>17</v>
      </c>
      <c r="G472" s="7">
        <v>41862</v>
      </c>
      <c r="H472" s="5" t="s">
        <v>13</v>
      </c>
    </row>
    <row r="473" spans="1:8" x14ac:dyDescent="0.35">
      <c r="A473" s="10">
        <f t="shared" si="7"/>
        <v>469</v>
      </c>
      <c r="B473" s="5">
        <v>5862</v>
      </c>
      <c r="C473" s="5" t="s">
        <v>754</v>
      </c>
      <c r="D473" s="5" t="s">
        <v>755</v>
      </c>
      <c r="E473" s="5" t="s">
        <v>51</v>
      </c>
      <c r="F473" s="5" t="s">
        <v>51</v>
      </c>
      <c r="G473" s="7">
        <v>42445</v>
      </c>
      <c r="H473" s="5" t="s">
        <v>13</v>
      </c>
    </row>
    <row r="474" spans="1:8" x14ac:dyDescent="0.35">
      <c r="A474" s="10">
        <f t="shared" si="7"/>
        <v>470</v>
      </c>
      <c r="B474" s="5">
        <v>5863</v>
      </c>
      <c r="C474" s="5" t="s">
        <v>756</v>
      </c>
      <c r="D474" s="5" t="s">
        <v>50</v>
      </c>
      <c r="E474" s="5" t="s">
        <v>51</v>
      </c>
      <c r="F474" s="5" t="s">
        <v>51</v>
      </c>
      <c r="G474" s="7">
        <v>42445</v>
      </c>
      <c r="H474" s="5" t="s">
        <v>13</v>
      </c>
    </row>
    <row r="475" spans="1:8" x14ac:dyDescent="0.35">
      <c r="A475" s="10">
        <f t="shared" si="7"/>
        <v>471</v>
      </c>
      <c r="B475" s="5">
        <v>5864</v>
      </c>
      <c r="C475" s="5" t="s">
        <v>757</v>
      </c>
      <c r="D475" s="5" t="s">
        <v>733</v>
      </c>
      <c r="E475" s="5" t="s">
        <v>165</v>
      </c>
      <c r="F475" s="5" t="s">
        <v>165</v>
      </c>
      <c r="G475" s="7">
        <v>42450</v>
      </c>
      <c r="H475" s="5" t="s">
        <v>13</v>
      </c>
    </row>
    <row r="476" spans="1:8" x14ac:dyDescent="0.35">
      <c r="A476" s="10">
        <f t="shared" si="7"/>
        <v>472</v>
      </c>
      <c r="B476" s="5">
        <v>5875</v>
      </c>
      <c r="C476" s="5" t="s">
        <v>758</v>
      </c>
      <c r="D476" s="5" t="s">
        <v>563</v>
      </c>
      <c r="E476" s="5" t="s">
        <v>16</v>
      </c>
      <c r="F476" s="5" t="s">
        <v>589</v>
      </c>
      <c r="G476" s="7">
        <v>42464</v>
      </c>
      <c r="H476" s="5" t="s">
        <v>13</v>
      </c>
    </row>
    <row r="477" spans="1:8" x14ac:dyDescent="0.35">
      <c r="A477" s="10">
        <f t="shared" si="7"/>
        <v>473</v>
      </c>
      <c r="B477" s="5">
        <v>5890</v>
      </c>
      <c r="C477" s="5" t="s">
        <v>759</v>
      </c>
      <c r="D477" s="5" t="s">
        <v>557</v>
      </c>
      <c r="E477" s="5" t="s">
        <v>424</v>
      </c>
      <c r="F477" s="5" t="s">
        <v>424</v>
      </c>
      <c r="G477" s="7">
        <v>42310</v>
      </c>
      <c r="H477" s="5" t="s">
        <v>13</v>
      </c>
    </row>
    <row r="478" spans="1:8" x14ac:dyDescent="0.35">
      <c r="A478" s="10">
        <f t="shared" si="7"/>
        <v>474</v>
      </c>
      <c r="B478" s="5">
        <v>5901</v>
      </c>
      <c r="C478" s="5" t="s">
        <v>762</v>
      </c>
      <c r="D478" s="5" t="s">
        <v>563</v>
      </c>
      <c r="E478" s="5" t="s">
        <v>16</v>
      </c>
      <c r="F478" s="5" t="s">
        <v>763</v>
      </c>
      <c r="G478" s="7">
        <v>42527</v>
      </c>
      <c r="H478" s="5" t="s">
        <v>13</v>
      </c>
    </row>
    <row r="479" spans="1:8" x14ac:dyDescent="0.35">
      <c r="A479" s="10">
        <f t="shared" si="7"/>
        <v>475</v>
      </c>
      <c r="B479" s="5">
        <v>5911</v>
      </c>
      <c r="C479" s="5" t="s">
        <v>764</v>
      </c>
      <c r="D479" s="5" t="s">
        <v>557</v>
      </c>
      <c r="E479" s="5" t="s">
        <v>16</v>
      </c>
      <c r="F479" s="5" t="s">
        <v>344</v>
      </c>
      <c r="G479" s="7">
        <v>42359</v>
      </c>
      <c r="H479" s="5" t="s">
        <v>13</v>
      </c>
    </row>
    <row r="480" spans="1:8" x14ac:dyDescent="0.35">
      <c r="A480" s="10">
        <f t="shared" si="7"/>
        <v>476</v>
      </c>
      <c r="B480" s="5">
        <v>5920</v>
      </c>
      <c r="C480" s="5" t="s">
        <v>765</v>
      </c>
      <c r="D480" s="5" t="s">
        <v>77</v>
      </c>
      <c r="E480" s="5" t="s">
        <v>61</v>
      </c>
      <c r="F480" s="5" t="s">
        <v>61</v>
      </c>
      <c r="G480" s="7">
        <v>42552</v>
      </c>
      <c r="H480" s="5" t="s">
        <v>13</v>
      </c>
    </row>
    <row r="481" spans="1:8" x14ac:dyDescent="0.35">
      <c r="A481" s="10">
        <f t="shared" si="7"/>
        <v>477</v>
      </c>
      <c r="B481" s="5">
        <v>5922</v>
      </c>
      <c r="C481" s="5" t="s">
        <v>766</v>
      </c>
      <c r="D481" s="5" t="s">
        <v>557</v>
      </c>
      <c r="E481" s="5" t="s">
        <v>16</v>
      </c>
      <c r="F481" s="5" t="s">
        <v>17</v>
      </c>
      <c r="G481" s="7">
        <v>42380</v>
      </c>
      <c r="H481" s="5" t="s">
        <v>13</v>
      </c>
    </row>
    <row r="482" spans="1:8" x14ac:dyDescent="0.35">
      <c r="A482" s="10">
        <f t="shared" si="7"/>
        <v>478</v>
      </c>
      <c r="B482" s="5">
        <v>5932</v>
      </c>
      <c r="C482" s="5" t="s">
        <v>767</v>
      </c>
      <c r="D482" s="5" t="s">
        <v>768</v>
      </c>
      <c r="E482" s="5" t="s">
        <v>769</v>
      </c>
      <c r="F482" s="5" t="s">
        <v>769</v>
      </c>
      <c r="G482" s="7">
        <v>42565</v>
      </c>
      <c r="H482" s="5" t="s">
        <v>13</v>
      </c>
    </row>
    <row r="483" spans="1:8" x14ac:dyDescent="0.35">
      <c r="A483" s="10">
        <f t="shared" si="7"/>
        <v>479</v>
      </c>
      <c r="B483" s="5">
        <v>5943</v>
      </c>
      <c r="C483" s="5" t="s">
        <v>770</v>
      </c>
      <c r="D483" s="5" t="s">
        <v>151</v>
      </c>
      <c r="E483" s="5" t="s">
        <v>68</v>
      </c>
      <c r="F483" s="5" t="s">
        <v>69</v>
      </c>
      <c r="G483" s="7">
        <v>42391</v>
      </c>
      <c r="H483" s="5" t="s">
        <v>13</v>
      </c>
    </row>
    <row r="484" spans="1:8" x14ac:dyDescent="0.35">
      <c r="A484" s="10">
        <f t="shared" si="7"/>
        <v>480</v>
      </c>
      <c r="B484" s="5">
        <v>5959</v>
      </c>
      <c r="C484" s="5" t="s">
        <v>771</v>
      </c>
      <c r="D484" s="5" t="s">
        <v>21</v>
      </c>
      <c r="E484" s="5" t="s">
        <v>24</v>
      </c>
      <c r="F484" s="5" t="s">
        <v>772</v>
      </c>
      <c r="G484" s="7">
        <v>42394</v>
      </c>
      <c r="H484" s="5" t="s">
        <v>13</v>
      </c>
    </row>
    <row r="485" spans="1:8" x14ac:dyDescent="0.35">
      <c r="A485" s="10">
        <f t="shared" si="7"/>
        <v>481</v>
      </c>
      <c r="B485" s="5">
        <v>5966</v>
      </c>
      <c r="C485" s="5" t="s">
        <v>774</v>
      </c>
      <c r="D485" s="5" t="s">
        <v>151</v>
      </c>
      <c r="E485" s="5" t="s">
        <v>68</v>
      </c>
      <c r="F485" s="5" t="s">
        <v>254</v>
      </c>
      <c r="G485" s="7">
        <v>42583</v>
      </c>
      <c r="H485" s="5" t="s">
        <v>13</v>
      </c>
    </row>
    <row r="486" spans="1:8" x14ac:dyDescent="0.35">
      <c r="A486" s="10">
        <f t="shared" si="7"/>
        <v>482</v>
      </c>
      <c r="B486" s="5">
        <v>5978</v>
      </c>
      <c r="C486" s="5" t="s">
        <v>775</v>
      </c>
      <c r="D486" s="5" t="s">
        <v>455</v>
      </c>
      <c r="E486" s="5" t="s">
        <v>68</v>
      </c>
      <c r="F486" s="5" t="s">
        <v>69</v>
      </c>
      <c r="G486" s="7">
        <v>42415</v>
      </c>
      <c r="H486" s="5" t="s">
        <v>13</v>
      </c>
    </row>
    <row r="487" spans="1:8" x14ac:dyDescent="0.35">
      <c r="A487" s="10">
        <f t="shared" si="7"/>
        <v>483</v>
      </c>
      <c r="B487" s="5">
        <v>5989</v>
      </c>
      <c r="C487" s="5" t="s">
        <v>776</v>
      </c>
      <c r="D487" s="5" t="s">
        <v>563</v>
      </c>
      <c r="E487" s="5" t="s">
        <v>16</v>
      </c>
      <c r="F487" s="5" t="s">
        <v>368</v>
      </c>
      <c r="G487" s="7">
        <v>42601</v>
      </c>
      <c r="H487" s="5" t="s">
        <v>13</v>
      </c>
    </row>
    <row r="488" spans="1:8" x14ac:dyDescent="0.35">
      <c r="A488" s="10">
        <f t="shared" si="7"/>
        <v>484</v>
      </c>
      <c r="B488" s="5">
        <v>5992</v>
      </c>
      <c r="C488" s="5" t="s">
        <v>777</v>
      </c>
      <c r="D488" s="5" t="s">
        <v>778</v>
      </c>
      <c r="E488" s="5" t="s">
        <v>314</v>
      </c>
      <c r="F488" s="5" t="s">
        <v>315</v>
      </c>
      <c r="G488" s="7">
        <v>42604</v>
      </c>
      <c r="H488" s="5" t="s">
        <v>13</v>
      </c>
    </row>
    <row r="489" spans="1:8" x14ac:dyDescent="0.35">
      <c r="A489" s="10">
        <f t="shared" si="7"/>
        <v>485</v>
      </c>
      <c r="B489" s="5">
        <v>6013</v>
      </c>
      <c r="C489" s="5" t="s">
        <v>779</v>
      </c>
      <c r="D489" s="5" t="s">
        <v>780</v>
      </c>
      <c r="E489" s="5" t="s">
        <v>407</v>
      </c>
      <c r="F489" s="5" t="s">
        <v>408</v>
      </c>
      <c r="G489" s="7">
        <v>42614</v>
      </c>
      <c r="H489" s="5" t="s">
        <v>21</v>
      </c>
    </row>
    <row r="490" spans="1:8" x14ac:dyDescent="0.35">
      <c r="A490" s="10">
        <f t="shared" si="7"/>
        <v>486</v>
      </c>
      <c r="B490" s="5">
        <v>6016</v>
      </c>
      <c r="C490" s="5" t="s">
        <v>781</v>
      </c>
      <c r="D490" s="5" t="s">
        <v>157</v>
      </c>
      <c r="E490" s="5" t="s">
        <v>16</v>
      </c>
      <c r="F490" s="5" t="s">
        <v>41</v>
      </c>
      <c r="G490" s="7">
        <v>42622</v>
      </c>
      <c r="H490" s="5" t="s">
        <v>13</v>
      </c>
    </row>
    <row r="491" spans="1:8" x14ac:dyDescent="0.35">
      <c r="A491" s="10">
        <f t="shared" si="7"/>
        <v>487</v>
      </c>
      <c r="B491" s="5">
        <v>6017</v>
      </c>
      <c r="C491" s="5" t="s">
        <v>782</v>
      </c>
      <c r="D491" s="5" t="s">
        <v>563</v>
      </c>
      <c r="E491" s="5" t="s">
        <v>16</v>
      </c>
      <c r="F491" s="5" t="s">
        <v>480</v>
      </c>
      <c r="G491" s="7">
        <v>42622</v>
      </c>
      <c r="H491" s="5" t="s">
        <v>13</v>
      </c>
    </row>
    <row r="492" spans="1:8" x14ac:dyDescent="0.35">
      <c r="A492" s="10">
        <f t="shared" si="7"/>
        <v>488</v>
      </c>
      <c r="B492" s="5">
        <v>6019</v>
      </c>
      <c r="C492" s="5" t="s">
        <v>783</v>
      </c>
      <c r="D492" s="5" t="s">
        <v>651</v>
      </c>
      <c r="E492" s="5" t="s">
        <v>16</v>
      </c>
      <c r="F492" s="5" t="s">
        <v>20</v>
      </c>
      <c r="G492" s="7">
        <v>42622</v>
      </c>
      <c r="H492" s="5" t="s">
        <v>13</v>
      </c>
    </row>
    <row r="493" spans="1:8" x14ac:dyDescent="0.35">
      <c r="A493" s="10">
        <f t="shared" si="7"/>
        <v>489</v>
      </c>
      <c r="B493" s="5">
        <v>6020</v>
      </c>
      <c r="C493" s="5" t="s">
        <v>784</v>
      </c>
      <c r="D493" s="5" t="s">
        <v>295</v>
      </c>
      <c r="E493" s="5" t="s">
        <v>16</v>
      </c>
      <c r="F493" s="5" t="s">
        <v>20</v>
      </c>
      <c r="G493" s="7">
        <v>42622</v>
      </c>
      <c r="H493" s="5" t="s">
        <v>21</v>
      </c>
    </row>
    <row r="494" spans="1:8" x14ac:dyDescent="0.35">
      <c r="A494" s="10">
        <f t="shared" si="7"/>
        <v>490</v>
      </c>
      <c r="B494" s="5">
        <v>6035</v>
      </c>
      <c r="C494" s="5" t="s">
        <v>785</v>
      </c>
      <c r="D494" s="5" t="s">
        <v>563</v>
      </c>
      <c r="E494" s="5" t="s">
        <v>16</v>
      </c>
      <c r="F494" s="5" t="s">
        <v>353</v>
      </c>
      <c r="G494" s="7">
        <v>42628</v>
      </c>
      <c r="H494" s="5" t="s">
        <v>13</v>
      </c>
    </row>
    <row r="495" spans="1:8" x14ac:dyDescent="0.35">
      <c r="A495" s="10">
        <f t="shared" si="7"/>
        <v>491</v>
      </c>
      <c r="B495" s="5">
        <v>6038</v>
      </c>
      <c r="C495" s="5" t="s">
        <v>786</v>
      </c>
      <c r="D495" s="5" t="s">
        <v>557</v>
      </c>
      <c r="E495" s="5" t="s">
        <v>16</v>
      </c>
      <c r="F495" s="5" t="s">
        <v>17</v>
      </c>
      <c r="G495" s="7">
        <v>42450</v>
      </c>
      <c r="H495" s="5" t="s">
        <v>13</v>
      </c>
    </row>
    <row r="496" spans="1:8" x14ac:dyDescent="0.35">
      <c r="A496" s="10">
        <f t="shared" si="7"/>
        <v>492</v>
      </c>
      <c r="B496" s="5">
        <v>6057</v>
      </c>
      <c r="C496" s="5" t="s">
        <v>787</v>
      </c>
      <c r="D496" s="5" t="s">
        <v>557</v>
      </c>
      <c r="E496" s="5" t="s">
        <v>16</v>
      </c>
      <c r="F496" s="5" t="s">
        <v>17</v>
      </c>
      <c r="G496" s="7">
        <v>42650</v>
      </c>
      <c r="H496" s="5" t="s">
        <v>13</v>
      </c>
    </row>
    <row r="497" spans="1:8" x14ac:dyDescent="0.35">
      <c r="A497" s="10">
        <f t="shared" si="7"/>
        <v>493</v>
      </c>
      <c r="B497" s="5">
        <v>6077</v>
      </c>
      <c r="C497" s="5" t="s">
        <v>788</v>
      </c>
      <c r="D497" s="5" t="s">
        <v>340</v>
      </c>
      <c r="E497" s="5" t="s">
        <v>165</v>
      </c>
      <c r="F497" s="5" t="s">
        <v>165</v>
      </c>
      <c r="G497" s="7">
        <v>42419</v>
      </c>
      <c r="H497" s="5" t="s">
        <v>13</v>
      </c>
    </row>
    <row r="498" spans="1:8" x14ac:dyDescent="0.35">
      <c r="A498" s="10">
        <f t="shared" si="7"/>
        <v>494</v>
      </c>
      <c r="B498" s="5">
        <v>6101</v>
      </c>
      <c r="C498" s="5" t="s">
        <v>789</v>
      </c>
      <c r="D498" s="5" t="s">
        <v>268</v>
      </c>
      <c r="E498" s="5" t="s">
        <v>24</v>
      </c>
      <c r="F498" s="5" t="s">
        <v>152</v>
      </c>
      <c r="G498" s="7">
        <v>42688</v>
      </c>
      <c r="H498" s="5" t="s">
        <v>13</v>
      </c>
    </row>
    <row r="499" spans="1:8" x14ac:dyDescent="0.35">
      <c r="A499" s="10">
        <f t="shared" si="7"/>
        <v>495</v>
      </c>
      <c r="B499" s="5">
        <v>6111</v>
      </c>
      <c r="C499" s="5" t="s">
        <v>790</v>
      </c>
      <c r="D499" s="5" t="s">
        <v>157</v>
      </c>
      <c r="E499" s="5" t="s">
        <v>16</v>
      </c>
      <c r="F499" s="5" t="s">
        <v>497</v>
      </c>
      <c r="G499" s="7">
        <v>42675</v>
      </c>
      <c r="H499" s="5" t="s">
        <v>13</v>
      </c>
    </row>
    <row r="500" spans="1:8" x14ac:dyDescent="0.35">
      <c r="A500" s="10">
        <f t="shared" si="7"/>
        <v>496</v>
      </c>
      <c r="B500" s="5">
        <v>6112</v>
      </c>
      <c r="C500" s="5" t="s">
        <v>791</v>
      </c>
      <c r="D500" s="5" t="s">
        <v>157</v>
      </c>
      <c r="E500" s="5" t="s">
        <v>16</v>
      </c>
      <c r="F500" s="5" t="s">
        <v>645</v>
      </c>
      <c r="G500" s="7">
        <v>42675</v>
      </c>
      <c r="H500" s="5" t="s">
        <v>13</v>
      </c>
    </row>
    <row r="501" spans="1:8" x14ac:dyDescent="0.35">
      <c r="A501" s="10">
        <f t="shared" si="7"/>
        <v>497</v>
      </c>
      <c r="B501" s="5">
        <v>6115</v>
      </c>
      <c r="C501" s="5" t="s">
        <v>795</v>
      </c>
      <c r="D501" s="5" t="s">
        <v>557</v>
      </c>
      <c r="E501" s="5" t="s">
        <v>16</v>
      </c>
      <c r="F501" s="5" t="s">
        <v>17</v>
      </c>
      <c r="G501" s="7">
        <v>42709</v>
      </c>
      <c r="H501" s="5" t="s">
        <v>13</v>
      </c>
    </row>
    <row r="502" spans="1:8" x14ac:dyDescent="0.35">
      <c r="A502" s="10">
        <f t="shared" si="7"/>
        <v>498</v>
      </c>
      <c r="B502" s="5">
        <v>6140</v>
      </c>
      <c r="C502" s="5" t="s">
        <v>796</v>
      </c>
      <c r="D502" s="5" t="s">
        <v>797</v>
      </c>
      <c r="E502" s="5" t="s">
        <v>387</v>
      </c>
      <c r="F502" s="5" t="s">
        <v>388</v>
      </c>
      <c r="G502" s="7">
        <v>42737</v>
      </c>
      <c r="H502" s="5" t="s">
        <v>21</v>
      </c>
    </row>
    <row r="503" spans="1:8" x14ac:dyDescent="0.35">
      <c r="A503" s="10">
        <f t="shared" si="7"/>
        <v>499</v>
      </c>
      <c r="B503" s="5">
        <v>6141</v>
      </c>
      <c r="C503" s="5" t="s">
        <v>798</v>
      </c>
      <c r="D503" s="5" t="s">
        <v>799</v>
      </c>
      <c r="E503" s="5" t="s">
        <v>800</v>
      </c>
      <c r="F503" s="5" t="s">
        <v>801</v>
      </c>
      <c r="G503" s="7">
        <v>42737</v>
      </c>
      <c r="H503" s="5" t="s">
        <v>13</v>
      </c>
    </row>
    <row r="504" spans="1:8" x14ac:dyDescent="0.35">
      <c r="A504" s="10">
        <f t="shared" si="7"/>
        <v>500</v>
      </c>
      <c r="B504" s="5">
        <v>6147</v>
      </c>
      <c r="C504" s="5" t="s">
        <v>802</v>
      </c>
      <c r="D504" s="5" t="s">
        <v>563</v>
      </c>
      <c r="E504" s="5" t="s">
        <v>16</v>
      </c>
      <c r="F504" s="5" t="s">
        <v>439</v>
      </c>
      <c r="G504" s="7">
        <v>42744</v>
      </c>
      <c r="H504" s="5" t="s">
        <v>13</v>
      </c>
    </row>
    <row r="505" spans="1:8" x14ac:dyDescent="0.35">
      <c r="A505" s="10">
        <f t="shared" si="7"/>
        <v>501</v>
      </c>
      <c r="B505" s="5">
        <v>6163</v>
      </c>
      <c r="C505" s="5" t="s">
        <v>803</v>
      </c>
      <c r="D505" s="5" t="s">
        <v>455</v>
      </c>
      <c r="E505" s="5" t="s">
        <v>61</v>
      </c>
      <c r="F505" s="5" t="s">
        <v>61</v>
      </c>
      <c r="G505" s="7">
        <v>42744</v>
      </c>
      <c r="H505" s="5" t="s">
        <v>13</v>
      </c>
    </row>
    <row r="506" spans="1:8" x14ac:dyDescent="0.35">
      <c r="A506" s="10">
        <f t="shared" si="7"/>
        <v>502</v>
      </c>
      <c r="B506" s="5">
        <v>6181</v>
      </c>
      <c r="C506" s="5" t="s">
        <v>804</v>
      </c>
      <c r="D506" s="5" t="s">
        <v>455</v>
      </c>
      <c r="E506" s="5" t="s">
        <v>198</v>
      </c>
      <c r="F506" s="5" t="s">
        <v>198</v>
      </c>
      <c r="G506" s="7">
        <v>42485</v>
      </c>
      <c r="H506" s="5" t="s">
        <v>13</v>
      </c>
    </row>
    <row r="507" spans="1:8" x14ac:dyDescent="0.35">
      <c r="A507" s="10">
        <f t="shared" si="7"/>
        <v>503</v>
      </c>
      <c r="B507" s="5">
        <v>6195</v>
      </c>
      <c r="C507" s="5" t="s">
        <v>805</v>
      </c>
      <c r="D507" s="5" t="s">
        <v>557</v>
      </c>
      <c r="E507" s="5" t="s">
        <v>16</v>
      </c>
      <c r="F507" s="5" t="s">
        <v>17</v>
      </c>
      <c r="G507" s="7">
        <v>42404</v>
      </c>
      <c r="H507" s="5" t="s">
        <v>13</v>
      </c>
    </row>
    <row r="508" spans="1:8" x14ac:dyDescent="0.35">
      <c r="A508" s="10">
        <f t="shared" si="7"/>
        <v>504</v>
      </c>
      <c r="B508" s="5">
        <v>6208</v>
      </c>
      <c r="C508" s="5" t="s">
        <v>806</v>
      </c>
      <c r="D508" s="5" t="s">
        <v>807</v>
      </c>
      <c r="E508" s="5" t="s">
        <v>87</v>
      </c>
      <c r="F508" s="5" t="s">
        <v>808</v>
      </c>
      <c r="G508" s="7">
        <v>42795</v>
      </c>
      <c r="H508" s="5" t="s">
        <v>13</v>
      </c>
    </row>
    <row r="509" spans="1:8" x14ac:dyDescent="0.35">
      <c r="A509" s="10">
        <f t="shared" si="7"/>
        <v>505</v>
      </c>
      <c r="B509" s="5">
        <v>6210</v>
      </c>
      <c r="C509" s="5" t="s">
        <v>809</v>
      </c>
      <c r="D509" s="5" t="s">
        <v>537</v>
      </c>
      <c r="E509" s="5" t="s">
        <v>538</v>
      </c>
      <c r="F509" s="5" t="s">
        <v>538</v>
      </c>
      <c r="G509" s="7">
        <v>42795</v>
      </c>
      <c r="H509" s="5" t="s">
        <v>13</v>
      </c>
    </row>
    <row r="510" spans="1:8" x14ac:dyDescent="0.35">
      <c r="A510" s="10">
        <f t="shared" si="7"/>
        <v>506</v>
      </c>
      <c r="B510" s="5">
        <v>6234</v>
      </c>
      <c r="C510" s="5" t="s">
        <v>810</v>
      </c>
      <c r="D510" s="5" t="s">
        <v>557</v>
      </c>
      <c r="E510" s="5" t="s">
        <v>68</v>
      </c>
      <c r="F510" s="5" t="s">
        <v>132</v>
      </c>
      <c r="G510" s="7">
        <v>42492</v>
      </c>
      <c r="H510" s="5" t="s">
        <v>13</v>
      </c>
    </row>
    <row r="511" spans="1:8" x14ac:dyDescent="0.35">
      <c r="A511" s="10">
        <f t="shared" si="7"/>
        <v>507</v>
      </c>
      <c r="B511" s="5">
        <v>6238</v>
      </c>
      <c r="C511" s="5" t="s">
        <v>811</v>
      </c>
      <c r="D511" s="5" t="s">
        <v>812</v>
      </c>
      <c r="E511" s="5" t="s">
        <v>35</v>
      </c>
      <c r="F511" s="5" t="s">
        <v>84</v>
      </c>
      <c r="G511" s="7">
        <v>42901</v>
      </c>
      <c r="H511" s="5" t="s">
        <v>13</v>
      </c>
    </row>
    <row r="512" spans="1:8" x14ac:dyDescent="0.35">
      <c r="A512" s="10">
        <f t="shared" si="7"/>
        <v>508</v>
      </c>
      <c r="B512" s="5">
        <v>6241</v>
      </c>
      <c r="C512" s="5" t="s">
        <v>813</v>
      </c>
      <c r="D512" s="5" t="s">
        <v>21</v>
      </c>
      <c r="E512" s="5" t="s">
        <v>68</v>
      </c>
      <c r="F512" s="5" t="s">
        <v>254</v>
      </c>
      <c r="G512" s="7">
        <v>42905</v>
      </c>
      <c r="H512" s="5" t="s">
        <v>13</v>
      </c>
    </row>
    <row r="513" spans="1:8" x14ac:dyDescent="0.35">
      <c r="A513" s="10">
        <f t="shared" si="7"/>
        <v>509</v>
      </c>
      <c r="B513" s="5">
        <v>6242</v>
      </c>
      <c r="C513" s="5" t="s">
        <v>814</v>
      </c>
      <c r="D513" s="5" t="s">
        <v>815</v>
      </c>
      <c r="E513" s="5" t="s">
        <v>12</v>
      </c>
      <c r="F513" s="5" t="s">
        <v>12</v>
      </c>
      <c r="G513" s="7">
        <v>42905</v>
      </c>
      <c r="H513" s="5" t="s">
        <v>13</v>
      </c>
    </row>
    <row r="514" spans="1:8" x14ac:dyDescent="0.35">
      <c r="A514" s="10">
        <f t="shared" si="7"/>
        <v>510</v>
      </c>
      <c r="B514" s="5">
        <v>6259</v>
      </c>
      <c r="C514" s="5" t="s">
        <v>816</v>
      </c>
      <c r="D514" s="5" t="s">
        <v>563</v>
      </c>
      <c r="E514" s="5" t="s">
        <v>16</v>
      </c>
      <c r="F514" s="5" t="s">
        <v>817</v>
      </c>
      <c r="G514" s="7">
        <v>42905</v>
      </c>
      <c r="H514" s="5" t="s">
        <v>13</v>
      </c>
    </row>
    <row r="515" spans="1:8" x14ac:dyDescent="0.35">
      <c r="A515" s="10">
        <f t="shared" si="7"/>
        <v>511</v>
      </c>
      <c r="B515" s="5">
        <v>6260</v>
      </c>
      <c r="C515" s="5" t="s">
        <v>818</v>
      </c>
      <c r="D515" s="5" t="s">
        <v>563</v>
      </c>
      <c r="E515" s="5" t="s">
        <v>16</v>
      </c>
      <c r="F515" s="5" t="s">
        <v>819</v>
      </c>
      <c r="G515" s="7">
        <v>42905</v>
      </c>
      <c r="H515" s="5" t="s">
        <v>13</v>
      </c>
    </row>
    <row r="516" spans="1:8" x14ac:dyDescent="0.35">
      <c r="A516" s="10">
        <f t="shared" si="7"/>
        <v>512</v>
      </c>
      <c r="B516" s="5">
        <v>6282</v>
      </c>
      <c r="C516" s="5" t="s">
        <v>820</v>
      </c>
      <c r="D516" s="5" t="s">
        <v>563</v>
      </c>
      <c r="E516" s="5" t="s">
        <v>16</v>
      </c>
      <c r="F516" s="5" t="s">
        <v>247</v>
      </c>
      <c r="G516" s="7">
        <v>42887</v>
      </c>
      <c r="H516" s="5" t="s">
        <v>13</v>
      </c>
    </row>
    <row r="517" spans="1:8" x14ac:dyDescent="0.35">
      <c r="A517" s="10">
        <f t="shared" si="7"/>
        <v>513</v>
      </c>
      <c r="B517" s="5">
        <v>6293</v>
      </c>
      <c r="C517" s="5" t="s">
        <v>821</v>
      </c>
      <c r="D517" s="5" t="s">
        <v>812</v>
      </c>
      <c r="E517" s="5" t="s">
        <v>35</v>
      </c>
      <c r="F517" s="5" t="s">
        <v>84</v>
      </c>
      <c r="G517" s="7">
        <v>42901</v>
      </c>
      <c r="H517" s="5" t="s">
        <v>13</v>
      </c>
    </row>
    <row r="518" spans="1:8" x14ac:dyDescent="0.35">
      <c r="A518" s="10">
        <f t="shared" ref="A518:A581" si="8">+A517+1</f>
        <v>514</v>
      </c>
      <c r="B518" s="5">
        <v>6308</v>
      </c>
      <c r="C518" s="5" t="s">
        <v>822</v>
      </c>
      <c r="D518" s="5" t="s">
        <v>563</v>
      </c>
      <c r="E518" s="5" t="s">
        <v>16</v>
      </c>
      <c r="F518" s="5" t="s">
        <v>353</v>
      </c>
      <c r="G518" s="7">
        <v>42926</v>
      </c>
      <c r="H518" s="5" t="s">
        <v>13</v>
      </c>
    </row>
    <row r="519" spans="1:8" x14ac:dyDescent="0.35">
      <c r="A519" s="10">
        <f t="shared" si="8"/>
        <v>515</v>
      </c>
      <c r="B519" s="5">
        <v>6321</v>
      </c>
      <c r="C519" s="5" t="s">
        <v>823</v>
      </c>
      <c r="D519" s="5" t="s">
        <v>563</v>
      </c>
      <c r="E519" s="5" t="s">
        <v>16</v>
      </c>
      <c r="F519" s="5" t="s">
        <v>368</v>
      </c>
      <c r="G519" s="7">
        <v>42930</v>
      </c>
      <c r="H519" s="5" t="s">
        <v>13</v>
      </c>
    </row>
    <row r="520" spans="1:8" x14ac:dyDescent="0.35">
      <c r="A520" s="10">
        <f t="shared" si="8"/>
        <v>516</v>
      </c>
      <c r="B520" s="5">
        <v>6343</v>
      </c>
      <c r="C520" s="5" t="s">
        <v>824</v>
      </c>
      <c r="D520" s="5" t="s">
        <v>563</v>
      </c>
      <c r="E520" s="5" t="s">
        <v>16</v>
      </c>
      <c r="F520" s="5" t="s">
        <v>825</v>
      </c>
      <c r="G520" s="7">
        <v>42933</v>
      </c>
      <c r="H520" s="5" t="s">
        <v>13</v>
      </c>
    </row>
    <row r="521" spans="1:8" x14ac:dyDescent="0.35">
      <c r="A521" s="10">
        <f t="shared" si="8"/>
        <v>517</v>
      </c>
      <c r="B521" s="5">
        <v>6349</v>
      </c>
      <c r="C521" s="5" t="s">
        <v>826</v>
      </c>
      <c r="D521" s="5" t="s">
        <v>563</v>
      </c>
      <c r="E521" s="5" t="s">
        <v>16</v>
      </c>
      <c r="F521" s="5" t="s">
        <v>825</v>
      </c>
      <c r="G521" s="7">
        <v>42940</v>
      </c>
      <c r="H521" s="5" t="s">
        <v>13</v>
      </c>
    </row>
    <row r="522" spans="1:8" x14ac:dyDescent="0.35">
      <c r="A522" s="10">
        <f t="shared" si="8"/>
        <v>518</v>
      </c>
      <c r="B522" s="5">
        <v>6373</v>
      </c>
      <c r="C522" s="5" t="s">
        <v>827</v>
      </c>
      <c r="D522" s="5" t="s">
        <v>733</v>
      </c>
      <c r="E522" s="5" t="s">
        <v>165</v>
      </c>
      <c r="F522" s="5" t="s">
        <v>165</v>
      </c>
      <c r="G522" s="7">
        <v>42989</v>
      </c>
      <c r="H522" s="5" t="s">
        <v>13</v>
      </c>
    </row>
    <row r="523" spans="1:8" x14ac:dyDescent="0.35">
      <c r="A523" s="10">
        <f t="shared" si="8"/>
        <v>519</v>
      </c>
      <c r="B523" s="5">
        <v>6375</v>
      </c>
      <c r="C523" s="5" t="s">
        <v>828</v>
      </c>
      <c r="D523" s="5" t="s">
        <v>669</v>
      </c>
      <c r="E523" s="5" t="s">
        <v>103</v>
      </c>
      <c r="F523" s="5" t="s">
        <v>103</v>
      </c>
      <c r="G523" s="7">
        <v>42999</v>
      </c>
      <c r="H523" s="5" t="s">
        <v>13</v>
      </c>
    </row>
    <row r="524" spans="1:8" x14ac:dyDescent="0.35">
      <c r="A524" s="10">
        <f t="shared" si="8"/>
        <v>520</v>
      </c>
      <c r="B524" s="5">
        <v>6389</v>
      </c>
      <c r="C524" s="5" t="s">
        <v>829</v>
      </c>
      <c r="D524" s="5" t="s">
        <v>830</v>
      </c>
      <c r="E524" s="5" t="s">
        <v>35</v>
      </c>
      <c r="F524" s="5" t="s">
        <v>36</v>
      </c>
      <c r="G524" s="7">
        <v>43028</v>
      </c>
      <c r="H524" s="5" t="s">
        <v>13</v>
      </c>
    </row>
    <row r="525" spans="1:8" x14ac:dyDescent="0.35">
      <c r="A525" s="10">
        <f t="shared" si="8"/>
        <v>521</v>
      </c>
      <c r="B525" s="5">
        <v>6391</v>
      </c>
      <c r="C525" s="5" t="s">
        <v>831</v>
      </c>
      <c r="D525" s="5" t="s">
        <v>488</v>
      </c>
      <c r="E525" s="5" t="s">
        <v>94</v>
      </c>
      <c r="F525" s="5" t="s">
        <v>94</v>
      </c>
      <c r="G525" s="7">
        <v>43026</v>
      </c>
      <c r="H525" s="5" t="s">
        <v>13</v>
      </c>
    </row>
    <row r="526" spans="1:8" x14ac:dyDescent="0.35">
      <c r="A526" s="10">
        <f t="shared" si="8"/>
        <v>522</v>
      </c>
      <c r="B526" s="5">
        <v>6393</v>
      </c>
      <c r="C526" s="5" t="s">
        <v>832</v>
      </c>
      <c r="D526" s="5" t="s">
        <v>830</v>
      </c>
      <c r="E526" s="5" t="s">
        <v>35</v>
      </c>
      <c r="F526" s="5" t="s">
        <v>36</v>
      </c>
      <c r="G526" s="7">
        <v>42842</v>
      </c>
      <c r="H526" s="5" t="s">
        <v>13</v>
      </c>
    </row>
    <row r="527" spans="1:8" x14ac:dyDescent="0.35">
      <c r="A527" s="10">
        <f t="shared" si="8"/>
        <v>523</v>
      </c>
      <c r="B527" s="5">
        <v>6401</v>
      </c>
      <c r="C527" s="5" t="s">
        <v>833</v>
      </c>
      <c r="D527" s="5" t="s">
        <v>557</v>
      </c>
      <c r="E527" s="5" t="s">
        <v>16</v>
      </c>
      <c r="F527" s="5" t="s">
        <v>17</v>
      </c>
      <c r="G527" s="7">
        <v>43199</v>
      </c>
      <c r="H527" s="5" t="s">
        <v>13</v>
      </c>
    </row>
    <row r="528" spans="1:8" x14ac:dyDescent="0.35">
      <c r="A528" s="10">
        <f t="shared" si="8"/>
        <v>524</v>
      </c>
      <c r="B528" s="5">
        <v>6412</v>
      </c>
      <c r="C528" s="5" t="s">
        <v>834</v>
      </c>
      <c r="D528" s="5" t="s">
        <v>563</v>
      </c>
      <c r="E528" s="5" t="s">
        <v>16</v>
      </c>
      <c r="F528" s="5" t="s">
        <v>517</v>
      </c>
      <c r="G528" s="7">
        <v>42809</v>
      </c>
      <c r="H528" s="5" t="s">
        <v>13</v>
      </c>
    </row>
    <row r="529" spans="1:8" x14ac:dyDescent="0.35">
      <c r="A529" s="10">
        <f t="shared" si="8"/>
        <v>525</v>
      </c>
      <c r="B529" s="5">
        <v>6427</v>
      </c>
      <c r="C529" s="5" t="s">
        <v>835</v>
      </c>
      <c r="D529" s="5" t="s">
        <v>21</v>
      </c>
      <c r="E529" s="5" t="s">
        <v>24</v>
      </c>
      <c r="F529" s="5" t="s">
        <v>152</v>
      </c>
      <c r="G529" s="7">
        <v>43055</v>
      </c>
      <c r="H529" s="5" t="s">
        <v>13</v>
      </c>
    </row>
    <row r="530" spans="1:8" x14ac:dyDescent="0.35">
      <c r="A530" s="10">
        <f t="shared" si="8"/>
        <v>526</v>
      </c>
      <c r="B530" s="5">
        <v>6432</v>
      </c>
      <c r="C530" s="5" t="s">
        <v>836</v>
      </c>
      <c r="D530" s="5" t="s">
        <v>678</v>
      </c>
      <c r="E530" s="5" t="s">
        <v>87</v>
      </c>
      <c r="F530" s="5" t="s">
        <v>293</v>
      </c>
      <c r="G530" s="7">
        <v>43240</v>
      </c>
      <c r="H530" s="5" t="s">
        <v>13</v>
      </c>
    </row>
    <row r="531" spans="1:8" x14ac:dyDescent="0.35">
      <c r="A531" s="10">
        <f t="shared" si="8"/>
        <v>527</v>
      </c>
      <c r="B531" s="5">
        <v>6475</v>
      </c>
      <c r="C531" s="5" t="s">
        <v>837</v>
      </c>
      <c r="D531" s="5" t="s">
        <v>563</v>
      </c>
      <c r="E531" s="5" t="s">
        <v>16</v>
      </c>
      <c r="F531" s="5" t="s">
        <v>439</v>
      </c>
      <c r="G531" s="7">
        <v>42837</v>
      </c>
      <c r="H531" s="5" t="s">
        <v>13</v>
      </c>
    </row>
    <row r="532" spans="1:8" x14ac:dyDescent="0.35">
      <c r="A532" s="10">
        <f t="shared" si="8"/>
        <v>528</v>
      </c>
      <c r="B532" s="5">
        <v>6484</v>
      </c>
      <c r="C532" s="5" t="s">
        <v>838</v>
      </c>
      <c r="D532" s="5" t="s">
        <v>151</v>
      </c>
      <c r="E532" s="5" t="s">
        <v>24</v>
      </c>
      <c r="F532" s="5" t="s">
        <v>24</v>
      </c>
      <c r="G532" s="7">
        <v>43076</v>
      </c>
      <c r="H532" s="5" t="s">
        <v>13</v>
      </c>
    </row>
    <row r="533" spans="1:8" x14ac:dyDescent="0.35">
      <c r="A533" s="10">
        <f t="shared" si="8"/>
        <v>529</v>
      </c>
      <c r="B533" s="5">
        <v>6485</v>
      </c>
      <c r="C533" s="5" t="s">
        <v>839</v>
      </c>
      <c r="D533" s="5" t="s">
        <v>455</v>
      </c>
      <c r="E533" s="5" t="s">
        <v>68</v>
      </c>
      <c r="F533" s="5" t="s">
        <v>137</v>
      </c>
      <c r="G533" s="7">
        <v>43262</v>
      </c>
      <c r="H533" s="5" t="s">
        <v>13</v>
      </c>
    </row>
    <row r="534" spans="1:8" x14ac:dyDescent="0.35">
      <c r="A534" s="10">
        <f t="shared" si="8"/>
        <v>530</v>
      </c>
      <c r="B534" s="5">
        <v>6486</v>
      </c>
      <c r="C534" s="5" t="s">
        <v>840</v>
      </c>
      <c r="D534" s="5" t="s">
        <v>841</v>
      </c>
      <c r="E534" s="5" t="s">
        <v>198</v>
      </c>
      <c r="F534" s="5" t="s">
        <v>198</v>
      </c>
      <c r="G534" s="7">
        <v>43262</v>
      </c>
      <c r="H534" s="5" t="s">
        <v>13</v>
      </c>
    </row>
    <row r="535" spans="1:8" x14ac:dyDescent="0.35">
      <c r="A535" s="10">
        <f t="shared" si="8"/>
        <v>531</v>
      </c>
      <c r="B535" s="5">
        <v>6495</v>
      </c>
      <c r="C535" s="5" t="s">
        <v>842</v>
      </c>
      <c r="D535" s="5" t="s">
        <v>563</v>
      </c>
      <c r="E535" s="5" t="s">
        <v>16</v>
      </c>
      <c r="F535" s="5" t="s">
        <v>144</v>
      </c>
      <c r="G535" s="7">
        <v>42894</v>
      </c>
      <c r="H535" s="5" t="s">
        <v>13</v>
      </c>
    </row>
    <row r="536" spans="1:8" x14ac:dyDescent="0.35">
      <c r="A536" s="10">
        <f t="shared" si="8"/>
        <v>532</v>
      </c>
      <c r="B536" s="5">
        <v>6509</v>
      </c>
      <c r="C536" s="5" t="s">
        <v>843</v>
      </c>
      <c r="D536" s="5" t="s">
        <v>669</v>
      </c>
      <c r="E536" s="5" t="s">
        <v>103</v>
      </c>
      <c r="F536" s="5" t="s">
        <v>103</v>
      </c>
      <c r="G536" s="7">
        <v>42901</v>
      </c>
      <c r="H536" s="5" t="s">
        <v>13</v>
      </c>
    </row>
    <row r="537" spans="1:8" x14ac:dyDescent="0.35">
      <c r="A537" s="10">
        <f t="shared" si="8"/>
        <v>533</v>
      </c>
      <c r="B537" s="5">
        <v>6510</v>
      </c>
      <c r="C537" s="5" t="s">
        <v>844</v>
      </c>
      <c r="D537" s="5" t="s">
        <v>678</v>
      </c>
      <c r="E537" s="5" t="s">
        <v>87</v>
      </c>
      <c r="F537" s="5" t="s">
        <v>808</v>
      </c>
      <c r="G537" s="7">
        <v>43071</v>
      </c>
      <c r="H537" s="5" t="s">
        <v>13</v>
      </c>
    </row>
    <row r="538" spans="1:8" x14ac:dyDescent="0.35">
      <c r="A538" s="10">
        <f t="shared" si="8"/>
        <v>534</v>
      </c>
      <c r="B538" s="5">
        <v>6511</v>
      </c>
      <c r="C538" s="5" t="s">
        <v>845</v>
      </c>
      <c r="D538" s="5" t="s">
        <v>21</v>
      </c>
      <c r="E538" s="5" t="s">
        <v>103</v>
      </c>
      <c r="F538" s="5" t="s">
        <v>103</v>
      </c>
      <c r="G538" s="7">
        <v>43085</v>
      </c>
      <c r="H538" s="5" t="s">
        <v>13</v>
      </c>
    </row>
    <row r="539" spans="1:8" x14ac:dyDescent="0.35">
      <c r="A539" s="10">
        <f t="shared" si="8"/>
        <v>535</v>
      </c>
      <c r="B539" s="5">
        <v>6520</v>
      </c>
      <c r="C539" s="5" t="s">
        <v>846</v>
      </c>
      <c r="D539" s="5" t="s">
        <v>847</v>
      </c>
      <c r="E539" s="5" t="s">
        <v>314</v>
      </c>
      <c r="F539" s="5" t="s">
        <v>315</v>
      </c>
      <c r="G539" s="7">
        <v>43050</v>
      </c>
      <c r="H539" s="5" t="s">
        <v>13</v>
      </c>
    </row>
    <row r="540" spans="1:8" x14ac:dyDescent="0.35">
      <c r="A540" s="10">
        <f t="shared" si="8"/>
        <v>536</v>
      </c>
      <c r="B540" s="5">
        <v>6524</v>
      </c>
      <c r="C540" s="5" t="s">
        <v>848</v>
      </c>
      <c r="D540" s="5" t="s">
        <v>563</v>
      </c>
      <c r="E540" s="5" t="s">
        <v>16</v>
      </c>
      <c r="F540" s="5" t="s">
        <v>247</v>
      </c>
      <c r="G540" s="7">
        <v>43132</v>
      </c>
      <c r="H540" s="5" t="s">
        <v>13</v>
      </c>
    </row>
    <row r="541" spans="1:8" x14ac:dyDescent="0.35">
      <c r="A541" s="10">
        <f t="shared" si="8"/>
        <v>537</v>
      </c>
      <c r="B541" s="5">
        <v>6542</v>
      </c>
      <c r="C541" s="5" t="s">
        <v>849</v>
      </c>
      <c r="D541" s="5" t="s">
        <v>563</v>
      </c>
      <c r="E541" s="5" t="s">
        <v>16</v>
      </c>
      <c r="F541" s="5" t="s">
        <v>850</v>
      </c>
      <c r="G541" s="7">
        <v>42930</v>
      </c>
      <c r="H541" s="5" t="s">
        <v>13</v>
      </c>
    </row>
    <row r="542" spans="1:8" x14ac:dyDescent="0.35">
      <c r="A542" s="10">
        <f t="shared" si="8"/>
        <v>538</v>
      </c>
      <c r="B542" s="5">
        <v>6550</v>
      </c>
      <c r="C542" s="5" t="s">
        <v>851</v>
      </c>
      <c r="D542" s="5" t="s">
        <v>557</v>
      </c>
      <c r="E542" s="5" t="s">
        <v>103</v>
      </c>
      <c r="F542" s="5" t="s">
        <v>103</v>
      </c>
      <c r="G542" s="7">
        <v>43133</v>
      </c>
      <c r="H542" s="5" t="s">
        <v>13</v>
      </c>
    </row>
    <row r="543" spans="1:8" x14ac:dyDescent="0.35">
      <c r="A543" s="10">
        <f t="shared" si="8"/>
        <v>539</v>
      </c>
      <c r="B543" s="5">
        <v>6555</v>
      </c>
      <c r="C543" s="5" t="s">
        <v>852</v>
      </c>
      <c r="D543" s="5" t="s">
        <v>557</v>
      </c>
      <c r="E543" s="5" t="s">
        <v>407</v>
      </c>
      <c r="F543" s="5" t="s">
        <v>408</v>
      </c>
      <c r="G543" s="7">
        <v>43133</v>
      </c>
      <c r="H543" s="5" t="s">
        <v>13</v>
      </c>
    </row>
    <row r="544" spans="1:8" x14ac:dyDescent="0.35">
      <c r="A544" s="10">
        <f t="shared" si="8"/>
        <v>540</v>
      </c>
      <c r="B544" s="5">
        <v>6556</v>
      </c>
      <c r="C544" s="5" t="s">
        <v>853</v>
      </c>
      <c r="D544" s="5" t="s">
        <v>557</v>
      </c>
      <c r="E544" s="5" t="s">
        <v>16</v>
      </c>
      <c r="F544" s="5" t="s">
        <v>17</v>
      </c>
      <c r="G544" s="7">
        <v>43133</v>
      </c>
      <c r="H544" s="5" t="s">
        <v>13</v>
      </c>
    </row>
    <row r="545" spans="1:8" x14ac:dyDescent="0.35">
      <c r="A545" s="10">
        <f t="shared" si="8"/>
        <v>541</v>
      </c>
      <c r="B545" s="5">
        <v>6557</v>
      </c>
      <c r="C545" s="5" t="s">
        <v>854</v>
      </c>
      <c r="D545" s="5" t="s">
        <v>557</v>
      </c>
      <c r="E545" s="5" t="s">
        <v>16</v>
      </c>
      <c r="F545" s="5" t="s">
        <v>17</v>
      </c>
      <c r="G545" s="7">
        <v>43133</v>
      </c>
      <c r="H545" s="5" t="s">
        <v>13</v>
      </c>
    </row>
    <row r="546" spans="1:8" x14ac:dyDescent="0.35">
      <c r="A546" s="10">
        <f t="shared" si="8"/>
        <v>542</v>
      </c>
      <c r="B546" s="5">
        <v>6567</v>
      </c>
      <c r="C546" s="5" t="s">
        <v>855</v>
      </c>
      <c r="D546" s="5" t="s">
        <v>488</v>
      </c>
      <c r="E546" s="5" t="s">
        <v>228</v>
      </c>
      <c r="F546" s="5" t="s">
        <v>228</v>
      </c>
      <c r="G546" s="7">
        <v>43344</v>
      </c>
      <c r="H546" s="5" t="s">
        <v>13</v>
      </c>
    </row>
    <row r="547" spans="1:8" x14ac:dyDescent="0.35">
      <c r="A547" s="10">
        <f t="shared" si="8"/>
        <v>543</v>
      </c>
      <c r="B547" s="5">
        <v>6579</v>
      </c>
      <c r="C547" s="5" t="s">
        <v>856</v>
      </c>
      <c r="D547" s="5" t="s">
        <v>563</v>
      </c>
      <c r="E547" s="5" t="s">
        <v>16</v>
      </c>
      <c r="F547" s="5" t="s">
        <v>620</v>
      </c>
      <c r="G547" s="7">
        <v>43164</v>
      </c>
      <c r="H547" s="5" t="s">
        <v>13</v>
      </c>
    </row>
    <row r="548" spans="1:8" x14ac:dyDescent="0.35">
      <c r="A548" s="10">
        <f t="shared" si="8"/>
        <v>544</v>
      </c>
      <c r="B548" s="5">
        <v>6586</v>
      </c>
      <c r="C548" s="5" t="s">
        <v>857</v>
      </c>
      <c r="D548" s="5" t="s">
        <v>778</v>
      </c>
      <c r="E548" s="5" t="s">
        <v>314</v>
      </c>
      <c r="F548" s="5" t="s">
        <v>315</v>
      </c>
      <c r="G548" s="7">
        <v>43351</v>
      </c>
      <c r="H548" s="5" t="s">
        <v>13</v>
      </c>
    </row>
    <row r="549" spans="1:8" x14ac:dyDescent="0.35">
      <c r="A549" s="10">
        <f t="shared" si="8"/>
        <v>545</v>
      </c>
      <c r="B549" s="5">
        <v>6588</v>
      </c>
      <c r="C549" s="5" t="s">
        <v>858</v>
      </c>
      <c r="D549" s="5" t="s">
        <v>557</v>
      </c>
      <c r="E549" s="5" t="s">
        <v>64</v>
      </c>
      <c r="F549" s="5" t="s">
        <v>64</v>
      </c>
      <c r="G549" s="7">
        <v>43352</v>
      </c>
      <c r="H549" s="5" t="s">
        <v>13</v>
      </c>
    </row>
    <row r="550" spans="1:8" ht="29" x14ac:dyDescent="0.35">
      <c r="A550" s="10">
        <f t="shared" si="8"/>
        <v>546</v>
      </c>
      <c r="B550" s="5">
        <v>6599</v>
      </c>
      <c r="C550" s="5" t="s">
        <v>859</v>
      </c>
      <c r="D550" s="5" t="s">
        <v>136</v>
      </c>
      <c r="E550" s="5" t="s">
        <v>68</v>
      </c>
      <c r="F550" s="5" t="s">
        <v>254</v>
      </c>
      <c r="G550" s="7">
        <v>43174</v>
      </c>
      <c r="H550" s="5" t="s">
        <v>13</v>
      </c>
    </row>
    <row r="551" spans="1:8" x14ac:dyDescent="0.35">
      <c r="A551" s="10">
        <f t="shared" si="8"/>
        <v>547</v>
      </c>
      <c r="B551" s="5">
        <v>6602</v>
      </c>
      <c r="C551" s="5" t="s">
        <v>860</v>
      </c>
      <c r="D551" s="5" t="s">
        <v>557</v>
      </c>
      <c r="E551" s="5" t="s">
        <v>103</v>
      </c>
      <c r="F551" s="5" t="s">
        <v>103</v>
      </c>
      <c r="G551" s="7">
        <v>43362</v>
      </c>
      <c r="H551" s="5" t="s">
        <v>13</v>
      </c>
    </row>
    <row r="552" spans="1:8" x14ac:dyDescent="0.35">
      <c r="A552" s="10">
        <f t="shared" si="8"/>
        <v>548</v>
      </c>
      <c r="B552" s="5">
        <v>6605</v>
      </c>
      <c r="C552" s="5" t="s">
        <v>861</v>
      </c>
      <c r="D552" s="5" t="s">
        <v>488</v>
      </c>
      <c r="E552" s="5" t="s">
        <v>94</v>
      </c>
      <c r="F552" s="5" t="s">
        <v>94</v>
      </c>
      <c r="G552" s="7">
        <v>43178</v>
      </c>
      <c r="H552" s="5" t="s">
        <v>13</v>
      </c>
    </row>
    <row r="553" spans="1:8" x14ac:dyDescent="0.35">
      <c r="A553" s="10">
        <f t="shared" si="8"/>
        <v>549</v>
      </c>
      <c r="B553" s="5">
        <v>6623</v>
      </c>
      <c r="C553" s="5" t="s">
        <v>862</v>
      </c>
      <c r="D553" s="5" t="s">
        <v>557</v>
      </c>
      <c r="E553" s="5" t="s">
        <v>68</v>
      </c>
      <c r="F553" s="5" t="s">
        <v>132</v>
      </c>
      <c r="G553" s="7">
        <v>43382</v>
      </c>
      <c r="H553" s="5" t="s">
        <v>13</v>
      </c>
    </row>
    <row r="554" spans="1:8" x14ac:dyDescent="0.35">
      <c r="A554" s="10">
        <f t="shared" si="8"/>
        <v>550</v>
      </c>
      <c r="B554" s="5">
        <v>6625</v>
      </c>
      <c r="C554" s="5" t="s">
        <v>863</v>
      </c>
      <c r="D554" s="5" t="s">
        <v>537</v>
      </c>
      <c r="E554" s="5" t="s">
        <v>538</v>
      </c>
      <c r="F554" s="5" t="s">
        <v>538</v>
      </c>
      <c r="G554" s="7">
        <v>43199</v>
      </c>
      <c r="H554" s="5" t="s">
        <v>13</v>
      </c>
    </row>
    <row r="555" spans="1:8" x14ac:dyDescent="0.35">
      <c r="A555" s="10">
        <f t="shared" si="8"/>
        <v>551</v>
      </c>
      <c r="B555" s="5">
        <v>6631</v>
      </c>
      <c r="C555" s="5" t="s">
        <v>864</v>
      </c>
      <c r="D555" s="5" t="s">
        <v>157</v>
      </c>
      <c r="E555" s="5" t="s">
        <v>16</v>
      </c>
      <c r="F555" s="5" t="s">
        <v>41</v>
      </c>
      <c r="G555" s="7">
        <v>43389</v>
      </c>
      <c r="H555" s="5" t="s">
        <v>13</v>
      </c>
    </row>
    <row r="556" spans="1:8" x14ac:dyDescent="0.35">
      <c r="A556" s="10">
        <f t="shared" si="8"/>
        <v>552</v>
      </c>
      <c r="B556" s="5">
        <v>6633</v>
      </c>
      <c r="C556" s="5" t="s">
        <v>865</v>
      </c>
      <c r="D556" s="5" t="s">
        <v>157</v>
      </c>
      <c r="E556" s="5" t="s">
        <v>16</v>
      </c>
      <c r="F556" s="5" t="s">
        <v>41</v>
      </c>
      <c r="G556" s="7">
        <v>43206</v>
      </c>
      <c r="H556" s="5" t="s">
        <v>13</v>
      </c>
    </row>
    <row r="557" spans="1:8" x14ac:dyDescent="0.35">
      <c r="A557" s="10">
        <f t="shared" si="8"/>
        <v>553</v>
      </c>
      <c r="B557" s="5">
        <v>6635</v>
      </c>
      <c r="C557" s="5" t="s">
        <v>866</v>
      </c>
      <c r="D557" s="5" t="s">
        <v>815</v>
      </c>
      <c r="E557" s="5" t="s">
        <v>12</v>
      </c>
      <c r="F557" s="5" t="s">
        <v>12</v>
      </c>
      <c r="G557" s="7">
        <v>43121</v>
      </c>
      <c r="H557" s="5" t="s">
        <v>13</v>
      </c>
    </row>
    <row r="558" spans="1:8" x14ac:dyDescent="0.35">
      <c r="A558" s="10">
        <f t="shared" si="8"/>
        <v>554</v>
      </c>
      <c r="B558" s="5">
        <v>6644</v>
      </c>
      <c r="C558" s="5" t="s">
        <v>867</v>
      </c>
      <c r="D558" s="5" t="s">
        <v>868</v>
      </c>
      <c r="E558" s="5" t="s">
        <v>28</v>
      </c>
      <c r="F558" s="5" t="s">
        <v>29</v>
      </c>
      <c r="G558" s="7">
        <v>43165</v>
      </c>
      <c r="H558" s="5" t="s">
        <v>21</v>
      </c>
    </row>
    <row r="559" spans="1:8" x14ac:dyDescent="0.35">
      <c r="A559" s="10">
        <f t="shared" si="8"/>
        <v>555</v>
      </c>
      <c r="B559" s="5">
        <v>6646</v>
      </c>
      <c r="C559" s="5" t="s">
        <v>869</v>
      </c>
      <c r="D559" s="5" t="s">
        <v>868</v>
      </c>
      <c r="E559" s="5" t="s">
        <v>28</v>
      </c>
      <c r="F559" s="5" t="s">
        <v>29</v>
      </c>
      <c r="G559" s="7">
        <v>43165</v>
      </c>
      <c r="H559" s="5" t="s">
        <v>21</v>
      </c>
    </row>
    <row r="560" spans="1:8" x14ac:dyDescent="0.35">
      <c r="A560" s="10">
        <f t="shared" si="8"/>
        <v>556</v>
      </c>
      <c r="B560" s="5">
        <v>6650</v>
      </c>
      <c r="C560" s="5" t="s">
        <v>870</v>
      </c>
      <c r="D560" s="5" t="s">
        <v>557</v>
      </c>
      <c r="E560" s="5" t="s">
        <v>16</v>
      </c>
      <c r="F560" s="5" t="s">
        <v>17</v>
      </c>
      <c r="G560" s="7">
        <v>43394</v>
      </c>
      <c r="H560" s="5" t="s">
        <v>13</v>
      </c>
    </row>
    <row r="561" spans="1:8" x14ac:dyDescent="0.35">
      <c r="A561" s="10">
        <f t="shared" si="8"/>
        <v>557</v>
      </c>
      <c r="B561" s="5">
        <v>6683</v>
      </c>
      <c r="C561" s="5" t="s">
        <v>871</v>
      </c>
      <c r="D561" s="5" t="s">
        <v>557</v>
      </c>
      <c r="E561" s="5" t="s">
        <v>16</v>
      </c>
      <c r="F561" s="5" t="s">
        <v>17</v>
      </c>
      <c r="G561" s="7">
        <v>43199</v>
      </c>
      <c r="H561" s="5" t="s">
        <v>13</v>
      </c>
    </row>
    <row r="562" spans="1:8" x14ac:dyDescent="0.35">
      <c r="A562" s="10">
        <f t="shared" si="8"/>
        <v>558</v>
      </c>
      <c r="B562" s="5">
        <v>6687</v>
      </c>
      <c r="C562" s="5" t="s">
        <v>872</v>
      </c>
      <c r="D562" s="5" t="s">
        <v>873</v>
      </c>
      <c r="E562" s="5" t="s">
        <v>769</v>
      </c>
      <c r="F562" s="5" t="s">
        <v>769</v>
      </c>
      <c r="G562" s="7">
        <v>43603</v>
      </c>
      <c r="H562" s="5" t="s">
        <v>13</v>
      </c>
    </row>
    <row r="563" spans="1:8" x14ac:dyDescent="0.35">
      <c r="A563" s="10">
        <f t="shared" si="8"/>
        <v>559</v>
      </c>
      <c r="B563" s="5">
        <v>6694</v>
      </c>
      <c r="C563" s="5" t="s">
        <v>874</v>
      </c>
      <c r="D563" s="5" t="s">
        <v>563</v>
      </c>
      <c r="E563" s="5" t="s">
        <v>16</v>
      </c>
      <c r="F563" s="5" t="s">
        <v>656</v>
      </c>
      <c r="G563" s="7">
        <v>43017</v>
      </c>
      <c r="H563" s="5" t="s">
        <v>13</v>
      </c>
    </row>
    <row r="564" spans="1:8" x14ac:dyDescent="0.35">
      <c r="A564" s="10">
        <f t="shared" si="8"/>
        <v>560</v>
      </c>
      <c r="B564" s="5">
        <v>6708</v>
      </c>
      <c r="C564" s="5" t="s">
        <v>875</v>
      </c>
      <c r="D564" s="5" t="s">
        <v>563</v>
      </c>
      <c r="E564" s="5" t="s">
        <v>16</v>
      </c>
      <c r="F564" s="5" t="s">
        <v>711</v>
      </c>
      <c r="G564" s="7">
        <v>43255</v>
      </c>
      <c r="H564" s="5" t="s">
        <v>13</v>
      </c>
    </row>
    <row r="565" spans="1:8" x14ac:dyDescent="0.35">
      <c r="A565" s="10">
        <f t="shared" si="8"/>
        <v>561</v>
      </c>
      <c r="B565" s="5">
        <v>6711</v>
      </c>
      <c r="C565" s="5" t="s">
        <v>876</v>
      </c>
      <c r="D565" s="5" t="s">
        <v>557</v>
      </c>
      <c r="E565" s="5" t="s">
        <v>103</v>
      </c>
      <c r="F565" s="5" t="s">
        <v>103</v>
      </c>
      <c r="G565" s="7">
        <v>43438</v>
      </c>
      <c r="H565" s="5" t="s">
        <v>13</v>
      </c>
    </row>
    <row r="566" spans="1:8" x14ac:dyDescent="0.35">
      <c r="A566" s="10">
        <f t="shared" si="8"/>
        <v>562</v>
      </c>
      <c r="B566" s="5">
        <v>6713</v>
      </c>
      <c r="C566" s="5" t="s">
        <v>877</v>
      </c>
      <c r="D566" s="5" t="s">
        <v>535</v>
      </c>
      <c r="E566" s="5" t="s">
        <v>376</v>
      </c>
      <c r="F566" s="5" t="s">
        <v>466</v>
      </c>
      <c r="G566" s="7">
        <v>43621</v>
      </c>
      <c r="H566" s="5" t="s">
        <v>13</v>
      </c>
    </row>
    <row r="567" spans="1:8" x14ac:dyDescent="0.35">
      <c r="A567" s="10">
        <f t="shared" si="8"/>
        <v>563</v>
      </c>
      <c r="B567" s="5">
        <v>6717</v>
      </c>
      <c r="C567" s="5" t="s">
        <v>878</v>
      </c>
      <c r="D567" s="5" t="s">
        <v>455</v>
      </c>
      <c r="E567" s="5" t="s">
        <v>68</v>
      </c>
      <c r="F567" s="5" t="s">
        <v>137</v>
      </c>
      <c r="G567" s="7">
        <v>43438</v>
      </c>
      <c r="H567" s="5" t="s">
        <v>13</v>
      </c>
    </row>
    <row r="568" spans="1:8" x14ac:dyDescent="0.35">
      <c r="A568" s="10">
        <f t="shared" si="8"/>
        <v>564</v>
      </c>
      <c r="B568" s="5">
        <v>6727</v>
      </c>
      <c r="C568" s="5" t="s">
        <v>879</v>
      </c>
      <c r="D568" s="5" t="s">
        <v>21</v>
      </c>
      <c r="E568" s="5" t="s">
        <v>24</v>
      </c>
      <c r="F568" s="5" t="s">
        <v>772</v>
      </c>
      <c r="G568" s="7">
        <v>43454</v>
      </c>
      <c r="H568" s="5" t="s">
        <v>13</v>
      </c>
    </row>
    <row r="569" spans="1:8" x14ac:dyDescent="0.35">
      <c r="A569" s="10">
        <f t="shared" si="8"/>
        <v>565</v>
      </c>
      <c r="B569" s="5">
        <v>6730</v>
      </c>
      <c r="C569" s="5" t="s">
        <v>880</v>
      </c>
      <c r="D569" s="5" t="s">
        <v>778</v>
      </c>
      <c r="E569" s="5" t="s">
        <v>314</v>
      </c>
      <c r="F569" s="5" t="s">
        <v>315</v>
      </c>
      <c r="G569" s="7">
        <v>43195</v>
      </c>
      <c r="H569" s="5" t="s">
        <v>13</v>
      </c>
    </row>
    <row r="570" spans="1:8" x14ac:dyDescent="0.35">
      <c r="A570" s="10">
        <f t="shared" si="8"/>
        <v>566</v>
      </c>
      <c r="B570" s="5">
        <v>6731</v>
      </c>
      <c r="C570" s="5" t="s">
        <v>881</v>
      </c>
      <c r="D570" s="5" t="s">
        <v>21</v>
      </c>
      <c r="E570" s="5" t="s">
        <v>68</v>
      </c>
      <c r="F570" s="5" t="s">
        <v>254</v>
      </c>
      <c r="G570" s="7">
        <v>43246</v>
      </c>
      <c r="H570" s="5" t="s">
        <v>13</v>
      </c>
    </row>
    <row r="571" spans="1:8" x14ac:dyDescent="0.35">
      <c r="A571" s="10">
        <f t="shared" si="8"/>
        <v>567</v>
      </c>
      <c r="B571" s="5">
        <v>6732</v>
      </c>
      <c r="C571" s="5" t="s">
        <v>882</v>
      </c>
      <c r="D571" s="5" t="s">
        <v>21</v>
      </c>
      <c r="E571" s="5" t="s">
        <v>103</v>
      </c>
      <c r="F571" s="5" t="s">
        <v>103</v>
      </c>
      <c r="G571" s="7">
        <v>43229</v>
      </c>
      <c r="H571" s="5" t="s">
        <v>13</v>
      </c>
    </row>
    <row r="572" spans="1:8" x14ac:dyDescent="0.35">
      <c r="A572" s="10">
        <f t="shared" si="8"/>
        <v>568</v>
      </c>
      <c r="B572" s="5">
        <v>6736</v>
      </c>
      <c r="C572" s="5" t="s">
        <v>883</v>
      </c>
      <c r="D572" s="5" t="s">
        <v>884</v>
      </c>
      <c r="E572" s="5" t="s">
        <v>112</v>
      </c>
      <c r="F572" s="5" t="s">
        <v>112</v>
      </c>
      <c r="G572" s="7">
        <v>43467</v>
      </c>
      <c r="H572" s="5" t="s">
        <v>13</v>
      </c>
    </row>
    <row r="573" spans="1:8" x14ac:dyDescent="0.35">
      <c r="A573" s="10">
        <f t="shared" si="8"/>
        <v>569</v>
      </c>
      <c r="B573" s="5">
        <v>6740</v>
      </c>
      <c r="C573" s="5" t="s">
        <v>889</v>
      </c>
      <c r="D573" s="5" t="s">
        <v>21</v>
      </c>
      <c r="E573" s="5" t="s">
        <v>24</v>
      </c>
      <c r="F573" s="5" t="s">
        <v>152</v>
      </c>
      <c r="G573" s="7">
        <v>43177</v>
      </c>
      <c r="H573" s="5" t="s">
        <v>13</v>
      </c>
    </row>
    <row r="574" spans="1:8" x14ac:dyDescent="0.35">
      <c r="A574" s="10">
        <f t="shared" si="8"/>
        <v>570</v>
      </c>
      <c r="B574" s="5">
        <v>6741</v>
      </c>
      <c r="C574" s="5" t="s">
        <v>890</v>
      </c>
      <c r="D574" s="5" t="s">
        <v>669</v>
      </c>
      <c r="E574" s="5" t="s">
        <v>103</v>
      </c>
      <c r="F574" s="5" t="s">
        <v>103</v>
      </c>
      <c r="G574" s="7">
        <v>43222</v>
      </c>
      <c r="H574" s="5" t="s">
        <v>13</v>
      </c>
    </row>
    <row r="575" spans="1:8" x14ac:dyDescent="0.35">
      <c r="A575" s="10">
        <f t="shared" si="8"/>
        <v>571</v>
      </c>
      <c r="B575" s="5">
        <v>6743</v>
      </c>
      <c r="C575" s="5" t="s">
        <v>891</v>
      </c>
      <c r="D575" s="5" t="s">
        <v>21</v>
      </c>
      <c r="E575" s="5" t="s">
        <v>24</v>
      </c>
      <c r="F575" s="5" t="s">
        <v>24</v>
      </c>
      <c r="G575" s="7">
        <v>43055</v>
      </c>
      <c r="H575" s="5" t="s">
        <v>13</v>
      </c>
    </row>
    <row r="576" spans="1:8" x14ac:dyDescent="0.35">
      <c r="A576" s="10">
        <f t="shared" si="8"/>
        <v>572</v>
      </c>
      <c r="B576" s="5">
        <v>6757</v>
      </c>
      <c r="C576" s="5" t="s">
        <v>892</v>
      </c>
      <c r="D576" s="5" t="s">
        <v>557</v>
      </c>
      <c r="E576" s="5" t="s">
        <v>16</v>
      </c>
      <c r="F576" s="5" t="s">
        <v>17</v>
      </c>
      <c r="G576" s="7">
        <v>43477</v>
      </c>
      <c r="H576" s="5" t="s">
        <v>13</v>
      </c>
    </row>
    <row r="577" spans="1:8" x14ac:dyDescent="0.35">
      <c r="A577" s="10">
        <f t="shared" si="8"/>
        <v>573</v>
      </c>
      <c r="B577" s="5">
        <v>6759</v>
      </c>
      <c r="C577" s="5" t="s">
        <v>893</v>
      </c>
      <c r="D577" s="5" t="s">
        <v>557</v>
      </c>
      <c r="E577" s="5" t="s">
        <v>16</v>
      </c>
      <c r="F577" s="5" t="s">
        <v>17</v>
      </c>
      <c r="G577" s="7">
        <v>43477</v>
      </c>
      <c r="H577" s="5" t="s">
        <v>13</v>
      </c>
    </row>
    <row r="578" spans="1:8" x14ac:dyDescent="0.35">
      <c r="A578" s="10">
        <f t="shared" si="8"/>
        <v>574</v>
      </c>
      <c r="B578" s="5">
        <v>6779</v>
      </c>
      <c r="C578" s="5" t="s">
        <v>896</v>
      </c>
      <c r="D578" s="5" t="s">
        <v>563</v>
      </c>
      <c r="E578" s="5" t="s">
        <v>16</v>
      </c>
      <c r="F578" s="5" t="s">
        <v>897</v>
      </c>
      <c r="G578" s="7">
        <v>43322</v>
      </c>
      <c r="H578" s="5" t="s">
        <v>13</v>
      </c>
    </row>
    <row r="579" spans="1:8" x14ac:dyDescent="0.35">
      <c r="A579" s="10">
        <f t="shared" si="8"/>
        <v>575</v>
      </c>
      <c r="B579" s="5">
        <v>6800</v>
      </c>
      <c r="C579" s="5" t="s">
        <v>898</v>
      </c>
      <c r="D579" s="5" t="s">
        <v>563</v>
      </c>
      <c r="E579" s="5" t="s">
        <v>16</v>
      </c>
      <c r="F579" s="5" t="s">
        <v>574</v>
      </c>
      <c r="G579" s="7">
        <v>43330</v>
      </c>
      <c r="H579" s="5" t="s">
        <v>13</v>
      </c>
    </row>
    <row r="580" spans="1:8" x14ac:dyDescent="0.35">
      <c r="A580" s="10">
        <f t="shared" si="8"/>
        <v>576</v>
      </c>
      <c r="B580" s="5">
        <v>6815</v>
      </c>
      <c r="C580" s="5" t="s">
        <v>899</v>
      </c>
      <c r="D580" s="5" t="s">
        <v>563</v>
      </c>
      <c r="E580" s="5" t="s">
        <v>16</v>
      </c>
      <c r="F580" s="5" t="s">
        <v>451</v>
      </c>
      <c r="G580" s="7">
        <v>43331</v>
      </c>
      <c r="H580" s="5" t="s">
        <v>13</v>
      </c>
    </row>
    <row r="581" spans="1:8" x14ac:dyDescent="0.35">
      <c r="A581" s="10">
        <f t="shared" si="8"/>
        <v>577</v>
      </c>
      <c r="B581" s="5">
        <v>6819</v>
      </c>
      <c r="C581" s="5" t="s">
        <v>900</v>
      </c>
      <c r="D581" s="5" t="s">
        <v>295</v>
      </c>
      <c r="E581" s="5" t="s">
        <v>16</v>
      </c>
      <c r="F581" s="5" t="s">
        <v>20</v>
      </c>
      <c r="G581" s="7">
        <v>43331</v>
      </c>
      <c r="H581" s="5" t="s">
        <v>21</v>
      </c>
    </row>
    <row r="582" spans="1:8" x14ac:dyDescent="0.35">
      <c r="A582" s="10">
        <f t="shared" ref="A582:A645" si="9">+A581+1</f>
        <v>578</v>
      </c>
      <c r="B582" s="5">
        <v>6822</v>
      </c>
      <c r="C582" s="5" t="s">
        <v>901</v>
      </c>
      <c r="D582" s="5" t="s">
        <v>563</v>
      </c>
      <c r="E582" s="5" t="s">
        <v>16</v>
      </c>
      <c r="F582" s="5" t="s">
        <v>439</v>
      </c>
      <c r="G582" s="7">
        <v>43331</v>
      </c>
      <c r="H582" s="5" t="s">
        <v>13</v>
      </c>
    </row>
    <row r="583" spans="1:8" x14ac:dyDescent="0.35">
      <c r="A583" s="10">
        <f t="shared" si="9"/>
        <v>579</v>
      </c>
      <c r="B583" s="5">
        <v>6828</v>
      </c>
      <c r="C583" s="5" t="s">
        <v>902</v>
      </c>
      <c r="D583" s="5" t="s">
        <v>563</v>
      </c>
      <c r="E583" s="5" t="s">
        <v>16</v>
      </c>
      <c r="F583" s="5" t="s">
        <v>729</v>
      </c>
      <c r="G583" s="7">
        <v>43150</v>
      </c>
      <c r="H583" s="5" t="s">
        <v>13</v>
      </c>
    </row>
    <row r="584" spans="1:8" x14ac:dyDescent="0.35">
      <c r="A584" s="10">
        <f t="shared" si="9"/>
        <v>580</v>
      </c>
      <c r="B584" s="5">
        <v>6842</v>
      </c>
      <c r="C584" s="5" t="s">
        <v>903</v>
      </c>
      <c r="D584" s="5" t="s">
        <v>904</v>
      </c>
      <c r="E584" s="5" t="s">
        <v>190</v>
      </c>
      <c r="F584" s="5" t="s">
        <v>190</v>
      </c>
      <c r="G584" s="7">
        <v>43333</v>
      </c>
      <c r="H584" s="5" t="s">
        <v>21</v>
      </c>
    </row>
    <row r="585" spans="1:8" x14ac:dyDescent="0.35">
      <c r="A585" s="10">
        <f t="shared" si="9"/>
        <v>581</v>
      </c>
      <c r="B585" s="5">
        <v>6844</v>
      </c>
      <c r="C585" s="5" t="s">
        <v>905</v>
      </c>
      <c r="D585" s="5" t="s">
        <v>557</v>
      </c>
      <c r="E585" s="5" t="s">
        <v>16</v>
      </c>
      <c r="F585" s="5" t="s">
        <v>17</v>
      </c>
      <c r="G585" s="7">
        <v>43516</v>
      </c>
      <c r="H585" s="5" t="s">
        <v>13</v>
      </c>
    </row>
    <row r="586" spans="1:8" x14ac:dyDescent="0.35">
      <c r="A586" s="10">
        <f t="shared" si="9"/>
        <v>582</v>
      </c>
      <c r="B586" s="5">
        <v>6862</v>
      </c>
      <c r="C586" s="5" t="s">
        <v>906</v>
      </c>
      <c r="D586" s="5" t="s">
        <v>557</v>
      </c>
      <c r="E586" s="5" t="s">
        <v>103</v>
      </c>
      <c r="F586" s="5" t="s">
        <v>103</v>
      </c>
      <c r="G586" s="7">
        <v>43536</v>
      </c>
      <c r="H586" s="5" t="s">
        <v>13</v>
      </c>
    </row>
    <row r="587" spans="1:8" x14ac:dyDescent="0.35">
      <c r="A587" s="10">
        <f t="shared" si="9"/>
        <v>583</v>
      </c>
      <c r="B587" s="5">
        <v>6864</v>
      </c>
      <c r="C587" s="5" t="s">
        <v>907</v>
      </c>
      <c r="D587" s="5" t="s">
        <v>557</v>
      </c>
      <c r="E587" s="5" t="s">
        <v>24</v>
      </c>
      <c r="F587" s="5" t="s">
        <v>132</v>
      </c>
      <c r="G587" s="7">
        <v>43536</v>
      </c>
      <c r="H587" s="5" t="s">
        <v>13</v>
      </c>
    </row>
    <row r="588" spans="1:8" x14ac:dyDescent="0.35">
      <c r="A588" s="10">
        <f t="shared" si="9"/>
        <v>584</v>
      </c>
      <c r="B588" s="5">
        <v>6872</v>
      </c>
      <c r="C588" s="5" t="s">
        <v>908</v>
      </c>
      <c r="D588" s="5" t="s">
        <v>317</v>
      </c>
      <c r="E588" s="5" t="s">
        <v>16</v>
      </c>
      <c r="F588" s="5" t="s">
        <v>20</v>
      </c>
      <c r="G588" s="7">
        <v>43367</v>
      </c>
      <c r="H588" s="5" t="s">
        <v>21</v>
      </c>
    </row>
    <row r="589" spans="1:8" x14ac:dyDescent="0.35">
      <c r="A589" s="10">
        <f t="shared" si="9"/>
        <v>585</v>
      </c>
      <c r="B589" s="5">
        <v>6873</v>
      </c>
      <c r="C589" s="5" t="s">
        <v>909</v>
      </c>
      <c r="D589" s="5" t="s">
        <v>815</v>
      </c>
      <c r="E589" s="5" t="s">
        <v>12</v>
      </c>
      <c r="F589" s="5" t="s">
        <v>12</v>
      </c>
      <c r="G589" s="7">
        <v>43369</v>
      </c>
      <c r="H589" s="5" t="s">
        <v>13</v>
      </c>
    </row>
    <row r="590" spans="1:8" x14ac:dyDescent="0.35">
      <c r="A590" s="10">
        <f t="shared" si="9"/>
        <v>586</v>
      </c>
      <c r="B590" s="5">
        <v>6878</v>
      </c>
      <c r="C590" s="5" t="s">
        <v>910</v>
      </c>
      <c r="D590" s="5" t="s">
        <v>669</v>
      </c>
      <c r="E590" s="5" t="s">
        <v>103</v>
      </c>
      <c r="F590" s="5" t="s">
        <v>103</v>
      </c>
      <c r="G590" s="7">
        <v>43563</v>
      </c>
      <c r="H590" s="5" t="s">
        <v>13</v>
      </c>
    </row>
    <row r="591" spans="1:8" x14ac:dyDescent="0.35">
      <c r="A591" s="10">
        <f t="shared" si="9"/>
        <v>587</v>
      </c>
      <c r="B591" s="5">
        <v>6886</v>
      </c>
      <c r="C591" s="5" t="s">
        <v>911</v>
      </c>
      <c r="D591" s="5" t="s">
        <v>912</v>
      </c>
      <c r="E591" s="5" t="s">
        <v>769</v>
      </c>
      <c r="F591" s="5" t="s">
        <v>769</v>
      </c>
      <c r="G591" s="7">
        <v>43388</v>
      </c>
      <c r="H591" s="5" t="s">
        <v>13</v>
      </c>
    </row>
    <row r="592" spans="1:8" x14ac:dyDescent="0.35">
      <c r="A592" s="10">
        <f t="shared" si="9"/>
        <v>588</v>
      </c>
      <c r="B592" s="5">
        <v>6896</v>
      </c>
      <c r="C592" s="5" t="s">
        <v>913</v>
      </c>
      <c r="D592" s="5" t="s">
        <v>557</v>
      </c>
      <c r="E592" s="5" t="s">
        <v>16</v>
      </c>
      <c r="F592" s="5" t="s">
        <v>17</v>
      </c>
      <c r="G592" s="7">
        <v>43315</v>
      </c>
      <c r="H592" s="5" t="s">
        <v>13</v>
      </c>
    </row>
    <row r="593" spans="1:8" x14ac:dyDescent="0.35">
      <c r="A593" s="10">
        <f t="shared" si="9"/>
        <v>589</v>
      </c>
      <c r="B593" s="5">
        <v>6908</v>
      </c>
      <c r="C593" s="5" t="s">
        <v>914</v>
      </c>
      <c r="D593" s="5" t="s">
        <v>563</v>
      </c>
      <c r="E593" s="5" t="s">
        <v>16</v>
      </c>
      <c r="F593" s="5" t="s">
        <v>480</v>
      </c>
      <c r="G593" s="7">
        <v>43419</v>
      </c>
      <c r="H593" s="5" t="s">
        <v>13</v>
      </c>
    </row>
    <row r="594" spans="1:8" x14ac:dyDescent="0.35">
      <c r="A594" s="10">
        <f t="shared" si="9"/>
        <v>590</v>
      </c>
      <c r="B594" s="5">
        <v>6933</v>
      </c>
      <c r="C594" s="5" t="s">
        <v>917</v>
      </c>
      <c r="D594" s="5" t="s">
        <v>249</v>
      </c>
      <c r="E594" s="5" t="s">
        <v>165</v>
      </c>
      <c r="F594" s="5" t="s">
        <v>165</v>
      </c>
      <c r="G594" s="7">
        <v>43452</v>
      </c>
      <c r="H594" s="5" t="s">
        <v>13</v>
      </c>
    </row>
    <row r="595" spans="1:8" x14ac:dyDescent="0.35">
      <c r="A595" s="10">
        <f t="shared" si="9"/>
        <v>591</v>
      </c>
      <c r="B595" s="5">
        <v>6967</v>
      </c>
      <c r="C595" s="5" t="s">
        <v>918</v>
      </c>
      <c r="D595" s="5" t="s">
        <v>563</v>
      </c>
      <c r="E595" s="5" t="s">
        <v>16</v>
      </c>
      <c r="F595" s="5" t="s">
        <v>919</v>
      </c>
      <c r="G595" s="7">
        <v>43466</v>
      </c>
      <c r="H595" s="5" t="s">
        <v>13</v>
      </c>
    </row>
    <row r="596" spans="1:8" x14ac:dyDescent="0.35">
      <c r="A596" s="10">
        <f t="shared" si="9"/>
        <v>592</v>
      </c>
      <c r="B596" s="5">
        <v>7031</v>
      </c>
      <c r="C596" s="5" t="s">
        <v>920</v>
      </c>
      <c r="D596" s="5" t="s">
        <v>157</v>
      </c>
      <c r="E596" s="5" t="s">
        <v>16</v>
      </c>
      <c r="F596" s="5" t="s">
        <v>41</v>
      </c>
      <c r="G596" s="7">
        <v>43556</v>
      </c>
      <c r="H596" s="5" t="s">
        <v>13</v>
      </c>
    </row>
    <row r="597" spans="1:8" x14ac:dyDescent="0.35">
      <c r="A597" s="10">
        <f t="shared" si="9"/>
        <v>593</v>
      </c>
      <c r="B597" s="5">
        <v>7040</v>
      </c>
      <c r="C597" s="5" t="s">
        <v>921</v>
      </c>
      <c r="D597" s="5" t="s">
        <v>563</v>
      </c>
      <c r="E597" s="5" t="s">
        <v>16</v>
      </c>
      <c r="F597" s="5" t="s">
        <v>141</v>
      </c>
      <c r="G597" s="7">
        <v>43563</v>
      </c>
      <c r="H597" s="5" t="s">
        <v>13</v>
      </c>
    </row>
    <row r="598" spans="1:8" x14ac:dyDescent="0.35">
      <c r="A598" s="10">
        <f t="shared" si="9"/>
        <v>594</v>
      </c>
      <c r="B598" s="5">
        <v>7041</v>
      </c>
      <c r="C598" s="5" t="s">
        <v>922</v>
      </c>
      <c r="D598" s="5" t="s">
        <v>563</v>
      </c>
      <c r="E598" s="5" t="s">
        <v>16</v>
      </c>
      <c r="F598" s="5" t="s">
        <v>141</v>
      </c>
      <c r="G598" s="7">
        <v>43563</v>
      </c>
      <c r="H598" s="5" t="s">
        <v>13</v>
      </c>
    </row>
    <row r="599" spans="1:8" x14ac:dyDescent="0.35">
      <c r="A599" s="10">
        <f t="shared" si="9"/>
        <v>595</v>
      </c>
      <c r="B599" s="5">
        <v>7045</v>
      </c>
      <c r="C599" s="5" t="s">
        <v>923</v>
      </c>
      <c r="D599" s="5" t="s">
        <v>830</v>
      </c>
      <c r="E599" s="5" t="s">
        <v>35</v>
      </c>
      <c r="F599" s="5" t="s">
        <v>36</v>
      </c>
      <c r="G599" s="7">
        <v>43763</v>
      </c>
      <c r="H599" s="5" t="s">
        <v>13</v>
      </c>
    </row>
    <row r="600" spans="1:8" x14ac:dyDescent="0.35">
      <c r="A600" s="10">
        <f t="shared" si="9"/>
        <v>596</v>
      </c>
      <c r="B600" s="5">
        <v>7052</v>
      </c>
      <c r="C600" s="5" t="s">
        <v>924</v>
      </c>
      <c r="D600" s="5" t="s">
        <v>21</v>
      </c>
      <c r="E600" s="5" t="s">
        <v>24</v>
      </c>
      <c r="F600" s="5" t="s">
        <v>152</v>
      </c>
      <c r="G600" s="7">
        <v>43263</v>
      </c>
      <c r="H600" s="5" t="s">
        <v>13</v>
      </c>
    </row>
    <row r="601" spans="1:8" x14ac:dyDescent="0.35">
      <c r="A601" s="10">
        <f t="shared" si="9"/>
        <v>597</v>
      </c>
      <c r="B601" s="5">
        <v>7053</v>
      </c>
      <c r="C601" s="5" t="s">
        <v>925</v>
      </c>
      <c r="D601" s="5" t="s">
        <v>340</v>
      </c>
      <c r="E601" s="5" t="s">
        <v>68</v>
      </c>
      <c r="F601" s="5" t="s">
        <v>254</v>
      </c>
      <c r="G601" s="7">
        <v>43369</v>
      </c>
      <c r="H601" s="5" t="s">
        <v>13</v>
      </c>
    </row>
    <row r="602" spans="1:8" x14ac:dyDescent="0.35">
      <c r="A602" s="10">
        <f t="shared" si="9"/>
        <v>598</v>
      </c>
      <c r="B602" s="5">
        <v>7056</v>
      </c>
      <c r="C602" s="5" t="s">
        <v>926</v>
      </c>
      <c r="D602" s="5" t="s">
        <v>720</v>
      </c>
      <c r="E602" s="5" t="s">
        <v>424</v>
      </c>
      <c r="F602" s="5" t="s">
        <v>424</v>
      </c>
      <c r="G602" s="7">
        <v>43593</v>
      </c>
      <c r="H602" s="5" t="s">
        <v>21</v>
      </c>
    </row>
    <row r="603" spans="1:8" x14ac:dyDescent="0.35">
      <c r="A603" s="10">
        <f t="shared" si="9"/>
        <v>599</v>
      </c>
      <c r="B603" s="5">
        <v>7065</v>
      </c>
      <c r="C603" s="5" t="s">
        <v>927</v>
      </c>
      <c r="D603" s="5" t="s">
        <v>563</v>
      </c>
      <c r="E603" s="5" t="s">
        <v>16</v>
      </c>
      <c r="F603" s="5" t="s">
        <v>238</v>
      </c>
      <c r="G603" s="7">
        <v>43617</v>
      </c>
      <c r="H603" s="5" t="s">
        <v>13</v>
      </c>
    </row>
    <row r="604" spans="1:8" x14ac:dyDescent="0.35">
      <c r="A604" s="10">
        <f t="shared" si="9"/>
        <v>600</v>
      </c>
      <c r="B604" s="5">
        <v>7070</v>
      </c>
      <c r="C604" s="5" t="s">
        <v>928</v>
      </c>
      <c r="D604" s="5" t="s">
        <v>563</v>
      </c>
      <c r="E604" s="5" t="s">
        <v>16</v>
      </c>
      <c r="F604" s="5" t="s">
        <v>589</v>
      </c>
      <c r="G604" s="7">
        <v>44044</v>
      </c>
      <c r="H604" s="5" t="s">
        <v>13</v>
      </c>
    </row>
    <row r="605" spans="1:8" x14ac:dyDescent="0.35">
      <c r="A605" s="10">
        <f t="shared" si="9"/>
        <v>601</v>
      </c>
      <c r="B605" s="5">
        <v>7076</v>
      </c>
      <c r="C605" s="5" t="s">
        <v>929</v>
      </c>
      <c r="D605" s="5" t="s">
        <v>930</v>
      </c>
      <c r="E605" s="5" t="s">
        <v>561</v>
      </c>
      <c r="F605" s="5" t="s">
        <v>561</v>
      </c>
      <c r="G605" s="7">
        <v>43624</v>
      </c>
      <c r="H605" s="5" t="s">
        <v>13</v>
      </c>
    </row>
    <row r="606" spans="1:8" x14ac:dyDescent="0.35">
      <c r="A606" s="10">
        <f t="shared" si="9"/>
        <v>602</v>
      </c>
      <c r="B606" s="5">
        <v>7115</v>
      </c>
      <c r="C606" s="5" t="s">
        <v>931</v>
      </c>
      <c r="D606" s="5" t="s">
        <v>571</v>
      </c>
      <c r="E606" s="5" t="s">
        <v>117</v>
      </c>
      <c r="F606" s="5" t="s">
        <v>176</v>
      </c>
      <c r="G606" s="7">
        <v>43756</v>
      </c>
      <c r="H606" s="5" t="s">
        <v>13</v>
      </c>
    </row>
    <row r="607" spans="1:8" x14ac:dyDescent="0.35">
      <c r="A607" s="10">
        <f t="shared" si="9"/>
        <v>603</v>
      </c>
      <c r="B607" s="5">
        <v>7120</v>
      </c>
      <c r="C607" s="5" t="s">
        <v>932</v>
      </c>
      <c r="D607" s="5" t="s">
        <v>563</v>
      </c>
      <c r="E607" s="5" t="s">
        <v>16</v>
      </c>
      <c r="F607" s="5" t="s">
        <v>729</v>
      </c>
      <c r="G607" s="7">
        <v>44044</v>
      </c>
      <c r="H607" s="5" t="s">
        <v>13</v>
      </c>
    </row>
    <row r="608" spans="1:8" x14ac:dyDescent="0.35">
      <c r="A608" s="10">
        <f t="shared" si="9"/>
        <v>604</v>
      </c>
      <c r="B608" s="5">
        <v>7133</v>
      </c>
      <c r="C608" s="5" t="s">
        <v>933</v>
      </c>
      <c r="D608" s="5" t="s">
        <v>563</v>
      </c>
      <c r="E608" s="5" t="s">
        <v>16</v>
      </c>
      <c r="F608" s="5" t="s">
        <v>353</v>
      </c>
      <c r="G608" s="7">
        <v>43679</v>
      </c>
      <c r="H608" s="5" t="s">
        <v>13</v>
      </c>
    </row>
    <row r="609" spans="1:8" x14ac:dyDescent="0.35">
      <c r="A609" s="10">
        <f t="shared" si="9"/>
        <v>605</v>
      </c>
      <c r="B609" s="5">
        <v>7147</v>
      </c>
      <c r="C609" s="5" t="s">
        <v>934</v>
      </c>
      <c r="D609" s="5" t="s">
        <v>563</v>
      </c>
      <c r="E609" s="5" t="s">
        <v>16</v>
      </c>
      <c r="F609" s="5" t="s">
        <v>497</v>
      </c>
      <c r="G609" s="7">
        <v>43684</v>
      </c>
      <c r="H609" s="5" t="s">
        <v>13</v>
      </c>
    </row>
    <row r="610" spans="1:8" x14ac:dyDescent="0.35">
      <c r="A610" s="10">
        <f t="shared" si="9"/>
        <v>606</v>
      </c>
      <c r="B610" s="5">
        <v>7159</v>
      </c>
      <c r="C610" s="5" t="s">
        <v>935</v>
      </c>
      <c r="D610" s="5" t="s">
        <v>563</v>
      </c>
      <c r="E610" s="5" t="s">
        <v>16</v>
      </c>
      <c r="F610" s="5" t="s">
        <v>626</v>
      </c>
      <c r="G610" s="7">
        <v>43710</v>
      </c>
      <c r="H610" s="5" t="s">
        <v>13</v>
      </c>
    </row>
    <row r="611" spans="1:8" x14ac:dyDescent="0.35">
      <c r="A611" s="10">
        <f t="shared" si="9"/>
        <v>607</v>
      </c>
      <c r="B611" s="5">
        <v>7169</v>
      </c>
      <c r="C611" s="5" t="s">
        <v>936</v>
      </c>
      <c r="D611" s="5" t="s">
        <v>720</v>
      </c>
      <c r="E611" s="5" t="s">
        <v>424</v>
      </c>
      <c r="F611" s="5" t="s">
        <v>424</v>
      </c>
      <c r="G611" s="7">
        <v>43739</v>
      </c>
      <c r="H611" s="5" t="s">
        <v>21</v>
      </c>
    </row>
    <row r="612" spans="1:8" x14ac:dyDescent="0.35">
      <c r="A612" s="10">
        <f t="shared" si="9"/>
        <v>608</v>
      </c>
      <c r="B612" s="5">
        <v>7171</v>
      </c>
      <c r="C612" s="5" t="s">
        <v>937</v>
      </c>
      <c r="D612" s="5" t="s">
        <v>669</v>
      </c>
      <c r="E612" s="5" t="s">
        <v>103</v>
      </c>
      <c r="F612" s="5" t="s">
        <v>103</v>
      </c>
      <c r="G612" s="7">
        <v>43750</v>
      </c>
      <c r="H612" s="5" t="s">
        <v>13</v>
      </c>
    </row>
    <row r="613" spans="1:8" x14ac:dyDescent="0.35">
      <c r="A613" s="10">
        <f t="shared" si="9"/>
        <v>609</v>
      </c>
      <c r="B613" s="5">
        <v>7184</v>
      </c>
      <c r="C613" s="5" t="s">
        <v>941</v>
      </c>
      <c r="D613" s="5" t="s">
        <v>669</v>
      </c>
      <c r="E613" s="5" t="s">
        <v>103</v>
      </c>
      <c r="F613" s="5" t="s">
        <v>103</v>
      </c>
      <c r="G613" s="7">
        <v>43796</v>
      </c>
      <c r="H613" s="5" t="s">
        <v>13</v>
      </c>
    </row>
    <row r="614" spans="1:8" x14ac:dyDescent="0.35">
      <c r="A614" s="10">
        <f t="shared" si="9"/>
        <v>610</v>
      </c>
      <c r="B614" s="5">
        <v>7197</v>
      </c>
      <c r="C614" s="5" t="s">
        <v>942</v>
      </c>
      <c r="D614" s="5" t="s">
        <v>884</v>
      </c>
      <c r="E614" s="5" t="s">
        <v>112</v>
      </c>
      <c r="F614" s="5" t="s">
        <v>112</v>
      </c>
      <c r="G614" s="7">
        <v>43809</v>
      </c>
      <c r="H614" s="5" t="s">
        <v>13</v>
      </c>
    </row>
    <row r="615" spans="1:8" x14ac:dyDescent="0.35">
      <c r="A615" s="10">
        <f t="shared" si="9"/>
        <v>611</v>
      </c>
      <c r="B615" s="5">
        <v>7199</v>
      </c>
      <c r="C615" s="5" t="s">
        <v>943</v>
      </c>
      <c r="D615" s="5" t="s">
        <v>488</v>
      </c>
      <c r="E615" s="5" t="s">
        <v>94</v>
      </c>
      <c r="F615" s="5" t="s">
        <v>94</v>
      </c>
      <c r="G615" s="7">
        <v>43811</v>
      </c>
      <c r="H615" s="5" t="s">
        <v>13</v>
      </c>
    </row>
    <row r="616" spans="1:8" x14ac:dyDescent="0.35">
      <c r="A616" s="10">
        <f t="shared" si="9"/>
        <v>612</v>
      </c>
      <c r="B616" s="5">
        <v>7200</v>
      </c>
      <c r="C616" s="5" t="s">
        <v>944</v>
      </c>
      <c r="D616" s="5" t="s">
        <v>455</v>
      </c>
      <c r="E616" s="5" t="s">
        <v>228</v>
      </c>
      <c r="F616" s="5" t="s">
        <v>228</v>
      </c>
      <c r="G616" s="7">
        <v>43811</v>
      </c>
      <c r="H616" s="5" t="s">
        <v>13</v>
      </c>
    </row>
    <row r="617" spans="1:8" x14ac:dyDescent="0.35">
      <c r="A617" s="10">
        <f t="shared" si="9"/>
        <v>613</v>
      </c>
      <c r="B617" s="5">
        <v>7201</v>
      </c>
      <c r="C617" s="5" t="s">
        <v>945</v>
      </c>
      <c r="D617" s="5" t="s">
        <v>693</v>
      </c>
      <c r="E617" s="5" t="s">
        <v>181</v>
      </c>
      <c r="F617" s="5" t="s">
        <v>181</v>
      </c>
      <c r="G617" s="7">
        <v>43812</v>
      </c>
      <c r="H617" s="5" t="s">
        <v>13</v>
      </c>
    </row>
    <row r="618" spans="1:8" x14ac:dyDescent="0.35">
      <c r="A618" s="10">
        <f t="shared" si="9"/>
        <v>614</v>
      </c>
      <c r="B618" s="5">
        <v>7211</v>
      </c>
      <c r="C618" s="5" t="s">
        <v>946</v>
      </c>
      <c r="D618" s="5" t="s">
        <v>563</v>
      </c>
      <c r="E618" s="5" t="s">
        <v>16</v>
      </c>
      <c r="F618" s="5" t="s">
        <v>238</v>
      </c>
      <c r="G618" s="7">
        <v>43831</v>
      </c>
      <c r="H618" s="5" t="s">
        <v>13</v>
      </c>
    </row>
    <row r="619" spans="1:8" x14ac:dyDescent="0.35">
      <c r="A619" s="10">
        <f t="shared" si="9"/>
        <v>615</v>
      </c>
      <c r="B619" s="5">
        <v>7216</v>
      </c>
      <c r="C619" s="5" t="s">
        <v>310</v>
      </c>
      <c r="D619" s="5" t="s">
        <v>563</v>
      </c>
      <c r="E619" s="5" t="s">
        <v>16</v>
      </c>
      <c r="F619" s="5" t="s">
        <v>947</v>
      </c>
      <c r="G619" s="7">
        <v>43833</v>
      </c>
      <c r="H619" s="5" t="s">
        <v>13</v>
      </c>
    </row>
    <row r="620" spans="1:8" x14ac:dyDescent="0.35">
      <c r="A620" s="10">
        <f t="shared" si="9"/>
        <v>616</v>
      </c>
      <c r="B620" s="5">
        <v>7243</v>
      </c>
      <c r="C620" s="5" t="s">
        <v>948</v>
      </c>
      <c r="D620" s="5" t="s">
        <v>563</v>
      </c>
      <c r="E620" s="5" t="s">
        <v>16</v>
      </c>
      <c r="F620" s="5" t="s">
        <v>483</v>
      </c>
      <c r="G620" s="7">
        <v>43892</v>
      </c>
      <c r="H620" s="5" t="s">
        <v>13</v>
      </c>
    </row>
    <row r="621" spans="1:8" x14ac:dyDescent="0.35">
      <c r="A621" s="10">
        <f t="shared" si="9"/>
        <v>617</v>
      </c>
      <c r="B621" s="5">
        <v>7301</v>
      </c>
      <c r="C621" s="5" t="s">
        <v>951</v>
      </c>
      <c r="D621" s="5" t="s">
        <v>563</v>
      </c>
      <c r="E621" s="5" t="s">
        <v>16</v>
      </c>
      <c r="F621" s="5" t="s">
        <v>718</v>
      </c>
      <c r="G621" s="7">
        <v>44053</v>
      </c>
      <c r="H621" s="5" t="s">
        <v>13</v>
      </c>
    </row>
    <row r="622" spans="1:8" x14ac:dyDescent="0.35">
      <c r="A622" s="10">
        <f t="shared" si="9"/>
        <v>618</v>
      </c>
      <c r="B622" s="5">
        <v>7304</v>
      </c>
      <c r="C622" s="5" t="s">
        <v>952</v>
      </c>
      <c r="D622" s="5" t="s">
        <v>799</v>
      </c>
      <c r="E622" s="5" t="s">
        <v>800</v>
      </c>
      <c r="F622" s="5" t="s">
        <v>801</v>
      </c>
      <c r="G622" s="7">
        <v>44063</v>
      </c>
      <c r="H622" s="5" t="s">
        <v>13</v>
      </c>
    </row>
    <row r="623" spans="1:8" x14ac:dyDescent="0.35">
      <c r="A623" s="10">
        <f t="shared" si="9"/>
        <v>619</v>
      </c>
      <c r="B623" s="5">
        <v>7339</v>
      </c>
      <c r="C623" s="5" t="s">
        <v>953</v>
      </c>
      <c r="D623" s="5" t="s">
        <v>669</v>
      </c>
      <c r="E623" s="5" t="s">
        <v>103</v>
      </c>
      <c r="F623" s="5" t="s">
        <v>103</v>
      </c>
      <c r="G623" s="7">
        <v>44118</v>
      </c>
      <c r="H623" s="5" t="s">
        <v>13</v>
      </c>
    </row>
    <row r="624" spans="1:8" x14ac:dyDescent="0.35">
      <c r="A624" s="10">
        <f t="shared" si="9"/>
        <v>620</v>
      </c>
      <c r="B624" s="5">
        <v>7365</v>
      </c>
      <c r="C624" s="5" t="s">
        <v>954</v>
      </c>
      <c r="D624" s="5" t="s">
        <v>563</v>
      </c>
      <c r="E624" s="5" t="s">
        <v>16</v>
      </c>
      <c r="F624" s="5" t="s">
        <v>955</v>
      </c>
      <c r="G624" s="7">
        <v>44125</v>
      </c>
      <c r="H624" s="5" t="s">
        <v>13</v>
      </c>
    </row>
    <row r="625" spans="1:8" x14ac:dyDescent="0.35">
      <c r="A625" s="10">
        <f t="shared" si="9"/>
        <v>621</v>
      </c>
      <c r="B625" s="5">
        <v>7367</v>
      </c>
      <c r="C625" s="5" t="s">
        <v>956</v>
      </c>
      <c r="D625" s="5" t="s">
        <v>488</v>
      </c>
      <c r="E625" s="5" t="s">
        <v>64</v>
      </c>
      <c r="F625" s="5" t="s">
        <v>64</v>
      </c>
      <c r="G625" s="7">
        <v>44127</v>
      </c>
      <c r="H625" s="5" t="s">
        <v>13</v>
      </c>
    </row>
    <row r="626" spans="1:8" x14ac:dyDescent="0.35">
      <c r="A626" s="10">
        <f t="shared" si="9"/>
        <v>622</v>
      </c>
      <c r="B626" s="5">
        <v>7371</v>
      </c>
      <c r="C626" s="5" t="s">
        <v>957</v>
      </c>
      <c r="D626" s="5" t="s">
        <v>563</v>
      </c>
      <c r="E626" s="5" t="s">
        <v>16</v>
      </c>
      <c r="F626" s="5" t="s">
        <v>958</v>
      </c>
      <c r="G626" s="7">
        <v>44130</v>
      </c>
      <c r="H626" s="5" t="s">
        <v>13</v>
      </c>
    </row>
    <row r="627" spans="1:8" x14ac:dyDescent="0.35">
      <c r="A627" s="10">
        <f t="shared" si="9"/>
        <v>623</v>
      </c>
      <c r="B627" s="5">
        <v>7378</v>
      </c>
      <c r="C627" s="5" t="s">
        <v>959</v>
      </c>
      <c r="D627" s="5" t="s">
        <v>563</v>
      </c>
      <c r="E627" s="5" t="s">
        <v>16</v>
      </c>
      <c r="F627" s="5" t="s">
        <v>688</v>
      </c>
      <c r="G627" s="7">
        <v>44130</v>
      </c>
      <c r="H627" s="5" t="s">
        <v>13</v>
      </c>
    </row>
    <row r="628" spans="1:8" x14ac:dyDescent="0.35">
      <c r="A628" s="10">
        <f t="shared" si="9"/>
        <v>624</v>
      </c>
      <c r="B628" s="5">
        <v>7383</v>
      </c>
      <c r="C628" s="5" t="s">
        <v>960</v>
      </c>
      <c r="D628" s="5" t="s">
        <v>563</v>
      </c>
      <c r="E628" s="5" t="s">
        <v>16</v>
      </c>
      <c r="F628" s="5" t="s">
        <v>711</v>
      </c>
      <c r="G628" s="7">
        <v>44130</v>
      </c>
      <c r="H628" s="5" t="s">
        <v>13</v>
      </c>
    </row>
    <row r="629" spans="1:8" x14ac:dyDescent="0.35">
      <c r="A629" s="10">
        <f t="shared" si="9"/>
        <v>625</v>
      </c>
      <c r="B629" s="5">
        <v>7393</v>
      </c>
      <c r="C629" s="5" t="s">
        <v>961</v>
      </c>
      <c r="D629" s="5" t="s">
        <v>563</v>
      </c>
      <c r="E629" s="5" t="s">
        <v>16</v>
      </c>
      <c r="F629" s="5" t="s">
        <v>958</v>
      </c>
      <c r="G629" s="7">
        <v>44133</v>
      </c>
      <c r="H629" s="5" t="s">
        <v>13</v>
      </c>
    </row>
    <row r="630" spans="1:8" x14ac:dyDescent="0.35">
      <c r="A630" s="10">
        <f t="shared" si="9"/>
        <v>626</v>
      </c>
      <c r="B630" s="5">
        <v>7394</v>
      </c>
      <c r="C630" s="5" t="s">
        <v>962</v>
      </c>
      <c r="D630" s="5" t="s">
        <v>563</v>
      </c>
      <c r="E630" s="5" t="s">
        <v>16</v>
      </c>
      <c r="F630" s="5" t="s">
        <v>353</v>
      </c>
      <c r="G630" s="7">
        <v>44133</v>
      </c>
      <c r="H630" s="5" t="s">
        <v>13</v>
      </c>
    </row>
    <row r="631" spans="1:8" x14ac:dyDescent="0.35">
      <c r="A631" s="10">
        <f t="shared" si="9"/>
        <v>627</v>
      </c>
      <c r="B631" s="5">
        <v>7402</v>
      </c>
      <c r="C631" s="5" t="s">
        <v>963</v>
      </c>
      <c r="D631" s="5" t="s">
        <v>563</v>
      </c>
      <c r="E631" s="5" t="s">
        <v>16</v>
      </c>
      <c r="F631" s="5" t="s">
        <v>683</v>
      </c>
      <c r="G631" s="7">
        <v>44145</v>
      </c>
      <c r="H631" s="5" t="s">
        <v>13</v>
      </c>
    </row>
    <row r="632" spans="1:8" x14ac:dyDescent="0.35">
      <c r="A632" s="10">
        <f t="shared" si="9"/>
        <v>628</v>
      </c>
      <c r="B632" s="5">
        <v>7403</v>
      </c>
      <c r="C632" s="5" t="s">
        <v>964</v>
      </c>
      <c r="D632" s="5" t="s">
        <v>807</v>
      </c>
      <c r="E632" s="5" t="s">
        <v>87</v>
      </c>
      <c r="F632" s="5" t="s">
        <v>808</v>
      </c>
      <c r="G632" s="7">
        <v>44153</v>
      </c>
      <c r="H632" s="5" t="s">
        <v>13</v>
      </c>
    </row>
    <row r="633" spans="1:8" x14ac:dyDescent="0.35">
      <c r="A633" s="10">
        <f t="shared" si="9"/>
        <v>629</v>
      </c>
      <c r="B633" s="5">
        <v>7406</v>
      </c>
      <c r="C633" s="5" t="s">
        <v>965</v>
      </c>
      <c r="D633" s="5" t="s">
        <v>340</v>
      </c>
      <c r="E633" s="5" t="s">
        <v>68</v>
      </c>
      <c r="F633" s="5" t="s">
        <v>254</v>
      </c>
      <c r="G633" s="7">
        <v>44158</v>
      </c>
      <c r="H633" s="5" t="s">
        <v>13</v>
      </c>
    </row>
    <row r="634" spans="1:8" x14ac:dyDescent="0.35">
      <c r="A634" s="10">
        <f t="shared" si="9"/>
        <v>630</v>
      </c>
      <c r="B634" s="5">
        <v>7407</v>
      </c>
      <c r="C634" s="5" t="s">
        <v>966</v>
      </c>
      <c r="D634" s="5" t="s">
        <v>488</v>
      </c>
      <c r="E634" s="5" t="s">
        <v>228</v>
      </c>
      <c r="F634" s="5" t="s">
        <v>228</v>
      </c>
      <c r="G634" s="7">
        <v>44166</v>
      </c>
      <c r="H634" s="5" t="s">
        <v>13</v>
      </c>
    </row>
    <row r="635" spans="1:8" x14ac:dyDescent="0.35">
      <c r="A635" s="10">
        <f t="shared" si="9"/>
        <v>631</v>
      </c>
      <c r="B635" s="5">
        <v>7409</v>
      </c>
      <c r="C635" s="5" t="s">
        <v>969</v>
      </c>
      <c r="D635" s="5" t="s">
        <v>970</v>
      </c>
      <c r="E635" s="5" t="s">
        <v>24</v>
      </c>
      <c r="F635" s="5" t="s">
        <v>24</v>
      </c>
      <c r="G635" s="7">
        <v>44166</v>
      </c>
      <c r="H635" s="5" t="s">
        <v>13</v>
      </c>
    </row>
    <row r="636" spans="1:8" x14ac:dyDescent="0.35">
      <c r="A636" s="10">
        <f t="shared" si="9"/>
        <v>632</v>
      </c>
      <c r="B636" s="5">
        <v>7410</v>
      </c>
      <c r="C636" s="5" t="s">
        <v>971</v>
      </c>
      <c r="D636" s="5" t="s">
        <v>972</v>
      </c>
      <c r="E636" s="5" t="s">
        <v>973</v>
      </c>
      <c r="F636" s="5" t="s">
        <v>973</v>
      </c>
      <c r="G636" s="7">
        <v>44166</v>
      </c>
      <c r="H636" s="5" t="s">
        <v>13</v>
      </c>
    </row>
    <row r="637" spans="1:8" x14ac:dyDescent="0.35">
      <c r="A637" s="10">
        <f t="shared" si="9"/>
        <v>633</v>
      </c>
      <c r="B637" s="5">
        <v>7418</v>
      </c>
      <c r="C637" s="5" t="s">
        <v>974</v>
      </c>
      <c r="D637" s="5" t="s">
        <v>733</v>
      </c>
      <c r="E637" s="5" t="s">
        <v>165</v>
      </c>
      <c r="F637" s="5" t="s">
        <v>165</v>
      </c>
      <c r="G637" s="7">
        <v>44214</v>
      </c>
      <c r="H637" s="5" t="s">
        <v>13</v>
      </c>
    </row>
    <row r="638" spans="1:8" x14ac:dyDescent="0.35">
      <c r="A638" s="10">
        <f t="shared" si="9"/>
        <v>634</v>
      </c>
      <c r="B638" s="5">
        <v>7425</v>
      </c>
      <c r="C638" s="5" t="s">
        <v>975</v>
      </c>
      <c r="D638" s="5" t="s">
        <v>563</v>
      </c>
      <c r="E638" s="5" t="s">
        <v>16</v>
      </c>
      <c r="F638" s="5" t="s">
        <v>434</v>
      </c>
      <c r="G638" s="7">
        <v>44621</v>
      </c>
      <c r="H638" s="5" t="s">
        <v>13</v>
      </c>
    </row>
    <row r="639" spans="1:8" x14ac:dyDescent="0.35">
      <c r="A639" s="10">
        <f t="shared" si="9"/>
        <v>635</v>
      </c>
      <c r="B639" s="5">
        <v>7433</v>
      </c>
      <c r="C639" s="5" t="s">
        <v>976</v>
      </c>
      <c r="D639" s="5" t="s">
        <v>884</v>
      </c>
      <c r="E639" s="5" t="s">
        <v>112</v>
      </c>
      <c r="F639" s="5" t="s">
        <v>112</v>
      </c>
      <c r="G639" s="7">
        <v>44223</v>
      </c>
      <c r="H639" s="5" t="s">
        <v>13</v>
      </c>
    </row>
    <row r="640" spans="1:8" x14ac:dyDescent="0.35">
      <c r="A640" s="10">
        <f t="shared" si="9"/>
        <v>636</v>
      </c>
      <c r="B640" s="5">
        <v>7443</v>
      </c>
      <c r="C640" s="5" t="s">
        <v>977</v>
      </c>
      <c r="D640" s="5" t="s">
        <v>563</v>
      </c>
      <c r="E640" s="5" t="s">
        <v>16</v>
      </c>
      <c r="F640" s="5" t="s">
        <v>141</v>
      </c>
      <c r="G640" s="7">
        <v>44236</v>
      </c>
      <c r="H640" s="5" t="s">
        <v>13</v>
      </c>
    </row>
    <row r="641" spans="1:8" x14ac:dyDescent="0.35">
      <c r="A641" s="10">
        <f t="shared" si="9"/>
        <v>637</v>
      </c>
      <c r="B641" s="5">
        <v>7444</v>
      </c>
      <c r="C641" s="5" t="s">
        <v>978</v>
      </c>
      <c r="D641" s="5" t="s">
        <v>563</v>
      </c>
      <c r="E641" s="5" t="s">
        <v>16</v>
      </c>
      <c r="F641" s="5" t="s">
        <v>141</v>
      </c>
      <c r="G641" s="7">
        <v>44236</v>
      </c>
      <c r="H641" s="5" t="s">
        <v>13</v>
      </c>
    </row>
    <row r="642" spans="1:8" x14ac:dyDescent="0.35">
      <c r="A642" s="10">
        <f t="shared" si="9"/>
        <v>638</v>
      </c>
      <c r="B642" s="5">
        <v>7446</v>
      </c>
      <c r="C642" s="5" t="s">
        <v>979</v>
      </c>
      <c r="D642" s="5" t="s">
        <v>669</v>
      </c>
      <c r="E642" s="5" t="s">
        <v>103</v>
      </c>
      <c r="F642" s="5" t="s">
        <v>103</v>
      </c>
      <c r="G642" s="7">
        <v>44237</v>
      </c>
      <c r="H642" s="5" t="s">
        <v>13</v>
      </c>
    </row>
    <row r="643" spans="1:8" x14ac:dyDescent="0.35">
      <c r="A643" s="10">
        <f t="shared" si="9"/>
        <v>639</v>
      </c>
      <c r="B643" s="5">
        <v>7481</v>
      </c>
      <c r="C643" s="5" t="s">
        <v>980</v>
      </c>
      <c r="D643" s="5" t="s">
        <v>678</v>
      </c>
      <c r="E643" s="5" t="s">
        <v>87</v>
      </c>
      <c r="F643" s="5" t="s">
        <v>678</v>
      </c>
      <c r="G643" s="7">
        <v>44257</v>
      </c>
      <c r="H643" s="5" t="s">
        <v>13</v>
      </c>
    </row>
    <row r="644" spans="1:8" x14ac:dyDescent="0.35">
      <c r="A644" s="10">
        <f t="shared" si="9"/>
        <v>640</v>
      </c>
      <c r="B644" s="5">
        <v>7482</v>
      </c>
      <c r="C644" s="5" t="s">
        <v>981</v>
      </c>
      <c r="D644" s="5" t="s">
        <v>982</v>
      </c>
      <c r="E644" s="5" t="s">
        <v>181</v>
      </c>
      <c r="F644" s="5" t="s">
        <v>181</v>
      </c>
      <c r="G644" s="7">
        <v>44277</v>
      </c>
      <c r="H644" s="5" t="s">
        <v>13</v>
      </c>
    </row>
    <row r="645" spans="1:8" x14ac:dyDescent="0.35">
      <c r="A645" s="10">
        <f t="shared" si="9"/>
        <v>641</v>
      </c>
      <c r="B645" s="5">
        <v>7484</v>
      </c>
      <c r="C645" s="5" t="s">
        <v>983</v>
      </c>
      <c r="D645" s="5" t="s">
        <v>563</v>
      </c>
      <c r="E645" s="5" t="s">
        <v>16</v>
      </c>
      <c r="F645" s="5" t="s">
        <v>141</v>
      </c>
      <c r="G645" s="7">
        <v>44289</v>
      </c>
      <c r="H645" s="5" t="s">
        <v>13</v>
      </c>
    </row>
    <row r="646" spans="1:8" x14ac:dyDescent="0.35">
      <c r="A646" s="10">
        <f t="shared" ref="A646:A709" si="10">+A645+1</f>
        <v>642</v>
      </c>
      <c r="B646" s="5">
        <v>7495</v>
      </c>
      <c r="C646" s="5" t="s">
        <v>984</v>
      </c>
      <c r="D646" s="5" t="s">
        <v>985</v>
      </c>
      <c r="E646" s="5" t="s">
        <v>51</v>
      </c>
      <c r="F646" s="5" t="s">
        <v>51</v>
      </c>
      <c r="G646" s="7">
        <v>44289</v>
      </c>
      <c r="H646" s="5" t="s">
        <v>13</v>
      </c>
    </row>
    <row r="647" spans="1:8" x14ac:dyDescent="0.35">
      <c r="A647" s="10">
        <f t="shared" si="10"/>
        <v>643</v>
      </c>
      <c r="B647" s="5">
        <v>7496</v>
      </c>
      <c r="C647" s="5" t="s">
        <v>986</v>
      </c>
      <c r="D647" s="5" t="s">
        <v>987</v>
      </c>
      <c r="E647" s="5" t="s">
        <v>24</v>
      </c>
      <c r="F647" s="5" t="s">
        <v>24</v>
      </c>
      <c r="G647" s="7">
        <v>44294</v>
      </c>
      <c r="H647" s="5" t="s">
        <v>13</v>
      </c>
    </row>
    <row r="648" spans="1:8" x14ac:dyDescent="0.35">
      <c r="A648" s="10">
        <f t="shared" si="10"/>
        <v>644</v>
      </c>
      <c r="B648" s="5">
        <v>7504</v>
      </c>
      <c r="C648" s="5" t="s">
        <v>988</v>
      </c>
      <c r="D648" s="5" t="s">
        <v>563</v>
      </c>
      <c r="E648" s="5" t="s">
        <v>16</v>
      </c>
      <c r="F648" s="5" t="s">
        <v>517</v>
      </c>
      <c r="G648" s="7">
        <v>44305</v>
      </c>
      <c r="H648" s="5" t="s">
        <v>13</v>
      </c>
    </row>
    <row r="649" spans="1:8" x14ac:dyDescent="0.35">
      <c r="A649" s="10">
        <f t="shared" si="10"/>
        <v>645</v>
      </c>
      <c r="B649" s="5">
        <v>7505</v>
      </c>
      <c r="C649" s="5" t="s">
        <v>989</v>
      </c>
      <c r="D649" s="5" t="s">
        <v>563</v>
      </c>
      <c r="E649" s="5" t="s">
        <v>16</v>
      </c>
      <c r="F649" s="5" t="s">
        <v>990</v>
      </c>
      <c r="G649" s="7">
        <v>44305</v>
      </c>
      <c r="H649" s="5" t="s">
        <v>13</v>
      </c>
    </row>
    <row r="650" spans="1:8" x14ac:dyDescent="0.35">
      <c r="A650" s="10">
        <f t="shared" si="10"/>
        <v>646</v>
      </c>
      <c r="B650" s="5">
        <v>7518</v>
      </c>
      <c r="C650" s="5" t="s">
        <v>991</v>
      </c>
      <c r="D650" s="5" t="s">
        <v>563</v>
      </c>
      <c r="E650" s="5" t="s">
        <v>16</v>
      </c>
      <c r="F650" s="5" t="s">
        <v>992</v>
      </c>
      <c r="G650" s="7">
        <v>44310</v>
      </c>
      <c r="H650" s="5" t="s">
        <v>13</v>
      </c>
    </row>
    <row r="651" spans="1:8" x14ac:dyDescent="0.35">
      <c r="A651" s="10">
        <f t="shared" si="10"/>
        <v>647</v>
      </c>
      <c r="B651" s="5">
        <v>7523</v>
      </c>
      <c r="C651" s="5" t="s">
        <v>993</v>
      </c>
      <c r="D651" s="5" t="s">
        <v>563</v>
      </c>
      <c r="E651" s="5" t="s">
        <v>16</v>
      </c>
      <c r="F651" s="5" t="s">
        <v>353</v>
      </c>
      <c r="G651" s="7">
        <v>44312</v>
      </c>
      <c r="H651" s="5" t="s">
        <v>13</v>
      </c>
    </row>
    <row r="652" spans="1:8" x14ac:dyDescent="0.35">
      <c r="A652" s="10">
        <f t="shared" si="10"/>
        <v>648</v>
      </c>
      <c r="B652" s="5">
        <v>7534</v>
      </c>
      <c r="C652" s="5" t="s">
        <v>994</v>
      </c>
      <c r="D652" s="5" t="s">
        <v>563</v>
      </c>
      <c r="E652" s="5" t="s">
        <v>16</v>
      </c>
      <c r="F652" s="5" t="s">
        <v>958</v>
      </c>
      <c r="G652" s="7">
        <v>44316</v>
      </c>
      <c r="H652" s="5" t="s">
        <v>13</v>
      </c>
    </row>
    <row r="653" spans="1:8" x14ac:dyDescent="0.35">
      <c r="A653" s="10">
        <f t="shared" si="10"/>
        <v>649</v>
      </c>
      <c r="B653" s="5">
        <v>7535</v>
      </c>
      <c r="C653" s="5" t="s">
        <v>995</v>
      </c>
      <c r="D653" s="5" t="s">
        <v>563</v>
      </c>
      <c r="E653" s="5" t="s">
        <v>16</v>
      </c>
      <c r="F653" s="5" t="s">
        <v>990</v>
      </c>
      <c r="G653" s="7">
        <v>44316</v>
      </c>
      <c r="H653" s="5" t="s">
        <v>13</v>
      </c>
    </row>
    <row r="654" spans="1:8" x14ac:dyDescent="0.35">
      <c r="A654" s="10">
        <f t="shared" si="10"/>
        <v>650</v>
      </c>
      <c r="B654" s="5">
        <v>7544</v>
      </c>
      <c r="C654" s="5" t="s">
        <v>996</v>
      </c>
      <c r="D654" s="5" t="s">
        <v>563</v>
      </c>
      <c r="E654" s="5" t="s">
        <v>16</v>
      </c>
      <c r="F654" s="5" t="s">
        <v>574</v>
      </c>
      <c r="G654" s="7">
        <v>44319</v>
      </c>
      <c r="H654" s="5" t="s">
        <v>13</v>
      </c>
    </row>
    <row r="655" spans="1:8" x14ac:dyDescent="0.35">
      <c r="A655" s="10">
        <f t="shared" si="10"/>
        <v>651</v>
      </c>
      <c r="B655" s="5">
        <v>7551</v>
      </c>
      <c r="C655" s="5" t="s">
        <v>997</v>
      </c>
      <c r="D655" s="5" t="s">
        <v>563</v>
      </c>
      <c r="E655" s="5" t="s">
        <v>16</v>
      </c>
      <c r="F655" s="5" t="s">
        <v>589</v>
      </c>
      <c r="G655" s="7">
        <v>44319</v>
      </c>
      <c r="H655" s="5" t="s">
        <v>13</v>
      </c>
    </row>
    <row r="656" spans="1:8" x14ac:dyDescent="0.35">
      <c r="A656" s="10">
        <f t="shared" si="10"/>
        <v>652</v>
      </c>
      <c r="B656" s="5">
        <v>7572</v>
      </c>
      <c r="C656" s="5" t="s">
        <v>998</v>
      </c>
      <c r="D656" s="5" t="s">
        <v>563</v>
      </c>
      <c r="E656" s="5" t="s">
        <v>16</v>
      </c>
      <c r="F656" s="5" t="s">
        <v>958</v>
      </c>
      <c r="G656" s="7">
        <v>44335</v>
      </c>
      <c r="H656" s="5" t="s">
        <v>13</v>
      </c>
    </row>
    <row r="657" spans="1:8" x14ac:dyDescent="0.35">
      <c r="A657" s="10">
        <f t="shared" si="10"/>
        <v>653</v>
      </c>
      <c r="B657" s="5">
        <v>7591</v>
      </c>
      <c r="C657" s="5" t="s">
        <v>999</v>
      </c>
      <c r="D657" s="5" t="s">
        <v>488</v>
      </c>
      <c r="E657" s="5" t="s">
        <v>228</v>
      </c>
      <c r="F657" s="5" t="s">
        <v>228</v>
      </c>
      <c r="G657" s="7">
        <v>44363</v>
      </c>
      <c r="H657" s="5" t="s">
        <v>13</v>
      </c>
    </row>
    <row r="658" spans="1:8" x14ac:dyDescent="0.35">
      <c r="A658" s="10">
        <f t="shared" si="10"/>
        <v>654</v>
      </c>
      <c r="B658" s="5">
        <v>7592</v>
      </c>
      <c r="C658" s="5" t="s">
        <v>1000</v>
      </c>
      <c r="D658" s="5" t="s">
        <v>519</v>
      </c>
      <c r="E658" s="5" t="s">
        <v>24</v>
      </c>
      <c r="F658" s="5" t="s">
        <v>152</v>
      </c>
      <c r="G658" s="7">
        <v>44370</v>
      </c>
      <c r="H658" s="5" t="s">
        <v>13</v>
      </c>
    </row>
    <row r="659" spans="1:8" x14ac:dyDescent="0.35">
      <c r="A659" s="10">
        <f t="shared" si="10"/>
        <v>655</v>
      </c>
      <c r="B659" s="5">
        <v>7595</v>
      </c>
      <c r="C659" s="5" t="s">
        <v>1001</v>
      </c>
      <c r="D659" s="5" t="s">
        <v>639</v>
      </c>
      <c r="E659" s="5" t="s">
        <v>640</v>
      </c>
      <c r="F659" s="5" t="s">
        <v>641</v>
      </c>
      <c r="G659" s="7">
        <v>44378</v>
      </c>
      <c r="H659" s="5" t="s">
        <v>13</v>
      </c>
    </row>
    <row r="660" spans="1:8" x14ac:dyDescent="0.35">
      <c r="A660" s="10">
        <f t="shared" si="10"/>
        <v>656</v>
      </c>
      <c r="B660" s="5">
        <v>7601</v>
      </c>
      <c r="C660" s="5" t="s">
        <v>1002</v>
      </c>
      <c r="D660" s="5" t="s">
        <v>563</v>
      </c>
      <c r="E660" s="5" t="s">
        <v>16</v>
      </c>
      <c r="F660" s="5" t="s">
        <v>718</v>
      </c>
      <c r="G660" s="7">
        <v>44774</v>
      </c>
      <c r="H660" s="5" t="s">
        <v>13</v>
      </c>
    </row>
    <row r="661" spans="1:8" x14ac:dyDescent="0.35">
      <c r="A661" s="10">
        <f t="shared" si="10"/>
        <v>657</v>
      </c>
      <c r="B661" s="5">
        <v>7622</v>
      </c>
      <c r="C661" s="5" t="s">
        <v>1003</v>
      </c>
      <c r="D661" s="5" t="s">
        <v>563</v>
      </c>
      <c r="E661" s="5" t="s">
        <v>16</v>
      </c>
      <c r="F661" s="5" t="s">
        <v>658</v>
      </c>
      <c r="G661" s="7">
        <v>44396</v>
      </c>
      <c r="H661" s="5" t="s">
        <v>13</v>
      </c>
    </row>
    <row r="662" spans="1:8" x14ac:dyDescent="0.35">
      <c r="A662" s="10">
        <f t="shared" si="10"/>
        <v>658</v>
      </c>
      <c r="B662" s="5">
        <v>7652</v>
      </c>
      <c r="C662" s="5" t="s">
        <v>1004</v>
      </c>
      <c r="D662" s="5" t="s">
        <v>563</v>
      </c>
      <c r="E662" s="5" t="s">
        <v>16</v>
      </c>
      <c r="F662" s="5" t="s">
        <v>589</v>
      </c>
      <c r="G662" s="7">
        <v>44440</v>
      </c>
      <c r="H662" s="5" t="s">
        <v>13</v>
      </c>
    </row>
    <row r="663" spans="1:8" x14ac:dyDescent="0.35">
      <c r="A663" s="10">
        <f t="shared" si="10"/>
        <v>659</v>
      </c>
      <c r="B663" s="5">
        <v>7669</v>
      </c>
      <c r="C663" s="5" t="s">
        <v>1005</v>
      </c>
      <c r="D663" s="5" t="s">
        <v>563</v>
      </c>
      <c r="E663" s="5" t="s">
        <v>16</v>
      </c>
      <c r="F663" s="5" t="s">
        <v>958</v>
      </c>
      <c r="G663" s="7">
        <v>44446</v>
      </c>
      <c r="H663" s="5" t="s">
        <v>13</v>
      </c>
    </row>
    <row r="664" spans="1:8" x14ac:dyDescent="0.35">
      <c r="A664" s="10">
        <f t="shared" si="10"/>
        <v>660</v>
      </c>
      <c r="B664" s="5">
        <v>7689</v>
      </c>
      <c r="C664" s="5" t="s">
        <v>1006</v>
      </c>
      <c r="D664" s="5" t="s">
        <v>563</v>
      </c>
      <c r="E664" s="5" t="s">
        <v>16</v>
      </c>
      <c r="F664" s="5" t="s">
        <v>645</v>
      </c>
      <c r="G664" s="7">
        <v>44870</v>
      </c>
      <c r="H664" s="5" t="s">
        <v>13</v>
      </c>
    </row>
    <row r="665" spans="1:8" x14ac:dyDescent="0.35">
      <c r="A665" s="10">
        <f t="shared" si="10"/>
        <v>661</v>
      </c>
      <c r="B665" s="5">
        <v>7707</v>
      </c>
      <c r="C665" s="5" t="s">
        <v>1007</v>
      </c>
      <c r="D665" s="5" t="s">
        <v>563</v>
      </c>
      <c r="E665" s="5" t="s">
        <v>16</v>
      </c>
      <c r="F665" s="5" t="s">
        <v>589</v>
      </c>
      <c r="G665" s="7">
        <v>44835</v>
      </c>
      <c r="H665" s="5" t="s">
        <v>13</v>
      </c>
    </row>
    <row r="666" spans="1:8" x14ac:dyDescent="0.35">
      <c r="A666" s="10">
        <f t="shared" si="10"/>
        <v>662</v>
      </c>
      <c r="B666" s="5">
        <v>7713</v>
      </c>
      <c r="C666" s="5" t="s">
        <v>1008</v>
      </c>
      <c r="D666" s="5" t="s">
        <v>563</v>
      </c>
      <c r="E666" s="5" t="s">
        <v>16</v>
      </c>
      <c r="F666" s="5" t="s">
        <v>574</v>
      </c>
      <c r="G666" s="7">
        <v>44835</v>
      </c>
      <c r="H666" s="5" t="s">
        <v>13</v>
      </c>
    </row>
    <row r="667" spans="1:8" x14ac:dyDescent="0.35">
      <c r="A667" s="10">
        <f t="shared" si="10"/>
        <v>663</v>
      </c>
      <c r="B667" s="5">
        <v>7733</v>
      </c>
      <c r="C667" s="5" t="s">
        <v>1009</v>
      </c>
      <c r="D667" s="5" t="s">
        <v>563</v>
      </c>
      <c r="E667" s="5" t="s">
        <v>16</v>
      </c>
      <c r="F667" s="5" t="s">
        <v>626</v>
      </c>
      <c r="G667" s="7">
        <v>44477</v>
      </c>
      <c r="H667" s="5" t="s">
        <v>13</v>
      </c>
    </row>
    <row r="668" spans="1:8" x14ac:dyDescent="0.35">
      <c r="A668" s="10">
        <f t="shared" si="10"/>
        <v>664</v>
      </c>
      <c r="B668" s="5">
        <v>7734</v>
      </c>
      <c r="C668" s="5" t="s">
        <v>1010</v>
      </c>
      <c r="D668" s="5" t="s">
        <v>563</v>
      </c>
      <c r="E668" s="5" t="s">
        <v>16</v>
      </c>
      <c r="F668" s="5" t="s">
        <v>697</v>
      </c>
      <c r="G668" s="7">
        <v>44478</v>
      </c>
      <c r="H668" s="5" t="s">
        <v>13</v>
      </c>
    </row>
    <row r="669" spans="1:8" x14ac:dyDescent="0.35">
      <c r="A669" s="10">
        <f t="shared" si="10"/>
        <v>665</v>
      </c>
      <c r="B669" s="5">
        <v>7747</v>
      </c>
      <c r="C669" s="5" t="s">
        <v>1011</v>
      </c>
      <c r="D669" s="5" t="s">
        <v>563</v>
      </c>
      <c r="E669" s="5" t="s">
        <v>16</v>
      </c>
      <c r="F669" s="5" t="s">
        <v>711</v>
      </c>
      <c r="G669" s="7">
        <v>44501</v>
      </c>
      <c r="H669" s="5" t="s">
        <v>13</v>
      </c>
    </row>
    <row r="670" spans="1:8" x14ac:dyDescent="0.35">
      <c r="A670" s="10">
        <f t="shared" si="10"/>
        <v>666</v>
      </c>
      <c r="B670" s="5">
        <v>7750</v>
      </c>
      <c r="C670" s="5" t="s">
        <v>1012</v>
      </c>
      <c r="D670" s="5" t="s">
        <v>563</v>
      </c>
      <c r="E670" s="5" t="s">
        <v>16</v>
      </c>
      <c r="F670" s="5" t="s">
        <v>711</v>
      </c>
      <c r="G670" s="7">
        <v>44501</v>
      </c>
      <c r="H670" s="5" t="s">
        <v>13</v>
      </c>
    </row>
    <row r="671" spans="1:8" x14ac:dyDescent="0.35">
      <c r="A671" s="10">
        <f t="shared" si="10"/>
        <v>667</v>
      </c>
      <c r="B671" s="5">
        <v>7751</v>
      </c>
      <c r="C671" s="5" t="s">
        <v>1013</v>
      </c>
      <c r="D671" s="5" t="s">
        <v>563</v>
      </c>
      <c r="E671" s="5" t="s">
        <v>16</v>
      </c>
      <c r="F671" s="5" t="s">
        <v>407</v>
      </c>
      <c r="G671" s="7">
        <v>44501</v>
      </c>
      <c r="H671" s="5" t="s">
        <v>13</v>
      </c>
    </row>
    <row r="672" spans="1:8" x14ac:dyDescent="0.35">
      <c r="A672" s="10">
        <f t="shared" si="10"/>
        <v>668</v>
      </c>
      <c r="B672" s="5">
        <v>7753</v>
      </c>
      <c r="C672" s="5" t="s">
        <v>1014</v>
      </c>
      <c r="D672" s="5" t="s">
        <v>563</v>
      </c>
      <c r="E672" s="5" t="s">
        <v>16</v>
      </c>
      <c r="F672" s="5" t="s">
        <v>353</v>
      </c>
      <c r="G672" s="7">
        <v>44501</v>
      </c>
      <c r="H672" s="5" t="s">
        <v>13</v>
      </c>
    </row>
    <row r="673" spans="1:8" x14ac:dyDescent="0.35">
      <c r="A673" s="10">
        <f t="shared" si="10"/>
        <v>669</v>
      </c>
      <c r="B673" s="5">
        <v>7756</v>
      </c>
      <c r="C673" s="5" t="s">
        <v>1015</v>
      </c>
      <c r="D673" s="5" t="s">
        <v>669</v>
      </c>
      <c r="E673" s="5" t="s">
        <v>103</v>
      </c>
      <c r="F673" s="5" t="s">
        <v>103</v>
      </c>
      <c r="G673" s="7">
        <v>44501</v>
      </c>
      <c r="H673" s="5" t="s">
        <v>13</v>
      </c>
    </row>
    <row r="674" spans="1:8" x14ac:dyDescent="0.35">
      <c r="A674" s="10">
        <f t="shared" si="10"/>
        <v>670</v>
      </c>
      <c r="B674" s="5">
        <v>7757</v>
      </c>
      <c r="C674" s="5" t="s">
        <v>1016</v>
      </c>
      <c r="D674" s="5" t="s">
        <v>669</v>
      </c>
      <c r="E674" s="5" t="s">
        <v>103</v>
      </c>
      <c r="F674" s="5" t="s">
        <v>103</v>
      </c>
      <c r="G674" s="7">
        <v>44501</v>
      </c>
      <c r="H674" s="5" t="s">
        <v>13</v>
      </c>
    </row>
    <row r="675" spans="1:8" x14ac:dyDescent="0.35">
      <c r="A675" s="10">
        <f t="shared" si="10"/>
        <v>671</v>
      </c>
      <c r="B675" s="5">
        <v>7766</v>
      </c>
      <c r="C675" s="5" t="s">
        <v>1017</v>
      </c>
      <c r="D675" s="5" t="s">
        <v>716</v>
      </c>
      <c r="E675" s="5" t="s">
        <v>165</v>
      </c>
      <c r="F675" s="5" t="s">
        <v>165</v>
      </c>
      <c r="G675" s="7">
        <v>44516</v>
      </c>
      <c r="H675" s="5" t="s">
        <v>13</v>
      </c>
    </row>
    <row r="676" spans="1:8" x14ac:dyDescent="0.35">
      <c r="A676" s="10">
        <f t="shared" si="10"/>
        <v>672</v>
      </c>
      <c r="B676" s="5">
        <v>7767</v>
      </c>
      <c r="C676" s="5" t="s">
        <v>1018</v>
      </c>
      <c r="D676" s="5" t="s">
        <v>1019</v>
      </c>
      <c r="E676" s="5" t="s">
        <v>24</v>
      </c>
      <c r="F676" s="5" t="s">
        <v>24</v>
      </c>
      <c r="G676" s="7">
        <v>44516</v>
      </c>
      <c r="H676" s="5" t="s">
        <v>13</v>
      </c>
    </row>
    <row r="677" spans="1:8" x14ac:dyDescent="0.35">
      <c r="A677" s="10">
        <f t="shared" si="10"/>
        <v>673</v>
      </c>
      <c r="B677" s="5">
        <v>7768</v>
      </c>
      <c r="C677" s="5" t="s">
        <v>1020</v>
      </c>
      <c r="D677" s="5" t="s">
        <v>1021</v>
      </c>
      <c r="E677" s="5" t="s">
        <v>376</v>
      </c>
      <c r="F677" s="5" t="s">
        <v>466</v>
      </c>
      <c r="G677" s="7">
        <v>44516</v>
      </c>
      <c r="H677" s="5" t="s">
        <v>13</v>
      </c>
    </row>
    <row r="678" spans="1:8" x14ac:dyDescent="0.35">
      <c r="A678" s="10">
        <f t="shared" si="10"/>
        <v>674</v>
      </c>
      <c r="B678" s="5">
        <v>7770</v>
      </c>
      <c r="C678" s="5" t="s">
        <v>1022</v>
      </c>
      <c r="D678" s="5" t="s">
        <v>29</v>
      </c>
      <c r="E678" s="5" t="s">
        <v>28</v>
      </c>
      <c r="F678" s="5" t="s">
        <v>29</v>
      </c>
      <c r="G678" s="7">
        <v>44516</v>
      </c>
      <c r="H678" s="5" t="s">
        <v>13</v>
      </c>
    </row>
    <row r="679" spans="1:8" x14ac:dyDescent="0.35">
      <c r="A679" s="10">
        <f t="shared" si="10"/>
        <v>675</v>
      </c>
      <c r="B679" s="5">
        <v>7775</v>
      </c>
      <c r="C679" s="5" t="s">
        <v>1023</v>
      </c>
      <c r="D679" s="5" t="s">
        <v>1024</v>
      </c>
      <c r="E679" s="5" t="s">
        <v>424</v>
      </c>
      <c r="F679" s="5" t="s">
        <v>424</v>
      </c>
      <c r="G679" s="7">
        <v>44531</v>
      </c>
      <c r="H679" s="5" t="s">
        <v>21</v>
      </c>
    </row>
    <row r="680" spans="1:8" x14ac:dyDescent="0.35">
      <c r="A680" s="10">
        <f t="shared" si="10"/>
        <v>676</v>
      </c>
      <c r="B680" s="5">
        <v>7782</v>
      </c>
      <c r="C680" s="5" t="s">
        <v>1025</v>
      </c>
      <c r="D680" s="5" t="s">
        <v>69</v>
      </c>
      <c r="E680" s="5" t="s">
        <v>1026</v>
      </c>
      <c r="F680" s="5" t="s">
        <v>1027</v>
      </c>
      <c r="G680" s="7">
        <v>44531</v>
      </c>
      <c r="H680" s="5" t="s">
        <v>13</v>
      </c>
    </row>
    <row r="681" spans="1:8" x14ac:dyDescent="0.35">
      <c r="A681" s="10">
        <f t="shared" si="10"/>
        <v>677</v>
      </c>
      <c r="B681" s="5">
        <v>7784</v>
      </c>
      <c r="C681" s="5" t="s">
        <v>1028</v>
      </c>
      <c r="D681" s="5" t="s">
        <v>693</v>
      </c>
      <c r="E681" s="5" t="s">
        <v>181</v>
      </c>
      <c r="F681" s="5" t="s">
        <v>181</v>
      </c>
      <c r="G681" s="7">
        <v>44536</v>
      </c>
      <c r="H681" s="5" t="s">
        <v>13</v>
      </c>
    </row>
    <row r="682" spans="1:8" x14ac:dyDescent="0.35">
      <c r="A682" s="10">
        <f t="shared" si="10"/>
        <v>678</v>
      </c>
      <c r="B682" s="5">
        <v>7789</v>
      </c>
      <c r="C682" s="5" t="s">
        <v>1032</v>
      </c>
      <c r="D682" s="5" t="s">
        <v>563</v>
      </c>
      <c r="E682" s="5" t="s">
        <v>16</v>
      </c>
      <c r="F682" s="5" t="s">
        <v>718</v>
      </c>
      <c r="G682" s="7">
        <v>44543</v>
      </c>
      <c r="H682" s="5" t="s">
        <v>13</v>
      </c>
    </row>
    <row r="683" spans="1:8" x14ac:dyDescent="0.35">
      <c r="A683" s="10">
        <f t="shared" si="10"/>
        <v>679</v>
      </c>
      <c r="B683" s="5">
        <v>7790</v>
      </c>
      <c r="C683" s="5" t="s">
        <v>1033</v>
      </c>
      <c r="D683" s="5" t="s">
        <v>1034</v>
      </c>
      <c r="E683" s="5" t="s">
        <v>322</v>
      </c>
      <c r="F683" s="5" t="s">
        <v>322</v>
      </c>
      <c r="G683" s="7">
        <v>44546</v>
      </c>
      <c r="H683" s="5" t="s">
        <v>13</v>
      </c>
    </row>
    <row r="684" spans="1:8" x14ac:dyDescent="0.35">
      <c r="A684" s="10">
        <f t="shared" si="10"/>
        <v>680</v>
      </c>
      <c r="B684" s="5">
        <v>7792</v>
      </c>
      <c r="C684" s="5" t="s">
        <v>1035</v>
      </c>
      <c r="D684" s="5" t="s">
        <v>563</v>
      </c>
      <c r="E684" s="5" t="s">
        <v>16</v>
      </c>
      <c r="F684" s="5" t="s">
        <v>729</v>
      </c>
      <c r="G684" s="7">
        <v>44927</v>
      </c>
      <c r="H684" s="5" t="s">
        <v>13</v>
      </c>
    </row>
    <row r="685" spans="1:8" x14ac:dyDescent="0.35">
      <c r="A685" s="10">
        <f t="shared" si="10"/>
        <v>681</v>
      </c>
      <c r="B685" s="5">
        <v>7798</v>
      </c>
      <c r="C685" s="5" t="s">
        <v>1036</v>
      </c>
      <c r="D685" s="5" t="s">
        <v>807</v>
      </c>
      <c r="E685" s="5" t="s">
        <v>87</v>
      </c>
      <c r="F685" s="5" t="s">
        <v>808</v>
      </c>
      <c r="G685" s="7">
        <v>44552</v>
      </c>
      <c r="H685" s="5" t="s">
        <v>13</v>
      </c>
    </row>
    <row r="686" spans="1:8" x14ac:dyDescent="0.35">
      <c r="A686" s="10">
        <f t="shared" si="10"/>
        <v>682</v>
      </c>
      <c r="B686" s="5">
        <v>7814</v>
      </c>
      <c r="C686" s="5" t="s">
        <v>1037</v>
      </c>
      <c r="D686" s="5" t="s">
        <v>807</v>
      </c>
      <c r="E686" s="5" t="s">
        <v>87</v>
      </c>
      <c r="F686" s="5" t="s">
        <v>808</v>
      </c>
      <c r="G686" s="7">
        <v>44562</v>
      </c>
      <c r="H686" s="5" t="s">
        <v>13</v>
      </c>
    </row>
    <row r="687" spans="1:8" x14ac:dyDescent="0.35">
      <c r="A687" s="10">
        <f t="shared" si="10"/>
        <v>683</v>
      </c>
      <c r="B687" s="5">
        <v>7815</v>
      </c>
      <c r="C687" s="5" t="s">
        <v>1038</v>
      </c>
      <c r="D687" s="5" t="s">
        <v>563</v>
      </c>
      <c r="E687" s="5" t="s">
        <v>16</v>
      </c>
      <c r="F687" s="5" t="s">
        <v>480</v>
      </c>
      <c r="G687" s="7">
        <v>44562</v>
      </c>
      <c r="H687" s="5" t="s">
        <v>13</v>
      </c>
    </row>
    <row r="688" spans="1:8" x14ac:dyDescent="0.35">
      <c r="A688" s="10">
        <f t="shared" si="10"/>
        <v>684</v>
      </c>
      <c r="B688" s="5">
        <v>7817</v>
      </c>
      <c r="C688" s="5" t="s">
        <v>1039</v>
      </c>
      <c r="D688" s="5" t="s">
        <v>563</v>
      </c>
      <c r="E688" s="5" t="s">
        <v>16</v>
      </c>
      <c r="F688" s="5" t="s">
        <v>718</v>
      </c>
      <c r="G688" s="7">
        <v>44562</v>
      </c>
      <c r="H688" s="5" t="s">
        <v>13</v>
      </c>
    </row>
    <row r="689" spans="1:8" x14ac:dyDescent="0.35">
      <c r="A689" s="10">
        <f t="shared" si="10"/>
        <v>685</v>
      </c>
      <c r="B689" s="5">
        <v>7818</v>
      </c>
      <c r="C689" s="5" t="s">
        <v>1040</v>
      </c>
      <c r="D689" s="5" t="s">
        <v>563</v>
      </c>
      <c r="E689" s="5" t="s">
        <v>16</v>
      </c>
      <c r="F689" s="5" t="s">
        <v>739</v>
      </c>
      <c r="G689" s="7">
        <v>44562</v>
      </c>
      <c r="H689" s="5" t="s">
        <v>13</v>
      </c>
    </row>
    <row r="690" spans="1:8" x14ac:dyDescent="0.35">
      <c r="A690" s="10">
        <f t="shared" si="10"/>
        <v>686</v>
      </c>
      <c r="B690" s="5">
        <v>7822</v>
      </c>
      <c r="C690" s="5" t="s">
        <v>1041</v>
      </c>
      <c r="D690" s="5" t="s">
        <v>563</v>
      </c>
      <c r="E690" s="5" t="s">
        <v>16</v>
      </c>
      <c r="F690" s="5" t="s">
        <v>718</v>
      </c>
      <c r="G690" s="7">
        <v>44581</v>
      </c>
      <c r="H690" s="5" t="s">
        <v>13</v>
      </c>
    </row>
    <row r="691" spans="1:8" x14ac:dyDescent="0.35">
      <c r="A691" s="10">
        <f t="shared" si="10"/>
        <v>687</v>
      </c>
      <c r="B691" s="5">
        <v>7828</v>
      </c>
      <c r="C691" s="5" t="s">
        <v>1042</v>
      </c>
      <c r="D691" s="5" t="s">
        <v>563</v>
      </c>
      <c r="E691" s="5" t="s">
        <v>16</v>
      </c>
      <c r="F691" s="5" t="s">
        <v>718</v>
      </c>
      <c r="G691" s="7">
        <v>44958</v>
      </c>
      <c r="H691" s="5" t="s">
        <v>13</v>
      </c>
    </row>
    <row r="692" spans="1:8" x14ac:dyDescent="0.35">
      <c r="A692" s="10">
        <f t="shared" si="10"/>
        <v>688</v>
      </c>
      <c r="B692" s="5">
        <v>7841</v>
      </c>
      <c r="C692" s="5" t="s">
        <v>1043</v>
      </c>
      <c r="D692" s="5" t="s">
        <v>563</v>
      </c>
      <c r="E692" s="5" t="s">
        <v>16</v>
      </c>
      <c r="F692" s="5" t="s">
        <v>144</v>
      </c>
      <c r="G692" s="7">
        <v>44958</v>
      </c>
      <c r="H692" s="5" t="s">
        <v>13</v>
      </c>
    </row>
    <row r="693" spans="1:8" x14ac:dyDescent="0.35">
      <c r="A693" s="10">
        <f t="shared" si="10"/>
        <v>689</v>
      </c>
      <c r="B693" s="5">
        <v>7842</v>
      </c>
      <c r="C693" s="5" t="s">
        <v>1044</v>
      </c>
      <c r="D693" s="5" t="s">
        <v>563</v>
      </c>
      <c r="E693" s="5" t="s">
        <v>16</v>
      </c>
      <c r="F693" s="5" t="s">
        <v>958</v>
      </c>
      <c r="G693" s="7">
        <v>44958</v>
      </c>
      <c r="H693" s="5" t="s">
        <v>13</v>
      </c>
    </row>
    <row r="694" spans="1:8" x14ac:dyDescent="0.35">
      <c r="A694" s="10">
        <f t="shared" si="10"/>
        <v>690</v>
      </c>
      <c r="B694" s="5">
        <v>7845</v>
      </c>
      <c r="C694" s="5" t="s">
        <v>1045</v>
      </c>
      <c r="D694" s="5" t="s">
        <v>778</v>
      </c>
      <c r="E694" s="5" t="s">
        <v>314</v>
      </c>
      <c r="F694" s="5" t="s">
        <v>315</v>
      </c>
      <c r="G694" s="7">
        <v>44593</v>
      </c>
      <c r="H694" s="5" t="s">
        <v>13</v>
      </c>
    </row>
    <row r="695" spans="1:8" x14ac:dyDescent="0.35">
      <c r="A695" s="10">
        <f t="shared" si="10"/>
        <v>691</v>
      </c>
      <c r="B695" s="5">
        <v>7846</v>
      </c>
      <c r="C695" s="5" t="s">
        <v>1046</v>
      </c>
      <c r="D695" s="5" t="s">
        <v>778</v>
      </c>
      <c r="E695" s="5" t="s">
        <v>314</v>
      </c>
      <c r="F695" s="5" t="s">
        <v>315</v>
      </c>
      <c r="G695" s="7">
        <v>44593</v>
      </c>
      <c r="H695" s="5" t="s">
        <v>13</v>
      </c>
    </row>
    <row r="696" spans="1:8" x14ac:dyDescent="0.35">
      <c r="A696" s="10">
        <f t="shared" si="10"/>
        <v>692</v>
      </c>
      <c r="B696" s="5">
        <v>7847</v>
      </c>
      <c r="C696" s="5" t="s">
        <v>1047</v>
      </c>
      <c r="D696" s="5" t="s">
        <v>778</v>
      </c>
      <c r="E696" s="5" t="s">
        <v>314</v>
      </c>
      <c r="F696" s="5" t="s">
        <v>315</v>
      </c>
      <c r="G696" s="7">
        <v>44593</v>
      </c>
      <c r="H696" s="5" t="s">
        <v>13</v>
      </c>
    </row>
    <row r="697" spans="1:8" x14ac:dyDescent="0.35">
      <c r="A697" s="10">
        <f t="shared" si="10"/>
        <v>693</v>
      </c>
      <c r="B697" s="5">
        <v>7848</v>
      </c>
      <c r="C697" s="5" t="s">
        <v>1048</v>
      </c>
      <c r="D697" s="5" t="s">
        <v>778</v>
      </c>
      <c r="E697" s="5" t="s">
        <v>314</v>
      </c>
      <c r="F697" s="5" t="s">
        <v>315</v>
      </c>
      <c r="G697" s="7">
        <v>44593</v>
      </c>
      <c r="H697" s="5" t="s">
        <v>13</v>
      </c>
    </row>
    <row r="698" spans="1:8" x14ac:dyDescent="0.35">
      <c r="A698" s="10">
        <f t="shared" si="10"/>
        <v>694</v>
      </c>
      <c r="B698" s="5">
        <v>7849</v>
      </c>
      <c r="C698" s="5" t="s">
        <v>1049</v>
      </c>
      <c r="D698" s="5" t="s">
        <v>778</v>
      </c>
      <c r="E698" s="5" t="s">
        <v>314</v>
      </c>
      <c r="F698" s="5" t="s">
        <v>315</v>
      </c>
      <c r="G698" s="7">
        <v>44593</v>
      </c>
      <c r="H698" s="5" t="s">
        <v>13</v>
      </c>
    </row>
    <row r="699" spans="1:8" x14ac:dyDescent="0.35">
      <c r="A699" s="10">
        <f t="shared" si="10"/>
        <v>695</v>
      </c>
      <c r="B699" s="5">
        <v>7851</v>
      </c>
      <c r="C699" s="5" t="s">
        <v>1050</v>
      </c>
      <c r="D699" s="5" t="s">
        <v>563</v>
      </c>
      <c r="E699" s="5" t="s">
        <v>16</v>
      </c>
      <c r="F699" s="5" t="s">
        <v>141</v>
      </c>
      <c r="G699" s="7">
        <v>44597</v>
      </c>
      <c r="H699" s="5" t="s">
        <v>13</v>
      </c>
    </row>
    <row r="700" spans="1:8" x14ac:dyDescent="0.35">
      <c r="A700" s="10">
        <f t="shared" si="10"/>
        <v>696</v>
      </c>
      <c r="B700" s="5">
        <v>7868</v>
      </c>
      <c r="C700" s="5" t="s">
        <v>1051</v>
      </c>
      <c r="D700" s="5" t="s">
        <v>563</v>
      </c>
      <c r="E700" s="5" t="s">
        <v>16</v>
      </c>
      <c r="F700" s="5" t="s">
        <v>656</v>
      </c>
      <c r="G700" s="7">
        <v>45017</v>
      </c>
      <c r="H700" s="5" t="s">
        <v>13</v>
      </c>
    </row>
    <row r="701" spans="1:8" x14ac:dyDescent="0.35">
      <c r="A701" s="10">
        <f t="shared" si="10"/>
        <v>697</v>
      </c>
      <c r="B701" s="5">
        <v>7872</v>
      </c>
      <c r="C701" s="5" t="s">
        <v>1052</v>
      </c>
      <c r="D701" s="5" t="s">
        <v>563</v>
      </c>
      <c r="E701" s="5" t="s">
        <v>16</v>
      </c>
      <c r="F701" s="5" t="s">
        <v>825</v>
      </c>
      <c r="G701" s="7">
        <v>45017</v>
      </c>
      <c r="H701" s="5" t="s">
        <v>13</v>
      </c>
    </row>
    <row r="702" spans="1:8" x14ac:dyDescent="0.35">
      <c r="A702" s="10">
        <f t="shared" si="10"/>
        <v>698</v>
      </c>
      <c r="B702" s="5">
        <v>7879</v>
      </c>
      <c r="C702" s="5" t="s">
        <v>1053</v>
      </c>
      <c r="D702" s="5" t="s">
        <v>797</v>
      </c>
      <c r="E702" s="5" t="s">
        <v>1054</v>
      </c>
      <c r="F702" s="5" t="s">
        <v>1054</v>
      </c>
      <c r="G702" s="7">
        <v>44621</v>
      </c>
      <c r="H702" s="5" t="s">
        <v>13</v>
      </c>
    </row>
    <row r="703" spans="1:8" x14ac:dyDescent="0.35">
      <c r="A703" s="10">
        <f t="shared" si="10"/>
        <v>699</v>
      </c>
      <c r="B703" s="5">
        <v>7883</v>
      </c>
      <c r="C703" s="5" t="s">
        <v>1055</v>
      </c>
      <c r="D703" s="5" t="s">
        <v>519</v>
      </c>
      <c r="E703" s="5" t="s">
        <v>24</v>
      </c>
      <c r="F703" s="5" t="s">
        <v>152</v>
      </c>
      <c r="G703" s="7">
        <v>44621</v>
      </c>
      <c r="H703" s="5" t="s">
        <v>13</v>
      </c>
    </row>
    <row r="704" spans="1:8" x14ac:dyDescent="0.35">
      <c r="A704" s="10">
        <f t="shared" si="10"/>
        <v>700</v>
      </c>
      <c r="B704" s="5">
        <v>7885</v>
      </c>
      <c r="C704" s="5" t="s">
        <v>1056</v>
      </c>
      <c r="D704" s="5" t="s">
        <v>563</v>
      </c>
      <c r="E704" s="5" t="s">
        <v>16</v>
      </c>
      <c r="F704" s="5" t="s">
        <v>1057</v>
      </c>
      <c r="G704" s="7">
        <v>44621</v>
      </c>
      <c r="H704" s="5" t="s">
        <v>13</v>
      </c>
    </row>
    <row r="705" spans="1:8" x14ac:dyDescent="0.35">
      <c r="A705" s="10">
        <f t="shared" si="10"/>
        <v>701</v>
      </c>
      <c r="B705" s="5">
        <v>7894</v>
      </c>
      <c r="C705" s="5" t="s">
        <v>1062</v>
      </c>
      <c r="D705" s="5" t="s">
        <v>563</v>
      </c>
      <c r="E705" s="5" t="s">
        <v>16</v>
      </c>
      <c r="F705" s="5" t="s">
        <v>353</v>
      </c>
      <c r="G705" s="7">
        <v>44641</v>
      </c>
      <c r="H705" s="5" t="s">
        <v>13</v>
      </c>
    </row>
    <row r="706" spans="1:8" x14ac:dyDescent="0.35">
      <c r="A706" s="10">
        <f t="shared" si="10"/>
        <v>702</v>
      </c>
      <c r="B706" s="5">
        <v>7901</v>
      </c>
      <c r="C706" s="5" t="s">
        <v>1063</v>
      </c>
      <c r="D706" s="5" t="s">
        <v>563</v>
      </c>
      <c r="E706" s="5" t="s">
        <v>16</v>
      </c>
      <c r="F706" s="5" t="s">
        <v>141</v>
      </c>
      <c r="G706" s="7">
        <v>44648</v>
      </c>
      <c r="H706" s="5" t="s">
        <v>13</v>
      </c>
    </row>
    <row r="707" spans="1:8" x14ac:dyDescent="0.35">
      <c r="A707" s="10">
        <f t="shared" si="10"/>
        <v>703</v>
      </c>
      <c r="B707" s="5">
        <v>7902</v>
      </c>
      <c r="C707" s="5" t="s">
        <v>1064</v>
      </c>
      <c r="D707" s="5" t="s">
        <v>563</v>
      </c>
      <c r="E707" s="5" t="s">
        <v>16</v>
      </c>
      <c r="F707" s="5" t="s">
        <v>110</v>
      </c>
      <c r="G707" s="7">
        <v>44652</v>
      </c>
      <c r="H707" s="5" t="s">
        <v>13</v>
      </c>
    </row>
    <row r="708" spans="1:8" x14ac:dyDescent="0.35">
      <c r="A708" s="10">
        <f t="shared" si="10"/>
        <v>704</v>
      </c>
      <c r="B708" s="5">
        <v>7903</v>
      </c>
      <c r="C708" s="5" t="s">
        <v>1065</v>
      </c>
      <c r="D708" s="5" t="s">
        <v>563</v>
      </c>
      <c r="E708" s="5" t="s">
        <v>16</v>
      </c>
      <c r="F708" s="5" t="s">
        <v>681</v>
      </c>
      <c r="G708" s="7">
        <v>44652</v>
      </c>
      <c r="H708" s="5" t="s">
        <v>13</v>
      </c>
    </row>
    <row r="709" spans="1:8" x14ac:dyDescent="0.35">
      <c r="A709" s="10">
        <f t="shared" si="10"/>
        <v>705</v>
      </c>
      <c r="B709" s="5">
        <v>7907</v>
      </c>
      <c r="C709" s="5" t="s">
        <v>1066</v>
      </c>
      <c r="D709" s="5" t="s">
        <v>488</v>
      </c>
      <c r="E709" s="5" t="s">
        <v>94</v>
      </c>
      <c r="F709" s="5" t="s">
        <v>94</v>
      </c>
      <c r="G709" s="7">
        <v>44652</v>
      </c>
      <c r="H709" s="5" t="s">
        <v>13</v>
      </c>
    </row>
    <row r="710" spans="1:8" x14ac:dyDescent="0.35">
      <c r="A710" s="10">
        <f t="shared" ref="A710:A773" si="11">+A709+1</f>
        <v>706</v>
      </c>
      <c r="B710" s="5">
        <v>7913</v>
      </c>
      <c r="C710" s="5" t="s">
        <v>1067</v>
      </c>
      <c r="D710" s="5" t="s">
        <v>563</v>
      </c>
      <c r="E710" s="5" t="s">
        <v>16</v>
      </c>
      <c r="F710" s="5" t="s">
        <v>368</v>
      </c>
      <c r="G710" s="7">
        <v>44655</v>
      </c>
      <c r="H710" s="5" t="s">
        <v>13</v>
      </c>
    </row>
    <row r="711" spans="1:8" x14ac:dyDescent="0.35">
      <c r="A711" s="10">
        <f t="shared" si="11"/>
        <v>707</v>
      </c>
      <c r="B711" s="5">
        <v>7918</v>
      </c>
      <c r="C711" s="5" t="s">
        <v>1068</v>
      </c>
      <c r="D711" s="5" t="s">
        <v>678</v>
      </c>
      <c r="E711" s="5" t="s">
        <v>87</v>
      </c>
      <c r="F711" s="5" t="s">
        <v>678</v>
      </c>
      <c r="G711" s="7">
        <v>44662</v>
      </c>
      <c r="H711" s="5" t="s">
        <v>13</v>
      </c>
    </row>
    <row r="712" spans="1:8" x14ac:dyDescent="0.35">
      <c r="A712" s="10">
        <f t="shared" si="11"/>
        <v>708</v>
      </c>
      <c r="B712" s="5">
        <v>7919</v>
      </c>
      <c r="C712" s="5" t="s">
        <v>1069</v>
      </c>
      <c r="D712" s="5" t="s">
        <v>669</v>
      </c>
      <c r="E712" s="5" t="s">
        <v>103</v>
      </c>
      <c r="F712" s="5" t="s">
        <v>103</v>
      </c>
      <c r="G712" s="7">
        <v>44662</v>
      </c>
      <c r="H712" s="5" t="s">
        <v>13</v>
      </c>
    </row>
    <row r="713" spans="1:8" x14ac:dyDescent="0.35">
      <c r="A713" s="10">
        <f t="shared" si="11"/>
        <v>709</v>
      </c>
      <c r="B713" s="5">
        <v>7927</v>
      </c>
      <c r="C713" s="5" t="s">
        <v>1070</v>
      </c>
      <c r="D713" s="5" t="s">
        <v>563</v>
      </c>
      <c r="E713" s="5" t="s">
        <v>16</v>
      </c>
      <c r="F713" s="5" t="s">
        <v>353</v>
      </c>
      <c r="G713" s="7">
        <v>44669</v>
      </c>
      <c r="H713" s="5" t="s">
        <v>13</v>
      </c>
    </row>
    <row r="714" spans="1:8" x14ac:dyDescent="0.35">
      <c r="A714" s="10">
        <f t="shared" si="11"/>
        <v>710</v>
      </c>
      <c r="B714" s="5">
        <v>7931</v>
      </c>
      <c r="C714" s="5" t="s">
        <v>1071</v>
      </c>
      <c r="D714" s="5" t="s">
        <v>563</v>
      </c>
      <c r="E714" s="5" t="s">
        <v>16</v>
      </c>
      <c r="F714" s="5" t="s">
        <v>48</v>
      </c>
      <c r="G714" s="7">
        <v>44666</v>
      </c>
      <c r="H714" s="5" t="s">
        <v>13</v>
      </c>
    </row>
    <row r="715" spans="1:8" x14ac:dyDescent="0.35">
      <c r="A715" s="10">
        <f t="shared" si="11"/>
        <v>711</v>
      </c>
      <c r="B715" s="5">
        <v>7939</v>
      </c>
      <c r="C715" s="5" t="s">
        <v>1072</v>
      </c>
      <c r="D715" s="5" t="s">
        <v>563</v>
      </c>
      <c r="E715" s="5" t="s">
        <v>16</v>
      </c>
      <c r="F715" s="5" t="s">
        <v>141</v>
      </c>
      <c r="G715" s="7">
        <v>44685</v>
      </c>
      <c r="H715" s="5" t="s">
        <v>13</v>
      </c>
    </row>
    <row r="716" spans="1:8" x14ac:dyDescent="0.35">
      <c r="A716" s="10">
        <f t="shared" si="11"/>
        <v>712</v>
      </c>
      <c r="B716" s="5">
        <v>7948</v>
      </c>
      <c r="C716" s="5" t="s">
        <v>1073</v>
      </c>
      <c r="D716" s="5" t="s">
        <v>563</v>
      </c>
      <c r="E716" s="5" t="s">
        <v>16</v>
      </c>
      <c r="F716" s="5" t="s">
        <v>353</v>
      </c>
      <c r="G716" s="7">
        <v>44690</v>
      </c>
      <c r="H716" s="5" t="s">
        <v>13</v>
      </c>
    </row>
    <row r="717" spans="1:8" x14ac:dyDescent="0.35">
      <c r="A717" s="10">
        <f t="shared" si="11"/>
        <v>713</v>
      </c>
      <c r="B717" s="5">
        <v>7955</v>
      </c>
      <c r="C717" s="5" t="s">
        <v>1074</v>
      </c>
      <c r="D717" s="5" t="s">
        <v>563</v>
      </c>
      <c r="E717" s="5" t="s">
        <v>16</v>
      </c>
      <c r="F717" s="5" t="s">
        <v>141</v>
      </c>
      <c r="G717" s="7">
        <v>45108</v>
      </c>
      <c r="H717" s="5" t="s">
        <v>1075</v>
      </c>
    </row>
    <row r="718" spans="1:8" x14ac:dyDescent="0.35">
      <c r="A718" s="10">
        <f t="shared" si="11"/>
        <v>714</v>
      </c>
      <c r="B718" s="5">
        <v>7966</v>
      </c>
      <c r="C718" s="5" t="s">
        <v>1077</v>
      </c>
      <c r="D718" s="5" t="s">
        <v>807</v>
      </c>
      <c r="E718" s="5" t="s">
        <v>87</v>
      </c>
      <c r="F718" s="5" t="s">
        <v>808</v>
      </c>
      <c r="G718" s="7">
        <v>44696</v>
      </c>
      <c r="H718" s="5" t="s">
        <v>13</v>
      </c>
    </row>
    <row r="719" spans="1:8" x14ac:dyDescent="0.35">
      <c r="A719" s="10">
        <f t="shared" si="11"/>
        <v>715</v>
      </c>
      <c r="B719" s="5">
        <v>7967</v>
      </c>
      <c r="C719" s="5" t="s">
        <v>1078</v>
      </c>
      <c r="D719" s="5" t="s">
        <v>807</v>
      </c>
      <c r="E719" s="5" t="s">
        <v>87</v>
      </c>
      <c r="F719" s="5" t="s">
        <v>808</v>
      </c>
      <c r="G719" s="7">
        <v>44696</v>
      </c>
      <c r="H719" s="5" t="s">
        <v>13</v>
      </c>
    </row>
    <row r="720" spans="1:8" x14ac:dyDescent="0.35">
      <c r="A720" s="10">
        <f t="shared" si="11"/>
        <v>716</v>
      </c>
      <c r="B720" s="5">
        <v>7968</v>
      </c>
      <c r="C720" s="5" t="s">
        <v>1079</v>
      </c>
      <c r="D720" s="5" t="s">
        <v>807</v>
      </c>
      <c r="E720" s="5" t="s">
        <v>87</v>
      </c>
      <c r="F720" s="5" t="s">
        <v>808</v>
      </c>
      <c r="G720" s="7">
        <v>44696</v>
      </c>
      <c r="H720" s="5" t="s">
        <v>13</v>
      </c>
    </row>
    <row r="721" spans="1:8" x14ac:dyDescent="0.35">
      <c r="A721" s="10">
        <f t="shared" si="11"/>
        <v>717</v>
      </c>
      <c r="B721" s="5">
        <v>7970</v>
      </c>
      <c r="C721" s="5" t="s">
        <v>1080</v>
      </c>
      <c r="D721" s="5" t="s">
        <v>669</v>
      </c>
      <c r="E721" s="5" t="s">
        <v>103</v>
      </c>
      <c r="F721" s="5" t="s">
        <v>103</v>
      </c>
      <c r="G721" s="7">
        <v>44696</v>
      </c>
      <c r="H721" s="5" t="s">
        <v>13</v>
      </c>
    </row>
    <row r="722" spans="1:8" x14ac:dyDescent="0.35">
      <c r="A722" s="10">
        <f t="shared" si="11"/>
        <v>718</v>
      </c>
      <c r="B722" s="5">
        <v>7971</v>
      </c>
      <c r="C722" s="5" t="s">
        <v>1081</v>
      </c>
      <c r="D722" s="5" t="s">
        <v>669</v>
      </c>
      <c r="E722" s="5" t="s">
        <v>103</v>
      </c>
      <c r="F722" s="5" t="s">
        <v>103</v>
      </c>
      <c r="G722" s="7">
        <v>44713</v>
      </c>
      <c r="H722" s="5" t="s">
        <v>13</v>
      </c>
    </row>
    <row r="723" spans="1:8" x14ac:dyDescent="0.35">
      <c r="A723" s="10">
        <f t="shared" si="11"/>
        <v>719</v>
      </c>
      <c r="B723" s="5">
        <v>7972</v>
      </c>
      <c r="C723" s="5" t="s">
        <v>1082</v>
      </c>
      <c r="D723" s="5" t="s">
        <v>563</v>
      </c>
      <c r="E723" s="5" t="s">
        <v>16</v>
      </c>
      <c r="F723" s="5" t="s">
        <v>947</v>
      </c>
      <c r="G723" s="7">
        <v>44713</v>
      </c>
      <c r="H723" s="5" t="s">
        <v>13</v>
      </c>
    </row>
    <row r="724" spans="1:8" x14ac:dyDescent="0.35">
      <c r="A724" s="10">
        <f t="shared" si="11"/>
        <v>720</v>
      </c>
      <c r="B724" s="5">
        <v>7973</v>
      </c>
      <c r="C724" s="5" t="s">
        <v>1083</v>
      </c>
      <c r="D724" s="5" t="s">
        <v>669</v>
      </c>
      <c r="E724" s="5" t="s">
        <v>103</v>
      </c>
      <c r="F724" s="5" t="s">
        <v>103</v>
      </c>
      <c r="G724" s="7">
        <v>44718</v>
      </c>
      <c r="H724" s="5" t="s">
        <v>13</v>
      </c>
    </row>
    <row r="725" spans="1:8" x14ac:dyDescent="0.35">
      <c r="A725" s="10">
        <f t="shared" si="11"/>
        <v>721</v>
      </c>
      <c r="B725" s="5">
        <v>7983</v>
      </c>
      <c r="C725" s="5" t="s">
        <v>1084</v>
      </c>
      <c r="D725" s="5" t="s">
        <v>807</v>
      </c>
      <c r="E725" s="5" t="s">
        <v>87</v>
      </c>
      <c r="F725" s="5" t="s">
        <v>808</v>
      </c>
      <c r="G725" s="7">
        <v>44696</v>
      </c>
      <c r="H725" s="5" t="s">
        <v>13</v>
      </c>
    </row>
    <row r="726" spans="1:8" x14ac:dyDescent="0.35">
      <c r="A726" s="10">
        <f t="shared" si="11"/>
        <v>722</v>
      </c>
      <c r="B726" s="5">
        <v>7985</v>
      </c>
      <c r="C726" s="5" t="s">
        <v>1085</v>
      </c>
      <c r="D726" s="5" t="s">
        <v>563</v>
      </c>
      <c r="E726" s="5" t="s">
        <v>16</v>
      </c>
      <c r="F726" s="5" t="s">
        <v>141</v>
      </c>
      <c r="G726" s="7">
        <v>44713</v>
      </c>
      <c r="H726" s="5" t="s">
        <v>13</v>
      </c>
    </row>
    <row r="727" spans="1:8" x14ac:dyDescent="0.35">
      <c r="A727" s="10">
        <f t="shared" si="11"/>
        <v>723</v>
      </c>
      <c r="B727" s="5">
        <v>7995</v>
      </c>
      <c r="C727" s="5" t="s">
        <v>1086</v>
      </c>
      <c r="D727" s="5" t="s">
        <v>563</v>
      </c>
      <c r="E727" s="5" t="s">
        <v>16</v>
      </c>
      <c r="F727" s="5" t="s">
        <v>819</v>
      </c>
      <c r="G727" s="7">
        <v>44725</v>
      </c>
      <c r="H727" s="5" t="s">
        <v>13</v>
      </c>
    </row>
    <row r="728" spans="1:8" x14ac:dyDescent="0.35">
      <c r="A728" s="10">
        <f t="shared" si="11"/>
        <v>724</v>
      </c>
      <c r="B728" s="5">
        <v>7998</v>
      </c>
      <c r="C728" s="5" t="s">
        <v>1087</v>
      </c>
      <c r="D728" s="5" t="s">
        <v>340</v>
      </c>
      <c r="E728" s="5" t="s">
        <v>640</v>
      </c>
      <c r="F728" s="5" t="s">
        <v>641</v>
      </c>
      <c r="G728" s="7">
        <v>44727</v>
      </c>
      <c r="H728" s="5" t="s">
        <v>13</v>
      </c>
    </row>
    <row r="729" spans="1:8" x14ac:dyDescent="0.35">
      <c r="A729" s="10">
        <f t="shared" si="11"/>
        <v>725</v>
      </c>
      <c r="B729" s="5">
        <v>8002</v>
      </c>
      <c r="C729" s="5" t="s">
        <v>1088</v>
      </c>
      <c r="D729" s="5" t="s">
        <v>157</v>
      </c>
      <c r="E729" s="5" t="s">
        <v>16</v>
      </c>
      <c r="F729" s="5" t="s">
        <v>144</v>
      </c>
      <c r="G729" s="7">
        <v>44732</v>
      </c>
      <c r="H729" s="5" t="s">
        <v>13</v>
      </c>
    </row>
    <row r="730" spans="1:8" x14ac:dyDescent="0.35">
      <c r="A730" s="10">
        <f t="shared" si="11"/>
        <v>726</v>
      </c>
      <c r="B730" s="5">
        <v>8004</v>
      </c>
      <c r="C730" s="5" t="s">
        <v>1089</v>
      </c>
      <c r="D730" s="5" t="s">
        <v>563</v>
      </c>
      <c r="E730" s="5" t="s">
        <v>16</v>
      </c>
      <c r="F730" s="5" t="s">
        <v>819</v>
      </c>
      <c r="G730" s="7">
        <v>45108</v>
      </c>
      <c r="H730" s="5" t="s">
        <v>1075</v>
      </c>
    </row>
    <row r="731" spans="1:8" x14ac:dyDescent="0.35">
      <c r="A731" s="10">
        <f t="shared" si="11"/>
        <v>727</v>
      </c>
      <c r="B731" s="5">
        <v>8014</v>
      </c>
      <c r="C731" s="5" t="s">
        <v>1090</v>
      </c>
      <c r="D731" s="5" t="s">
        <v>21</v>
      </c>
      <c r="E731" s="5" t="s">
        <v>24</v>
      </c>
      <c r="F731" s="5" t="s">
        <v>152</v>
      </c>
      <c r="G731" s="7">
        <v>44753</v>
      </c>
      <c r="H731" s="5" t="s">
        <v>13</v>
      </c>
    </row>
    <row r="732" spans="1:8" x14ac:dyDescent="0.35">
      <c r="A732" s="10">
        <f t="shared" si="11"/>
        <v>728</v>
      </c>
      <c r="B732" s="5">
        <v>8021</v>
      </c>
      <c r="C732" s="5" t="s">
        <v>1091</v>
      </c>
      <c r="D732" s="5" t="s">
        <v>669</v>
      </c>
      <c r="E732" s="5" t="s">
        <v>103</v>
      </c>
      <c r="F732" s="5" t="s">
        <v>103</v>
      </c>
      <c r="G732" s="7">
        <v>44743</v>
      </c>
      <c r="H732" s="5" t="s">
        <v>13</v>
      </c>
    </row>
    <row r="733" spans="1:8" x14ac:dyDescent="0.35">
      <c r="A733" s="10">
        <f t="shared" si="11"/>
        <v>729</v>
      </c>
      <c r="B733" s="5">
        <v>8032</v>
      </c>
      <c r="C733" s="5" t="s">
        <v>1094</v>
      </c>
      <c r="D733" s="5" t="s">
        <v>488</v>
      </c>
      <c r="E733" s="5" t="s">
        <v>94</v>
      </c>
      <c r="F733" s="5" t="s">
        <v>94</v>
      </c>
      <c r="G733" s="7">
        <v>44774</v>
      </c>
      <c r="H733" s="5" t="s">
        <v>13</v>
      </c>
    </row>
    <row r="734" spans="1:8" x14ac:dyDescent="0.35">
      <c r="A734" s="10">
        <f t="shared" si="11"/>
        <v>730</v>
      </c>
      <c r="B734" s="5">
        <v>8035</v>
      </c>
      <c r="C734" s="5" t="s">
        <v>1095</v>
      </c>
      <c r="D734" s="5" t="s">
        <v>563</v>
      </c>
      <c r="E734" s="5" t="s">
        <v>16</v>
      </c>
      <c r="F734" s="5" t="s">
        <v>990</v>
      </c>
      <c r="G734" s="7">
        <v>44774</v>
      </c>
      <c r="H734" s="5" t="s">
        <v>13</v>
      </c>
    </row>
    <row r="735" spans="1:8" x14ac:dyDescent="0.35">
      <c r="A735" s="10">
        <f t="shared" si="11"/>
        <v>731</v>
      </c>
      <c r="B735" s="5">
        <v>8039</v>
      </c>
      <c r="C735" s="5" t="s">
        <v>1096</v>
      </c>
      <c r="D735" s="5" t="s">
        <v>563</v>
      </c>
      <c r="E735" s="5" t="s">
        <v>16</v>
      </c>
      <c r="F735" s="5" t="s">
        <v>480</v>
      </c>
      <c r="G735" s="7">
        <v>44774</v>
      </c>
      <c r="H735" s="5" t="s">
        <v>13</v>
      </c>
    </row>
    <row r="736" spans="1:8" x14ac:dyDescent="0.35">
      <c r="A736" s="10">
        <f t="shared" si="11"/>
        <v>732</v>
      </c>
      <c r="B736" s="5">
        <v>8041</v>
      </c>
      <c r="C736" s="5" t="s">
        <v>1097</v>
      </c>
      <c r="D736" s="5" t="s">
        <v>151</v>
      </c>
      <c r="E736" s="5" t="s">
        <v>99</v>
      </c>
      <c r="F736" s="5" t="s">
        <v>249</v>
      </c>
      <c r="G736" s="7">
        <v>44774</v>
      </c>
      <c r="H736" s="5" t="s">
        <v>13</v>
      </c>
    </row>
    <row r="737" spans="1:8" x14ac:dyDescent="0.35">
      <c r="A737" s="10">
        <f t="shared" si="11"/>
        <v>733</v>
      </c>
      <c r="B737" s="5">
        <v>8046</v>
      </c>
      <c r="C737" s="5" t="s">
        <v>1098</v>
      </c>
      <c r="D737" s="5" t="s">
        <v>157</v>
      </c>
      <c r="E737" s="5" t="s">
        <v>16</v>
      </c>
      <c r="F737" s="5" t="s">
        <v>41</v>
      </c>
      <c r="G737" s="7">
        <v>44781</v>
      </c>
      <c r="H737" s="5" t="s">
        <v>13</v>
      </c>
    </row>
    <row r="738" spans="1:8" x14ac:dyDescent="0.35">
      <c r="A738" s="10">
        <f t="shared" si="11"/>
        <v>734</v>
      </c>
      <c r="B738" s="5">
        <v>8053</v>
      </c>
      <c r="C738" s="5" t="s">
        <v>1099</v>
      </c>
      <c r="D738" s="5" t="s">
        <v>563</v>
      </c>
      <c r="E738" s="5" t="s">
        <v>16</v>
      </c>
      <c r="F738" s="5" t="s">
        <v>574</v>
      </c>
      <c r="G738" s="7">
        <v>44789</v>
      </c>
      <c r="H738" s="5" t="s">
        <v>13</v>
      </c>
    </row>
    <row r="739" spans="1:8" x14ac:dyDescent="0.35">
      <c r="A739" s="10">
        <f t="shared" si="11"/>
        <v>735</v>
      </c>
      <c r="B739" s="5">
        <v>8057</v>
      </c>
      <c r="C739" s="5" t="s">
        <v>1100</v>
      </c>
      <c r="D739" s="5" t="s">
        <v>563</v>
      </c>
      <c r="E739" s="5" t="s">
        <v>16</v>
      </c>
      <c r="F739" s="5" t="s">
        <v>20</v>
      </c>
      <c r="G739" s="7">
        <v>44774</v>
      </c>
      <c r="H739" s="5" t="s">
        <v>13</v>
      </c>
    </row>
    <row r="740" spans="1:8" x14ac:dyDescent="0.35">
      <c r="A740" s="10">
        <f t="shared" si="11"/>
        <v>736</v>
      </c>
      <c r="B740" s="5">
        <v>8062</v>
      </c>
      <c r="C740" s="5" t="s">
        <v>1101</v>
      </c>
      <c r="D740" s="5" t="s">
        <v>733</v>
      </c>
      <c r="E740" s="5" t="s">
        <v>165</v>
      </c>
      <c r="F740" s="5" t="s">
        <v>165</v>
      </c>
      <c r="G740" s="7">
        <v>44789</v>
      </c>
      <c r="H740" s="5" t="s">
        <v>13</v>
      </c>
    </row>
    <row r="741" spans="1:8" x14ac:dyDescent="0.35">
      <c r="A741" s="10">
        <f t="shared" si="11"/>
        <v>737</v>
      </c>
      <c r="B741" s="5">
        <v>8070</v>
      </c>
      <c r="C741" s="5" t="s">
        <v>1102</v>
      </c>
      <c r="D741" s="5" t="s">
        <v>733</v>
      </c>
      <c r="E741" s="5" t="s">
        <v>165</v>
      </c>
      <c r="F741" s="5" t="s">
        <v>165</v>
      </c>
      <c r="G741" s="7">
        <v>44795</v>
      </c>
      <c r="H741" s="5" t="s">
        <v>13</v>
      </c>
    </row>
    <row r="742" spans="1:8" x14ac:dyDescent="0.35">
      <c r="A742" s="10">
        <f t="shared" si="11"/>
        <v>738</v>
      </c>
      <c r="B742" s="5">
        <v>8073</v>
      </c>
      <c r="C742" s="5" t="s">
        <v>1105</v>
      </c>
      <c r="D742" s="5" t="s">
        <v>563</v>
      </c>
      <c r="E742" s="5" t="s">
        <v>16</v>
      </c>
      <c r="F742" s="5" t="s">
        <v>434</v>
      </c>
      <c r="G742" s="7">
        <v>44795</v>
      </c>
      <c r="H742" s="5" t="s">
        <v>13</v>
      </c>
    </row>
    <row r="743" spans="1:8" x14ac:dyDescent="0.35">
      <c r="A743" s="10">
        <f t="shared" si="11"/>
        <v>739</v>
      </c>
      <c r="B743" s="5">
        <v>8075</v>
      </c>
      <c r="C743" s="5" t="s">
        <v>1106</v>
      </c>
      <c r="D743" s="5" t="s">
        <v>563</v>
      </c>
      <c r="E743" s="5" t="s">
        <v>16</v>
      </c>
      <c r="F743" s="5" t="s">
        <v>1107</v>
      </c>
      <c r="G743" s="7">
        <v>44795</v>
      </c>
      <c r="H743" s="5" t="s">
        <v>13</v>
      </c>
    </row>
    <row r="744" spans="1:8" x14ac:dyDescent="0.35">
      <c r="A744" s="10">
        <f t="shared" si="11"/>
        <v>740</v>
      </c>
      <c r="B744" s="5">
        <v>8076</v>
      </c>
      <c r="C744" s="5" t="s">
        <v>1108</v>
      </c>
      <c r="D744" s="5" t="s">
        <v>563</v>
      </c>
      <c r="E744" s="5" t="s">
        <v>16</v>
      </c>
      <c r="F744" s="5" t="s">
        <v>110</v>
      </c>
      <c r="G744" s="7">
        <v>44795</v>
      </c>
      <c r="H744" s="5" t="s">
        <v>13</v>
      </c>
    </row>
    <row r="745" spans="1:8" x14ac:dyDescent="0.35">
      <c r="A745" s="10">
        <f t="shared" si="11"/>
        <v>741</v>
      </c>
      <c r="B745" s="5">
        <v>8090</v>
      </c>
      <c r="C745" s="5" t="s">
        <v>1109</v>
      </c>
      <c r="D745" s="5" t="s">
        <v>669</v>
      </c>
      <c r="E745" s="5" t="s">
        <v>103</v>
      </c>
      <c r="F745" s="5" t="s">
        <v>103</v>
      </c>
      <c r="G745" s="7">
        <v>44809</v>
      </c>
      <c r="H745" s="5" t="s">
        <v>13</v>
      </c>
    </row>
    <row r="746" spans="1:8" x14ac:dyDescent="0.35">
      <c r="A746" s="10">
        <f t="shared" si="11"/>
        <v>742</v>
      </c>
      <c r="B746" s="5">
        <v>8093</v>
      </c>
      <c r="C746" s="5" t="s">
        <v>1110</v>
      </c>
      <c r="D746" s="5" t="s">
        <v>488</v>
      </c>
      <c r="E746" s="5" t="s">
        <v>94</v>
      </c>
      <c r="F746" s="5" t="s">
        <v>94</v>
      </c>
      <c r="G746" s="7">
        <v>44809</v>
      </c>
      <c r="H746" s="5" t="s">
        <v>13</v>
      </c>
    </row>
    <row r="747" spans="1:8" x14ac:dyDescent="0.35">
      <c r="A747" s="10">
        <f t="shared" si="11"/>
        <v>743</v>
      </c>
      <c r="B747" s="5">
        <v>8099</v>
      </c>
      <c r="C747" s="5" t="s">
        <v>1111</v>
      </c>
      <c r="D747" s="5" t="s">
        <v>693</v>
      </c>
      <c r="E747" s="5" t="s">
        <v>181</v>
      </c>
      <c r="F747" s="5" t="s">
        <v>181</v>
      </c>
      <c r="G747" s="7">
        <v>44819</v>
      </c>
      <c r="H747" s="5" t="s">
        <v>13</v>
      </c>
    </row>
    <row r="748" spans="1:8" x14ac:dyDescent="0.35">
      <c r="A748" s="10">
        <f t="shared" si="11"/>
        <v>744</v>
      </c>
      <c r="B748" s="5">
        <v>8101</v>
      </c>
      <c r="C748" s="5" t="s">
        <v>1112</v>
      </c>
      <c r="D748" s="5" t="s">
        <v>669</v>
      </c>
      <c r="E748" s="5" t="s">
        <v>103</v>
      </c>
      <c r="F748" s="5" t="s">
        <v>103</v>
      </c>
      <c r="G748" s="7">
        <v>44823</v>
      </c>
      <c r="H748" s="5" t="s">
        <v>13</v>
      </c>
    </row>
    <row r="749" spans="1:8" x14ac:dyDescent="0.35">
      <c r="A749" s="10">
        <f t="shared" si="11"/>
        <v>745</v>
      </c>
      <c r="B749" s="5">
        <v>8102</v>
      </c>
      <c r="C749" s="5" t="s">
        <v>1113</v>
      </c>
      <c r="D749" s="5" t="s">
        <v>488</v>
      </c>
      <c r="E749" s="5" t="s">
        <v>94</v>
      </c>
      <c r="F749" s="5" t="s">
        <v>94</v>
      </c>
      <c r="G749" s="7">
        <v>44823</v>
      </c>
      <c r="H749" s="5" t="s">
        <v>13</v>
      </c>
    </row>
    <row r="750" spans="1:8" x14ac:dyDescent="0.35">
      <c r="A750" s="10">
        <f t="shared" si="11"/>
        <v>746</v>
      </c>
      <c r="B750" s="5">
        <v>8116</v>
      </c>
      <c r="C750" s="5" t="s">
        <v>1114</v>
      </c>
      <c r="D750" s="5" t="s">
        <v>563</v>
      </c>
      <c r="E750" s="5" t="s">
        <v>16</v>
      </c>
      <c r="F750" s="5" t="s">
        <v>825</v>
      </c>
      <c r="G750" s="7">
        <v>44830</v>
      </c>
      <c r="H750" s="5" t="s">
        <v>13</v>
      </c>
    </row>
    <row r="751" spans="1:8" x14ac:dyDescent="0.35">
      <c r="A751" s="10">
        <f t="shared" si="11"/>
        <v>747</v>
      </c>
      <c r="B751" s="5">
        <v>8123</v>
      </c>
      <c r="C751" s="5" t="s">
        <v>1115</v>
      </c>
      <c r="D751" s="5" t="s">
        <v>563</v>
      </c>
      <c r="E751" s="5" t="s">
        <v>16</v>
      </c>
      <c r="F751" s="5" t="s">
        <v>574</v>
      </c>
      <c r="G751" s="7">
        <v>44839</v>
      </c>
      <c r="H751" s="5" t="s">
        <v>13</v>
      </c>
    </row>
    <row r="752" spans="1:8" x14ac:dyDescent="0.35">
      <c r="A752" s="10">
        <f t="shared" si="11"/>
        <v>748</v>
      </c>
      <c r="B752" s="5">
        <v>8138</v>
      </c>
      <c r="C752" s="5" t="s">
        <v>1116</v>
      </c>
      <c r="D752" s="5" t="s">
        <v>669</v>
      </c>
      <c r="E752" s="5" t="s">
        <v>103</v>
      </c>
      <c r="F752" s="5" t="s">
        <v>103</v>
      </c>
      <c r="G752" s="7">
        <v>44835</v>
      </c>
      <c r="H752" s="5" t="s">
        <v>13</v>
      </c>
    </row>
    <row r="753" spans="1:8" x14ac:dyDescent="0.35">
      <c r="A753" s="10">
        <f t="shared" si="11"/>
        <v>749</v>
      </c>
      <c r="B753" s="5">
        <v>8139</v>
      </c>
      <c r="C753" s="5" t="s">
        <v>1117</v>
      </c>
      <c r="D753" s="5" t="s">
        <v>669</v>
      </c>
      <c r="E753" s="5" t="s">
        <v>103</v>
      </c>
      <c r="F753" s="5" t="s">
        <v>103</v>
      </c>
      <c r="G753" s="7">
        <v>44835</v>
      </c>
      <c r="H753" s="5" t="s">
        <v>13</v>
      </c>
    </row>
    <row r="754" spans="1:8" x14ac:dyDescent="0.35">
      <c r="A754" s="10">
        <f t="shared" si="11"/>
        <v>750</v>
      </c>
      <c r="B754" s="5">
        <v>8140</v>
      </c>
      <c r="C754" s="5" t="s">
        <v>1118</v>
      </c>
      <c r="D754" s="5" t="s">
        <v>1119</v>
      </c>
      <c r="E754" s="5" t="s">
        <v>165</v>
      </c>
      <c r="F754" s="5" t="s">
        <v>165</v>
      </c>
      <c r="G754" s="7">
        <v>44835</v>
      </c>
      <c r="H754" s="5" t="s">
        <v>13</v>
      </c>
    </row>
    <row r="755" spans="1:8" x14ac:dyDescent="0.35">
      <c r="A755" s="10">
        <f t="shared" si="11"/>
        <v>751</v>
      </c>
      <c r="B755" s="5">
        <v>8142</v>
      </c>
      <c r="C755" s="5" t="s">
        <v>1120</v>
      </c>
      <c r="D755" s="5" t="s">
        <v>563</v>
      </c>
      <c r="E755" s="5" t="s">
        <v>16</v>
      </c>
      <c r="F755" s="5" t="s">
        <v>958</v>
      </c>
      <c r="G755" s="7">
        <v>44846</v>
      </c>
      <c r="H755" s="5" t="s">
        <v>13</v>
      </c>
    </row>
    <row r="756" spans="1:8" x14ac:dyDescent="0.35">
      <c r="A756" s="10">
        <f t="shared" si="11"/>
        <v>752</v>
      </c>
      <c r="B756" s="5">
        <v>8144</v>
      </c>
      <c r="C756" s="5" t="s">
        <v>1121</v>
      </c>
      <c r="D756" s="5" t="s">
        <v>340</v>
      </c>
      <c r="E756" s="5" t="s">
        <v>68</v>
      </c>
      <c r="F756" s="5" t="s">
        <v>187</v>
      </c>
      <c r="G756" s="7">
        <v>44851</v>
      </c>
      <c r="H756" s="5" t="s">
        <v>13</v>
      </c>
    </row>
    <row r="757" spans="1:8" x14ac:dyDescent="0.35">
      <c r="A757" s="10">
        <f t="shared" si="11"/>
        <v>753</v>
      </c>
      <c r="B757" s="5">
        <v>8146</v>
      </c>
      <c r="C757" s="5" t="s">
        <v>1122</v>
      </c>
      <c r="D757" s="5" t="s">
        <v>830</v>
      </c>
      <c r="E757" s="5" t="s">
        <v>35</v>
      </c>
      <c r="F757" s="5" t="s">
        <v>36</v>
      </c>
      <c r="G757" s="7">
        <v>44851</v>
      </c>
      <c r="H757" s="5" t="s">
        <v>13</v>
      </c>
    </row>
    <row r="758" spans="1:8" x14ac:dyDescent="0.35">
      <c r="A758" s="10">
        <f t="shared" si="11"/>
        <v>754</v>
      </c>
      <c r="B758" s="5">
        <v>8150</v>
      </c>
      <c r="C758" s="5" t="s">
        <v>1123</v>
      </c>
      <c r="D758" s="5" t="s">
        <v>563</v>
      </c>
      <c r="E758" s="5" t="s">
        <v>16</v>
      </c>
      <c r="F758" s="5" t="s">
        <v>1124</v>
      </c>
      <c r="G758" s="7">
        <v>44851</v>
      </c>
      <c r="H758" s="5" t="s">
        <v>13</v>
      </c>
    </row>
    <row r="759" spans="1:8" x14ac:dyDescent="0.35">
      <c r="A759" s="10">
        <f t="shared" si="11"/>
        <v>755</v>
      </c>
      <c r="B759" s="5">
        <v>8151</v>
      </c>
      <c r="C759" s="5" t="s">
        <v>1125</v>
      </c>
      <c r="D759" s="5" t="s">
        <v>1126</v>
      </c>
      <c r="E759" s="5" t="s">
        <v>35</v>
      </c>
      <c r="F759" s="5" t="s">
        <v>84</v>
      </c>
      <c r="G759" s="7">
        <v>44835</v>
      </c>
      <c r="H759" s="5" t="s">
        <v>13</v>
      </c>
    </row>
    <row r="760" spans="1:8" x14ac:dyDescent="0.35">
      <c r="A760" s="10">
        <f t="shared" si="11"/>
        <v>756</v>
      </c>
      <c r="B760" s="5">
        <v>8156</v>
      </c>
      <c r="C760" s="5" t="s">
        <v>1127</v>
      </c>
      <c r="D760" s="5" t="s">
        <v>1128</v>
      </c>
      <c r="E760" s="5" t="s">
        <v>343</v>
      </c>
      <c r="F760" s="5" t="s">
        <v>344</v>
      </c>
      <c r="G760" s="7">
        <v>44866</v>
      </c>
      <c r="H760" s="5" t="s">
        <v>13</v>
      </c>
    </row>
    <row r="761" spans="1:8" x14ac:dyDescent="0.35">
      <c r="A761" s="10">
        <f t="shared" si="11"/>
        <v>757</v>
      </c>
      <c r="B761" s="5">
        <v>8159</v>
      </c>
      <c r="C761" s="5" t="s">
        <v>1129</v>
      </c>
      <c r="D761" s="5" t="s">
        <v>563</v>
      </c>
      <c r="E761" s="5" t="s">
        <v>16</v>
      </c>
      <c r="F761" s="5" t="s">
        <v>574</v>
      </c>
      <c r="G761" s="7">
        <v>44867</v>
      </c>
      <c r="H761" s="5" t="s">
        <v>13</v>
      </c>
    </row>
    <row r="762" spans="1:8" x14ac:dyDescent="0.35">
      <c r="A762" s="10">
        <f t="shared" si="11"/>
        <v>758</v>
      </c>
      <c r="B762" s="5">
        <v>8162</v>
      </c>
      <c r="C762" s="5" t="s">
        <v>1130</v>
      </c>
      <c r="D762" s="5" t="s">
        <v>563</v>
      </c>
      <c r="E762" s="5" t="s">
        <v>16</v>
      </c>
      <c r="F762" s="5" t="s">
        <v>451</v>
      </c>
      <c r="G762" s="7">
        <v>44867</v>
      </c>
      <c r="H762" s="5" t="s">
        <v>13</v>
      </c>
    </row>
    <row r="763" spans="1:8" x14ac:dyDescent="0.35">
      <c r="A763" s="10">
        <f t="shared" si="11"/>
        <v>759</v>
      </c>
      <c r="B763" s="5">
        <v>8165</v>
      </c>
      <c r="C763" s="5" t="s">
        <v>1131</v>
      </c>
      <c r="D763" s="5" t="s">
        <v>563</v>
      </c>
      <c r="E763" s="5" t="s">
        <v>16</v>
      </c>
      <c r="F763" s="5" t="s">
        <v>819</v>
      </c>
      <c r="G763" s="7">
        <v>44867</v>
      </c>
      <c r="H763" s="5" t="s">
        <v>13</v>
      </c>
    </row>
    <row r="764" spans="1:8" x14ac:dyDescent="0.35">
      <c r="A764" s="10">
        <f t="shared" si="11"/>
        <v>760</v>
      </c>
      <c r="B764" s="5">
        <v>8175</v>
      </c>
      <c r="C764" s="5" t="s">
        <v>1132</v>
      </c>
      <c r="D764" s="5" t="s">
        <v>807</v>
      </c>
      <c r="E764" s="5" t="s">
        <v>87</v>
      </c>
      <c r="F764" s="5" t="s">
        <v>808</v>
      </c>
      <c r="G764" s="7">
        <v>44872</v>
      </c>
      <c r="H764" s="5" t="s">
        <v>13</v>
      </c>
    </row>
    <row r="765" spans="1:8" x14ac:dyDescent="0.35">
      <c r="A765" s="10">
        <f t="shared" si="11"/>
        <v>761</v>
      </c>
      <c r="B765" s="5">
        <v>8177</v>
      </c>
      <c r="C765" s="5" t="s">
        <v>1133</v>
      </c>
      <c r="D765" s="5" t="s">
        <v>563</v>
      </c>
      <c r="E765" s="5" t="s">
        <v>16</v>
      </c>
      <c r="F765" s="5" t="s">
        <v>451</v>
      </c>
      <c r="G765" s="7">
        <v>44872</v>
      </c>
      <c r="H765" s="5" t="s">
        <v>13</v>
      </c>
    </row>
    <row r="766" spans="1:8" x14ac:dyDescent="0.35">
      <c r="A766" s="10">
        <f t="shared" si="11"/>
        <v>762</v>
      </c>
      <c r="B766" s="5">
        <v>8185</v>
      </c>
      <c r="C766" s="5" t="s">
        <v>1134</v>
      </c>
      <c r="D766" s="5" t="s">
        <v>563</v>
      </c>
      <c r="E766" s="5" t="s">
        <v>16</v>
      </c>
      <c r="F766" s="5" t="s">
        <v>302</v>
      </c>
      <c r="G766" s="7">
        <v>44879</v>
      </c>
      <c r="H766" s="5" t="s">
        <v>13</v>
      </c>
    </row>
    <row r="767" spans="1:8" x14ac:dyDescent="0.35">
      <c r="A767" s="10">
        <f t="shared" si="11"/>
        <v>763</v>
      </c>
      <c r="B767" s="5">
        <v>8189</v>
      </c>
      <c r="C767" s="5" t="s">
        <v>1135</v>
      </c>
      <c r="D767" s="5" t="s">
        <v>669</v>
      </c>
      <c r="E767" s="5" t="s">
        <v>103</v>
      </c>
      <c r="F767" s="5" t="s">
        <v>103</v>
      </c>
      <c r="G767" s="7">
        <v>44876</v>
      </c>
      <c r="H767" s="5" t="s">
        <v>13</v>
      </c>
    </row>
    <row r="768" spans="1:8" x14ac:dyDescent="0.35">
      <c r="A768" s="10">
        <f t="shared" si="11"/>
        <v>764</v>
      </c>
      <c r="B768" s="5">
        <v>8193</v>
      </c>
      <c r="C768" s="5" t="s">
        <v>1136</v>
      </c>
      <c r="D768" s="5" t="s">
        <v>669</v>
      </c>
      <c r="E768" s="5" t="s">
        <v>103</v>
      </c>
      <c r="F768" s="5" t="s">
        <v>103</v>
      </c>
      <c r="G768" s="7">
        <v>44882</v>
      </c>
      <c r="H768" s="5" t="s">
        <v>13</v>
      </c>
    </row>
    <row r="769" spans="1:8" x14ac:dyDescent="0.35">
      <c r="A769" s="10">
        <f t="shared" si="11"/>
        <v>765</v>
      </c>
      <c r="B769" s="5">
        <v>8194</v>
      </c>
      <c r="C769" s="5" t="s">
        <v>1137</v>
      </c>
      <c r="D769" s="5" t="s">
        <v>563</v>
      </c>
      <c r="E769" s="5" t="s">
        <v>16</v>
      </c>
      <c r="F769" s="5" t="s">
        <v>990</v>
      </c>
      <c r="G769" s="7">
        <v>44882</v>
      </c>
      <c r="H769" s="5" t="s">
        <v>13</v>
      </c>
    </row>
    <row r="770" spans="1:8" x14ac:dyDescent="0.35">
      <c r="A770" s="10">
        <f t="shared" si="11"/>
        <v>766</v>
      </c>
      <c r="B770" s="5">
        <v>8196</v>
      </c>
      <c r="C770" s="5" t="s">
        <v>1138</v>
      </c>
      <c r="D770" s="5" t="s">
        <v>563</v>
      </c>
      <c r="E770" s="5" t="s">
        <v>16</v>
      </c>
      <c r="F770" s="5" t="s">
        <v>825</v>
      </c>
      <c r="G770" s="7">
        <v>45352</v>
      </c>
      <c r="H770" s="5" t="s">
        <v>13</v>
      </c>
    </row>
    <row r="771" spans="1:8" x14ac:dyDescent="0.35">
      <c r="A771" s="10">
        <f t="shared" si="11"/>
        <v>767</v>
      </c>
      <c r="B771" s="5">
        <v>8206</v>
      </c>
      <c r="C771" s="5" t="s">
        <v>1139</v>
      </c>
      <c r="D771" s="5" t="s">
        <v>563</v>
      </c>
      <c r="E771" s="5" t="s">
        <v>16</v>
      </c>
      <c r="F771" s="5" t="s">
        <v>729</v>
      </c>
      <c r="G771" s="7">
        <v>44896</v>
      </c>
      <c r="H771" s="5" t="s">
        <v>13</v>
      </c>
    </row>
    <row r="772" spans="1:8" x14ac:dyDescent="0.35">
      <c r="A772" s="10">
        <f t="shared" si="11"/>
        <v>768</v>
      </c>
      <c r="B772" s="5">
        <v>8215</v>
      </c>
      <c r="C772" s="5" t="s">
        <v>1140</v>
      </c>
      <c r="D772" s="5" t="s">
        <v>1141</v>
      </c>
      <c r="E772" s="5" t="s">
        <v>769</v>
      </c>
      <c r="F772" s="5" t="s">
        <v>769</v>
      </c>
      <c r="G772" s="7">
        <v>44896</v>
      </c>
      <c r="H772" s="5" t="s">
        <v>13</v>
      </c>
    </row>
    <row r="773" spans="1:8" x14ac:dyDescent="0.35">
      <c r="A773" s="10">
        <f t="shared" si="11"/>
        <v>769</v>
      </c>
      <c r="B773" s="5">
        <v>8220</v>
      </c>
      <c r="C773" s="5" t="s">
        <v>1142</v>
      </c>
      <c r="D773" s="5" t="s">
        <v>563</v>
      </c>
      <c r="E773" s="5" t="s">
        <v>16</v>
      </c>
      <c r="F773" s="5" t="s">
        <v>990</v>
      </c>
      <c r="G773" s="7">
        <v>44910</v>
      </c>
      <c r="H773" s="5" t="s">
        <v>13</v>
      </c>
    </row>
    <row r="774" spans="1:8" x14ac:dyDescent="0.35">
      <c r="A774" s="10">
        <f t="shared" ref="A774:A837" si="12">+A773+1</f>
        <v>770</v>
      </c>
      <c r="B774" s="5">
        <v>8223</v>
      </c>
      <c r="C774" s="5" t="s">
        <v>1143</v>
      </c>
      <c r="D774" s="5" t="s">
        <v>563</v>
      </c>
      <c r="E774" s="5" t="s">
        <v>16</v>
      </c>
      <c r="F774" s="5" t="s">
        <v>439</v>
      </c>
      <c r="G774" s="7">
        <v>44910</v>
      </c>
      <c r="H774" s="5" t="s">
        <v>13</v>
      </c>
    </row>
    <row r="775" spans="1:8" x14ac:dyDescent="0.35">
      <c r="A775" s="10">
        <f t="shared" si="12"/>
        <v>771</v>
      </c>
      <c r="B775" s="5">
        <v>8232</v>
      </c>
      <c r="C775" s="5" t="s">
        <v>1144</v>
      </c>
      <c r="D775" s="5" t="s">
        <v>563</v>
      </c>
      <c r="E775" s="5" t="s">
        <v>16</v>
      </c>
      <c r="F775" s="5" t="s">
        <v>574</v>
      </c>
      <c r="G775" s="7">
        <v>44910</v>
      </c>
      <c r="H775" s="5" t="s">
        <v>13</v>
      </c>
    </row>
    <row r="776" spans="1:8" x14ac:dyDescent="0.35">
      <c r="A776" s="10">
        <f t="shared" si="12"/>
        <v>772</v>
      </c>
      <c r="B776" s="5">
        <v>8238</v>
      </c>
      <c r="C776" s="5" t="s">
        <v>1145</v>
      </c>
      <c r="D776" s="5" t="s">
        <v>563</v>
      </c>
      <c r="E776" s="5" t="s">
        <v>16</v>
      </c>
      <c r="F776" s="5" t="s">
        <v>1124</v>
      </c>
      <c r="G776" s="7">
        <v>45352</v>
      </c>
      <c r="H776" s="5" t="s">
        <v>1075</v>
      </c>
    </row>
    <row r="777" spans="1:8" x14ac:dyDescent="0.35">
      <c r="A777" s="10">
        <f t="shared" si="12"/>
        <v>773</v>
      </c>
      <c r="B777" s="5">
        <v>8242</v>
      </c>
      <c r="C777" s="5" t="s">
        <v>1146</v>
      </c>
      <c r="D777" s="5" t="s">
        <v>563</v>
      </c>
      <c r="E777" s="5" t="s">
        <v>16</v>
      </c>
      <c r="F777" s="5" t="s">
        <v>1107</v>
      </c>
      <c r="G777" s="7">
        <v>45352</v>
      </c>
      <c r="H777" s="5" t="s">
        <v>1075</v>
      </c>
    </row>
    <row r="778" spans="1:8" x14ac:dyDescent="0.35">
      <c r="A778" s="10">
        <f t="shared" si="12"/>
        <v>774</v>
      </c>
      <c r="B778" s="5">
        <v>8244</v>
      </c>
      <c r="C778" s="5" t="s">
        <v>1147</v>
      </c>
      <c r="D778" s="5" t="s">
        <v>563</v>
      </c>
      <c r="E778" s="5" t="s">
        <v>16</v>
      </c>
      <c r="F778" s="5" t="s">
        <v>697</v>
      </c>
      <c r="G778" s="7">
        <v>44928</v>
      </c>
      <c r="H778" s="5" t="s">
        <v>13</v>
      </c>
    </row>
    <row r="779" spans="1:8" x14ac:dyDescent="0.35">
      <c r="A779" s="10">
        <f t="shared" si="12"/>
        <v>775</v>
      </c>
      <c r="B779" s="5">
        <v>8245</v>
      </c>
      <c r="C779" s="5" t="s">
        <v>1148</v>
      </c>
      <c r="D779" s="5" t="s">
        <v>1024</v>
      </c>
      <c r="E779" s="5" t="s">
        <v>424</v>
      </c>
      <c r="F779" s="5" t="s">
        <v>424</v>
      </c>
      <c r="G779" s="7">
        <v>44928</v>
      </c>
      <c r="H779" s="5" t="s">
        <v>13</v>
      </c>
    </row>
    <row r="780" spans="1:8" x14ac:dyDescent="0.35">
      <c r="A780" s="10">
        <f t="shared" si="12"/>
        <v>776</v>
      </c>
      <c r="B780" s="5">
        <v>8271</v>
      </c>
      <c r="C780" s="5" t="s">
        <v>1149</v>
      </c>
      <c r="D780" s="5" t="s">
        <v>669</v>
      </c>
      <c r="E780" s="5" t="s">
        <v>103</v>
      </c>
      <c r="F780" s="5" t="s">
        <v>103</v>
      </c>
      <c r="G780" s="7">
        <v>44942</v>
      </c>
      <c r="H780" s="5" t="s">
        <v>13</v>
      </c>
    </row>
    <row r="781" spans="1:8" x14ac:dyDescent="0.35">
      <c r="A781" s="10">
        <f t="shared" si="12"/>
        <v>777</v>
      </c>
      <c r="B781" s="5">
        <v>8273</v>
      </c>
      <c r="C781" s="5" t="s">
        <v>1150</v>
      </c>
      <c r="D781" s="5" t="s">
        <v>563</v>
      </c>
      <c r="E781" s="5" t="s">
        <v>16</v>
      </c>
      <c r="F781" s="5" t="s">
        <v>483</v>
      </c>
      <c r="G781" s="7">
        <v>44942</v>
      </c>
      <c r="H781" s="5" t="s">
        <v>13</v>
      </c>
    </row>
    <row r="782" spans="1:8" x14ac:dyDescent="0.35">
      <c r="A782" s="10">
        <f t="shared" si="12"/>
        <v>778</v>
      </c>
      <c r="B782" s="5">
        <v>8279</v>
      </c>
      <c r="C782" s="5" t="s">
        <v>1151</v>
      </c>
      <c r="D782" s="5" t="s">
        <v>1152</v>
      </c>
      <c r="E782" s="5" t="s">
        <v>112</v>
      </c>
      <c r="F782" s="5" t="s">
        <v>112</v>
      </c>
      <c r="G782" s="7">
        <v>44927</v>
      </c>
      <c r="H782" s="5" t="s">
        <v>13</v>
      </c>
    </row>
    <row r="783" spans="1:8" x14ac:dyDescent="0.35">
      <c r="A783" s="10">
        <f t="shared" si="12"/>
        <v>779</v>
      </c>
      <c r="B783" s="5">
        <v>8285</v>
      </c>
      <c r="C783" s="5" t="s">
        <v>1153</v>
      </c>
      <c r="D783" s="5" t="s">
        <v>563</v>
      </c>
      <c r="E783" s="5" t="s">
        <v>16</v>
      </c>
      <c r="F783" s="5" t="s">
        <v>763</v>
      </c>
      <c r="G783" s="7">
        <v>44958</v>
      </c>
      <c r="H783" s="5" t="s">
        <v>13</v>
      </c>
    </row>
    <row r="784" spans="1:8" x14ac:dyDescent="0.35">
      <c r="A784" s="10">
        <f t="shared" si="12"/>
        <v>780</v>
      </c>
      <c r="B784" s="5">
        <v>8287</v>
      </c>
      <c r="C784" s="5" t="s">
        <v>1154</v>
      </c>
      <c r="D784" s="5" t="s">
        <v>563</v>
      </c>
      <c r="E784" s="5" t="s">
        <v>16</v>
      </c>
      <c r="F784" s="5" t="s">
        <v>1124</v>
      </c>
      <c r="G784" s="7">
        <v>44958</v>
      </c>
      <c r="H784" s="5" t="s">
        <v>13</v>
      </c>
    </row>
    <row r="785" spans="1:8" x14ac:dyDescent="0.35">
      <c r="A785" s="10">
        <f t="shared" si="12"/>
        <v>781</v>
      </c>
      <c r="B785" s="5">
        <v>8290</v>
      </c>
      <c r="C785" s="5" t="s">
        <v>1155</v>
      </c>
      <c r="D785" s="5" t="s">
        <v>1156</v>
      </c>
      <c r="E785" s="5" t="s">
        <v>198</v>
      </c>
      <c r="F785" s="5" t="s">
        <v>198</v>
      </c>
      <c r="G785" s="7">
        <v>44959</v>
      </c>
      <c r="H785" s="5" t="s">
        <v>13</v>
      </c>
    </row>
    <row r="786" spans="1:8" x14ac:dyDescent="0.35">
      <c r="A786" s="10">
        <f t="shared" si="12"/>
        <v>782</v>
      </c>
      <c r="B786" s="5">
        <v>8293</v>
      </c>
      <c r="C786" s="5" t="s">
        <v>1157</v>
      </c>
      <c r="D786" s="5" t="s">
        <v>563</v>
      </c>
      <c r="E786" s="5" t="s">
        <v>16</v>
      </c>
      <c r="F786" s="5" t="s">
        <v>497</v>
      </c>
      <c r="G786" s="7">
        <v>44958</v>
      </c>
      <c r="H786" s="5" t="s">
        <v>13</v>
      </c>
    </row>
    <row r="787" spans="1:8" x14ac:dyDescent="0.35">
      <c r="A787" s="10">
        <f t="shared" si="12"/>
        <v>783</v>
      </c>
      <c r="B787" s="5">
        <v>8294</v>
      </c>
      <c r="C787" s="5" t="s">
        <v>1158</v>
      </c>
      <c r="D787" s="5" t="s">
        <v>488</v>
      </c>
      <c r="E787" s="5" t="s">
        <v>94</v>
      </c>
      <c r="F787" s="5" t="s">
        <v>94</v>
      </c>
      <c r="G787" s="7">
        <v>44958</v>
      </c>
      <c r="H787" s="5" t="s">
        <v>13</v>
      </c>
    </row>
    <row r="788" spans="1:8" x14ac:dyDescent="0.35">
      <c r="A788" s="10">
        <f t="shared" si="12"/>
        <v>784</v>
      </c>
      <c r="B788" s="5">
        <v>8295</v>
      </c>
      <c r="C788" s="5" t="s">
        <v>1159</v>
      </c>
      <c r="D788" s="5" t="s">
        <v>985</v>
      </c>
      <c r="E788" s="5" t="s">
        <v>51</v>
      </c>
      <c r="F788" s="5" t="s">
        <v>51</v>
      </c>
      <c r="G788" s="7">
        <v>44378</v>
      </c>
      <c r="H788" s="5" t="s">
        <v>13</v>
      </c>
    </row>
    <row r="789" spans="1:8" x14ac:dyDescent="0.35">
      <c r="A789" s="10">
        <f t="shared" si="12"/>
        <v>785</v>
      </c>
      <c r="B789" s="5">
        <v>8296</v>
      </c>
      <c r="C789" s="5" t="s">
        <v>1160</v>
      </c>
      <c r="D789" s="5" t="s">
        <v>455</v>
      </c>
      <c r="E789" s="5" t="s">
        <v>68</v>
      </c>
      <c r="F789" s="5" t="s">
        <v>69</v>
      </c>
      <c r="G789" s="7">
        <v>44958</v>
      </c>
      <c r="H789" s="5" t="s">
        <v>13</v>
      </c>
    </row>
    <row r="790" spans="1:8" x14ac:dyDescent="0.35">
      <c r="A790" s="10">
        <f t="shared" si="12"/>
        <v>786</v>
      </c>
      <c r="B790" s="5">
        <v>8300</v>
      </c>
      <c r="C790" s="5" t="s">
        <v>1161</v>
      </c>
      <c r="D790" s="5" t="s">
        <v>455</v>
      </c>
      <c r="E790" s="5" t="s">
        <v>68</v>
      </c>
      <c r="F790" s="5" t="s">
        <v>254</v>
      </c>
      <c r="G790" s="7">
        <v>44536</v>
      </c>
      <c r="H790" s="5" t="s">
        <v>13</v>
      </c>
    </row>
    <row r="791" spans="1:8" x14ac:dyDescent="0.35">
      <c r="A791" s="10">
        <f t="shared" si="12"/>
        <v>787</v>
      </c>
      <c r="B791" s="5">
        <v>8310</v>
      </c>
      <c r="C791" s="5" t="s">
        <v>1164</v>
      </c>
      <c r="D791" s="5" t="s">
        <v>563</v>
      </c>
      <c r="E791" s="5" t="s">
        <v>16</v>
      </c>
      <c r="F791" s="5" t="s">
        <v>990</v>
      </c>
      <c r="G791" s="7">
        <v>44972</v>
      </c>
      <c r="H791" s="5" t="s">
        <v>13</v>
      </c>
    </row>
    <row r="792" spans="1:8" x14ac:dyDescent="0.35">
      <c r="A792" s="10">
        <f t="shared" si="12"/>
        <v>788</v>
      </c>
      <c r="B792" s="5">
        <v>8317</v>
      </c>
      <c r="C792" s="5" t="s">
        <v>1165</v>
      </c>
      <c r="D792" s="5" t="s">
        <v>563</v>
      </c>
      <c r="E792" s="5" t="s">
        <v>16</v>
      </c>
      <c r="F792" s="5" t="s">
        <v>897</v>
      </c>
      <c r="G792" s="7">
        <v>44972</v>
      </c>
      <c r="H792" s="5" t="s">
        <v>13</v>
      </c>
    </row>
    <row r="793" spans="1:8" x14ac:dyDescent="0.35">
      <c r="A793" s="10">
        <f t="shared" si="12"/>
        <v>789</v>
      </c>
      <c r="B793" s="5">
        <v>8323</v>
      </c>
      <c r="C793" s="5" t="s">
        <v>1166</v>
      </c>
      <c r="D793" s="5" t="s">
        <v>563</v>
      </c>
      <c r="E793" s="5" t="s">
        <v>16</v>
      </c>
      <c r="F793" s="5" t="s">
        <v>144</v>
      </c>
      <c r="G793" s="7">
        <v>44972</v>
      </c>
      <c r="H793" s="5" t="s">
        <v>13</v>
      </c>
    </row>
    <row r="794" spans="1:8" x14ac:dyDescent="0.35">
      <c r="A794" s="10">
        <f t="shared" si="12"/>
        <v>790</v>
      </c>
      <c r="B794" s="5">
        <v>8324</v>
      </c>
      <c r="C794" s="5" t="s">
        <v>1167</v>
      </c>
      <c r="D794" s="5" t="s">
        <v>563</v>
      </c>
      <c r="E794" s="5" t="s">
        <v>16</v>
      </c>
      <c r="F794" s="5" t="s">
        <v>825</v>
      </c>
      <c r="G794" s="7">
        <v>44972</v>
      </c>
      <c r="H794" s="5" t="s">
        <v>13</v>
      </c>
    </row>
    <row r="795" spans="1:8" x14ac:dyDescent="0.35">
      <c r="A795" s="10">
        <f t="shared" si="12"/>
        <v>791</v>
      </c>
      <c r="B795" s="5">
        <v>8333</v>
      </c>
      <c r="C795" s="5" t="s">
        <v>1168</v>
      </c>
      <c r="D795" s="5" t="s">
        <v>563</v>
      </c>
      <c r="E795" s="5" t="s">
        <v>16</v>
      </c>
      <c r="F795" s="5" t="s">
        <v>353</v>
      </c>
      <c r="G795" s="7">
        <v>44972</v>
      </c>
      <c r="H795" s="5" t="s">
        <v>13</v>
      </c>
    </row>
    <row r="796" spans="1:8" x14ac:dyDescent="0.35">
      <c r="A796" s="10">
        <f t="shared" si="12"/>
        <v>792</v>
      </c>
      <c r="B796" s="5">
        <v>8337</v>
      </c>
      <c r="C796" s="5" t="s">
        <v>1169</v>
      </c>
      <c r="D796" s="5" t="s">
        <v>651</v>
      </c>
      <c r="E796" s="5" t="s">
        <v>16</v>
      </c>
      <c r="F796" s="5" t="s">
        <v>20</v>
      </c>
      <c r="G796" s="7">
        <v>44972</v>
      </c>
      <c r="H796" s="5" t="s">
        <v>13</v>
      </c>
    </row>
    <row r="797" spans="1:8" x14ac:dyDescent="0.35">
      <c r="A797" s="10">
        <f t="shared" si="12"/>
        <v>793</v>
      </c>
      <c r="B797" s="5">
        <v>8339</v>
      </c>
      <c r="C797" s="5" t="s">
        <v>1170</v>
      </c>
      <c r="D797" s="5" t="s">
        <v>563</v>
      </c>
      <c r="E797" s="5" t="s">
        <v>16</v>
      </c>
      <c r="F797" s="5" t="s">
        <v>302</v>
      </c>
      <c r="G797" s="7">
        <v>44974</v>
      </c>
      <c r="H797" s="5" t="s">
        <v>13</v>
      </c>
    </row>
    <row r="798" spans="1:8" x14ac:dyDescent="0.35">
      <c r="A798" s="10">
        <f t="shared" si="12"/>
        <v>794</v>
      </c>
      <c r="B798" s="5">
        <v>8340</v>
      </c>
      <c r="C798" s="5" t="s">
        <v>1171</v>
      </c>
      <c r="D798" s="5" t="s">
        <v>563</v>
      </c>
      <c r="E798" s="5" t="s">
        <v>16</v>
      </c>
      <c r="F798" s="5" t="s">
        <v>711</v>
      </c>
      <c r="G798" s="7">
        <v>45474</v>
      </c>
      <c r="H798" s="5" t="s">
        <v>1075</v>
      </c>
    </row>
    <row r="799" spans="1:8" x14ac:dyDescent="0.35">
      <c r="A799" s="10">
        <f t="shared" si="12"/>
        <v>795</v>
      </c>
      <c r="B799" s="5">
        <v>8343</v>
      </c>
      <c r="C799" s="5" t="s">
        <v>1174</v>
      </c>
      <c r="D799" s="5" t="s">
        <v>693</v>
      </c>
      <c r="E799" s="5" t="s">
        <v>181</v>
      </c>
      <c r="F799" s="5" t="s">
        <v>181</v>
      </c>
      <c r="G799" s="7">
        <v>44986</v>
      </c>
      <c r="H799" s="5" t="s">
        <v>13</v>
      </c>
    </row>
    <row r="800" spans="1:8" x14ac:dyDescent="0.35">
      <c r="A800" s="10">
        <f t="shared" si="12"/>
        <v>796</v>
      </c>
      <c r="B800" s="5">
        <v>8345</v>
      </c>
      <c r="C800" s="5" t="s">
        <v>1175</v>
      </c>
      <c r="D800" s="5" t="s">
        <v>669</v>
      </c>
      <c r="E800" s="5" t="s">
        <v>103</v>
      </c>
      <c r="F800" s="5" t="s">
        <v>103</v>
      </c>
      <c r="G800" s="7">
        <v>44986</v>
      </c>
      <c r="H800" s="5" t="s">
        <v>13</v>
      </c>
    </row>
    <row r="801" spans="1:8" x14ac:dyDescent="0.35">
      <c r="A801" s="10">
        <f t="shared" si="12"/>
        <v>797</v>
      </c>
      <c r="B801" s="5">
        <v>8348</v>
      </c>
      <c r="C801" s="5" t="s">
        <v>1176</v>
      </c>
      <c r="D801" s="5" t="s">
        <v>563</v>
      </c>
      <c r="E801" s="5" t="s">
        <v>16</v>
      </c>
      <c r="F801" s="5" t="s">
        <v>656</v>
      </c>
      <c r="G801" s="7">
        <v>44986</v>
      </c>
      <c r="H801" s="5" t="s">
        <v>13</v>
      </c>
    </row>
    <row r="802" spans="1:8" x14ac:dyDescent="0.35">
      <c r="A802" s="10">
        <f t="shared" si="12"/>
        <v>798</v>
      </c>
      <c r="B802" s="5">
        <v>8355</v>
      </c>
      <c r="C802" s="5" t="s">
        <v>1177</v>
      </c>
      <c r="D802" s="5" t="s">
        <v>733</v>
      </c>
      <c r="E802" s="5" t="s">
        <v>165</v>
      </c>
      <c r="F802" s="5" t="s">
        <v>165</v>
      </c>
      <c r="G802" s="7">
        <v>44986</v>
      </c>
      <c r="H802" s="5" t="s">
        <v>13</v>
      </c>
    </row>
    <row r="803" spans="1:8" x14ac:dyDescent="0.35">
      <c r="A803" s="10">
        <f t="shared" si="12"/>
        <v>799</v>
      </c>
      <c r="B803" s="5">
        <v>8362</v>
      </c>
      <c r="C803" s="5" t="s">
        <v>1178</v>
      </c>
      <c r="D803" s="5" t="s">
        <v>563</v>
      </c>
      <c r="E803" s="5" t="s">
        <v>16</v>
      </c>
      <c r="F803" s="5" t="s">
        <v>451</v>
      </c>
      <c r="G803" s="7">
        <v>45414</v>
      </c>
      <c r="H803" s="5" t="s">
        <v>888</v>
      </c>
    </row>
    <row r="804" spans="1:8" x14ac:dyDescent="0.35">
      <c r="A804" s="10">
        <f t="shared" si="12"/>
        <v>800</v>
      </c>
      <c r="B804" s="5">
        <v>8363</v>
      </c>
      <c r="C804" s="5" t="s">
        <v>1179</v>
      </c>
      <c r="D804" s="5" t="s">
        <v>563</v>
      </c>
      <c r="E804" s="5" t="s">
        <v>16</v>
      </c>
      <c r="F804" s="5" t="s">
        <v>302</v>
      </c>
      <c r="G804" s="7">
        <v>45474</v>
      </c>
      <c r="H804" s="5" t="s">
        <v>13</v>
      </c>
    </row>
    <row r="805" spans="1:8" x14ac:dyDescent="0.35">
      <c r="A805" s="10">
        <f t="shared" si="12"/>
        <v>801</v>
      </c>
      <c r="B805" s="5">
        <v>8368</v>
      </c>
      <c r="C805" s="5" t="s">
        <v>1180</v>
      </c>
      <c r="D805" s="5" t="s">
        <v>157</v>
      </c>
      <c r="E805" s="5" t="s">
        <v>16</v>
      </c>
      <c r="F805" s="5" t="s">
        <v>41</v>
      </c>
      <c r="G805" s="7">
        <v>44991</v>
      </c>
      <c r="H805" s="5" t="s">
        <v>13</v>
      </c>
    </row>
    <row r="806" spans="1:8" x14ac:dyDescent="0.35">
      <c r="A806" s="10">
        <f t="shared" si="12"/>
        <v>802</v>
      </c>
      <c r="B806" s="5">
        <v>8374</v>
      </c>
      <c r="C806" s="5" t="s">
        <v>1181</v>
      </c>
      <c r="D806" s="5" t="s">
        <v>563</v>
      </c>
      <c r="E806" s="5" t="s">
        <v>16</v>
      </c>
      <c r="F806" s="5" t="s">
        <v>729</v>
      </c>
      <c r="G806" s="7">
        <v>45000</v>
      </c>
      <c r="H806" s="5" t="s">
        <v>13</v>
      </c>
    </row>
    <row r="807" spans="1:8" x14ac:dyDescent="0.35">
      <c r="A807" s="10">
        <f t="shared" si="12"/>
        <v>803</v>
      </c>
      <c r="B807" s="5">
        <v>8377</v>
      </c>
      <c r="C807" s="5" t="s">
        <v>1182</v>
      </c>
      <c r="D807" s="5" t="s">
        <v>563</v>
      </c>
      <c r="E807" s="5" t="s">
        <v>16</v>
      </c>
      <c r="F807" s="5" t="s">
        <v>1183</v>
      </c>
      <c r="G807" s="7">
        <v>45000</v>
      </c>
      <c r="H807" s="5" t="s">
        <v>13</v>
      </c>
    </row>
    <row r="808" spans="1:8" x14ac:dyDescent="0.35">
      <c r="A808" s="10">
        <f t="shared" si="12"/>
        <v>804</v>
      </c>
      <c r="B808" s="5">
        <v>8379</v>
      </c>
      <c r="C808" s="5" t="s">
        <v>1184</v>
      </c>
      <c r="D808" s="5" t="s">
        <v>563</v>
      </c>
      <c r="E808" s="5" t="s">
        <v>16</v>
      </c>
      <c r="F808" s="5" t="s">
        <v>141</v>
      </c>
      <c r="G808" s="7">
        <v>45000</v>
      </c>
      <c r="H808" s="5" t="s">
        <v>13</v>
      </c>
    </row>
    <row r="809" spans="1:8" x14ac:dyDescent="0.35">
      <c r="A809" s="10">
        <f t="shared" si="12"/>
        <v>805</v>
      </c>
      <c r="B809" s="5">
        <v>8392</v>
      </c>
      <c r="C809" s="5" t="s">
        <v>1185</v>
      </c>
      <c r="D809" s="5" t="s">
        <v>563</v>
      </c>
      <c r="E809" s="5" t="s">
        <v>16</v>
      </c>
      <c r="F809" s="5" t="s">
        <v>1107</v>
      </c>
      <c r="G809" s="7">
        <v>45000</v>
      </c>
      <c r="H809" s="5" t="s">
        <v>13</v>
      </c>
    </row>
    <row r="810" spans="1:8" x14ac:dyDescent="0.35">
      <c r="A810" s="10">
        <f t="shared" si="12"/>
        <v>806</v>
      </c>
      <c r="B810" s="5">
        <v>8395</v>
      </c>
      <c r="C810" s="5" t="s">
        <v>1186</v>
      </c>
      <c r="D810" s="5" t="s">
        <v>1187</v>
      </c>
      <c r="E810" s="5" t="s">
        <v>800</v>
      </c>
      <c r="F810" s="5" t="s">
        <v>801</v>
      </c>
      <c r="G810" s="7">
        <v>45000</v>
      </c>
      <c r="H810" s="5" t="s">
        <v>13</v>
      </c>
    </row>
    <row r="811" spans="1:8" x14ac:dyDescent="0.35">
      <c r="A811" s="10">
        <f t="shared" si="12"/>
        <v>807</v>
      </c>
      <c r="B811" s="5">
        <v>8396</v>
      </c>
      <c r="C811" s="5" t="s">
        <v>1188</v>
      </c>
      <c r="D811" s="5" t="s">
        <v>563</v>
      </c>
      <c r="E811" s="5" t="s">
        <v>16</v>
      </c>
      <c r="F811" s="5" t="s">
        <v>144</v>
      </c>
      <c r="G811" s="7">
        <v>45001</v>
      </c>
      <c r="H811" s="5" t="s">
        <v>13</v>
      </c>
    </row>
    <row r="812" spans="1:8" x14ac:dyDescent="0.35">
      <c r="A812" s="10">
        <f t="shared" si="12"/>
        <v>808</v>
      </c>
      <c r="B812" s="5">
        <v>8402</v>
      </c>
      <c r="C812" s="5" t="s">
        <v>1189</v>
      </c>
      <c r="D812" s="5" t="s">
        <v>563</v>
      </c>
      <c r="E812" s="5" t="s">
        <v>16</v>
      </c>
      <c r="F812" s="5" t="s">
        <v>353</v>
      </c>
      <c r="G812" s="7">
        <v>45474</v>
      </c>
      <c r="H812" s="5" t="s">
        <v>1075</v>
      </c>
    </row>
    <row r="813" spans="1:8" x14ac:dyDescent="0.35">
      <c r="A813" s="10">
        <f t="shared" si="12"/>
        <v>809</v>
      </c>
      <c r="B813" s="5">
        <v>8404</v>
      </c>
      <c r="C813" s="5" t="s">
        <v>1190</v>
      </c>
      <c r="D813" s="5" t="s">
        <v>563</v>
      </c>
      <c r="E813" s="5" t="s">
        <v>16</v>
      </c>
      <c r="F813" s="5" t="s">
        <v>825</v>
      </c>
      <c r="G813" s="7">
        <v>45414</v>
      </c>
      <c r="H813" s="5" t="s">
        <v>1075</v>
      </c>
    </row>
    <row r="814" spans="1:8" x14ac:dyDescent="0.35">
      <c r="A814" s="10">
        <f t="shared" si="12"/>
        <v>810</v>
      </c>
      <c r="B814" s="5">
        <v>8405</v>
      </c>
      <c r="C814" s="5" t="s">
        <v>1191</v>
      </c>
      <c r="D814" s="5" t="s">
        <v>563</v>
      </c>
      <c r="E814" s="5" t="s">
        <v>16</v>
      </c>
      <c r="F814" s="5" t="s">
        <v>626</v>
      </c>
      <c r="G814" s="7">
        <v>45019</v>
      </c>
      <c r="H814" s="5" t="s">
        <v>13</v>
      </c>
    </row>
    <row r="815" spans="1:8" x14ac:dyDescent="0.35">
      <c r="A815" s="10">
        <f t="shared" si="12"/>
        <v>811</v>
      </c>
      <c r="B815" s="5">
        <v>8424</v>
      </c>
      <c r="C815" s="5" t="s">
        <v>1192</v>
      </c>
      <c r="D815" s="5" t="s">
        <v>563</v>
      </c>
      <c r="E815" s="5" t="s">
        <v>16</v>
      </c>
      <c r="F815" s="5" t="s">
        <v>1183</v>
      </c>
      <c r="G815" s="7">
        <v>45026</v>
      </c>
      <c r="H815" s="5" t="s">
        <v>13</v>
      </c>
    </row>
    <row r="816" spans="1:8" x14ac:dyDescent="0.35">
      <c r="A816" s="10">
        <f t="shared" si="12"/>
        <v>812</v>
      </c>
      <c r="B816" s="5">
        <v>8428</v>
      </c>
      <c r="C816" s="5" t="s">
        <v>1193</v>
      </c>
      <c r="D816" s="5" t="s">
        <v>1152</v>
      </c>
      <c r="E816" s="5" t="s">
        <v>112</v>
      </c>
      <c r="F816" s="5" t="s">
        <v>112</v>
      </c>
      <c r="G816" s="7">
        <v>45017</v>
      </c>
      <c r="H816" s="5" t="s">
        <v>13</v>
      </c>
    </row>
    <row r="817" spans="1:8" x14ac:dyDescent="0.35">
      <c r="A817" s="10">
        <f t="shared" si="12"/>
        <v>813</v>
      </c>
      <c r="B817" s="5">
        <v>8431</v>
      </c>
      <c r="C817" s="5" t="s">
        <v>1194</v>
      </c>
      <c r="D817" s="5" t="s">
        <v>563</v>
      </c>
      <c r="E817" s="5" t="s">
        <v>16</v>
      </c>
      <c r="F817" s="5" t="s">
        <v>955</v>
      </c>
      <c r="G817" s="7">
        <v>45035</v>
      </c>
      <c r="H817" s="5" t="s">
        <v>13</v>
      </c>
    </row>
    <row r="818" spans="1:8" x14ac:dyDescent="0.35">
      <c r="A818" s="10">
        <f t="shared" si="12"/>
        <v>814</v>
      </c>
      <c r="B818" s="5">
        <v>8433</v>
      </c>
      <c r="C818" s="5" t="s">
        <v>1195</v>
      </c>
      <c r="D818" s="5" t="s">
        <v>563</v>
      </c>
      <c r="E818" s="5" t="s">
        <v>16</v>
      </c>
      <c r="F818" s="5" t="s">
        <v>141</v>
      </c>
      <c r="G818" s="7">
        <v>45035</v>
      </c>
      <c r="H818" s="5" t="s">
        <v>13</v>
      </c>
    </row>
    <row r="819" spans="1:8" x14ac:dyDescent="0.35">
      <c r="A819" s="10">
        <f t="shared" si="12"/>
        <v>815</v>
      </c>
      <c r="B819" s="5">
        <v>8434</v>
      </c>
      <c r="C819" s="5" t="s">
        <v>1196</v>
      </c>
      <c r="D819" s="5" t="s">
        <v>563</v>
      </c>
      <c r="E819" s="5" t="s">
        <v>16</v>
      </c>
      <c r="F819" s="5" t="s">
        <v>497</v>
      </c>
      <c r="G819" s="7">
        <v>45035</v>
      </c>
      <c r="H819" s="5" t="s">
        <v>13</v>
      </c>
    </row>
    <row r="820" spans="1:8" x14ac:dyDescent="0.35">
      <c r="A820" s="10">
        <f t="shared" si="12"/>
        <v>816</v>
      </c>
      <c r="B820" s="5">
        <v>8440</v>
      </c>
      <c r="C820" s="5" t="s">
        <v>1197</v>
      </c>
      <c r="D820" s="5" t="s">
        <v>563</v>
      </c>
      <c r="E820" s="5" t="s">
        <v>16</v>
      </c>
      <c r="F820" s="5" t="s">
        <v>850</v>
      </c>
      <c r="G820" s="7">
        <v>45049</v>
      </c>
      <c r="H820" s="5" t="s">
        <v>13</v>
      </c>
    </row>
    <row r="821" spans="1:8" x14ac:dyDescent="0.35">
      <c r="A821" s="10">
        <f t="shared" si="12"/>
        <v>817</v>
      </c>
      <c r="B821" s="5">
        <v>8442</v>
      </c>
      <c r="C821" s="5" t="s">
        <v>1198</v>
      </c>
      <c r="D821" s="5" t="s">
        <v>563</v>
      </c>
      <c r="E821" s="5" t="s">
        <v>16</v>
      </c>
      <c r="F821" s="5" t="s">
        <v>658</v>
      </c>
      <c r="G821" s="7">
        <v>45049</v>
      </c>
      <c r="H821" s="5" t="s">
        <v>13</v>
      </c>
    </row>
    <row r="822" spans="1:8" x14ac:dyDescent="0.35">
      <c r="A822" s="10">
        <f t="shared" si="12"/>
        <v>818</v>
      </c>
      <c r="B822" s="5">
        <v>8444</v>
      </c>
      <c r="C822" s="5" t="s">
        <v>22</v>
      </c>
      <c r="D822" s="5" t="s">
        <v>563</v>
      </c>
      <c r="E822" s="5" t="s">
        <v>16</v>
      </c>
      <c r="F822" s="5" t="s">
        <v>1107</v>
      </c>
      <c r="G822" s="7">
        <v>45049</v>
      </c>
      <c r="H822" s="5" t="s">
        <v>13</v>
      </c>
    </row>
    <row r="823" spans="1:8" x14ac:dyDescent="0.35">
      <c r="A823" s="10">
        <f t="shared" si="12"/>
        <v>819</v>
      </c>
      <c r="B823" s="5">
        <v>8446</v>
      </c>
      <c r="C823" s="5" t="s">
        <v>1199</v>
      </c>
      <c r="D823" s="5" t="s">
        <v>563</v>
      </c>
      <c r="E823" s="5" t="s">
        <v>16</v>
      </c>
      <c r="F823" s="5" t="s">
        <v>589</v>
      </c>
      <c r="G823" s="7">
        <v>45049</v>
      </c>
      <c r="H823" s="5" t="s">
        <v>13</v>
      </c>
    </row>
    <row r="824" spans="1:8" x14ac:dyDescent="0.35">
      <c r="A824" s="10">
        <f t="shared" si="12"/>
        <v>820</v>
      </c>
      <c r="B824" s="5">
        <v>8451</v>
      </c>
      <c r="C824" s="5" t="s">
        <v>1200</v>
      </c>
      <c r="D824" s="5" t="s">
        <v>563</v>
      </c>
      <c r="E824" s="5" t="s">
        <v>16</v>
      </c>
      <c r="F824" s="5" t="s">
        <v>620</v>
      </c>
      <c r="G824" s="7">
        <v>45049</v>
      </c>
      <c r="H824" s="5" t="s">
        <v>13</v>
      </c>
    </row>
    <row r="825" spans="1:8" x14ac:dyDescent="0.35">
      <c r="A825" s="10">
        <f t="shared" si="12"/>
        <v>821</v>
      </c>
      <c r="B825" s="5">
        <v>8454</v>
      </c>
      <c r="C825" s="5" t="s">
        <v>1201</v>
      </c>
      <c r="D825" s="5" t="s">
        <v>563</v>
      </c>
      <c r="E825" s="5" t="s">
        <v>16</v>
      </c>
      <c r="F825" s="5" t="s">
        <v>144</v>
      </c>
      <c r="G825" s="7">
        <v>45048</v>
      </c>
      <c r="H825" s="5" t="s">
        <v>13</v>
      </c>
    </row>
    <row r="826" spans="1:8" x14ac:dyDescent="0.35">
      <c r="A826" s="10">
        <f t="shared" si="12"/>
        <v>822</v>
      </c>
      <c r="B826" s="5">
        <v>8455</v>
      </c>
      <c r="C826" s="5" t="s">
        <v>1202</v>
      </c>
      <c r="D826" s="5" t="s">
        <v>563</v>
      </c>
      <c r="E826" s="5" t="s">
        <v>16</v>
      </c>
      <c r="F826" s="5" t="s">
        <v>483</v>
      </c>
      <c r="G826" s="7">
        <v>45049</v>
      </c>
      <c r="H826" s="5" t="s">
        <v>13</v>
      </c>
    </row>
    <row r="827" spans="1:8" x14ac:dyDescent="0.35">
      <c r="A827" s="10">
        <f t="shared" si="12"/>
        <v>823</v>
      </c>
      <c r="B827" s="5">
        <v>8456</v>
      </c>
      <c r="C827" s="5" t="s">
        <v>1203</v>
      </c>
      <c r="D827" s="5" t="s">
        <v>563</v>
      </c>
      <c r="E827" s="5" t="s">
        <v>16</v>
      </c>
      <c r="F827" s="5" t="s">
        <v>302</v>
      </c>
      <c r="G827" s="7">
        <v>45049</v>
      </c>
      <c r="H827" s="5" t="s">
        <v>13</v>
      </c>
    </row>
    <row r="828" spans="1:8" x14ac:dyDescent="0.35">
      <c r="A828" s="10">
        <f t="shared" si="12"/>
        <v>824</v>
      </c>
      <c r="B828" s="5">
        <v>8461</v>
      </c>
      <c r="C828" s="5" t="s">
        <v>1204</v>
      </c>
      <c r="D828" s="5" t="s">
        <v>29</v>
      </c>
      <c r="E828" s="5" t="s">
        <v>28</v>
      </c>
      <c r="F828" s="5" t="s">
        <v>29</v>
      </c>
      <c r="G828" s="7">
        <v>45048</v>
      </c>
      <c r="H828" s="5" t="s">
        <v>13</v>
      </c>
    </row>
    <row r="829" spans="1:8" x14ac:dyDescent="0.35">
      <c r="A829" s="10">
        <f t="shared" si="12"/>
        <v>825</v>
      </c>
      <c r="B829" s="5">
        <v>8462</v>
      </c>
      <c r="C829" s="5" t="s">
        <v>1205</v>
      </c>
      <c r="D829" s="5" t="s">
        <v>187</v>
      </c>
      <c r="E829" s="5" t="s">
        <v>68</v>
      </c>
      <c r="F829" s="5" t="s">
        <v>187</v>
      </c>
      <c r="G829" s="7">
        <v>45048</v>
      </c>
      <c r="H829" s="5" t="s">
        <v>13</v>
      </c>
    </row>
    <row r="830" spans="1:8" x14ac:dyDescent="0.35">
      <c r="A830" s="10">
        <f t="shared" si="12"/>
        <v>826</v>
      </c>
      <c r="B830" s="5">
        <v>8464</v>
      </c>
      <c r="C830" s="5" t="s">
        <v>1206</v>
      </c>
      <c r="D830" s="5" t="s">
        <v>563</v>
      </c>
      <c r="E830" s="5" t="s">
        <v>16</v>
      </c>
      <c r="F830" s="5" t="s">
        <v>897</v>
      </c>
      <c r="G830" s="7">
        <v>45061</v>
      </c>
      <c r="H830" s="5" t="s">
        <v>13</v>
      </c>
    </row>
    <row r="831" spans="1:8" x14ac:dyDescent="0.35">
      <c r="A831" s="10">
        <f t="shared" si="12"/>
        <v>827</v>
      </c>
      <c r="B831" s="5">
        <v>8466</v>
      </c>
      <c r="C831" s="5" t="s">
        <v>1207</v>
      </c>
      <c r="D831" s="5" t="s">
        <v>563</v>
      </c>
      <c r="E831" s="5" t="s">
        <v>16</v>
      </c>
      <c r="F831" s="5" t="s">
        <v>110</v>
      </c>
      <c r="G831" s="7">
        <v>45061</v>
      </c>
      <c r="H831" s="5" t="s">
        <v>13</v>
      </c>
    </row>
    <row r="832" spans="1:8" x14ac:dyDescent="0.35">
      <c r="A832" s="10">
        <f t="shared" si="12"/>
        <v>828</v>
      </c>
      <c r="B832" s="5">
        <v>8468</v>
      </c>
      <c r="C832" s="5" t="s">
        <v>1208</v>
      </c>
      <c r="D832" s="5" t="s">
        <v>563</v>
      </c>
      <c r="E832" s="5" t="s">
        <v>16</v>
      </c>
      <c r="F832" s="5" t="s">
        <v>688</v>
      </c>
      <c r="G832" s="7">
        <v>45061</v>
      </c>
      <c r="H832" s="5" t="s">
        <v>1075</v>
      </c>
    </row>
    <row r="833" spans="1:8" x14ac:dyDescent="0.35">
      <c r="A833" s="10">
        <f t="shared" si="12"/>
        <v>829</v>
      </c>
      <c r="B833" s="5">
        <v>8471</v>
      </c>
      <c r="C833" s="5" t="s">
        <v>1209</v>
      </c>
      <c r="D833" s="5" t="s">
        <v>563</v>
      </c>
      <c r="E833" s="5" t="s">
        <v>16</v>
      </c>
      <c r="F833" s="5" t="s">
        <v>658</v>
      </c>
      <c r="G833" s="7">
        <v>45061</v>
      </c>
      <c r="H833" s="5" t="s">
        <v>1075</v>
      </c>
    </row>
    <row r="834" spans="1:8" x14ac:dyDescent="0.35">
      <c r="A834" s="10">
        <f t="shared" si="12"/>
        <v>830</v>
      </c>
      <c r="B834" s="5">
        <v>8474</v>
      </c>
      <c r="C834" s="5" t="s">
        <v>1210</v>
      </c>
      <c r="D834" s="5" t="s">
        <v>563</v>
      </c>
      <c r="E834" s="5" t="s">
        <v>16</v>
      </c>
      <c r="F834" s="5" t="s">
        <v>990</v>
      </c>
      <c r="G834" s="7">
        <v>45061</v>
      </c>
      <c r="H834" s="5" t="s">
        <v>1075</v>
      </c>
    </row>
    <row r="835" spans="1:8" x14ac:dyDescent="0.35">
      <c r="A835" s="10">
        <f t="shared" si="12"/>
        <v>831</v>
      </c>
      <c r="B835" s="5">
        <v>8475</v>
      </c>
      <c r="C835" s="5" t="s">
        <v>1211</v>
      </c>
      <c r="D835" s="5" t="s">
        <v>157</v>
      </c>
      <c r="E835" s="5" t="s">
        <v>16</v>
      </c>
      <c r="F835" s="5" t="s">
        <v>41</v>
      </c>
      <c r="G835" s="7">
        <v>45061</v>
      </c>
      <c r="H835" s="5" t="s">
        <v>1075</v>
      </c>
    </row>
    <row r="836" spans="1:8" x14ac:dyDescent="0.35">
      <c r="A836" s="10">
        <f t="shared" si="12"/>
        <v>832</v>
      </c>
      <c r="B836" s="5">
        <v>8476</v>
      </c>
      <c r="C836" s="5" t="s">
        <v>1212</v>
      </c>
      <c r="D836" s="5" t="s">
        <v>157</v>
      </c>
      <c r="E836" s="5" t="s">
        <v>16</v>
      </c>
      <c r="F836" s="5" t="s">
        <v>144</v>
      </c>
      <c r="G836" s="7">
        <v>45061</v>
      </c>
      <c r="H836" s="5" t="s">
        <v>1075</v>
      </c>
    </row>
    <row r="837" spans="1:8" x14ac:dyDescent="0.35">
      <c r="A837" s="10">
        <f t="shared" si="12"/>
        <v>833</v>
      </c>
      <c r="B837" s="5">
        <v>8481</v>
      </c>
      <c r="C837" s="5" t="s">
        <v>1214</v>
      </c>
      <c r="D837" s="5" t="s">
        <v>1215</v>
      </c>
      <c r="E837" s="5" t="s">
        <v>387</v>
      </c>
      <c r="F837" s="5" t="s">
        <v>1216</v>
      </c>
      <c r="G837" s="7">
        <v>45062</v>
      </c>
      <c r="H837" s="5" t="s">
        <v>13</v>
      </c>
    </row>
    <row r="838" spans="1:8" x14ac:dyDescent="0.35">
      <c r="A838" s="10">
        <f t="shared" ref="A838:A901" si="13">+A837+1</f>
        <v>834</v>
      </c>
      <c r="B838" s="5">
        <v>8482</v>
      </c>
      <c r="C838" s="5" t="s">
        <v>1217</v>
      </c>
      <c r="D838" s="5" t="s">
        <v>563</v>
      </c>
      <c r="E838" s="5" t="s">
        <v>16</v>
      </c>
      <c r="F838" s="5" t="s">
        <v>626</v>
      </c>
      <c r="G838" s="7">
        <v>45064</v>
      </c>
      <c r="H838" s="5" t="s">
        <v>13</v>
      </c>
    </row>
    <row r="839" spans="1:8" x14ac:dyDescent="0.35">
      <c r="A839" s="10">
        <f t="shared" si="13"/>
        <v>835</v>
      </c>
      <c r="B839" s="5">
        <v>8490</v>
      </c>
      <c r="C839" s="5" t="s">
        <v>1220</v>
      </c>
      <c r="D839" s="5" t="s">
        <v>563</v>
      </c>
      <c r="E839" s="5" t="s">
        <v>16</v>
      </c>
      <c r="F839" s="5" t="s">
        <v>144</v>
      </c>
      <c r="G839" s="7">
        <v>45078</v>
      </c>
      <c r="H839" s="5" t="s">
        <v>13</v>
      </c>
    </row>
    <row r="840" spans="1:8" x14ac:dyDescent="0.35">
      <c r="A840" s="10">
        <f t="shared" si="13"/>
        <v>836</v>
      </c>
      <c r="B840" s="5">
        <v>8491</v>
      </c>
      <c r="C840" s="5" t="s">
        <v>1221</v>
      </c>
      <c r="D840" s="5" t="s">
        <v>563</v>
      </c>
      <c r="E840" s="5" t="s">
        <v>16</v>
      </c>
      <c r="F840" s="5" t="s">
        <v>483</v>
      </c>
      <c r="G840" s="7">
        <v>45078</v>
      </c>
      <c r="H840" s="5" t="s">
        <v>13</v>
      </c>
    </row>
    <row r="841" spans="1:8" x14ac:dyDescent="0.35">
      <c r="A841" s="10">
        <f t="shared" si="13"/>
        <v>837</v>
      </c>
      <c r="B841" s="5">
        <v>8492</v>
      </c>
      <c r="C841" s="5" t="s">
        <v>1222</v>
      </c>
      <c r="D841" s="5" t="s">
        <v>563</v>
      </c>
      <c r="E841" s="5" t="s">
        <v>16</v>
      </c>
      <c r="F841" s="5" t="s">
        <v>353</v>
      </c>
      <c r="G841" s="7">
        <v>45078</v>
      </c>
      <c r="H841" s="5" t="s">
        <v>1075</v>
      </c>
    </row>
    <row r="842" spans="1:8" x14ac:dyDescent="0.35">
      <c r="A842" s="10">
        <f t="shared" si="13"/>
        <v>838</v>
      </c>
      <c r="B842" s="5">
        <v>8497</v>
      </c>
      <c r="C842" s="5" t="s">
        <v>1223</v>
      </c>
      <c r="D842" s="5" t="s">
        <v>563</v>
      </c>
      <c r="E842" s="5" t="s">
        <v>16</v>
      </c>
      <c r="F842" s="5" t="s">
        <v>1224</v>
      </c>
      <c r="G842" s="7">
        <v>45078</v>
      </c>
      <c r="H842" s="5" t="s">
        <v>13</v>
      </c>
    </row>
    <row r="843" spans="1:8" x14ac:dyDescent="0.35">
      <c r="A843" s="10">
        <f t="shared" si="13"/>
        <v>839</v>
      </c>
      <c r="B843" s="5">
        <v>8498</v>
      </c>
      <c r="C843" s="5" t="s">
        <v>1225</v>
      </c>
      <c r="D843" s="5" t="s">
        <v>563</v>
      </c>
      <c r="E843" s="5" t="s">
        <v>16</v>
      </c>
      <c r="F843" s="5" t="s">
        <v>897</v>
      </c>
      <c r="G843" s="7">
        <v>45078</v>
      </c>
      <c r="H843" s="5" t="s">
        <v>13</v>
      </c>
    </row>
    <row r="844" spans="1:8" x14ac:dyDescent="0.35">
      <c r="A844" s="10">
        <f t="shared" si="13"/>
        <v>840</v>
      </c>
      <c r="B844" s="5">
        <v>8499</v>
      </c>
      <c r="C844" s="5" t="s">
        <v>1226</v>
      </c>
      <c r="D844" s="5" t="s">
        <v>830</v>
      </c>
      <c r="E844" s="5" t="s">
        <v>35</v>
      </c>
      <c r="F844" s="5" t="s">
        <v>36</v>
      </c>
      <c r="G844" s="7">
        <v>45078</v>
      </c>
      <c r="H844" s="5" t="s">
        <v>13</v>
      </c>
    </row>
    <row r="845" spans="1:8" x14ac:dyDescent="0.35">
      <c r="A845" s="10">
        <f t="shared" si="13"/>
        <v>841</v>
      </c>
      <c r="B845" s="5">
        <v>8505</v>
      </c>
      <c r="C845" s="5" t="s">
        <v>1227</v>
      </c>
      <c r="D845" s="5" t="s">
        <v>778</v>
      </c>
      <c r="E845" s="5" t="s">
        <v>314</v>
      </c>
      <c r="F845" s="5" t="s">
        <v>315</v>
      </c>
      <c r="G845" s="7">
        <v>45078</v>
      </c>
      <c r="H845" s="5" t="s">
        <v>13</v>
      </c>
    </row>
    <row r="846" spans="1:8" x14ac:dyDescent="0.35">
      <c r="A846" s="10">
        <f t="shared" si="13"/>
        <v>842</v>
      </c>
      <c r="B846" s="5">
        <v>8506</v>
      </c>
      <c r="C846" s="5" t="s">
        <v>1228</v>
      </c>
      <c r="D846" s="5" t="s">
        <v>778</v>
      </c>
      <c r="E846" s="5" t="s">
        <v>314</v>
      </c>
      <c r="F846" s="5" t="s">
        <v>315</v>
      </c>
      <c r="G846" s="7">
        <v>45078</v>
      </c>
      <c r="H846" s="5" t="s">
        <v>13</v>
      </c>
    </row>
    <row r="847" spans="1:8" x14ac:dyDescent="0.35">
      <c r="A847" s="10">
        <f t="shared" si="13"/>
        <v>843</v>
      </c>
      <c r="B847" s="5">
        <v>8507</v>
      </c>
      <c r="C847" s="5" t="s">
        <v>1229</v>
      </c>
      <c r="D847" s="5" t="s">
        <v>778</v>
      </c>
      <c r="E847" s="5" t="s">
        <v>314</v>
      </c>
      <c r="F847" s="5" t="s">
        <v>315</v>
      </c>
      <c r="G847" s="7">
        <v>45078</v>
      </c>
      <c r="H847" s="5" t="s">
        <v>13</v>
      </c>
    </row>
    <row r="848" spans="1:8" x14ac:dyDescent="0.35">
      <c r="A848" s="10">
        <f t="shared" si="13"/>
        <v>844</v>
      </c>
      <c r="B848" s="5">
        <v>8508</v>
      </c>
      <c r="C848" s="5" t="s">
        <v>1230</v>
      </c>
      <c r="D848" s="5" t="s">
        <v>778</v>
      </c>
      <c r="E848" s="5" t="s">
        <v>314</v>
      </c>
      <c r="F848" s="5" t="s">
        <v>315</v>
      </c>
      <c r="G848" s="7">
        <v>45078</v>
      </c>
      <c r="H848" s="5" t="s">
        <v>13</v>
      </c>
    </row>
    <row r="849" spans="1:8" x14ac:dyDescent="0.35">
      <c r="A849" s="10">
        <f t="shared" si="13"/>
        <v>845</v>
      </c>
      <c r="B849" s="5">
        <v>8510</v>
      </c>
      <c r="C849" s="5" t="s">
        <v>1231</v>
      </c>
      <c r="D849" s="5" t="s">
        <v>488</v>
      </c>
      <c r="E849" s="5" t="s">
        <v>64</v>
      </c>
      <c r="F849" s="5" t="s">
        <v>64</v>
      </c>
      <c r="G849" s="7">
        <v>45084</v>
      </c>
      <c r="H849" s="5" t="s">
        <v>13</v>
      </c>
    </row>
    <row r="850" spans="1:8" x14ac:dyDescent="0.35">
      <c r="A850" s="10">
        <f t="shared" si="13"/>
        <v>846</v>
      </c>
      <c r="B850" s="5">
        <v>8511</v>
      </c>
      <c r="C850" s="5" t="s">
        <v>1232</v>
      </c>
      <c r="D850" s="5" t="s">
        <v>488</v>
      </c>
      <c r="E850" s="5" t="s">
        <v>181</v>
      </c>
      <c r="F850" s="5" t="s">
        <v>181</v>
      </c>
      <c r="G850" s="7">
        <v>45084</v>
      </c>
      <c r="H850" s="5" t="s">
        <v>13</v>
      </c>
    </row>
    <row r="851" spans="1:8" x14ac:dyDescent="0.35">
      <c r="A851" s="10">
        <f t="shared" si="13"/>
        <v>847</v>
      </c>
      <c r="B851" s="5">
        <v>8512</v>
      </c>
      <c r="C851" s="5" t="s">
        <v>1233</v>
      </c>
      <c r="D851" s="5" t="s">
        <v>812</v>
      </c>
      <c r="E851" s="5" t="s">
        <v>35</v>
      </c>
      <c r="F851" s="5" t="s">
        <v>36</v>
      </c>
      <c r="G851" s="7">
        <v>45084</v>
      </c>
      <c r="H851" s="5" t="s">
        <v>13</v>
      </c>
    </row>
    <row r="852" spans="1:8" x14ac:dyDescent="0.35">
      <c r="A852" s="10">
        <f t="shared" si="13"/>
        <v>848</v>
      </c>
      <c r="B852" s="5">
        <v>8516</v>
      </c>
      <c r="C852" s="5" t="s">
        <v>1234</v>
      </c>
      <c r="D852" s="5" t="s">
        <v>563</v>
      </c>
      <c r="E852" s="5" t="s">
        <v>16</v>
      </c>
      <c r="F852" s="5" t="s">
        <v>480</v>
      </c>
      <c r="G852" s="7">
        <v>45092</v>
      </c>
      <c r="H852" s="5" t="s">
        <v>1075</v>
      </c>
    </row>
    <row r="853" spans="1:8" x14ac:dyDescent="0.35">
      <c r="A853" s="10">
        <f t="shared" si="13"/>
        <v>849</v>
      </c>
      <c r="B853" s="5">
        <v>8517</v>
      </c>
      <c r="C853" s="5" t="s">
        <v>1235</v>
      </c>
      <c r="D853" s="5" t="s">
        <v>563</v>
      </c>
      <c r="E853" s="5" t="s">
        <v>16</v>
      </c>
      <c r="F853" s="5" t="s">
        <v>434</v>
      </c>
      <c r="G853" s="7">
        <v>45092</v>
      </c>
      <c r="H853" s="5" t="s">
        <v>1075</v>
      </c>
    </row>
    <row r="854" spans="1:8" x14ac:dyDescent="0.35">
      <c r="A854" s="10">
        <f t="shared" si="13"/>
        <v>850</v>
      </c>
      <c r="B854" s="5">
        <v>8528</v>
      </c>
      <c r="C854" s="5" t="s">
        <v>1236</v>
      </c>
      <c r="D854" s="5" t="s">
        <v>563</v>
      </c>
      <c r="E854" s="5" t="s">
        <v>16</v>
      </c>
      <c r="F854" s="5" t="s">
        <v>326</v>
      </c>
      <c r="G854" s="7">
        <v>45096</v>
      </c>
      <c r="H854" s="5" t="s">
        <v>1075</v>
      </c>
    </row>
    <row r="855" spans="1:8" x14ac:dyDescent="0.35">
      <c r="A855" s="10">
        <f t="shared" si="13"/>
        <v>851</v>
      </c>
      <c r="B855" s="5">
        <v>8540</v>
      </c>
      <c r="C855" s="5" t="s">
        <v>1237</v>
      </c>
      <c r="D855" s="5" t="s">
        <v>563</v>
      </c>
      <c r="E855" s="5" t="s">
        <v>16</v>
      </c>
      <c r="F855" s="5" t="s">
        <v>1183</v>
      </c>
      <c r="G855" s="7">
        <v>45110</v>
      </c>
      <c r="H855" s="5" t="s">
        <v>1075</v>
      </c>
    </row>
    <row r="856" spans="1:8" x14ac:dyDescent="0.35">
      <c r="A856" s="10">
        <f t="shared" si="13"/>
        <v>852</v>
      </c>
      <c r="B856" s="5">
        <v>8543</v>
      </c>
      <c r="C856" s="5" t="s">
        <v>1238</v>
      </c>
      <c r="D856" s="5" t="s">
        <v>249</v>
      </c>
      <c r="E856" s="5" t="s">
        <v>99</v>
      </c>
      <c r="F856" s="5" t="s">
        <v>249</v>
      </c>
      <c r="G856" s="7">
        <v>45110</v>
      </c>
      <c r="H856" s="5" t="s">
        <v>13</v>
      </c>
    </row>
    <row r="857" spans="1:8" x14ac:dyDescent="0.35">
      <c r="A857" s="10">
        <f t="shared" si="13"/>
        <v>853</v>
      </c>
      <c r="B857" s="5">
        <v>8544</v>
      </c>
      <c r="C857" s="5" t="s">
        <v>1239</v>
      </c>
      <c r="D857" s="5" t="s">
        <v>157</v>
      </c>
      <c r="E857" s="5" t="s">
        <v>16</v>
      </c>
      <c r="F857" s="5" t="s">
        <v>144</v>
      </c>
      <c r="G857" s="7">
        <v>45110</v>
      </c>
      <c r="H857" s="5" t="s">
        <v>13</v>
      </c>
    </row>
    <row r="858" spans="1:8" x14ac:dyDescent="0.35">
      <c r="A858" s="10">
        <f t="shared" si="13"/>
        <v>854</v>
      </c>
      <c r="B858" s="5">
        <v>8545</v>
      </c>
      <c r="C858" s="5" t="s">
        <v>1240</v>
      </c>
      <c r="D858" s="5" t="s">
        <v>157</v>
      </c>
      <c r="E858" s="5" t="s">
        <v>16</v>
      </c>
      <c r="F858" s="5" t="s">
        <v>41</v>
      </c>
      <c r="G858" s="7">
        <v>45110</v>
      </c>
      <c r="H858" s="5" t="s">
        <v>13</v>
      </c>
    </row>
    <row r="859" spans="1:8" x14ac:dyDescent="0.35">
      <c r="A859" s="10">
        <f t="shared" si="13"/>
        <v>855</v>
      </c>
      <c r="B859" s="5">
        <v>8546</v>
      </c>
      <c r="C859" s="5" t="s">
        <v>1241</v>
      </c>
      <c r="D859" s="5" t="s">
        <v>157</v>
      </c>
      <c r="E859" s="5" t="s">
        <v>16</v>
      </c>
      <c r="F859" s="5" t="s">
        <v>41</v>
      </c>
      <c r="G859" s="7">
        <v>45110</v>
      </c>
      <c r="H859" s="5" t="s">
        <v>13</v>
      </c>
    </row>
    <row r="860" spans="1:8" x14ac:dyDescent="0.35">
      <c r="A860" s="10">
        <f t="shared" si="13"/>
        <v>856</v>
      </c>
      <c r="B860" s="5">
        <v>8556</v>
      </c>
      <c r="C860" s="5" t="s">
        <v>1242</v>
      </c>
      <c r="D860" s="5" t="s">
        <v>563</v>
      </c>
      <c r="E860" s="5" t="s">
        <v>16</v>
      </c>
      <c r="F860" s="5" t="s">
        <v>1107</v>
      </c>
      <c r="G860" s="7">
        <v>45120</v>
      </c>
      <c r="H860" s="5" t="s">
        <v>1075</v>
      </c>
    </row>
    <row r="861" spans="1:8" x14ac:dyDescent="0.35">
      <c r="A861" s="10">
        <f t="shared" si="13"/>
        <v>857</v>
      </c>
      <c r="B861" s="5">
        <v>8559</v>
      </c>
      <c r="C861" s="5" t="s">
        <v>1243</v>
      </c>
      <c r="D861" s="5" t="s">
        <v>807</v>
      </c>
      <c r="E861" s="5" t="s">
        <v>87</v>
      </c>
      <c r="F861" s="5" t="s">
        <v>808</v>
      </c>
      <c r="G861" s="7">
        <v>45120</v>
      </c>
      <c r="H861" s="5" t="s">
        <v>13</v>
      </c>
    </row>
    <row r="862" spans="1:8" x14ac:dyDescent="0.35">
      <c r="A862" s="10">
        <f t="shared" si="13"/>
        <v>858</v>
      </c>
      <c r="B862" s="5">
        <v>8560</v>
      </c>
      <c r="C862" s="5" t="s">
        <v>1244</v>
      </c>
      <c r="D862" s="5" t="s">
        <v>733</v>
      </c>
      <c r="E862" s="5" t="s">
        <v>165</v>
      </c>
      <c r="F862" s="5" t="s">
        <v>165</v>
      </c>
      <c r="G862" s="7">
        <v>45122</v>
      </c>
      <c r="H862" s="5" t="s">
        <v>13</v>
      </c>
    </row>
    <row r="863" spans="1:8" x14ac:dyDescent="0.35">
      <c r="A863" s="10">
        <f t="shared" si="13"/>
        <v>859</v>
      </c>
      <c r="B863" s="5">
        <v>8565</v>
      </c>
      <c r="C863" s="5" t="s">
        <v>1248</v>
      </c>
      <c r="D863" s="5" t="s">
        <v>693</v>
      </c>
      <c r="E863" s="5" t="s">
        <v>181</v>
      </c>
      <c r="F863" s="5" t="s">
        <v>181</v>
      </c>
      <c r="G863" s="7">
        <v>45131</v>
      </c>
      <c r="H863" s="5" t="s">
        <v>13</v>
      </c>
    </row>
    <row r="864" spans="1:8" x14ac:dyDescent="0.35">
      <c r="A864" s="10">
        <f t="shared" si="13"/>
        <v>860</v>
      </c>
      <c r="B864" s="5">
        <v>8566</v>
      </c>
      <c r="C864" s="5" t="s">
        <v>1249</v>
      </c>
      <c r="D864" s="5" t="s">
        <v>669</v>
      </c>
      <c r="E864" s="5" t="s">
        <v>103</v>
      </c>
      <c r="F864" s="5" t="s">
        <v>103</v>
      </c>
      <c r="G864" s="7">
        <v>45139</v>
      </c>
      <c r="H864" s="5" t="s">
        <v>13</v>
      </c>
    </row>
    <row r="865" spans="1:8" x14ac:dyDescent="0.35">
      <c r="A865" s="10">
        <f t="shared" si="13"/>
        <v>861</v>
      </c>
      <c r="B865" s="5">
        <v>857</v>
      </c>
      <c r="C865" s="5" t="s">
        <v>1250</v>
      </c>
      <c r="D865" s="5" t="s">
        <v>40</v>
      </c>
      <c r="E865" s="5" t="s">
        <v>16</v>
      </c>
      <c r="F865" s="5" t="s">
        <v>48</v>
      </c>
      <c r="G865" s="7">
        <v>38428</v>
      </c>
      <c r="H865" s="5" t="s">
        <v>13</v>
      </c>
    </row>
    <row r="866" spans="1:8" x14ac:dyDescent="0.35">
      <c r="A866" s="10">
        <f t="shared" si="13"/>
        <v>862</v>
      </c>
      <c r="B866" s="5">
        <v>8572</v>
      </c>
      <c r="C866" s="5" t="s">
        <v>1005</v>
      </c>
      <c r="D866" s="5" t="s">
        <v>797</v>
      </c>
      <c r="E866" s="5" t="s">
        <v>714</v>
      </c>
      <c r="F866" s="5" t="s">
        <v>714</v>
      </c>
      <c r="G866" s="7">
        <v>45139</v>
      </c>
      <c r="H866" s="5" t="s">
        <v>13</v>
      </c>
    </row>
    <row r="867" spans="1:8" x14ac:dyDescent="0.35">
      <c r="A867" s="10">
        <f t="shared" si="13"/>
        <v>863</v>
      </c>
      <c r="B867" s="5">
        <v>8574</v>
      </c>
      <c r="C867" s="5" t="s">
        <v>1251</v>
      </c>
      <c r="D867" s="5" t="s">
        <v>157</v>
      </c>
      <c r="E867" s="5" t="s">
        <v>16</v>
      </c>
      <c r="F867" s="5" t="s">
        <v>144</v>
      </c>
      <c r="G867" s="7">
        <v>45139</v>
      </c>
      <c r="H867" s="5" t="s">
        <v>888</v>
      </c>
    </row>
    <row r="868" spans="1:8" x14ac:dyDescent="0.35">
      <c r="A868" s="10">
        <f t="shared" si="13"/>
        <v>864</v>
      </c>
      <c r="B868" s="5">
        <v>8575</v>
      </c>
      <c r="C868" s="5" t="s">
        <v>1252</v>
      </c>
      <c r="D868" s="5" t="s">
        <v>563</v>
      </c>
      <c r="E868" s="5" t="s">
        <v>16</v>
      </c>
      <c r="F868" s="5" t="s">
        <v>407</v>
      </c>
      <c r="G868" s="7">
        <v>45139</v>
      </c>
      <c r="H868" s="5" t="s">
        <v>1075</v>
      </c>
    </row>
    <row r="869" spans="1:8" x14ac:dyDescent="0.35">
      <c r="A869" s="10">
        <f t="shared" si="13"/>
        <v>865</v>
      </c>
      <c r="B869" s="5">
        <v>8585</v>
      </c>
      <c r="C869" s="5" t="s">
        <v>1253</v>
      </c>
      <c r="D869" s="5" t="s">
        <v>669</v>
      </c>
      <c r="E869" s="5" t="s">
        <v>103</v>
      </c>
      <c r="F869" s="5" t="s">
        <v>103</v>
      </c>
      <c r="G869" s="7">
        <v>45145</v>
      </c>
      <c r="H869" s="5" t="s">
        <v>13</v>
      </c>
    </row>
    <row r="870" spans="1:8" x14ac:dyDescent="0.35">
      <c r="A870" s="10">
        <f t="shared" si="13"/>
        <v>866</v>
      </c>
      <c r="B870" s="5">
        <v>8587</v>
      </c>
      <c r="C870" s="5" t="s">
        <v>1254</v>
      </c>
      <c r="D870" s="5" t="s">
        <v>1255</v>
      </c>
      <c r="E870" s="5" t="s">
        <v>662</v>
      </c>
      <c r="F870" s="5" t="s">
        <v>662</v>
      </c>
      <c r="G870" s="7">
        <v>45145</v>
      </c>
      <c r="H870" s="5" t="s">
        <v>13</v>
      </c>
    </row>
    <row r="871" spans="1:8" x14ac:dyDescent="0.35">
      <c r="A871" s="10">
        <f t="shared" si="13"/>
        <v>867</v>
      </c>
      <c r="B871" s="5">
        <v>8588</v>
      </c>
      <c r="C871" s="5" t="s">
        <v>1256</v>
      </c>
      <c r="D871" s="5" t="s">
        <v>1257</v>
      </c>
      <c r="E871" s="5" t="s">
        <v>165</v>
      </c>
      <c r="F871" s="5" t="s">
        <v>165</v>
      </c>
      <c r="G871" s="7">
        <v>45148</v>
      </c>
      <c r="H871" s="5" t="s">
        <v>13</v>
      </c>
    </row>
    <row r="872" spans="1:8" x14ac:dyDescent="0.35">
      <c r="A872" s="10">
        <f t="shared" si="13"/>
        <v>868</v>
      </c>
      <c r="B872" s="5">
        <v>8590</v>
      </c>
      <c r="C872" s="5" t="s">
        <v>1258</v>
      </c>
      <c r="D872" s="5" t="s">
        <v>669</v>
      </c>
      <c r="E872" s="5" t="s">
        <v>103</v>
      </c>
      <c r="F872" s="5" t="s">
        <v>103</v>
      </c>
      <c r="G872" s="7">
        <v>45154</v>
      </c>
      <c r="H872" s="5" t="s">
        <v>13</v>
      </c>
    </row>
    <row r="873" spans="1:8" x14ac:dyDescent="0.35">
      <c r="A873" s="10">
        <f t="shared" si="13"/>
        <v>869</v>
      </c>
      <c r="B873" s="5">
        <v>8594</v>
      </c>
      <c r="C873" s="5" t="s">
        <v>1259</v>
      </c>
      <c r="D873" s="5" t="s">
        <v>21</v>
      </c>
      <c r="E873" s="5" t="s">
        <v>116</v>
      </c>
      <c r="F873" s="5" t="s">
        <v>117</v>
      </c>
      <c r="G873" s="7">
        <v>45154</v>
      </c>
      <c r="H873" s="5" t="s">
        <v>13</v>
      </c>
    </row>
    <row r="874" spans="1:8" x14ac:dyDescent="0.35">
      <c r="A874" s="10">
        <f t="shared" si="13"/>
        <v>870</v>
      </c>
      <c r="B874" s="5">
        <v>8598</v>
      </c>
      <c r="C874" s="5" t="s">
        <v>1260</v>
      </c>
      <c r="D874" s="5" t="s">
        <v>563</v>
      </c>
      <c r="E874" s="5" t="s">
        <v>16</v>
      </c>
      <c r="F874" s="5" t="s">
        <v>718</v>
      </c>
      <c r="G874" s="7">
        <v>45566</v>
      </c>
      <c r="H874" s="5" t="s">
        <v>888</v>
      </c>
    </row>
    <row r="875" spans="1:8" x14ac:dyDescent="0.35">
      <c r="A875" s="10">
        <f t="shared" si="13"/>
        <v>871</v>
      </c>
      <c r="B875" s="5">
        <v>8600</v>
      </c>
      <c r="C875" s="5" t="s">
        <v>1261</v>
      </c>
      <c r="D875" s="5" t="s">
        <v>563</v>
      </c>
      <c r="E875" s="5" t="s">
        <v>16</v>
      </c>
      <c r="F875" s="5" t="s">
        <v>247</v>
      </c>
      <c r="G875" s="7">
        <v>45154</v>
      </c>
      <c r="H875" s="5" t="s">
        <v>1075</v>
      </c>
    </row>
    <row r="876" spans="1:8" ht="29" x14ac:dyDescent="0.35">
      <c r="A876" s="10">
        <f t="shared" si="13"/>
        <v>872</v>
      </c>
      <c r="B876" s="5">
        <v>8603</v>
      </c>
      <c r="C876" s="5" t="s">
        <v>1262</v>
      </c>
      <c r="D876" s="5" t="s">
        <v>563</v>
      </c>
      <c r="E876" s="5" t="s">
        <v>16</v>
      </c>
      <c r="F876" s="5" t="s">
        <v>434</v>
      </c>
      <c r="G876" s="7">
        <v>45170</v>
      </c>
      <c r="H876" s="5" t="s">
        <v>1075</v>
      </c>
    </row>
    <row r="877" spans="1:8" x14ac:dyDescent="0.35">
      <c r="A877" s="10">
        <f t="shared" si="13"/>
        <v>873</v>
      </c>
      <c r="B877" s="5">
        <v>8607</v>
      </c>
      <c r="C877" s="5" t="s">
        <v>1263</v>
      </c>
      <c r="D877" s="5" t="s">
        <v>669</v>
      </c>
      <c r="E877" s="5" t="s">
        <v>103</v>
      </c>
      <c r="F877" s="5" t="s">
        <v>103</v>
      </c>
      <c r="G877" s="7">
        <v>45170</v>
      </c>
      <c r="H877" s="5" t="s">
        <v>13</v>
      </c>
    </row>
    <row r="878" spans="1:8" x14ac:dyDescent="0.35">
      <c r="A878" s="10">
        <f t="shared" si="13"/>
        <v>874</v>
      </c>
      <c r="B878" s="5">
        <v>8608</v>
      </c>
      <c r="C878" s="5" t="s">
        <v>1264</v>
      </c>
      <c r="D878" s="5" t="s">
        <v>563</v>
      </c>
      <c r="E878" s="5" t="s">
        <v>16</v>
      </c>
      <c r="F878" s="5" t="s">
        <v>144</v>
      </c>
      <c r="G878" s="7">
        <v>45170</v>
      </c>
      <c r="H878" s="5" t="s">
        <v>1075</v>
      </c>
    </row>
    <row r="879" spans="1:8" x14ac:dyDescent="0.35">
      <c r="A879" s="10">
        <f t="shared" si="13"/>
        <v>875</v>
      </c>
      <c r="B879" s="5">
        <v>8613</v>
      </c>
      <c r="C879" s="5" t="s">
        <v>1265</v>
      </c>
      <c r="D879" s="5" t="s">
        <v>21</v>
      </c>
      <c r="E879" s="5" t="s">
        <v>24</v>
      </c>
      <c r="F879" s="5" t="s">
        <v>24</v>
      </c>
      <c r="G879" s="7">
        <v>45170</v>
      </c>
      <c r="H879" s="5" t="s">
        <v>13</v>
      </c>
    </row>
    <row r="880" spans="1:8" x14ac:dyDescent="0.35">
      <c r="A880" s="10">
        <f t="shared" si="13"/>
        <v>876</v>
      </c>
      <c r="B880" s="5">
        <v>8617</v>
      </c>
      <c r="C880" s="5" t="s">
        <v>1266</v>
      </c>
      <c r="D880" s="5" t="s">
        <v>807</v>
      </c>
      <c r="E880" s="5" t="s">
        <v>87</v>
      </c>
      <c r="F880" s="5" t="s">
        <v>808</v>
      </c>
      <c r="G880" s="7">
        <v>45170</v>
      </c>
      <c r="H880" s="5" t="s">
        <v>13</v>
      </c>
    </row>
    <row r="881" spans="1:8" x14ac:dyDescent="0.35">
      <c r="A881" s="10">
        <f t="shared" si="13"/>
        <v>877</v>
      </c>
      <c r="B881" s="5">
        <v>8618</v>
      </c>
      <c r="C881" s="5" t="s">
        <v>1267</v>
      </c>
      <c r="D881" s="5" t="s">
        <v>455</v>
      </c>
      <c r="E881" s="5" t="s">
        <v>24</v>
      </c>
      <c r="F881" s="5" t="s">
        <v>152</v>
      </c>
      <c r="G881" s="7">
        <v>45170</v>
      </c>
      <c r="H881" s="5" t="s">
        <v>13</v>
      </c>
    </row>
    <row r="882" spans="1:8" x14ac:dyDescent="0.35">
      <c r="A882" s="10">
        <f t="shared" si="13"/>
        <v>878</v>
      </c>
      <c r="B882" s="5">
        <v>8619</v>
      </c>
      <c r="C882" s="5" t="s">
        <v>1268</v>
      </c>
      <c r="D882" s="5" t="s">
        <v>455</v>
      </c>
      <c r="E882" s="5" t="s">
        <v>165</v>
      </c>
      <c r="F882" s="5" t="s">
        <v>165</v>
      </c>
      <c r="G882" s="7">
        <v>45170</v>
      </c>
      <c r="H882" s="5" t="s">
        <v>13</v>
      </c>
    </row>
    <row r="883" spans="1:8" x14ac:dyDescent="0.35">
      <c r="A883" s="10">
        <f t="shared" si="13"/>
        <v>879</v>
      </c>
      <c r="B883" s="5">
        <v>8621</v>
      </c>
      <c r="C883" s="5" t="s">
        <v>1269</v>
      </c>
      <c r="D883" s="5" t="s">
        <v>563</v>
      </c>
      <c r="E883" s="5" t="s">
        <v>16</v>
      </c>
      <c r="F883" s="5" t="s">
        <v>718</v>
      </c>
      <c r="G883" s="7">
        <v>45184</v>
      </c>
      <c r="H883" s="5" t="s">
        <v>1075</v>
      </c>
    </row>
    <row r="884" spans="1:8" x14ac:dyDescent="0.35">
      <c r="A884" s="10">
        <f t="shared" si="13"/>
        <v>880</v>
      </c>
      <c r="B884" s="5">
        <v>8630</v>
      </c>
      <c r="C884" s="5" t="s">
        <v>1270</v>
      </c>
      <c r="D884" s="5" t="s">
        <v>1271</v>
      </c>
      <c r="E884" s="5" t="s">
        <v>538</v>
      </c>
      <c r="F884" s="5" t="s">
        <v>538</v>
      </c>
      <c r="G884" s="7">
        <v>45189</v>
      </c>
      <c r="H884" s="5" t="s">
        <v>13</v>
      </c>
    </row>
    <row r="885" spans="1:8" x14ac:dyDescent="0.35">
      <c r="A885" s="10">
        <f t="shared" si="13"/>
        <v>881</v>
      </c>
      <c r="B885" s="5">
        <v>8632</v>
      </c>
      <c r="C885" s="5" t="s">
        <v>1272</v>
      </c>
      <c r="D885" s="5" t="s">
        <v>187</v>
      </c>
      <c r="E885" s="5" t="s">
        <v>68</v>
      </c>
      <c r="F885" s="5" t="s">
        <v>187</v>
      </c>
      <c r="G885" s="7">
        <v>45189</v>
      </c>
      <c r="H885" s="5" t="s">
        <v>13</v>
      </c>
    </row>
    <row r="886" spans="1:8" x14ac:dyDescent="0.35">
      <c r="A886" s="10">
        <f t="shared" si="13"/>
        <v>882</v>
      </c>
      <c r="B886" s="5">
        <v>8633</v>
      </c>
      <c r="C886" s="5" t="s">
        <v>1273</v>
      </c>
      <c r="D886" s="5" t="s">
        <v>563</v>
      </c>
      <c r="E886" s="5" t="s">
        <v>16</v>
      </c>
      <c r="F886" s="5" t="s">
        <v>480</v>
      </c>
      <c r="G886" s="7">
        <v>45203</v>
      </c>
      <c r="H886" s="5" t="s">
        <v>1075</v>
      </c>
    </row>
    <row r="887" spans="1:8" x14ac:dyDescent="0.35">
      <c r="A887" s="10">
        <f t="shared" si="13"/>
        <v>883</v>
      </c>
      <c r="B887" s="5">
        <v>8634</v>
      </c>
      <c r="C887" s="5" t="s">
        <v>1274</v>
      </c>
      <c r="D887" s="5" t="s">
        <v>563</v>
      </c>
      <c r="E887" s="5" t="s">
        <v>16</v>
      </c>
      <c r="F887" s="5" t="s">
        <v>141</v>
      </c>
      <c r="G887" s="7">
        <v>45203</v>
      </c>
      <c r="H887" s="5" t="s">
        <v>1075</v>
      </c>
    </row>
    <row r="888" spans="1:8" x14ac:dyDescent="0.35">
      <c r="A888" s="10">
        <f t="shared" si="13"/>
        <v>884</v>
      </c>
      <c r="B888" s="5">
        <v>8635</v>
      </c>
      <c r="C888" s="5" t="s">
        <v>1275</v>
      </c>
      <c r="D888" s="5" t="s">
        <v>563</v>
      </c>
      <c r="E888" s="5" t="s">
        <v>16</v>
      </c>
      <c r="F888" s="5" t="s">
        <v>434</v>
      </c>
      <c r="G888" s="7">
        <v>45203</v>
      </c>
      <c r="H888" s="5" t="s">
        <v>1075</v>
      </c>
    </row>
    <row r="889" spans="1:8" x14ac:dyDescent="0.35">
      <c r="A889" s="10">
        <f t="shared" si="13"/>
        <v>885</v>
      </c>
      <c r="B889" s="5">
        <v>8641</v>
      </c>
      <c r="C889" s="5" t="s">
        <v>1276</v>
      </c>
      <c r="D889" s="5" t="s">
        <v>563</v>
      </c>
      <c r="E889" s="5" t="s">
        <v>16</v>
      </c>
      <c r="F889" s="5" t="s">
        <v>451</v>
      </c>
      <c r="G889" s="7">
        <v>45203</v>
      </c>
      <c r="H889" s="5" t="s">
        <v>1075</v>
      </c>
    </row>
    <row r="890" spans="1:8" x14ac:dyDescent="0.35">
      <c r="A890" s="10">
        <f t="shared" si="13"/>
        <v>886</v>
      </c>
      <c r="B890" s="5">
        <v>8646</v>
      </c>
      <c r="C890" s="5" t="s">
        <v>1277</v>
      </c>
      <c r="D890" s="5" t="s">
        <v>519</v>
      </c>
      <c r="E890" s="5" t="s">
        <v>24</v>
      </c>
      <c r="F890" s="5" t="s">
        <v>152</v>
      </c>
      <c r="G890" s="7">
        <v>45231</v>
      </c>
      <c r="H890" s="5" t="s">
        <v>13</v>
      </c>
    </row>
    <row r="891" spans="1:8" x14ac:dyDescent="0.35">
      <c r="A891" s="10">
        <f t="shared" si="13"/>
        <v>887</v>
      </c>
      <c r="B891" s="5">
        <v>8648</v>
      </c>
      <c r="C891" s="5" t="s">
        <v>1278</v>
      </c>
      <c r="D891" s="5" t="s">
        <v>563</v>
      </c>
      <c r="E891" s="5" t="s">
        <v>16</v>
      </c>
      <c r="F891" s="5" t="s">
        <v>992</v>
      </c>
      <c r="G891" s="7">
        <v>45231</v>
      </c>
      <c r="H891" s="5" t="s">
        <v>1075</v>
      </c>
    </row>
    <row r="892" spans="1:8" x14ac:dyDescent="0.35">
      <c r="A892" s="10">
        <f t="shared" si="13"/>
        <v>888</v>
      </c>
      <c r="B892" s="5">
        <v>8649</v>
      </c>
      <c r="C892" s="5" t="s">
        <v>1279</v>
      </c>
      <c r="D892" s="5" t="s">
        <v>563</v>
      </c>
      <c r="E892" s="5" t="s">
        <v>16</v>
      </c>
      <c r="F892" s="5" t="s">
        <v>141</v>
      </c>
      <c r="G892" s="7">
        <v>45231</v>
      </c>
      <c r="H892" s="5" t="s">
        <v>1075</v>
      </c>
    </row>
    <row r="893" spans="1:8" x14ac:dyDescent="0.35">
      <c r="A893" s="10">
        <f t="shared" si="13"/>
        <v>889</v>
      </c>
      <c r="B893" s="5">
        <v>8652</v>
      </c>
      <c r="C893" s="5" t="s">
        <v>1280</v>
      </c>
      <c r="D893" s="5" t="s">
        <v>669</v>
      </c>
      <c r="E893" s="5" t="s">
        <v>103</v>
      </c>
      <c r="F893" s="5" t="s">
        <v>103</v>
      </c>
      <c r="G893" s="7">
        <v>45231</v>
      </c>
      <c r="H893" s="5" t="s">
        <v>13</v>
      </c>
    </row>
    <row r="894" spans="1:8" x14ac:dyDescent="0.35">
      <c r="A894" s="10">
        <f t="shared" si="13"/>
        <v>890</v>
      </c>
      <c r="B894" s="5">
        <v>8653</v>
      </c>
      <c r="C894" s="5" t="s">
        <v>1281</v>
      </c>
      <c r="D894" s="5" t="s">
        <v>669</v>
      </c>
      <c r="E894" s="5" t="s">
        <v>103</v>
      </c>
      <c r="F894" s="5" t="s">
        <v>103</v>
      </c>
      <c r="G894" s="7">
        <v>45231</v>
      </c>
      <c r="H894" s="5" t="s">
        <v>13</v>
      </c>
    </row>
    <row r="895" spans="1:8" x14ac:dyDescent="0.35">
      <c r="A895" s="10">
        <f t="shared" si="13"/>
        <v>891</v>
      </c>
      <c r="B895" s="5">
        <v>8656</v>
      </c>
      <c r="C895" s="5" t="s">
        <v>1282</v>
      </c>
      <c r="D895" s="5" t="s">
        <v>1141</v>
      </c>
      <c r="E895" s="5" t="s">
        <v>769</v>
      </c>
      <c r="F895" s="5" t="s">
        <v>769</v>
      </c>
      <c r="G895" s="7">
        <v>45231</v>
      </c>
      <c r="H895" s="5" t="s">
        <v>13</v>
      </c>
    </row>
    <row r="896" spans="1:8" x14ac:dyDescent="0.35">
      <c r="A896" s="10">
        <f t="shared" si="13"/>
        <v>892</v>
      </c>
      <c r="B896" s="5">
        <v>8658</v>
      </c>
      <c r="C896" s="5" t="s">
        <v>1283</v>
      </c>
      <c r="D896" s="5" t="s">
        <v>563</v>
      </c>
      <c r="E896" s="5" t="s">
        <v>16</v>
      </c>
      <c r="F896" s="5" t="s">
        <v>739</v>
      </c>
      <c r="G896" s="7">
        <v>45231</v>
      </c>
      <c r="H896" s="5" t="s">
        <v>1075</v>
      </c>
    </row>
    <row r="897" spans="1:8" x14ac:dyDescent="0.35">
      <c r="A897" s="10">
        <f t="shared" si="13"/>
        <v>893</v>
      </c>
      <c r="B897" s="5">
        <v>8663</v>
      </c>
      <c r="C897" s="5" t="s">
        <v>1284</v>
      </c>
      <c r="D897" s="5" t="s">
        <v>1285</v>
      </c>
      <c r="E897" s="5" t="s">
        <v>632</v>
      </c>
      <c r="F897" s="5" t="s">
        <v>632</v>
      </c>
      <c r="G897" s="7">
        <v>45427</v>
      </c>
      <c r="H897" s="5" t="s">
        <v>13</v>
      </c>
    </row>
    <row r="898" spans="1:8" x14ac:dyDescent="0.35">
      <c r="A898" s="10">
        <f t="shared" si="13"/>
        <v>894</v>
      </c>
      <c r="B898" s="5">
        <v>8666</v>
      </c>
      <c r="C898" s="5" t="s">
        <v>1286</v>
      </c>
      <c r="D898" s="5" t="s">
        <v>563</v>
      </c>
      <c r="E898" s="5" t="s">
        <v>16</v>
      </c>
      <c r="F898" s="5" t="s">
        <v>626</v>
      </c>
      <c r="G898" s="7">
        <v>45245</v>
      </c>
      <c r="H898" s="5" t="s">
        <v>1075</v>
      </c>
    </row>
    <row r="899" spans="1:8" x14ac:dyDescent="0.35">
      <c r="A899" s="10">
        <f t="shared" si="13"/>
        <v>895</v>
      </c>
      <c r="B899" s="5">
        <v>8680</v>
      </c>
      <c r="C899" s="5" t="s">
        <v>1287</v>
      </c>
      <c r="D899" s="5" t="s">
        <v>563</v>
      </c>
      <c r="E899" s="5" t="s">
        <v>16</v>
      </c>
      <c r="F899" s="5" t="s">
        <v>141</v>
      </c>
      <c r="G899" s="7">
        <v>45257</v>
      </c>
      <c r="H899" s="5" t="s">
        <v>1075</v>
      </c>
    </row>
    <row r="900" spans="1:8" x14ac:dyDescent="0.35">
      <c r="A900" s="10">
        <f t="shared" si="13"/>
        <v>896</v>
      </c>
      <c r="B900" s="5">
        <v>8681</v>
      </c>
      <c r="C900" s="5" t="s">
        <v>1288</v>
      </c>
      <c r="D900" s="5" t="s">
        <v>1289</v>
      </c>
      <c r="E900" s="5" t="s">
        <v>322</v>
      </c>
      <c r="F900" s="5" t="s">
        <v>322</v>
      </c>
      <c r="G900" s="7">
        <v>45257</v>
      </c>
      <c r="H900" s="5" t="s">
        <v>13</v>
      </c>
    </row>
    <row r="901" spans="1:8" x14ac:dyDescent="0.35">
      <c r="A901" s="10">
        <f t="shared" si="13"/>
        <v>897</v>
      </c>
      <c r="B901" s="5">
        <v>8688</v>
      </c>
      <c r="C901" s="5" t="s">
        <v>1290</v>
      </c>
      <c r="D901" s="5" t="s">
        <v>563</v>
      </c>
      <c r="E901" s="5" t="s">
        <v>16</v>
      </c>
      <c r="F901" s="5" t="s">
        <v>48</v>
      </c>
      <c r="G901" s="7">
        <v>45261</v>
      </c>
      <c r="H901" s="5" t="s">
        <v>1075</v>
      </c>
    </row>
    <row r="902" spans="1:8" x14ac:dyDescent="0.35">
      <c r="A902" s="10">
        <f t="shared" ref="A902:A965" si="14">+A901+1</f>
        <v>898</v>
      </c>
      <c r="B902" s="5">
        <v>8697</v>
      </c>
      <c r="C902" s="5" t="s">
        <v>1291</v>
      </c>
      <c r="D902" s="5" t="s">
        <v>563</v>
      </c>
      <c r="E902" s="5" t="s">
        <v>16</v>
      </c>
      <c r="F902" s="5" t="s">
        <v>434</v>
      </c>
      <c r="G902" s="7">
        <v>45264</v>
      </c>
      <c r="H902" s="5" t="s">
        <v>1075</v>
      </c>
    </row>
    <row r="903" spans="1:8" x14ac:dyDescent="0.35">
      <c r="A903" s="10">
        <f t="shared" si="14"/>
        <v>899</v>
      </c>
      <c r="B903" s="5">
        <v>8698</v>
      </c>
      <c r="C903" s="5" t="s">
        <v>1292</v>
      </c>
      <c r="D903" s="5" t="s">
        <v>563</v>
      </c>
      <c r="E903" s="5" t="s">
        <v>16</v>
      </c>
      <c r="F903" s="5" t="s">
        <v>1224</v>
      </c>
      <c r="G903" s="7">
        <v>45264</v>
      </c>
      <c r="H903" s="5" t="s">
        <v>1075</v>
      </c>
    </row>
    <row r="904" spans="1:8" x14ac:dyDescent="0.35">
      <c r="A904" s="10">
        <f t="shared" si="14"/>
        <v>900</v>
      </c>
      <c r="B904" s="5">
        <v>8699</v>
      </c>
      <c r="C904" s="5" t="s">
        <v>1293</v>
      </c>
      <c r="D904" s="5" t="s">
        <v>563</v>
      </c>
      <c r="E904" s="5" t="s">
        <v>16</v>
      </c>
      <c r="F904" s="5" t="s">
        <v>947</v>
      </c>
      <c r="G904" s="7">
        <v>45264</v>
      </c>
      <c r="H904" s="5" t="s">
        <v>1075</v>
      </c>
    </row>
    <row r="905" spans="1:8" x14ac:dyDescent="0.35">
      <c r="A905" s="10">
        <f t="shared" si="14"/>
        <v>901</v>
      </c>
      <c r="B905" s="5">
        <v>8700</v>
      </c>
      <c r="C905" s="5" t="s">
        <v>1294</v>
      </c>
      <c r="D905" s="5" t="s">
        <v>563</v>
      </c>
      <c r="E905" s="5" t="s">
        <v>16</v>
      </c>
      <c r="F905" s="5" t="s">
        <v>850</v>
      </c>
      <c r="G905" s="7">
        <v>45264</v>
      </c>
      <c r="H905" s="5" t="s">
        <v>1075</v>
      </c>
    </row>
    <row r="906" spans="1:8" x14ac:dyDescent="0.35">
      <c r="A906" s="10">
        <f t="shared" si="14"/>
        <v>902</v>
      </c>
      <c r="B906" s="5">
        <v>8701</v>
      </c>
      <c r="C906" s="5" t="s">
        <v>1295</v>
      </c>
      <c r="D906" s="5" t="s">
        <v>488</v>
      </c>
      <c r="E906" s="5" t="s">
        <v>228</v>
      </c>
      <c r="F906" s="5" t="s">
        <v>228</v>
      </c>
      <c r="G906" s="7">
        <v>45264</v>
      </c>
      <c r="H906" s="5" t="s">
        <v>13</v>
      </c>
    </row>
    <row r="907" spans="1:8" x14ac:dyDescent="0.35">
      <c r="A907" s="10">
        <f t="shared" si="14"/>
        <v>903</v>
      </c>
      <c r="B907" s="5">
        <v>8707</v>
      </c>
      <c r="C907" s="5" t="s">
        <v>1298</v>
      </c>
      <c r="D907" s="5" t="s">
        <v>678</v>
      </c>
      <c r="E907" s="5" t="s">
        <v>87</v>
      </c>
      <c r="F907" s="5" t="s">
        <v>678</v>
      </c>
      <c r="G907" s="7">
        <v>45273</v>
      </c>
      <c r="H907" s="5" t="s">
        <v>13</v>
      </c>
    </row>
    <row r="908" spans="1:8" x14ac:dyDescent="0.35">
      <c r="A908" s="10">
        <f t="shared" si="14"/>
        <v>904</v>
      </c>
      <c r="B908" s="5">
        <v>8708</v>
      </c>
      <c r="C908" s="5" t="s">
        <v>1299</v>
      </c>
      <c r="D908" s="5" t="s">
        <v>563</v>
      </c>
      <c r="E908" s="5" t="s">
        <v>16</v>
      </c>
      <c r="F908" s="5" t="s">
        <v>718</v>
      </c>
      <c r="G908" s="7">
        <v>45658</v>
      </c>
      <c r="H908" s="5" t="s">
        <v>1075</v>
      </c>
    </row>
    <row r="909" spans="1:8" x14ac:dyDescent="0.35">
      <c r="A909" s="10">
        <f t="shared" si="14"/>
        <v>905</v>
      </c>
      <c r="B909" s="5">
        <v>8709</v>
      </c>
      <c r="C909" s="5" t="s">
        <v>1300</v>
      </c>
      <c r="D909" s="5" t="s">
        <v>669</v>
      </c>
      <c r="E909" s="5" t="s">
        <v>103</v>
      </c>
      <c r="F909" s="5" t="s">
        <v>103</v>
      </c>
      <c r="G909" s="7">
        <v>45275</v>
      </c>
      <c r="H909" s="5" t="s">
        <v>13</v>
      </c>
    </row>
    <row r="910" spans="1:8" x14ac:dyDescent="0.35">
      <c r="A910" s="10">
        <f t="shared" si="14"/>
        <v>906</v>
      </c>
      <c r="B910" s="5">
        <v>8710</v>
      </c>
      <c r="C910" s="5" t="s">
        <v>1301</v>
      </c>
      <c r="D910" s="5" t="s">
        <v>609</v>
      </c>
      <c r="E910" s="5" t="s">
        <v>16</v>
      </c>
      <c r="F910" s="5" t="s">
        <v>20</v>
      </c>
      <c r="G910" s="7">
        <v>45275</v>
      </c>
      <c r="H910" s="5" t="s">
        <v>1075</v>
      </c>
    </row>
    <row r="911" spans="1:8" x14ac:dyDescent="0.35">
      <c r="A911" s="10">
        <f t="shared" si="14"/>
        <v>907</v>
      </c>
      <c r="B911" s="5">
        <v>8718</v>
      </c>
      <c r="C911" s="5" t="s">
        <v>1302</v>
      </c>
      <c r="D911" s="5" t="s">
        <v>563</v>
      </c>
      <c r="E911" s="5" t="s">
        <v>16</v>
      </c>
      <c r="F911" s="5" t="s">
        <v>897</v>
      </c>
      <c r="G911" s="7">
        <v>45778</v>
      </c>
      <c r="H911" s="5" t="s">
        <v>888</v>
      </c>
    </row>
    <row r="912" spans="1:8" x14ac:dyDescent="0.35">
      <c r="A912" s="10">
        <f t="shared" si="14"/>
        <v>908</v>
      </c>
      <c r="B912" s="5">
        <v>8731</v>
      </c>
      <c r="C912" s="5" t="s">
        <v>1303</v>
      </c>
      <c r="D912" s="5" t="s">
        <v>1304</v>
      </c>
      <c r="E912" s="5" t="s">
        <v>505</v>
      </c>
      <c r="F912" s="5" t="s">
        <v>505</v>
      </c>
      <c r="G912" s="7">
        <v>45294</v>
      </c>
      <c r="H912" s="5" t="s">
        <v>13</v>
      </c>
    </row>
    <row r="913" spans="1:8" x14ac:dyDescent="0.35">
      <c r="A913" s="10">
        <f t="shared" si="14"/>
        <v>909</v>
      </c>
      <c r="B913" s="5">
        <v>8735</v>
      </c>
      <c r="C913" s="5" t="s">
        <v>1307</v>
      </c>
      <c r="D913" s="5" t="s">
        <v>1308</v>
      </c>
      <c r="E913" s="5" t="s">
        <v>1309</v>
      </c>
      <c r="F913" s="5" t="s">
        <v>1309</v>
      </c>
      <c r="G913" s="7">
        <v>45299</v>
      </c>
      <c r="H913" s="5" t="s">
        <v>13</v>
      </c>
    </row>
    <row r="914" spans="1:8" x14ac:dyDescent="0.35">
      <c r="A914" s="10">
        <f t="shared" si="14"/>
        <v>910</v>
      </c>
      <c r="B914" s="5">
        <v>8739</v>
      </c>
      <c r="C914" s="5" t="s">
        <v>1310</v>
      </c>
      <c r="D914" s="5" t="s">
        <v>563</v>
      </c>
      <c r="E914" s="5" t="s">
        <v>16</v>
      </c>
      <c r="F914" s="5" t="s">
        <v>739</v>
      </c>
      <c r="G914" s="7">
        <v>45778</v>
      </c>
      <c r="H914" s="5" t="s">
        <v>888</v>
      </c>
    </row>
    <row r="915" spans="1:8" x14ac:dyDescent="0.35">
      <c r="A915" s="10">
        <f t="shared" si="14"/>
        <v>911</v>
      </c>
      <c r="B915" s="5">
        <v>8740</v>
      </c>
      <c r="C915" s="5" t="s">
        <v>1311</v>
      </c>
      <c r="D915" s="5" t="s">
        <v>563</v>
      </c>
      <c r="E915" s="5" t="s">
        <v>16</v>
      </c>
      <c r="F915" s="5" t="s">
        <v>658</v>
      </c>
      <c r="G915" s="7">
        <v>45778</v>
      </c>
      <c r="H915" s="5" t="s">
        <v>888</v>
      </c>
    </row>
    <row r="916" spans="1:8" x14ac:dyDescent="0.35">
      <c r="A916" s="10">
        <f t="shared" si="14"/>
        <v>912</v>
      </c>
      <c r="B916" s="5">
        <v>8741</v>
      </c>
      <c r="C916" s="5" t="s">
        <v>1312</v>
      </c>
      <c r="D916" s="5" t="s">
        <v>563</v>
      </c>
      <c r="E916" s="5" t="s">
        <v>16</v>
      </c>
      <c r="F916" s="5" t="s">
        <v>711</v>
      </c>
      <c r="G916" s="7">
        <v>45778</v>
      </c>
      <c r="H916" s="5" t="s">
        <v>888</v>
      </c>
    </row>
    <row r="917" spans="1:8" x14ac:dyDescent="0.35">
      <c r="A917" s="10">
        <f t="shared" si="14"/>
        <v>913</v>
      </c>
      <c r="B917" s="5">
        <v>8745</v>
      </c>
      <c r="C917" s="5" t="s">
        <v>1313</v>
      </c>
      <c r="D917" s="5" t="s">
        <v>563</v>
      </c>
      <c r="E917" s="5" t="s">
        <v>16</v>
      </c>
      <c r="F917" s="5" t="s">
        <v>990</v>
      </c>
      <c r="G917" s="7">
        <v>45778</v>
      </c>
      <c r="H917" s="5" t="s">
        <v>888</v>
      </c>
    </row>
    <row r="918" spans="1:8" x14ac:dyDescent="0.35">
      <c r="A918" s="10">
        <f t="shared" si="14"/>
        <v>914</v>
      </c>
      <c r="B918" s="5">
        <v>8746</v>
      </c>
      <c r="C918" s="5" t="s">
        <v>1314</v>
      </c>
      <c r="D918" s="5" t="s">
        <v>151</v>
      </c>
      <c r="E918" s="5" t="s">
        <v>1315</v>
      </c>
      <c r="F918" s="5" t="s">
        <v>1315</v>
      </c>
      <c r="G918" s="7">
        <v>45306</v>
      </c>
      <c r="H918" s="5" t="s">
        <v>13</v>
      </c>
    </row>
    <row r="919" spans="1:8" x14ac:dyDescent="0.35">
      <c r="A919" s="10">
        <f t="shared" si="14"/>
        <v>915</v>
      </c>
      <c r="B919" s="5">
        <v>8750</v>
      </c>
      <c r="C919" s="5" t="s">
        <v>1316</v>
      </c>
      <c r="D919" s="5" t="s">
        <v>563</v>
      </c>
      <c r="E919" s="5" t="s">
        <v>16</v>
      </c>
      <c r="F919" s="5" t="s">
        <v>589</v>
      </c>
      <c r="G919" s="7">
        <v>45306</v>
      </c>
      <c r="H919" s="5" t="s">
        <v>1075</v>
      </c>
    </row>
    <row r="920" spans="1:8" x14ac:dyDescent="0.35">
      <c r="A920" s="10">
        <f t="shared" si="14"/>
        <v>916</v>
      </c>
      <c r="B920" s="5">
        <v>8752</v>
      </c>
      <c r="C920" s="5" t="s">
        <v>1317</v>
      </c>
      <c r="D920" s="5" t="s">
        <v>563</v>
      </c>
      <c r="E920" s="5" t="s">
        <v>16</v>
      </c>
      <c r="F920" s="5" t="s">
        <v>955</v>
      </c>
      <c r="G920" s="7">
        <v>45306</v>
      </c>
      <c r="H920" s="5" t="s">
        <v>1075</v>
      </c>
    </row>
    <row r="921" spans="1:8" x14ac:dyDescent="0.35">
      <c r="A921" s="10">
        <f t="shared" si="14"/>
        <v>917</v>
      </c>
      <c r="B921" s="5">
        <v>8753</v>
      </c>
      <c r="C921" s="5" t="s">
        <v>1318</v>
      </c>
      <c r="D921" s="5" t="s">
        <v>563</v>
      </c>
      <c r="E921" s="5" t="s">
        <v>16</v>
      </c>
      <c r="F921" s="5" t="s">
        <v>739</v>
      </c>
      <c r="G921" s="7">
        <v>45306</v>
      </c>
      <c r="H921" s="5" t="s">
        <v>1075</v>
      </c>
    </row>
    <row r="922" spans="1:8" x14ac:dyDescent="0.35">
      <c r="A922" s="10">
        <f t="shared" si="14"/>
        <v>918</v>
      </c>
      <c r="B922" s="5">
        <v>8755</v>
      </c>
      <c r="C922" s="5" t="s">
        <v>1319</v>
      </c>
      <c r="D922" s="5" t="s">
        <v>77</v>
      </c>
      <c r="E922" s="5" t="s">
        <v>61</v>
      </c>
      <c r="F922" s="5" t="s">
        <v>61</v>
      </c>
      <c r="G922" s="7">
        <v>45292</v>
      </c>
      <c r="H922" s="5" t="s">
        <v>13</v>
      </c>
    </row>
    <row r="923" spans="1:8" x14ac:dyDescent="0.35">
      <c r="A923" s="10">
        <f t="shared" si="14"/>
        <v>919</v>
      </c>
      <c r="B923" s="5">
        <v>8756</v>
      </c>
      <c r="C923" s="5" t="s">
        <v>1320</v>
      </c>
      <c r="D923" s="5" t="s">
        <v>77</v>
      </c>
      <c r="E923" s="5" t="s">
        <v>61</v>
      </c>
      <c r="F923" s="5" t="s">
        <v>61</v>
      </c>
      <c r="G923" s="7">
        <v>45292</v>
      </c>
      <c r="H923" s="5" t="s">
        <v>13</v>
      </c>
    </row>
    <row r="924" spans="1:8" x14ac:dyDescent="0.35">
      <c r="A924" s="10">
        <f t="shared" si="14"/>
        <v>920</v>
      </c>
      <c r="B924" s="5">
        <v>8757</v>
      </c>
      <c r="C924" s="5" t="s">
        <v>1321</v>
      </c>
      <c r="D924" s="5" t="s">
        <v>669</v>
      </c>
      <c r="E924" s="5" t="s">
        <v>103</v>
      </c>
      <c r="F924" s="5" t="s">
        <v>103</v>
      </c>
      <c r="G924" s="7">
        <v>45306</v>
      </c>
      <c r="H924" s="5" t="s">
        <v>13</v>
      </c>
    </row>
    <row r="925" spans="1:8" x14ac:dyDescent="0.35">
      <c r="A925" s="10">
        <f t="shared" si="14"/>
        <v>921</v>
      </c>
      <c r="B925" s="5">
        <v>8760</v>
      </c>
      <c r="C925" s="5" t="s">
        <v>1322</v>
      </c>
      <c r="D925" s="5" t="s">
        <v>563</v>
      </c>
      <c r="E925" s="5" t="s">
        <v>16</v>
      </c>
      <c r="F925" s="5" t="s">
        <v>483</v>
      </c>
      <c r="G925" s="7">
        <v>45778</v>
      </c>
      <c r="H925" s="5" t="s">
        <v>888</v>
      </c>
    </row>
    <row r="926" spans="1:8" x14ac:dyDescent="0.35">
      <c r="A926" s="10">
        <f t="shared" si="14"/>
        <v>922</v>
      </c>
      <c r="B926" s="5">
        <v>8761</v>
      </c>
      <c r="C926" s="5" t="s">
        <v>1323</v>
      </c>
      <c r="D926" s="5" t="s">
        <v>563</v>
      </c>
      <c r="E926" s="5" t="s">
        <v>16</v>
      </c>
      <c r="F926" s="5" t="s">
        <v>739</v>
      </c>
      <c r="G926" s="7">
        <v>45778</v>
      </c>
      <c r="H926" s="5" t="s">
        <v>888</v>
      </c>
    </row>
    <row r="927" spans="1:8" x14ac:dyDescent="0.35">
      <c r="A927" s="10">
        <f t="shared" si="14"/>
        <v>923</v>
      </c>
      <c r="B927" s="5">
        <v>8765</v>
      </c>
      <c r="C927" s="5" t="s">
        <v>1324</v>
      </c>
      <c r="D927" s="5" t="s">
        <v>563</v>
      </c>
      <c r="E927" s="5" t="s">
        <v>16</v>
      </c>
      <c r="F927" s="5" t="s">
        <v>1124</v>
      </c>
      <c r="G927" s="7">
        <v>45778</v>
      </c>
      <c r="H927" s="5" t="s">
        <v>888</v>
      </c>
    </row>
    <row r="928" spans="1:8" x14ac:dyDescent="0.35">
      <c r="A928" s="10">
        <f t="shared" si="14"/>
        <v>924</v>
      </c>
      <c r="B928" s="5">
        <v>8766</v>
      </c>
      <c r="C928" s="5" t="s">
        <v>1325</v>
      </c>
      <c r="D928" s="5" t="s">
        <v>563</v>
      </c>
      <c r="E928" s="5" t="s">
        <v>16</v>
      </c>
      <c r="F928" s="5" t="s">
        <v>1124</v>
      </c>
      <c r="G928" s="7">
        <v>45778</v>
      </c>
      <c r="H928" s="5" t="s">
        <v>888</v>
      </c>
    </row>
    <row r="929" spans="1:8" x14ac:dyDescent="0.35">
      <c r="A929" s="10">
        <f t="shared" si="14"/>
        <v>925</v>
      </c>
      <c r="B929" s="5">
        <v>8770</v>
      </c>
      <c r="C929" s="5" t="s">
        <v>1326</v>
      </c>
      <c r="D929" s="5" t="s">
        <v>563</v>
      </c>
      <c r="E929" s="5" t="s">
        <v>16</v>
      </c>
      <c r="F929" s="5" t="s">
        <v>658</v>
      </c>
      <c r="G929" s="7">
        <v>45313</v>
      </c>
      <c r="H929" s="5" t="s">
        <v>1075</v>
      </c>
    </row>
    <row r="930" spans="1:8" x14ac:dyDescent="0.35">
      <c r="A930" s="10">
        <f t="shared" si="14"/>
        <v>926</v>
      </c>
      <c r="B930" s="5">
        <v>8771</v>
      </c>
      <c r="C930" s="5" t="s">
        <v>1327</v>
      </c>
      <c r="D930" s="5" t="s">
        <v>1328</v>
      </c>
      <c r="E930" s="5" t="s">
        <v>165</v>
      </c>
      <c r="F930" s="5" t="s">
        <v>165</v>
      </c>
      <c r="G930" s="7">
        <v>45313</v>
      </c>
      <c r="H930" s="5" t="s">
        <v>13</v>
      </c>
    </row>
    <row r="931" spans="1:8" x14ac:dyDescent="0.35">
      <c r="A931" s="10">
        <f t="shared" si="14"/>
        <v>927</v>
      </c>
      <c r="B931" s="5">
        <v>8772</v>
      </c>
      <c r="C931" s="5" t="s">
        <v>1329</v>
      </c>
      <c r="D931" s="5" t="s">
        <v>21</v>
      </c>
      <c r="E931" s="5" t="s">
        <v>505</v>
      </c>
      <c r="F931" s="5" t="s">
        <v>505</v>
      </c>
      <c r="G931" s="7">
        <v>45320</v>
      </c>
      <c r="H931" s="5" t="s">
        <v>13</v>
      </c>
    </row>
    <row r="932" spans="1:8" x14ac:dyDescent="0.35">
      <c r="A932" s="10">
        <f t="shared" si="14"/>
        <v>928</v>
      </c>
      <c r="B932" s="5">
        <v>8778</v>
      </c>
      <c r="C932" s="5" t="s">
        <v>1330</v>
      </c>
      <c r="D932" s="5" t="s">
        <v>563</v>
      </c>
      <c r="E932" s="5" t="s">
        <v>16</v>
      </c>
      <c r="F932" s="5" t="s">
        <v>825</v>
      </c>
      <c r="G932" s="7">
        <v>45323</v>
      </c>
      <c r="H932" s="5" t="s">
        <v>1075</v>
      </c>
    </row>
    <row r="933" spans="1:8" x14ac:dyDescent="0.35">
      <c r="A933" s="10">
        <f t="shared" si="14"/>
        <v>929</v>
      </c>
      <c r="B933" s="5">
        <v>8779</v>
      </c>
      <c r="C933" s="5" t="s">
        <v>1331</v>
      </c>
      <c r="D933" s="5" t="s">
        <v>563</v>
      </c>
      <c r="E933" s="5" t="s">
        <v>16</v>
      </c>
      <c r="F933" s="5" t="s">
        <v>819</v>
      </c>
      <c r="G933" s="7">
        <v>45323</v>
      </c>
      <c r="H933" s="5" t="s">
        <v>13</v>
      </c>
    </row>
    <row r="934" spans="1:8" x14ac:dyDescent="0.35">
      <c r="A934" s="10">
        <f t="shared" si="14"/>
        <v>930</v>
      </c>
      <c r="B934" s="5">
        <v>8787</v>
      </c>
      <c r="C934" s="5" t="s">
        <v>1332</v>
      </c>
      <c r="D934" s="5" t="s">
        <v>1333</v>
      </c>
      <c r="E934" s="5" t="s">
        <v>16</v>
      </c>
      <c r="F934" s="5" t="s">
        <v>729</v>
      </c>
      <c r="G934" s="7">
        <v>45323</v>
      </c>
      <c r="H934" s="5" t="s">
        <v>1334</v>
      </c>
    </row>
    <row r="935" spans="1:8" x14ac:dyDescent="0.35">
      <c r="A935" s="10">
        <f t="shared" si="14"/>
        <v>931</v>
      </c>
      <c r="B935" s="5">
        <v>8788</v>
      </c>
      <c r="C935" s="5" t="s">
        <v>1335</v>
      </c>
      <c r="D935" s="5" t="s">
        <v>563</v>
      </c>
      <c r="E935" s="5" t="s">
        <v>16</v>
      </c>
      <c r="F935" s="5" t="s">
        <v>302</v>
      </c>
      <c r="G935" s="7">
        <v>45778</v>
      </c>
      <c r="H935" s="5" t="s">
        <v>888</v>
      </c>
    </row>
    <row r="936" spans="1:8" x14ac:dyDescent="0.35">
      <c r="A936" s="10">
        <f t="shared" si="14"/>
        <v>932</v>
      </c>
      <c r="B936" s="5">
        <v>8789</v>
      </c>
      <c r="C936" s="5" t="s">
        <v>1336</v>
      </c>
      <c r="D936" s="5" t="s">
        <v>563</v>
      </c>
      <c r="E936" s="5" t="s">
        <v>16</v>
      </c>
      <c r="F936" s="5" t="s">
        <v>1124</v>
      </c>
      <c r="G936" s="7">
        <v>45778</v>
      </c>
      <c r="H936" s="5" t="s">
        <v>888</v>
      </c>
    </row>
    <row r="937" spans="1:8" x14ac:dyDescent="0.35">
      <c r="A937" s="10">
        <f t="shared" si="14"/>
        <v>933</v>
      </c>
      <c r="B937" s="5">
        <v>8790</v>
      </c>
      <c r="C937" s="5" t="s">
        <v>1337</v>
      </c>
      <c r="D937" s="5" t="s">
        <v>488</v>
      </c>
      <c r="E937" s="5" t="s">
        <v>64</v>
      </c>
      <c r="F937" s="5" t="s">
        <v>64</v>
      </c>
      <c r="G937" s="7">
        <v>45323</v>
      </c>
      <c r="H937" s="5" t="s">
        <v>13</v>
      </c>
    </row>
    <row r="938" spans="1:8" x14ac:dyDescent="0.35">
      <c r="A938" s="10">
        <f t="shared" si="14"/>
        <v>934</v>
      </c>
      <c r="B938" s="5">
        <v>8793</v>
      </c>
      <c r="C938" s="5" t="s">
        <v>1338</v>
      </c>
      <c r="D938" s="5" t="s">
        <v>807</v>
      </c>
      <c r="E938" s="5" t="s">
        <v>87</v>
      </c>
      <c r="F938" s="5" t="s">
        <v>293</v>
      </c>
      <c r="G938" s="7">
        <v>45323</v>
      </c>
      <c r="H938" s="5" t="s">
        <v>13</v>
      </c>
    </row>
    <row r="939" spans="1:8" x14ac:dyDescent="0.35">
      <c r="A939" s="10">
        <f t="shared" si="14"/>
        <v>935</v>
      </c>
      <c r="B939" s="5">
        <v>8802</v>
      </c>
      <c r="C939" s="5" t="s">
        <v>1339</v>
      </c>
      <c r="D939" s="5" t="s">
        <v>930</v>
      </c>
      <c r="E939" s="5" t="s">
        <v>561</v>
      </c>
      <c r="F939" s="5" t="s">
        <v>561</v>
      </c>
      <c r="G939" s="7">
        <v>45323</v>
      </c>
      <c r="H939" s="5" t="s">
        <v>13</v>
      </c>
    </row>
    <row r="940" spans="1:8" x14ac:dyDescent="0.35">
      <c r="A940" s="10">
        <f t="shared" si="14"/>
        <v>936</v>
      </c>
      <c r="B940" s="5">
        <v>8807</v>
      </c>
      <c r="C940" s="5" t="s">
        <v>1340</v>
      </c>
      <c r="D940" s="5" t="s">
        <v>563</v>
      </c>
      <c r="E940" s="5" t="s">
        <v>16</v>
      </c>
      <c r="F940" s="5" t="s">
        <v>353</v>
      </c>
      <c r="G940" s="7">
        <v>45778</v>
      </c>
      <c r="H940" s="5" t="s">
        <v>888</v>
      </c>
    </row>
    <row r="941" spans="1:8" x14ac:dyDescent="0.35">
      <c r="A941" s="10">
        <f t="shared" si="14"/>
        <v>937</v>
      </c>
      <c r="B941" s="5">
        <v>8808</v>
      </c>
      <c r="C941" s="5" t="s">
        <v>1341</v>
      </c>
      <c r="D941" s="5" t="s">
        <v>563</v>
      </c>
      <c r="E941" s="5" t="s">
        <v>16</v>
      </c>
      <c r="F941" s="5" t="s">
        <v>353</v>
      </c>
      <c r="G941" s="7">
        <v>45778</v>
      </c>
      <c r="H941" s="5" t="s">
        <v>888</v>
      </c>
    </row>
    <row r="942" spans="1:8" x14ac:dyDescent="0.35">
      <c r="A942" s="10">
        <f t="shared" si="14"/>
        <v>938</v>
      </c>
      <c r="B942" s="5">
        <v>8809</v>
      </c>
      <c r="C942" s="5" t="s">
        <v>1342</v>
      </c>
      <c r="D942" s="5" t="s">
        <v>563</v>
      </c>
      <c r="E942" s="5" t="s">
        <v>16</v>
      </c>
      <c r="F942" s="5" t="s">
        <v>825</v>
      </c>
      <c r="G942" s="7">
        <v>45778</v>
      </c>
      <c r="H942" s="5" t="s">
        <v>888</v>
      </c>
    </row>
    <row r="943" spans="1:8" x14ac:dyDescent="0.35">
      <c r="A943" s="10">
        <f t="shared" si="14"/>
        <v>939</v>
      </c>
      <c r="B943" s="5">
        <v>8813</v>
      </c>
      <c r="C943" s="5" t="s">
        <v>1343</v>
      </c>
      <c r="D943" s="5" t="s">
        <v>563</v>
      </c>
      <c r="E943" s="5" t="s">
        <v>16</v>
      </c>
      <c r="F943" s="5" t="s">
        <v>326</v>
      </c>
      <c r="G943" s="7">
        <v>45336</v>
      </c>
      <c r="H943" s="5" t="s">
        <v>1075</v>
      </c>
    </row>
    <row r="944" spans="1:8" x14ac:dyDescent="0.35">
      <c r="A944" s="10">
        <f t="shared" si="14"/>
        <v>940</v>
      </c>
      <c r="B944" s="5">
        <v>8816</v>
      </c>
      <c r="C944" s="5" t="s">
        <v>1344</v>
      </c>
      <c r="D944" s="5" t="s">
        <v>563</v>
      </c>
      <c r="E944" s="5" t="s">
        <v>16</v>
      </c>
      <c r="F944" s="5" t="s">
        <v>990</v>
      </c>
      <c r="G944" s="7">
        <v>45336</v>
      </c>
      <c r="H944" s="5" t="s">
        <v>1075</v>
      </c>
    </row>
    <row r="945" spans="1:8" x14ac:dyDescent="0.35">
      <c r="A945" s="10">
        <f t="shared" si="14"/>
        <v>941</v>
      </c>
      <c r="B945" s="5">
        <v>8822</v>
      </c>
      <c r="C945" s="5" t="s">
        <v>1345</v>
      </c>
      <c r="D945" s="5" t="s">
        <v>563</v>
      </c>
      <c r="E945" s="5" t="s">
        <v>16</v>
      </c>
      <c r="F945" s="5" t="s">
        <v>247</v>
      </c>
      <c r="G945" s="7">
        <v>45778</v>
      </c>
      <c r="H945" s="5" t="s">
        <v>888</v>
      </c>
    </row>
    <row r="946" spans="1:8" x14ac:dyDescent="0.35">
      <c r="A946" s="10">
        <f t="shared" si="14"/>
        <v>942</v>
      </c>
      <c r="B946" s="5">
        <v>8823</v>
      </c>
      <c r="C946" s="5" t="s">
        <v>1346</v>
      </c>
      <c r="D946" s="5" t="s">
        <v>797</v>
      </c>
      <c r="E946" s="5" t="s">
        <v>190</v>
      </c>
      <c r="F946" s="5" t="s">
        <v>1347</v>
      </c>
      <c r="G946" s="7">
        <v>45343</v>
      </c>
      <c r="H946" s="5" t="s">
        <v>13</v>
      </c>
    </row>
    <row r="947" spans="1:8" x14ac:dyDescent="0.35">
      <c r="A947" s="10">
        <f t="shared" si="14"/>
        <v>943</v>
      </c>
      <c r="B947" s="5">
        <v>8826</v>
      </c>
      <c r="C947" s="5" t="s">
        <v>1348</v>
      </c>
      <c r="D947" s="5" t="s">
        <v>563</v>
      </c>
      <c r="E947" s="5" t="s">
        <v>16</v>
      </c>
      <c r="F947" s="5" t="s">
        <v>825</v>
      </c>
      <c r="G947" s="7">
        <v>45343</v>
      </c>
      <c r="H947" s="5" t="s">
        <v>1075</v>
      </c>
    </row>
    <row r="948" spans="1:8" x14ac:dyDescent="0.35">
      <c r="A948" s="10">
        <f t="shared" si="14"/>
        <v>944</v>
      </c>
      <c r="B948" s="5">
        <v>8827</v>
      </c>
      <c r="C948" s="5" t="s">
        <v>1349</v>
      </c>
      <c r="D948" s="5" t="s">
        <v>1215</v>
      </c>
      <c r="E948" s="5" t="s">
        <v>387</v>
      </c>
      <c r="F948" s="5" t="s">
        <v>1216</v>
      </c>
      <c r="G948" s="7">
        <v>45344</v>
      </c>
      <c r="H948" s="5" t="s">
        <v>13</v>
      </c>
    </row>
    <row r="949" spans="1:8" x14ac:dyDescent="0.35">
      <c r="A949" s="10">
        <f t="shared" si="14"/>
        <v>945</v>
      </c>
      <c r="B949" s="5">
        <v>8833</v>
      </c>
      <c r="C949" s="5" t="s">
        <v>1350</v>
      </c>
      <c r="D949" s="5" t="s">
        <v>455</v>
      </c>
      <c r="E949" s="5" t="s">
        <v>68</v>
      </c>
      <c r="F949" s="5" t="s">
        <v>254</v>
      </c>
      <c r="G949" s="7">
        <v>45352</v>
      </c>
      <c r="H949" s="5" t="s">
        <v>13</v>
      </c>
    </row>
    <row r="950" spans="1:8" x14ac:dyDescent="0.35">
      <c r="A950" s="10">
        <f t="shared" si="14"/>
        <v>946</v>
      </c>
      <c r="B950" s="5">
        <v>8834</v>
      </c>
      <c r="C950" s="5" t="s">
        <v>1351</v>
      </c>
      <c r="D950" s="5" t="s">
        <v>455</v>
      </c>
      <c r="E950" s="5" t="s">
        <v>24</v>
      </c>
      <c r="F950" s="5" t="s">
        <v>152</v>
      </c>
      <c r="G950" s="7">
        <v>45352</v>
      </c>
      <c r="H950" s="5" t="s">
        <v>13</v>
      </c>
    </row>
    <row r="951" spans="1:8" x14ac:dyDescent="0.35">
      <c r="A951" s="10">
        <f t="shared" si="14"/>
        <v>947</v>
      </c>
      <c r="B951" s="5">
        <v>8836</v>
      </c>
      <c r="C951" s="5" t="s">
        <v>1352</v>
      </c>
      <c r="D951" s="5" t="s">
        <v>455</v>
      </c>
      <c r="E951" s="5" t="s">
        <v>68</v>
      </c>
      <c r="F951" s="5" t="s">
        <v>69</v>
      </c>
      <c r="G951" s="7">
        <v>45352</v>
      </c>
      <c r="H951" s="5" t="s">
        <v>13</v>
      </c>
    </row>
    <row r="952" spans="1:8" x14ac:dyDescent="0.35">
      <c r="A952" s="10">
        <f t="shared" si="14"/>
        <v>948</v>
      </c>
      <c r="B952" s="5">
        <v>8838</v>
      </c>
      <c r="C952" s="5" t="s">
        <v>1353</v>
      </c>
      <c r="D952" s="5" t="s">
        <v>455</v>
      </c>
      <c r="E952" s="5" t="s">
        <v>376</v>
      </c>
      <c r="F952" s="5" t="s">
        <v>466</v>
      </c>
      <c r="G952" s="7">
        <v>45352</v>
      </c>
      <c r="H952" s="5" t="s">
        <v>13</v>
      </c>
    </row>
    <row r="953" spans="1:8" x14ac:dyDescent="0.35">
      <c r="A953" s="10">
        <f t="shared" si="14"/>
        <v>949</v>
      </c>
      <c r="B953" s="5">
        <v>8840</v>
      </c>
      <c r="C953" s="5" t="s">
        <v>1354</v>
      </c>
      <c r="D953" s="5" t="s">
        <v>455</v>
      </c>
      <c r="E953" s="5" t="s">
        <v>68</v>
      </c>
      <c r="F953" s="5" t="s">
        <v>254</v>
      </c>
      <c r="G953" s="7">
        <v>45352</v>
      </c>
      <c r="H953" s="5" t="s">
        <v>13</v>
      </c>
    </row>
    <row r="954" spans="1:8" x14ac:dyDescent="0.35">
      <c r="A954" s="10">
        <f t="shared" si="14"/>
        <v>950</v>
      </c>
      <c r="B954" s="5">
        <v>8841</v>
      </c>
      <c r="C954" s="5" t="s">
        <v>1355</v>
      </c>
      <c r="D954" s="5" t="s">
        <v>455</v>
      </c>
      <c r="E954" s="5" t="s">
        <v>68</v>
      </c>
      <c r="F954" s="5" t="s">
        <v>187</v>
      </c>
      <c r="G954" s="7">
        <v>45352</v>
      </c>
      <c r="H954" s="5" t="s">
        <v>13</v>
      </c>
    </row>
    <row r="955" spans="1:8" x14ac:dyDescent="0.35">
      <c r="A955" s="10">
        <f t="shared" si="14"/>
        <v>951</v>
      </c>
      <c r="B955" s="5">
        <v>8842</v>
      </c>
      <c r="C955" s="5" t="s">
        <v>1356</v>
      </c>
      <c r="D955" s="5" t="s">
        <v>563</v>
      </c>
      <c r="E955" s="5" t="s">
        <v>16</v>
      </c>
      <c r="F955" s="5" t="s">
        <v>517</v>
      </c>
      <c r="G955" s="7">
        <v>45355</v>
      </c>
      <c r="H955" s="5" t="s">
        <v>1075</v>
      </c>
    </row>
    <row r="956" spans="1:8" x14ac:dyDescent="0.35">
      <c r="A956" s="10">
        <f t="shared" si="14"/>
        <v>952</v>
      </c>
      <c r="B956" s="5">
        <v>8847</v>
      </c>
      <c r="C956" s="5" t="s">
        <v>1357</v>
      </c>
      <c r="D956" s="5" t="s">
        <v>563</v>
      </c>
      <c r="E956" s="5" t="s">
        <v>16</v>
      </c>
      <c r="F956" s="5" t="s">
        <v>238</v>
      </c>
      <c r="G956" s="7">
        <v>45357</v>
      </c>
      <c r="H956" s="5" t="s">
        <v>1075</v>
      </c>
    </row>
    <row r="957" spans="1:8" x14ac:dyDescent="0.35">
      <c r="A957" s="10">
        <f t="shared" si="14"/>
        <v>953</v>
      </c>
      <c r="B957" s="5">
        <v>8848</v>
      </c>
      <c r="C957" s="5" t="s">
        <v>1358</v>
      </c>
      <c r="D957" s="5" t="s">
        <v>563</v>
      </c>
      <c r="E957" s="5" t="s">
        <v>16</v>
      </c>
      <c r="F957" s="5" t="s">
        <v>110</v>
      </c>
      <c r="G957" s="7">
        <v>45778</v>
      </c>
      <c r="H957" s="5" t="s">
        <v>888</v>
      </c>
    </row>
    <row r="958" spans="1:8" x14ac:dyDescent="0.35">
      <c r="A958" s="10">
        <f t="shared" si="14"/>
        <v>954</v>
      </c>
      <c r="B958" s="5">
        <v>8849</v>
      </c>
      <c r="C958" s="5" t="s">
        <v>1359</v>
      </c>
      <c r="D958" s="5" t="s">
        <v>563</v>
      </c>
      <c r="E958" s="5" t="s">
        <v>16</v>
      </c>
      <c r="F958" s="5" t="s">
        <v>247</v>
      </c>
      <c r="G958" s="7">
        <v>45778</v>
      </c>
      <c r="H958" s="5" t="s">
        <v>888</v>
      </c>
    </row>
    <row r="959" spans="1:8" x14ac:dyDescent="0.35">
      <c r="A959" s="10">
        <f t="shared" si="14"/>
        <v>955</v>
      </c>
      <c r="B959" s="5">
        <v>8852</v>
      </c>
      <c r="C959" s="5" t="s">
        <v>791</v>
      </c>
      <c r="D959" s="5" t="s">
        <v>563</v>
      </c>
      <c r="E959" s="5" t="s">
        <v>16</v>
      </c>
      <c r="F959" s="5" t="s">
        <v>697</v>
      </c>
      <c r="G959" s="7">
        <v>45365</v>
      </c>
      <c r="H959" s="5" t="s">
        <v>1075</v>
      </c>
    </row>
    <row r="960" spans="1:8" x14ac:dyDescent="0.35">
      <c r="A960" s="10">
        <f t="shared" si="14"/>
        <v>956</v>
      </c>
      <c r="B960" s="5">
        <v>8854</v>
      </c>
      <c r="C960" s="5" t="s">
        <v>1360</v>
      </c>
      <c r="D960" s="5" t="s">
        <v>563</v>
      </c>
      <c r="E960" s="5" t="s">
        <v>16</v>
      </c>
      <c r="F960" s="5" t="s">
        <v>990</v>
      </c>
      <c r="G960" s="7">
        <v>45365</v>
      </c>
      <c r="H960" s="5" t="s">
        <v>1075</v>
      </c>
    </row>
    <row r="961" spans="1:8" x14ac:dyDescent="0.35">
      <c r="A961" s="10">
        <f t="shared" si="14"/>
        <v>957</v>
      </c>
      <c r="B961" s="5">
        <v>8855</v>
      </c>
      <c r="C961" s="5" t="s">
        <v>1361</v>
      </c>
      <c r="D961" s="5" t="s">
        <v>563</v>
      </c>
      <c r="E961" s="5" t="s">
        <v>16</v>
      </c>
      <c r="F961" s="5" t="s">
        <v>368</v>
      </c>
      <c r="G961" s="7">
        <v>45365</v>
      </c>
      <c r="H961" s="5" t="s">
        <v>1075</v>
      </c>
    </row>
    <row r="962" spans="1:8" x14ac:dyDescent="0.35">
      <c r="A962" s="10">
        <f t="shared" si="14"/>
        <v>958</v>
      </c>
      <c r="B962" s="5">
        <v>8858</v>
      </c>
      <c r="C962" s="5" t="s">
        <v>1362</v>
      </c>
      <c r="D962" s="5" t="s">
        <v>1363</v>
      </c>
      <c r="E962" s="5" t="s">
        <v>35</v>
      </c>
      <c r="F962" s="5" t="s">
        <v>84</v>
      </c>
      <c r="G962" s="7">
        <v>45365</v>
      </c>
      <c r="H962" s="5" t="s">
        <v>13</v>
      </c>
    </row>
    <row r="963" spans="1:8" x14ac:dyDescent="0.35">
      <c r="A963" s="10">
        <f t="shared" si="14"/>
        <v>959</v>
      </c>
      <c r="B963" s="5">
        <v>8860</v>
      </c>
      <c r="C963" s="5" t="s">
        <v>1364</v>
      </c>
      <c r="D963" s="5" t="s">
        <v>563</v>
      </c>
      <c r="E963" s="5" t="s">
        <v>16</v>
      </c>
      <c r="F963" s="5" t="s">
        <v>729</v>
      </c>
      <c r="G963" s="7">
        <v>45778</v>
      </c>
      <c r="H963" s="5" t="s">
        <v>888</v>
      </c>
    </row>
    <row r="964" spans="1:8" x14ac:dyDescent="0.35">
      <c r="A964" s="10">
        <f t="shared" si="14"/>
        <v>960</v>
      </c>
      <c r="B964" s="5">
        <v>8861</v>
      </c>
      <c r="C964" s="5" t="s">
        <v>1365</v>
      </c>
      <c r="D964" s="5" t="s">
        <v>563</v>
      </c>
      <c r="E964" s="5" t="s">
        <v>16</v>
      </c>
      <c r="F964" s="5" t="s">
        <v>451</v>
      </c>
      <c r="G964" s="7">
        <v>45778</v>
      </c>
      <c r="H964" s="5" t="s">
        <v>888</v>
      </c>
    </row>
    <row r="965" spans="1:8" x14ac:dyDescent="0.35">
      <c r="A965" s="10">
        <f t="shared" si="14"/>
        <v>961</v>
      </c>
      <c r="B965" s="5">
        <v>8862</v>
      </c>
      <c r="C965" s="5" t="s">
        <v>1366</v>
      </c>
      <c r="D965" s="5" t="s">
        <v>669</v>
      </c>
      <c r="E965" s="5" t="s">
        <v>103</v>
      </c>
      <c r="F965" s="5" t="s">
        <v>103</v>
      </c>
      <c r="G965" s="7">
        <v>45369</v>
      </c>
      <c r="H965" s="5" t="s">
        <v>13</v>
      </c>
    </row>
    <row r="966" spans="1:8" x14ac:dyDescent="0.35">
      <c r="A966" s="10">
        <f t="shared" ref="A966:A1029" si="15">+A965+1</f>
        <v>962</v>
      </c>
      <c r="B966" s="5">
        <v>8863</v>
      </c>
      <c r="C966" s="5" t="s">
        <v>1367</v>
      </c>
      <c r="D966" s="5" t="s">
        <v>563</v>
      </c>
      <c r="E966" s="5" t="s">
        <v>16</v>
      </c>
      <c r="F966" s="5" t="s">
        <v>110</v>
      </c>
      <c r="G966" s="7">
        <v>45778</v>
      </c>
      <c r="H966" s="5" t="s">
        <v>888</v>
      </c>
    </row>
    <row r="967" spans="1:8" x14ac:dyDescent="0.35">
      <c r="A967" s="10">
        <f t="shared" si="15"/>
        <v>963</v>
      </c>
      <c r="B967" s="5">
        <v>8867</v>
      </c>
      <c r="C967" s="5" t="s">
        <v>1368</v>
      </c>
      <c r="D967" s="5" t="s">
        <v>1271</v>
      </c>
      <c r="E967" s="5" t="s">
        <v>538</v>
      </c>
      <c r="F967" s="5" t="s">
        <v>538</v>
      </c>
      <c r="G967" s="7">
        <v>45383</v>
      </c>
      <c r="H967" s="5" t="s">
        <v>1075</v>
      </c>
    </row>
    <row r="968" spans="1:8" x14ac:dyDescent="0.35">
      <c r="A968" s="10">
        <f t="shared" si="15"/>
        <v>964</v>
      </c>
      <c r="B968" s="5">
        <v>8869</v>
      </c>
      <c r="C968" s="5" t="s">
        <v>1369</v>
      </c>
      <c r="D968" s="5" t="s">
        <v>563</v>
      </c>
      <c r="E968" s="5" t="s">
        <v>16</v>
      </c>
      <c r="F968" s="5" t="s">
        <v>451</v>
      </c>
      <c r="G968" s="7">
        <v>45383</v>
      </c>
      <c r="H968" s="5" t="s">
        <v>1075</v>
      </c>
    </row>
    <row r="969" spans="1:8" x14ac:dyDescent="0.35">
      <c r="A969" s="10">
        <f t="shared" si="15"/>
        <v>965</v>
      </c>
      <c r="B969" s="5">
        <v>8870</v>
      </c>
      <c r="C969" s="5" t="s">
        <v>1370</v>
      </c>
      <c r="D969" s="5" t="s">
        <v>1371</v>
      </c>
      <c r="E969" s="5" t="s">
        <v>263</v>
      </c>
      <c r="F969" s="5" t="s">
        <v>276</v>
      </c>
      <c r="G969" s="7">
        <v>45383</v>
      </c>
      <c r="H969" s="5" t="s">
        <v>13</v>
      </c>
    </row>
    <row r="970" spans="1:8" x14ac:dyDescent="0.35">
      <c r="A970" s="10">
        <f t="shared" si="15"/>
        <v>966</v>
      </c>
      <c r="B970" s="5">
        <v>8871</v>
      </c>
      <c r="C970" s="5" t="s">
        <v>1372</v>
      </c>
      <c r="D970" s="5" t="s">
        <v>1373</v>
      </c>
      <c r="E970" s="5" t="s">
        <v>263</v>
      </c>
      <c r="F970" s="5" t="s">
        <v>1374</v>
      </c>
      <c r="G970" s="7">
        <v>45383</v>
      </c>
      <c r="H970" s="5" t="s">
        <v>13</v>
      </c>
    </row>
    <row r="971" spans="1:8" x14ac:dyDescent="0.35">
      <c r="A971" s="10">
        <f t="shared" si="15"/>
        <v>967</v>
      </c>
      <c r="B971" s="5">
        <v>8872</v>
      </c>
      <c r="C971" s="5" t="s">
        <v>1375</v>
      </c>
      <c r="D971" s="5" t="s">
        <v>778</v>
      </c>
      <c r="E971" s="5" t="s">
        <v>314</v>
      </c>
      <c r="F971" s="5" t="s">
        <v>315</v>
      </c>
      <c r="G971" s="7">
        <v>45383</v>
      </c>
      <c r="H971" s="5" t="s">
        <v>13</v>
      </c>
    </row>
    <row r="972" spans="1:8" x14ac:dyDescent="0.35">
      <c r="A972" s="10">
        <f t="shared" si="15"/>
        <v>968</v>
      </c>
      <c r="B972" s="5">
        <v>8873</v>
      </c>
      <c r="C972" s="5" t="s">
        <v>1376</v>
      </c>
      <c r="D972" s="5" t="s">
        <v>778</v>
      </c>
      <c r="E972" s="5" t="s">
        <v>314</v>
      </c>
      <c r="F972" s="5" t="s">
        <v>315</v>
      </c>
      <c r="G972" s="7">
        <v>45383</v>
      </c>
      <c r="H972" s="5" t="s">
        <v>13</v>
      </c>
    </row>
    <row r="973" spans="1:8" x14ac:dyDescent="0.35">
      <c r="A973" s="10">
        <f t="shared" si="15"/>
        <v>969</v>
      </c>
      <c r="B973" s="5">
        <v>8875</v>
      </c>
      <c r="C973" s="5" t="s">
        <v>1377</v>
      </c>
      <c r="D973" s="5" t="s">
        <v>778</v>
      </c>
      <c r="E973" s="5" t="s">
        <v>314</v>
      </c>
      <c r="F973" s="5" t="s">
        <v>315</v>
      </c>
      <c r="G973" s="7">
        <v>45383</v>
      </c>
      <c r="H973" s="5" t="s">
        <v>13</v>
      </c>
    </row>
    <row r="974" spans="1:8" x14ac:dyDescent="0.35">
      <c r="A974" s="10">
        <f t="shared" si="15"/>
        <v>970</v>
      </c>
      <c r="B974" s="5">
        <v>8876</v>
      </c>
      <c r="C974" s="5" t="s">
        <v>1378</v>
      </c>
      <c r="D974" s="5" t="s">
        <v>778</v>
      </c>
      <c r="E974" s="5" t="s">
        <v>314</v>
      </c>
      <c r="F974" s="5" t="s">
        <v>315</v>
      </c>
      <c r="G974" s="7">
        <v>45383</v>
      </c>
      <c r="H974" s="5" t="s">
        <v>13</v>
      </c>
    </row>
    <row r="975" spans="1:8" x14ac:dyDescent="0.35">
      <c r="A975" s="10">
        <f t="shared" si="15"/>
        <v>971</v>
      </c>
      <c r="B975" s="5">
        <v>8882</v>
      </c>
      <c r="C975" s="5" t="s">
        <v>1379</v>
      </c>
      <c r="D975" s="5" t="s">
        <v>563</v>
      </c>
      <c r="E975" s="5" t="s">
        <v>16</v>
      </c>
      <c r="F975" s="5" t="s">
        <v>326</v>
      </c>
      <c r="G975" s="7">
        <v>45390</v>
      </c>
      <c r="H975" s="5" t="s">
        <v>1075</v>
      </c>
    </row>
    <row r="976" spans="1:8" x14ac:dyDescent="0.35">
      <c r="A976" s="10">
        <f t="shared" si="15"/>
        <v>972</v>
      </c>
      <c r="B976" s="5">
        <v>8884</v>
      </c>
      <c r="C976" s="5" t="s">
        <v>1380</v>
      </c>
      <c r="D976" s="5" t="s">
        <v>563</v>
      </c>
      <c r="E976" s="5" t="s">
        <v>16</v>
      </c>
      <c r="F976" s="5" t="s">
        <v>589</v>
      </c>
      <c r="G976" s="7">
        <v>45390</v>
      </c>
      <c r="H976" s="5" t="s">
        <v>1075</v>
      </c>
    </row>
    <row r="977" spans="1:8" x14ac:dyDescent="0.35">
      <c r="A977" s="10">
        <f t="shared" si="15"/>
        <v>973</v>
      </c>
      <c r="B977" s="5">
        <v>8889</v>
      </c>
      <c r="C977" s="5" t="s">
        <v>1381</v>
      </c>
      <c r="D977" s="5" t="s">
        <v>488</v>
      </c>
      <c r="E977" s="5" t="s">
        <v>64</v>
      </c>
      <c r="F977" s="5" t="s">
        <v>64</v>
      </c>
      <c r="G977" s="7">
        <v>45390</v>
      </c>
      <c r="H977" s="5" t="s">
        <v>13</v>
      </c>
    </row>
    <row r="978" spans="1:8" x14ac:dyDescent="0.35">
      <c r="A978" s="10">
        <f t="shared" si="15"/>
        <v>974</v>
      </c>
      <c r="B978" s="5">
        <v>8890</v>
      </c>
      <c r="C978" s="5" t="s">
        <v>1382</v>
      </c>
      <c r="D978" s="5" t="s">
        <v>488</v>
      </c>
      <c r="E978" s="5" t="s">
        <v>64</v>
      </c>
      <c r="F978" s="5" t="s">
        <v>64</v>
      </c>
      <c r="G978" s="7">
        <v>45390</v>
      </c>
      <c r="H978" s="5" t="s">
        <v>13</v>
      </c>
    </row>
    <row r="979" spans="1:8" x14ac:dyDescent="0.35">
      <c r="A979" s="10">
        <f t="shared" si="15"/>
        <v>975</v>
      </c>
      <c r="B979" s="5">
        <v>8895</v>
      </c>
      <c r="C979" s="5" t="s">
        <v>1383</v>
      </c>
      <c r="D979" s="5" t="s">
        <v>563</v>
      </c>
      <c r="E979" s="5" t="s">
        <v>16</v>
      </c>
      <c r="F979" s="5" t="s">
        <v>897</v>
      </c>
      <c r="G979" s="7">
        <v>45397</v>
      </c>
      <c r="H979" s="5" t="s">
        <v>1075</v>
      </c>
    </row>
    <row r="980" spans="1:8" x14ac:dyDescent="0.35">
      <c r="A980" s="10">
        <f t="shared" si="15"/>
        <v>976</v>
      </c>
      <c r="B980" s="5">
        <v>8896</v>
      </c>
      <c r="C980" s="5" t="s">
        <v>1384</v>
      </c>
      <c r="D980" s="5" t="s">
        <v>563</v>
      </c>
      <c r="E980" s="5" t="s">
        <v>16</v>
      </c>
      <c r="F980" s="5" t="s">
        <v>658</v>
      </c>
      <c r="G980" s="7">
        <v>45397</v>
      </c>
      <c r="H980" s="5" t="s">
        <v>1075</v>
      </c>
    </row>
    <row r="981" spans="1:8" x14ac:dyDescent="0.35">
      <c r="A981" s="10">
        <f t="shared" si="15"/>
        <v>977</v>
      </c>
      <c r="B981" s="5">
        <v>8897</v>
      </c>
      <c r="C981" s="5" t="s">
        <v>1385</v>
      </c>
      <c r="D981" s="5" t="s">
        <v>563</v>
      </c>
      <c r="E981" s="5" t="s">
        <v>16</v>
      </c>
      <c r="F981" s="5" t="s">
        <v>825</v>
      </c>
      <c r="G981" s="7">
        <v>45397</v>
      </c>
      <c r="H981" s="5" t="s">
        <v>1075</v>
      </c>
    </row>
    <row r="982" spans="1:8" x14ac:dyDescent="0.35">
      <c r="A982" s="10">
        <f t="shared" si="15"/>
        <v>978</v>
      </c>
      <c r="B982" s="5">
        <v>8899</v>
      </c>
      <c r="C982" s="5" t="s">
        <v>1386</v>
      </c>
      <c r="D982" s="5" t="s">
        <v>797</v>
      </c>
      <c r="E982" s="5" t="s">
        <v>263</v>
      </c>
      <c r="F982" s="5" t="s">
        <v>546</v>
      </c>
      <c r="G982" s="7">
        <v>45397</v>
      </c>
      <c r="H982" s="5" t="s">
        <v>13</v>
      </c>
    </row>
    <row r="983" spans="1:8" x14ac:dyDescent="0.35">
      <c r="A983" s="10">
        <f t="shared" si="15"/>
        <v>979</v>
      </c>
      <c r="B983" s="5">
        <v>8900</v>
      </c>
      <c r="C983" s="5" t="s">
        <v>1387</v>
      </c>
      <c r="D983" s="5" t="s">
        <v>669</v>
      </c>
      <c r="E983" s="5" t="s">
        <v>103</v>
      </c>
      <c r="F983" s="5" t="s">
        <v>103</v>
      </c>
      <c r="G983" s="7">
        <v>45397</v>
      </c>
      <c r="H983" s="5" t="s">
        <v>13</v>
      </c>
    </row>
    <row r="984" spans="1:8" x14ac:dyDescent="0.35">
      <c r="A984" s="10">
        <f t="shared" si="15"/>
        <v>980</v>
      </c>
      <c r="B984" s="5">
        <v>8904</v>
      </c>
      <c r="C984" s="5" t="s">
        <v>1388</v>
      </c>
      <c r="D984" s="5" t="s">
        <v>519</v>
      </c>
      <c r="E984" s="5" t="s">
        <v>24</v>
      </c>
      <c r="F984" s="5" t="s">
        <v>152</v>
      </c>
      <c r="G984" s="7">
        <v>45397</v>
      </c>
      <c r="H984" s="5" t="s">
        <v>13</v>
      </c>
    </row>
    <row r="985" spans="1:8" x14ac:dyDescent="0.35">
      <c r="A985" s="10">
        <f t="shared" si="15"/>
        <v>981</v>
      </c>
      <c r="B985" s="5">
        <v>8907</v>
      </c>
      <c r="C985" s="5" t="s">
        <v>1391</v>
      </c>
      <c r="D985" s="5" t="s">
        <v>563</v>
      </c>
      <c r="E985" s="5" t="s">
        <v>16</v>
      </c>
      <c r="F985" s="5" t="s">
        <v>658</v>
      </c>
      <c r="G985" s="7">
        <v>45414</v>
      </c>
      <c r="H985" s="5" t="s">
        <v>1075</v>
      </c>
    </row>
    <row r="986" spans="1:8" x14ac:dyDescent="0.35">
      <c r="A986" s="10">
        <f t="shared" si="15"/>
        <v>982</v>
      </c>
      <c r="B986" s="5">
        <v>8910</v>
      </c>
      <c r="C986" s="5" t="s">
        <v>1392</v>
      </c>
      <c r="D986" s="5" t="s">
        <v>563</v>
      </c>
      <c r="E986" s="5" t="s">
        <v>16</v>
      </c>
      <c r="F986" s="5" t="s">
        <v>353</v>
      </c>
      <c r="G986" s="7">
        <v>45414</v>
      </c>
      <c r="H986" s="5" t="s">
        <v>1075</v>
      </c>
    </row>
    <row r="987" spans="1:8" x14ac:dyDescent="0.35">
      <c r="A987" s="10">
        <f t="shared" si="15"/>
        <v>983</v>
      </c>
      <c r="B987" s="5">
        <v>8912</v>
      </c>
      <c r="C987" s="5" t="s">
        <v>1393</v>
      </c>
      <c r="D987" s="5" t="s">
        <v>563</v>
      </c>
      <c r="E987" s="5" t="s">
        <v>16</v>
      </c>
      <c r="F987" s="5" t="s">
        <v>517</v>
      </c>
      <c r="G987" s="7">
        <v>45414</v>
      </c>
      <c r="H987" s="5" t="s">
        <v>1075</v>
      </c>
    </row>
    <row r="988" spans="1:8" x14ac:dyDescent="0.35">
      <c r="A988" s="10">
        <f t="shared" si="15"/>
        <v>984</v>
      </c>
      <c r="B988" s="5">
        <v>8913</v>
      </c>
      <c r="C988" s="5" t="s">
        <v>1394</v>
      </c>
      <c r="D988" s="5" t="s">
        <v>563</v>
      </c>
      <c r="E988" s="5" t="s">
        <v>16</v>
      </c>
      <c r="F988" s="5" t="s">
        <v>589</v>
      </c>
      <c r="G988" s="7">
        <v>45414</v>
      </c>
      <c r="H988" s="5" t="s">
        <v>1075</v>
      </c>
    </row>
    <row r="989" spans="1:8" x14ac:dyDescent="0.35">
      <c r="A989" s="10">
        <f t="shared" si="15"/>
        <v>985</v>
      </c>
      <c r="B989" s="5">
        <v>8914</v>
      </c>
      <c r="C989" s="5" t="s">
        <v>1395</v>
      </c>
      <c r="D989" s="5" t="s">
        <v>563</v>
      </c>
      <c r="E989" s="5" t="s">
        <v>16</v>
      </c>
      <c r="F989" s="5" t="s">
        <v>497</v>
      </c>
      <c r="G989" s="7">
        <v>45414</v>
      </c>
      <c r="H989" s="5" t="s">
        <v>1075</v>
      </c>
    </row>
    <row r="990" spans="1:8" x14ac:dyDescent="0.35">
      <c r="A990" s="10">
        <f t="shared" si="15"/>
        <v>986</v>
      </c>
      <c r="B990" s="5">
        <v>8916</v>
      </c>
      <c r="C990" s="5" t="s">
        <v>1396</v>
      </c>
      <c r="D990" s="5" t="s">
        <v>1152</v>
      </c>
      <c r="E990" s="5" t="s">
        <v>112</v>
      </c>
      <c r="F990" s="5" t="s">
        <v>112</v>
      </c>
      <c r="G990" s="7">
        <v>45414</v>
      </c>
      <c r="H990" s="5" t="s">
        <v>13</v>
      </c>
    </row>
    <row r="991" spans="1:8" x14ac:dyDescent="0.35">
      <c r="A991" s="10">
        <f t="shared" si="15"/>
        <v>987</v>
      </c>
      <c r="B991" s="5">
        <v>8921</v>
      </c>
      <c r="C991" s="5" t="s">
        <v>1397</v>
      </c>
      <c r="D991" s="5" t="s">
        <v>1141</v>
      </c>
      <c r="E991" s="5" t="s">
        <v>769</v>
      </c>
      <c r="F991" s="5" t="s">
        <v>769</v>
      </c>
      <c r="G991" s="7">
        <v>45414</v>
      </c>
      <c r="H991" s="5" t="s">
        <v>13</v>
      </c>
    </row>
    <row r="992" spans="1:8" x14ac:dyDescent="0.35">
      <c r="A992" s="10">
        <f t="shared" si="15"/>
        <v>988</v>
      </c>
      <c r="B992" s="5">
        <v>8926</v>
      </c>
      <c r="C992" s="5" t="s">
        <v>1398</v>
      </c>
      <c r="D992" s="5" t="s">
        <v>21</v>
      </c>
      <c r="E992" s="5" t="s">
        <v>950</v>
      </c>
      <c r="F992" s="5" t="s">
        <v>950</v>
      </c>
      <c r="G992" s="7">
        <v>45422</v>
      </c>
      <c r="H992" s="5" t="s">
        <v>13</v>
      </c>
    </row>
    <row r="993" spans="1:8" x14ac:dyDescent="0.35">
      <c r="A993" s="10">
        <f t="shared" si="15"/>
        <v>989</v>
      </c>
      <c r="B993" s="5">
        <v>8928</v>
      </c>
      <c r="C993" s="5" t="s">
        <v>1399</v>
      </c>
      <c r="D993" s="5" t="s">
        <v>1400</v>
      </c>
      <c r="E993" s="5" t="s">
        <v>1026</v>
      </c>
      <c r="F993" s="5" t="s">
        <v>1027</v>
      </c>
      <c r="G993" s="7">
        <v>45416</v>
      </c>
      <c r="H993" s="5" t="s">
        <v>13</v>
      </c>
    </row>
    <row r="994" spans="1:8" x14ac:dyDescent="0.35">
      <c r="A994" s="10">
        <f t="shared" si="15"/>
        <v>990</v>
      </c>
      <c r="B994" s="5">
        <v>8931</v>
      </c>
      <c r="C994" s="5" t="s">
        <v>1401</v>
      </c>
      <c r="D994" s="5" t="s">
        <v>563</v>
      </c>
      <c r="E994" s="5" t="s">
        <v>16</v>
      </c>
      <c r="F994" s="5" t="s">
        <v>302</v>
      </c>
      <c r="G994" s="7">
        <v>45426</v>
      </c>
      <c r="H994" s="5" t="s">
        <v>1075</v>
      </c>
    </row>
    <row r="995" spans="1:8" x14ac:dyDescent="0.35">
      <c r="A995" s="10">
        <f t="shared" si="15"/>
        <v>991</v>
      </c>
      <c r="B995" s="5">
        <v>8932</v>
      </c>
      <c r="C995" s="5" t="s">
        <v>1402</v>
      </c>
      <c r="D995" s="5" t="s">
        <v>563</v>
      </c>
      <c r="E995" s="5" t="s">
        <v>16</v>
      </c>
      <c r="F995" s="5" t="s">
        <v>955</v>
      </c>
      <c r="G995" s="7">
        <v>45426</v>
      </c>
      <c r="H995" s="5" t="s">
        <v>1075</v>
      </c>
    </row>
    <row r="996" spans="1:8" x14ac:dyDescent="0.35">
      <c r="A996" s="10">
        <f t="shared" si="15"/>
        <v>992</v>
      </c>
      <c r="B996" s="5">
        <v>8937</v>
      </c>
      <c r="C996" s="5" t="s">
        <v>1405</v>
      </c>
      <c r="D996" s="5" t="s">
        <v>21</v>
      </c>
      <c r="E996" s="5" t="s">
        <v>950</v>
      </c>
      <c r="F996" s="5" t="s">
        <v>950</v>
      </c>
      <c r="G996" s="7">
        <v>45428</v>
      </c>
      <c r="H996" s="5" t="s">
        <v>13</v>
      </c>
    </row>
    <row r="997" spans="1:8" x14ac:dyDescent="0.35">
      <c r="A997" s="10">
        <f t="shared" si="15"/>
        <v>993</v>
      </c>
      <c r="B997" s="5">
        <v>8938</v>
      </c>
      <c r="C997" s="5" t="s">
        <v>1406</v>
      </c>
      <c r="D997" s="5" t="s">
        <v>669</v>
      </c>
      <c r="E997" s="5" t="s">
        <v>103</v>
      </c>
      <c r="F997" s="5" t="s">
        <v>103</v>
      </c>
      <c r="G997" s="7">
        <v>45427</v>
      </c>
      <c r="H997" s="5" t="s">
        <v>1075</v>
      </c>
    </row>
    <row r="998" spans="1:8" x14ac:dyDescent="0.35">
      <c r="A998" s="10">
        <f t="shared" si="15"/>
        <v>994</v>
      </c>
      <c r="B998" s="5">
        <v>8940</v>
      </c>
      <c r="C998" s="5" t="s">
        <v>1407</v>
      </c>
      <c r="D998" s="5" t="s">
        <v>669</v>
      </c>
      <c r="E998" s="5" t="s">
        <v>103</v>
      </c>
      <c r="F998" s="5" t="s">
        <v>103</v>
      </c>
      <c r="G998" s="7">
        <v>45427</v>
      </c>
      <c r="H998" s="5" t="s">
        <v>1075</v>
      </c>
    </row>
    <row r="999" spans="1:8" x14ac:dyDescent="0.35">
      <c r="A999" s="10">
        <f t="shared" si="15"/>
        <v>995</v>
      </c>
      <c r="B999" s="5">
        <v>8942</v>
      </c>
      <c r="C999" s="5" t="s">
        <v>1408</v>
      </c>
      <c r="D999" s="5" t="s">
        <v>563</v>
      </c>
      <c r="E999" s="5" t="s">
        <v>16</v>
      </c>
      <c r="F999" s="5" t="s">
        <v>1057</v>
      </c>
      <c r="G999" s="7">
        <v>45446</v>
      </c>
      <c r="H999" s="5" t="s">
        <v>1075</v>
      </c>
    </row>
    <row r="1000" spans="1:8" x14ac:dyDescent="0.35">
      <c r="A1000" s="10">
        <f t="shared" si="15"/>
        <v>996</v>
      </c>
      <c r="B1000" s="5">
        <v>8944</v>
      </c>
      <c r="C1000" s="5" t="s">
        <v>1409</v>
      </c>
      <c r="D1000" s="5" t="s">
        <v>678</v>
      </c>
      <c r="E1000" s="5" t="s">
        <v>87</v>
      </c>
      <c r="F1000" s="5" t="s">
        <v>678</v>
      </c>
      <c r="G1000" s="7">
        <v>45446</v>
      </c>
      <c r="H1000" s="5" t="s">
        <v>13</v>
      </c>
    </row>
    <row r="1001" spans="1:8" x14ac:dyDescent="0.35">
      <c r="A1001" s="10">
        <f t="shared" si="15"/>
        <v>997</v>
      </c>
      <c r="B1001" s="5">
        <v>8945</v>
      </c>
      <c r="C1001" s="5" t="s">
        <v>1410</v>
      </c>
      <c r="D1001" s="5" t="s">
        <v>563</v>
      </c>
      <c r="E1001" s="5" t="s">
        <v>16</v>
      </c>
      <c r="F1001" s="5" t="s">
        <v>1057</v>
      </c>
      <c r="G1001" s="7">
        <v>45446</v>
      </c>
      <c r="H1001" s="5" t="s">
        <v>1075</v>
      </c>
    </row>
    <row r="1002" spans="1:8" x14ac:dyDescent="0.35">
      <c r="A1002" s="10">
        <f t="shared" si="15"/>
        <v>998</v>
      </c>
      <c r="B1002" s="5">
        <v>8946</v>
      </c>
      <c r="C1002" s="5" t="s">
        <v>1411</v>
      </c>
      <c r="D1002" s="5" t="s">
        <v>563</v>
      </c>
      <c r="E1002" s="5" t="s">
        <v>16</v>
      </c>
      <c r="F1002" s="5" t="s">
        <v>497</v>
      </c>
      <c r="G1002" s="7">
        <v>45446</v>
      </c>
      <c r="H1002" s="5" t="s">
        <v>1075</v>
      </c>
    </row>
    <row r="1003" spans="1:8" x14ac:dyDescent="0.35">
      <c r="A1003" s="10">
        <f t="shared" si="15"/>
        <v>999</v>
      </c>
      <c r="B1003" s="5">
        <v>8953</v>
      </c>
      <c r="C1003" s="5" t="s">
        <v>1412</v>
      </c>
      <c r="D1003" s="5" t="s">
        <v>1413</v>
      </c>
      <c r="E1003" s="5" t="s">
        <v>263</v>
      </c>
      <c r="F1003" s="5" t="s">
        <v>264</v>
      </c>
      <c r="G1003" s="7">
        <v>45444</v>
      </c>
      <c r="H1003" s="5" t="s">
        <v>13</v>
      </c>
    </row>
    <row r="1004" spans="1:8" x14ac:dyDescent="0.35">
      <c r="A1004" s="10">
        <f t="shared" si="15"/>
        <v>1000</v>
      </c>
      <c r="B1004" s="5">
        <v>8954</v>
      </c>
      <c r="C1004" s="5" t="s">
        <v>1414</v>
      </c>
      <c r="D1004" s="5" t="s">
        <v>21</v>
      </c>
      <c r="E1004" s="5" t="s">
        <v>950</v>
      </c>
      <c r="F1004" s="5" t="s">
        <v>950</v>
      </c>
      <c r="G1004" s="7">
        <v>45453</v>
      </c>
      <c r="H1004" s="5" t="s">
        <v>13</v>
      </c>
    </row>
    <row r="1005" spans="1:8" x14ac:dyDescent="0.35">
      <c r="A1005" s="10">
        <f t="shared" si="15"/>
        <v>1001</v>
      </c>
      <c r="B1005" s="5">
        <v>8964</v>
      </c>
      <c r="C1005" s="5" t="s">
        <v>1415</v>
      </c>
      <c r="D1005" s="5" t="s">
        <v>733</v>
      </c>
      <c r="E1005" s="5" t="s">
        <v>165</v>
      </c>
      <c r="F1005" s="5" t="s">
        <v>165</v>
      </c>
      <c r="G1005" s="7">
        <v>45467</v>
      </c>
      <c r="H1005" s="5" t="s">
        <v>13</v>
      </c>
    </row>
    <row r="1006" spans="1:8" x14ac:dyDescent="0.35">
      <c r="A1006" s="10">
        <f t="shared" si="15"/>
        <v>1002</v>
      </c>
      <c r="B1006" s="5">
        <v>8968</v>
      </c>
      <c r="C1006" s="5" t="s">
        <v>1416</v>
      </c>
      <c r="D1006" s="5" t="s">
        <v>733</v>
      </c>
      <c r="E1006" s="5" t="s">
        <v>165</v>
      </c>
      <c r="F1006" s="5" t="s">
        <v>165</v>
      </c>
      <c r="G1006" s="7">
        <v>45474</v>
      </c>
      <c r="H1006" s="5" t="s">
        <v>13</v>
      </c>
    </row>
    <row r="1007" spans="1:8" x14ac:dyDescent="0.35">
      <c r="A1007" s="10">
        <f t="shared" si="15"/>
        <v>1003</v>
      </c>
      <c r="B1007" s="5">
        <v>8969</v>
      </c>
      <c r="C1007" s="5" t="s">
        <v>1417</v>
      </c>
      <c r="D1007" s="5" t="s">
        <v>1141</v>
      </c>
      <c r="E1007" s="5" t="s">
        <v>769</v>
      </c>
      <c r="F1007" s="5" t="s">
        <v>769</v>
      </c>
      <c r="G1007" s="7">
        <v>45474</v>
      </c>
      <c r="H1007" s="5" t="s">
        <v>13</v>
      </c>
    </row>
    <row r="1008" spans="1:8" x14ac:dyDescent="0.35">
      <c r="A1008" s="10">
        <f t="shared" si="15"/>
        <v>1004</v>
      </c>
      <c r="B1008" s="5">
        <v>8970</v>
      </c>
      <c r="C1008" s="5" t="s">
        <v>1418</v>
      </c>
      <c r="D1008" s="5" t="s">
        <v>639</v>
      </c>
      <c r="E1008" s="5" t="s">
        <v>640</v>
      </c>
      <c r="F1008" s="5" t="s">
        <v>641</v>
      </c>
      <c r="G1008" s="7">
        <v>45474</v>
      </c>
      <c r="H1008" s="5" t="s">
        <v>888</v>
      </c>
    </row>
    <row r="1009" spans="1:8" x14ac:dyDescent="0.35">
      <c r="A1009" s="10">
        <f t="shared" si="15"/>
        <v>1005</v>
      </c>
      <c r="B1009" s="5">
        <v>8972</v>
      </c>
      <c r="C1009" s="5" t="s">
        <v>1419</v>
      </c>
      <c r="D1009" s="5" t="s">
        <v>1371</v>
      </c>
      <c r="E1009" s="5" t="s">
        <v>263</v>
      </c>
      <c r="F1009" s="5" t="s">
        <v>276</v>
      </c>
      <c r="G1009" s="7">
        <v>45476</v>
      </c>
      <c r="H1009" s="5" t="s">
        <v>13</v>
      </c>
    </row>
    <row r="1010" spans="1:8" x14ac:dyDescent="0.35">
      <c r="A1010" s="10">
        <f t="shared" si="15"/>
        <v>1006</v>
      </c>
      <c r="B1010" s="5">
        <v>8975</v>
      </c>
      <c r="C1010" s="5" t="s">
        <v>1420</v>
      </c>
      <c r="D1010" s="5" t="s">
        <v>563</v>
      </c>
      <c r="E1010" s="5" t="s">
        <v>16</v>
      </c>
      <c r="F1010" s="5" t="s">
        <v>141</v>
      </c>
      <c r="G1010" s="7">
        <v>45901</v>
      </c>
      <c r="H1010" s="5" t="s">
        <v>888</v>
      </c>
    </row>
    <row r="1011" spans="1:8" x14ac:dyDescent="0.35">
      <c r="A1011" s="10">
        <f t="shared" si="15"/>
        <v>1007</v>
      </c>
      <c r="B1011" s="5">
        <v>8976</v>
      </c>
      <c r="C1011" s="5" t="s">
        <v>1421</v>
      </c>
      <c r="D1011" s="5" t="s">
        <v>847</v>
      </c>
      <c r="E1011" s="5" t="s">
        <v>314</v>
      </c>
      <c r="F1011" s="5" t="s">
        <v>315</v>
      </c>
      <c r="G1011" s="7">
        <v>45481</v>
      </c>
      <c r="H1011" s="5" t="s">
        <v>13</v>
      </c>
    </row>
    <row r="1012" spans="1:8" x14ac:dyDescent="0.35">
      <c r="A1012" s="10">
        <f t="shared" si="15"/>
        <v>1008</v>
      </c>
      <c r="B1012" s="5">
        <v>8977</v>
      </c>
      <c r="C1012" s="5" t="s">
        <v>1422</v>
      </c>
      <c r="D1012" s="5" t="s">
        <v>563</v>
      </c>
      <c r="E1012" s="5" t="s">
        <v>16</v>
      </c>
      <c r="F1012" s="5" t="s">
        <v>1423</v>
      </c>
      <c r="G1012" s="7">
        <v>45901</v>
      </c>
      <c r="H1012" s="5" t="s">
        <v>888</v>
      </c>
    </row>
    <row r="1013" spans="1:8" x14ac:dyDescent="0.35">
      <c r="A1013" s="10">
        <f t="shared" si="15"/>
        <v>1009</v>
      </c>
      <c r="B1013" s="5">
        <v>8980</v>
      </c>
      <c r="C1013" s="5" t="s">
        <v>1424</v>
      </c>
      <c r="D1013" s="5" t="s">
        <v>563</v>
      </c>
      <c r="E1013" s="5" t="s">
        <v>16</v>
      </c>
      <c r="F1013" s="5" t="s">
        <v>141</v>
      </c>
      <c r="G1013" s="7">
        <v>45481</v>
      </c>
      <c r="H1013" s="5" t="s">
        <v>13</v>
      </c>
    </row>
    <row r="1014" spans="1:8" x14ac:dyDescent="0.35">
      <c r="A1014" s="10">
        <f t="shared" si="15"/>
        <v>1010</v>
      </c>
      <c r="B1014" s="5">
        <v>8983</v>
      </c>
      <c r="C1014" s="5" t="s">
        <v>1425</v>
      </c>
      <c r="D1014" s="5" t="s">
        <v>563</v>
      </c>
      <c r="E1014" s="5" t="s">
        <v>16</v>
      </c>
      <c r="F1014" s="5" t="s">
        <v>763</v>
      </c>
      <c r="G1014" s="7">
        <v>45901</v>
      </c>
      <c r="H1014" s="5" t="s">
        <v>888</v>
      </c>
    </row>
    <row r="1015" spans="1:8" x14ac:dyDescent="0.35">
      <c r="A1015" s="10">
        <f t="shared" si="15"/>
        <v>1011</v>
      </c>
      <c r="B1015" s="5">
        <v>8985</v>
      </c>
      <c r="C1015" s="5" t="s">
        <v>1426</v>
      </c>
      <c r="D1015" s="5" t="s">
        <v>563</v>
      </c>
      <c r="E1015" s="5" t="s">
        <v>16</v>
      </c>
      <c r="F1015" s="5" t="s">
        <v>697</v>
      </c>
      <c r="G1015" s="7">
        <v>45901</v>
      </c>
      <c r="H1015" s="5" t="s">
        <v>888</v>
      </c>
    </row>
    <row r="1016" spans="1:8" x14ac:dyDescent="0.35">
      <c r="A1016" s="10">
        <f t="shared" si="15"/>
        <v>1012</v>
      </c>
      <c r="B1016" s="5">
        <v>8986</v>
      </c>
      <c r="C1016" s="5" t="s">
        <v>1427</v>
      </c>
      <c r="D1016" s="5" t="s">
        <v>563</v>
      </c>
      <c r="E1016" s="5" t="s">
        <v>16</v>
      </c>
      <c r="F1016" s="5" t="s">
        <v>955</v>
      </c>
      <c r="G1016" s="7">
        <v>45901</v>
      </c>
      <c r="H1016" s="5" t="s">
        <v>888</v>
      </c>
    </row>
    <row r="1017" spans="1:8" x14ac:dyDescent="0.35">
      <c r="A1017" s="10">
        <f t="shared" si="15"/>
        <v>1013</v>
      </c>
      <c r="B1017" s="5">
        <v>8988</v>
      </c>
      <c r="C1017" s="5" t="s">
        <v>1428</v>
      </c>
      <c r="D1017" s="5" t="s">
        <v>563</v>
      </c>
      <c r="E1017" s="5" t="s">
        <v>16</v>
      </c>
      <c r="F1017" s="5" t="s">
        <v>681</v>
      </c>
      <c r="G1017" s="7">
        <v>45901</v>
      </c>
      <c r="H1017" s="5" t="s">
        <v>888</v>
      </c>
    </row>
    <row r="1018" spans="1:8" x14ac:dyDescent="0.35">
      <c r="A1018" s="10">
        <f t="shared" si="15"/>
        <v>1014</v>
      </c>
      <c r="B1018" s="5">
        <v>8993</v>
      </c>
      <c r="C1018" s="5" t="s">
        <v>1430</v>
      </c>
      <c r="D1018" s="5" t="s">
        <v>519</v>
      </c>
      <c r="E1018" s="5" t="s">
        <v>24</v>
      </c>
      <c r="F1018" s="5" t="s">
        <v>152</v>
      </c>
      <c r="G1018" s="7">
        <v>45488</v>
      </c>
      <c r="H1018" s="5" t="s">
        <v>13</v>
      </c>
    </row>
    <row r="1019" spans="1:8" x14ac:dyDescent="0.35">
      <c r="A1019" s="10">
        <f t="shared" si="15"/>
        <v>1015</v>
      </c>
      <c r="B1019" s="5">
        <v>8994</v>
      </c>
      <c r="C1019" s="5" t="s">
        <v>1431</v>
      </c>
      <c r="D1019" s="5" t="s">
        <v>563</v>
      </c>
      <c r="E1019" s="5" t="s">
        <v>16</v>
      </c>
      <c r="F1019" s="5" t="s">
        <v>825</v>
      </c>
      <c r="G1019" s="7">
        <v>45901</v>
      </c>
      <c r="H1019" s="5" t="s">
        <v>888</v>
      </c>
    </row>
    <row r="1020" spans="1:8" x14ac:dyDescent="0.35">
      <c r="A1020" s="10">
        <f t="shared" si="15"/>
        <v>1016</v>
      </c>
      <c r="B1020" s="5">
        <v>8995</v>
      </c>
      <c r="C1020" s="5" t="s">
        <v>1432</v>
      </c>
      <c r="D1020" s="5" t="s">
        <v>807</v>
      </c>
      <c r="E1020" s="5" t="s">
        <v>87</v>
      </c>
      <c r="F1020" s="5" t="s">
        <v>808</v>
      </c>
      <c r="G1020" s="7">
        <v>45474</v>
      </c>
      <c r="H1020" s="5" t="s">
        <v>13</v>
      </c>
    </row>
    <row r="1021" spans="1:8" x14ac:dyDescent="0.35">
      <c r="A1021" s="10">
        <f t="shared" si="15"/>
        <v>1017</v>
      </c>
      <c r="B1021" s="5">
        <v>8999</v>
      </c>
      <c r="C1021" s="5" t="s">
        <v>1433</v>
      </c>
      <c r="D1021" s="5" t="s">
        <v>1434</v>
      </c>
      <c r="E1021" s="5" t="s">
        <v>68</v>
      </c>
      <c r="F1021" s="5" t="s">
        <v>1435</v>
      </c>
      <c r="G1021" s="7">
        <v>45853</v>
      </c>
      <c r="H1021" s="5" t="s">
        <v>13</v>
      </c>
    </row>
    <row r="1022" spans="1:8" x14ac:dyDescent="0.35">
      <c r="A1022" s="10">
        <f t="shared" si="15"/>
        <v>1018</v>
      </c>
      <c r="B1022" s="5">
        <v>9001</v>
      </c>
      <c r="C1022" s="5" t="s">
        <v>1436</v>
      </c>
      <c r="D1022" s="5" t="s">
        <v>21</v>
      </c>
      <c r="E1022" s="5" t="s">
        <v>561</v>
      </c>
      <c r="F1022" s="5" t="s">
        <v>561</v>
      </c>
      <c r="G1022" s="7">
        <v>45503</v>
      </c>
      <c r="H1022" s="5" t="s">
        <v>13</v>
      </c>
    </row>
    <row r="1023" spans="1:8" x14ac:dyDescent="0.35">
      <c r="A1023" s="10">
        <f t="shared" si="15"/>
        <v>1019</v>
      </c>
      <c r="B1023" s="5">
        <v>9003</v>
      </c>
      <c r="C1023" s="5" t="s">
        <v>1437</v>
      </c>
      <c r="D1023" s="5" t="s">
        <v>563</v>
      </c>
      <c r="E1023" s="5" t="s">
        <v>16</v>
      </c>
      <c r="F1023" s="5" t="s">
        <v>1423</v>
      </c>
      <c r="G1023" s="7">
        <v>45901</v>
      </c>
      <c r="H1023" s="5" t="s">
        <v>888</v>
      </c>
    </row>
    <row r="1024" spans="1:8" x14ac:dyDescent="0.35">
      <c r="A1024" s="10">
        <f t="shared" si="15"/>
        <v>1020</v>
      </c>
      <c r="B1024" s="5">
        <v>9006</v>
      </c>
      <c r="C1024" s="5" t="s">
        <v>1438</v>
      </c>
      <c r="D1024" s="5" t="s">
        <v>563</v>
      </c>
      <c r="E1024" s="5" t="s">
        <v>16</v>
      </c>
      <c r="F1024" s="5" t="s">
        <v>819</v>
      </c>
      <c r="G1024" s="7">
        <v>45901</v>
      </c>
      <c r="H1024" s="5" t="s">
        <v>888</v>
      </c>
    </row>
    <row r="1025" spans="1:8" x14ac:dyDescent="0.35">
      <c r="A1025" s="10">
        <f t="shared" si="15"/>
        <v>1021</v>
      </c>
      <c r="B1025" s="5">
        <v>9007</v>
      </c>
      <c r="C1025" s="5" t="s">
        <v>1439</v>
      </c>
      <c r="D1025" s="5" t="s">
        <v>563</v>
      </c>
      <c r="E1025" s="5" t="s">
        <v>16</v>
      </c>
      <c r="F1025" s="5" t="s">
        <v>141</v>
      </c>
      <c r="G1025" s="7">
        <v>45505</v>
      </c>
      <c r="H1025" s="5" t="s">
        <v>13</v>
      </c>
    </row>
    <row r="1026" spans="1:8" x14ac:dyDescent="0.35">
      <c r="A1026" s="10">
        <f t="shared" si="15"/>
        <v>1022</v>
      </c>
      <c r="B1026" s="5">
        <v>9010</v>
      </c>
      <c r="C1026" s="5" t="s">
        <v>1440</v>
      </c>
      <c r="D1026" s="5" t="s">
        <v>563</v>
      </c>
      <c r="E1026" s="5" t="s">
        <v>16</v>
      </c>
      <c r="F1026" s="5" t="s">
        <v>497</v>
      </c>
      <c r="G1026" s="7">
        <v>45505</v>
      </c>
      <c r="H1026" s="5" t="s">
        <v>13</v>
      </c>
    </row>
    <row r="1027" spans="1:8" x14ac:dyDescent="0.35">
      <c r="A1027" s="10">
        <f t="shared" si="15"/>
        <v>1023</v>
      </c>
      <c r="B1027" s="5">
        <v>9012</v>
      </c>
      <c r="C1027" s="5" t="s">
        <v>1441</v>
      </c>
      <c r="D1027" s="5" t="s">
        <v>563</v>
      </c>
      <c r="E1027" s="5" t="s">
        <v>16</v>
      </c>
      <c r="F1027" s="5" t="s">
        <v>238</v>
      </c>
      <c r="G1027" s="7">
        <v>45901</v>
      </c>
      <c r="H1027" s="5" t="s">
        <v>888</v>
      </c>
    </row>
    <row r="1028" spans="1:8" x14ac:dyDescent="0.35">
      <c r="A1028" s="10">
        <f t="shared" si="15"/>
        <v>1024</v>
      </c>
      <c r="B1028" s="5">
        <v>9013</v>
      </c>
      <c r="C1028" s="5" t="s">
        <v>1442</v>
      </c>
      <c r="D1028" s="5" t="s">
        <v>563</v>
      </c>
      <c r="E1028" s="5" t="s">
        <v>16</v>
      </c>
      <c r="F1028" s="5" t="s">
        <v>739</v>
      </c>
      <c r="G1028" s="7">
        <v>45505</v>
      </c>
      <c r="H1028" s="5" t="s">
        <v>13</v>
      </c>
    </row>
    <row r="1029" spans="1:8" x14ac:dyDescent="0.35">
      <c r="A1029" s="10">
        <f t="shared" si="15"/>
        <v>1025</v>
      </c>
      <c r="B1029" s="5">
        <v>9016</v>
      </c>
      <c r="C1029" s="5" t="s">
        <v>1443</v>
      </c>
      <c r="D1029" s="5" t="s">
        <v>455</v>
      </c>
      <c r="E1029" s="5" t="s">
        <v>198</v>
      </c>
      <c r="F1029" s="5" t="s">
        <v>198</v>
      </c>
      <c r="G1029" s="7">
        <v>45505</v>
      </c>
      <c r="H1029" s="5" t="s">
        <v>13</v>
      </c>
    </row>
    <row r="1030" spans="1:8" x14ac:dyDescent="0.35">
      <c r="A1030" s="10">
        <f t="shared" ref="A1030:A1093" si="16">+A1029+1</f>
        <v>1026</v>
      </c>
      <c r="B1030" s="5">
        <v>9018</v>
      </c>
      <c r="C1030" s="5" t="s">
        <v>1444</v>
      </c>
      <c r="D1030" s="5" t="s">
        <v>21</v>
      </c>
      <c r="E1030" s="5" t="s">
        <v>378</v>
      </c>
      <c r="F1030" s="5" t="s">
        <v>198</v>
      </c>
      <c r="G1030" s="7">
        <v>45509</v>
      </c>
      <c r="H1030" s="5" t="s">
        <v>13</v>
      </c>
    </row>
    <row r="1031" spans="1:8" x14ac:dyDescent="0.35">
      <c r="A1031" s="10">
        <f t="shared" si="16"/>
        <v>1027</v>
      </c>
      <c r="B1031" s="5">
        <v>9029</v>
      </c>
      <c r="C1031" s="5" t="s">
        <v>1447</v>
      </c>
      <c r="D1031" s="5" t="s">
        <v>563</v>
      </c>
      <c r="E1031" s="5" t="s">
        <v>16</v>
      </c>
      <c r="F1031" s="5" t="s">
        <v>850</v>
      </c>
      <c r="G1031" s="7">
        <v>45931</v>
      </c>
      <c r="H1031" s="5" t="s">
        <v>888</v>
      </c>
    </row>
    <row r="1032" spans="1:8" x14ac:dyDescent="0.35">
      <c r="A1032" s="10">
        <f t="shared" si="16"/>
        <v>1028</v>
      </c>
      <c r="B1032" s="5">
        <v>9032</v>
      </c>
      <c r="C1032" s="5" t="s">
        <v>1448</v>
      </c>
      <c r="D1032" s="5" t="s">
        <v>563</v>
      </c>
      <c r="E1032" s="5" t="s">
        <v>16</v>
      </c>
      <c r="F1032" s="5" t="s">
        <v>819</v>
      </c>
      <c r="G1032" s="7">
        <v>45931</v>
      </c>
      <c r="H1032" s="5" t="s">
        <v>888</v>
      </c>
    </row>
    <row r="1033" spans="1:8" x14ac:dyDescent="0.35">
      <c r="A1033" s="10">
        <f t="shared" si="16"/>
        <v>1029</v>
      </c>
      <c r="B1033" s="5">
        <v>9035</v>
      </c>
      <c r="C1033" s="5" t="s">
        <v>1449</v>
      </c>
      <c r="D1033" s="5" t="s">
        <v>693</v>
      </c>
      <c r="E1033" s="5" t="s">
        <v>181</v>
      </c>
      <c r="F1033" s="5" t="s">
        <v>181</v>
      </c>
      <c r="G1033" s="7">
        <v>45537</v>
      </c>
      <c r="H1033" s="5" t="s">
        <v>13</v>
      </c>
    </row>
    <row r="1034" spans="1:8" x14ac:dyDescent="0.35">
      <c r="A1034" s="10">
        <f t="shared" si="16"/>
        <v>1030</v>
      </c>
      <c r="B1034" s="5">
        <v>9036</v>
      </c>
      <c r="C1034" s="5" t="s">
        <v>1450</v>
      </c>
      <c r="D1034" s="5" t="s">
        <v>733</v>
      </c>
      <c r="E1034" s="5" t="s">
        <v>165</v>
      </c>
      <c r="F1034" s="5" t="s">
        <v>165</v>
      </c>
      <c r="G1034" s="7">
        <v>45537</v>
      </c>
      <c r="H1034" s="5" t="s">
        <v>13</v>
      </c>
    </row>
    <row r="1035" spans="1:8" x14ac:dyDescent="0.35">
      <c r="A1035" s="10">
        <f t="shared" si="16"/>
        <v>1031</v>
      </c>
      <c r="B1035" s="5">
        <v>9037</v>
      </c>
      <c r="C1035" s="5" t="s">
        <v>1451</v>
      </c>
      <c r="D1035" s="5" t="s">
        <v>733</v>
      </c>
      <c r="E1035" s="5" t="s">
        <v>165</v>
      </c>
      <c r="F1035" s="5" t="s">
        <v>165</v>
      </c>
      <c r="G1035" s="7">
        <v>45537</v>
      </c>
      <c r="H1035" s="5" t="s">
        <v>13</v>
      </c>
    </row>
    <row r="1036" spans="1:8" x14ac:dyDescent="0.35">
      <c r="A1036" s="10">
        <f t="shared" si="16"/>
        <v>1032</v>
      </c>
      <c r="B1036" s="5">
        <v>9038</v>
      </c>
      <c r="C1036" s="5" t="s">
        <v>1452</v>
      </c>
      <c r="D1036" s="5" t="s">
        <v>563</v>
      </c>
      <c r="E1036" s="5" t="s">
        <v>16</v>
      </c>
      <c r="F1036" s="5" t="s">
        <v>819</v>
      </c>
      <c r="G1036" s="7">
        <v>45537</v>
      </c>
      <c r="H1036" s="5" t="s">
        <v>1075</v>
      </c>
    </row>
    <row r="1037" spans="1:8" x14ac:dyDescent="0.35">
      <c r="A1037" s="10">
        <f t="shared" si="16"/>
        <v>1033</v>
      </c>
      <c r="B1037" s="5">
        <v>9039</v>
      </c>
      <c r="C1037" s="5" t="s">
        <v>1453</v>
      </c>
      <c r="D1037" s="5" t="s">
        <v>563</v>
      </c>
      <c r="E1037" s="5" t="s">
        <v>16</v>
      </c>
      <c r="F1037" s="5" t="s">
        <v>711</v>
      </c>
      <c r="G1037" s="7">
        <v>45544</v>
      </c>
      <c r="H1037" s="5" t="s">
        <v>1075</v>
      </c>
    </row>
    <row r="1038" spans="1:8" x14ac:dyDescent="0.35">
      <c r="A1038" s="10">
        <f t="shared" si="16"/>
        <v>1034</v>
      </c>
      <c r="B1038" s="5">
        <v>9040</v>
      </c>
      <c r="C1038" s="5" t="s">
        <v>1454</v>
      </c>
      <c r="D1038" s="5" t="s">
        <v>488</v>
      </c>
      <c r="E1038" s="5" t="s">
        <v>228</v>
      </c>
      <c r="F1038" s="5" t="s">
        <v>228</v>
      </c>
      <c r="G1038" s="7">
        <v>45544</v>
      </c>
      <c r="H1038" s="5" t="s">
        <v>1075</v>
      </c>
    </row>
    <row r="1039" spans="1:8" x14ac:dyDescent="0.35">
      <c r="A1039" s="10">
        <f t="shared" si="16"/>
        <v>1035</v>
      </c>
      <c r="B1039" s="5">
        <v>9044</v>
      </c>
      <c r="C1039" s="5" t="s">
        <v>1455</v>
      </c>
      <c r="D1039" s="5" t="s">
        <v>519</v>
      </c>
      <c r="E1039" s="5" t="s">
        <v>24</v>
      </c>
      <c r="F1039" s="5" t="s">
        <v>152</v>
      </c>
      <c r="G1039" s="7">
        <v>45551</v>
      </c>
      <c r="H1039" s="5" t="s">
        <v>13</v>
      </c>
    </row>
    <row r="1040" spans="1:8" x14ac:dyDescent="0.35">
      <c r="A1040" s="10">
        <f t="shared" si="16"/>
        <v>1036</v>
      </c>
      <c r="B1040" s="5">
        <v>9048</v>
      </c>
      <c r="C1040" s="5" t="s">
        <v>1456</v>
      </c>
      <c r="D1040" s="5" t="s">
        <v>563</v>
      </c>
      <c r="E1040" s="5" t="s">
        <v>16</v>
      </c>
      <c r="F1040" s="5" t="s">
        <v>141</v>
      </c>
      <c r="G1040" s="7">
        <v>45558</v>
      </c>
      <c r="H1040" s="5" t="s">
        <v>1075</v>
      </c>
    </row>
    <row r="1041" spans="1:8" x14ac:dyDescent="0.35">
      <c r="A1041" s="10">
        <f t="shared" si="16"/>
        <v>1037</v>
      </c>
      <c r="B1041" s="5">
        <v>9052</v>
      </c>
      <c r="C1041" s="5" t="s">
        <v>1457</v>
      </c>
      <c r="D1041" s="5" t="s">
        <v>1458</v>
      </c>
      <c r="E1041" s="5" t="s">
        <v>1459</v>
      </c>
      <c r="F1041" s="5" t="s">
        <v>1460</v>
      </c>
      <c r="G1041" s="7">
        <v>45571</v>
      </c>
      <c r="H1041" s="5" t="s">
        <v>13</v>
      </c>
    </row>
    <row r="1042" spans="1:8" x14ac:dyDescent="0.35">
      <c r="A1042" s="10">
        <f t="shared" si="16"/>
        <v>1038</v>
      </c>
      <c r="B1042" s="5">
        <v>9053</v>
      </c>
      <c r="C1042" s="5" t="s">
        <v>1461</v>
      </c>
      <c r="D1042" s="5" t="s">
        <v>563</v>
      </c>
      <c r="E1042" s="5" t="s">
        <v>16</v>
      </c>
      <c r="F1042" s="5" t="s">
        <v>353</v>
      </c>
      <c r="G1042" s="7">
        <v>45568</v>
      </c>
      <c r="H1042" s="5" t="s">
        <v>888</v>
      </c>
    </row>
    <row r="1043" spans="1:8" x14ac:dyDescent="0.35">
      <c r="A1043" s="10">
        <f t="shared" si="16"/>
        <v>1039</v>
      </c>
      <c r="B1043" s="5">
        <v>9054</v>
      </c>
      <c r="C1043" s="5" t="s">
        <v>1462</v>
      </c>
      <c r="D1043" s="5" t="s">
        <v>807</v>
      </c>
      <c r="E1043" s="5" t="s">
        <v>87</v>
      </c>
      <c r="F1043" s="5" t="s">
        <v>808</v>
      </c>
      <c r="G1043" s="7">
        <v>45566</v>
      </c>
      <c r="H1043" s="5" t="s">
        <v>1075</v>
      </c>
    </row>
    <row r="1044" spans="1:8" x14ac:dyDescent="0.35">
      <c r="A1044" s="10">
        <f t="shared" si="16"/>
        <v>1040</v>
      </c>
      <c r="B1044" s="5">
        <v>9056</v>
      </c>
      <c r="C1044" s="5" t="s">
        <v>1463</v>
      </c>
      <c r="D1044" s="5" t="s">
        <v>669</v>
      </c>
      <c r="E1044" s="5" t="s">
        <v>103</v>
      </c>
      <c r="F1044" s="5" t="s">
        <v>103</v>
      </c>
      <c r="G1044" s="7">
        <v>45566</v>
      </c>
      <c r="H1044" s="5" t="s">
        <v>1075</v>
      </c>
    </row>
    <row r="1045" spans="1:8" x14ac:dyDescent="0.35">
      <c r="A1045" s="10">
        <f t="shared" si="16"/>
        <v>1041</v>
      </c>
      <c r="B1045" s="5">
        <v>9057</v>
      </c>
      <c r="C1045" s="5" t="s">
        <v>1464</v>
      </c>
      <c r="D1045" s="5" t="s">
        <v>669</v>
      </c>
      <c r="E1045" s="5" t="s">
        <v>103</v>
      </c>
      <c r="F1045" s="5" t="s">
        <v>103</v>
      </c>
      <c r="G1045" s="7">
        <v>45566</v>
      </c>
      <c r="H1045" s="5" t="s">
        <v>1075</v>
      </c>
    </row>
    <row r="1046" spans="1:8" x14ac:dyDescent="0.35">
      <c r="A1046" s="10">
        <f t="shared" si="16"/>
        <v>1042</v>
      </c>
      <c r="B1046" s="5">
        <v>9058</v>
      </c>
      <c r="C1046" s="5" t="s">
        <v>1465</v>
      </c>
      <c r="D1046" s="5" t="s">
        <v>488</v>
      </c>
      <c r="E1046" s="5" t="s">
        <v>94</v>
      </c>
      <c r="F1046" s="5" t="s">
        <v>94</v>
      </c>
      <c r="G1046" s="7">
        <v>45566</v>
      </c>
      <c r="H1046" s="5" t="s">
        <v>1075</v>
      </c>
    </row>
    <row r="1047" spans="1:8" x14ac:dyDescent="0.35">
      <c r="A1047" s="10">
        <f t="shared" si="16"/>
        <v>1043</v>
      </c>
      <c r="B1047" s="5">
        <v>9060</v>
      </c>
      <c r="C1047" s="5" t="s">
        <v>1466</v>
      </c>
      <c r="D1047" s="5" t="s">
        <v>1434</v>
      </c>
      <c r="E1047" s="5" t="s">
        <v>68</v>
      </c>
      <c r="F1047" s="5" t="s">
        <v>1435</v>
      </c>
      <c r="G1047" s="7">
        <v>45568</v>
      </c>
      <c r="H1047" s="5" t="s">
        <v>1075</v>
      </c>
    </row>
    <row r="1048" spans="1:8" x14ac:dyDescent="0.35">
      <c r="A1048" s="10">
        <f t="shared" si="16"/>
        <v>1044</v>
      </c>
      <c r="B1048" s="5">
        <v>9061</v>
      </c>
      <c r="C1048" s="5" t="s">
        <v>1467</v>
      </c>
      <c r="D1048" s="5" t="s">
        <v>563</v>
      </c>
      <c r="E1048" s="5" t="s">
        <v>16</v>
      </c>
      <c r="F1048" s="5" t="s">
        <v>850</v>
      </c>
      <c r="G1048" s="7">
        <v>45568</v>
      </c>
      <c r="H1048" s="5" t="s">
        <v>1075</v>
      </c>
    </row>
    <row r="1049" spans="1:8" x14ac:dyDescent="0.35">
      <c r="A1049" s="10">
        <f t="shared" si="16"/>
        <v>1045</v>
      </c>
      <c r="B1049" s="5">
        <v>9066</v>
      </c>
      <c r="C1049" s="5" t="s">
        <v>1468</v>
      </c>
      <c r="D1049" s="5" t="s">
        <v>563</v>
      </c>
      <c r="E1049" s="5" t="s">
        <v>16</v>
      </c>
      <c r="F1049" s="5" t="s">
        <v>1057</v>
      </c>
      <c r="G1049" s="7">
        <v>45568</v>
      </c>
      <c r="H1049" s="5" t="s">
        <v>1075</v>
      </c>
    </row>
    <row r="1050" spans="1:8" x14ac:dyDescent="0.35">
      <c r="A1050" s="10">
        <f t="shared" si="16"/>
        <v>1046</v>
      </c>
      <c r="B1050" s="5">
        <v>9068</v>
      </c>
      <c r="C1050" s="5" t="s">
        <v>1469</v>
      </c>
      <c r="D1050" s="5" t="s">
        <v>488</v>
      </c>
      <c r="E1050" s="5" t="s">
        <v>94</v>
      </c>
      <c r="F1050" s="5" t="s">
        <v>94</v>
      </c>
      <c r="G1050" s="7">
        <v>45572</v>
      </c>
      <c r="H1050" s="5" t="s">
        <v>1075</v>
      </c>
    </row>
    <row r="1051" spans="1:8" x14ac:dyDescent="0.35">
      <c r="A1051" s="10">
        <f t="shared" si="16"/>
        <v>1047</v>
      </c>
      <c r="B1051" s="5">
        <v>9071</v>
      </c>
      <c r="C1051" s="5" t="s">
        <v>1470</v>
      </c>
      <c r="D1051" s="5" t="s">
        <v>563</v>
      </c>
      <c r="E1051" s="5" t="s">
        <v>16</v>
      </c>
      <c r="F1051" s="5" t="s">
        <v>144</v>
      </c>
      <c r="G1051" s="7">
        <v>45579</v>
      </c>
      <c r="H1051" s="5" t="s">
        <v>1075</v>
      </c>
    </row>
    <row r="1052" spans="1:8" x14ac:dyDescent="0.35">
      <c r="A1052" s="10">
        <f t="shared" si="16"/>
        <v>1048</v>
      </c>
      <c r="B1052" s="5">
        <v>9072</v>
      </c>
      <c r="C1052" s="5" t="s">
        <v>1471</v>
      </c>
      <c r="D1052" s="5" t="s">
        <v>563</v>
      </c>
      <c r="E1052" s="5" t="s">
        <v>16</v>
      </c>
      <c r="F1052" s="5" t="s">
        <v>697</v>
      </c>
      <c r="G1052" s="7">
        <v>45579</v>
      </c>
      <c r="H1052" s="5" t="s">
        <v>1075</v>
      </c>
    </row>
    <row r="1053" spans="1:8" x14ac:dyDescent="0.35">
      <c r="A1053" s="10">
        <f t="shared" si="16"/>
        <v>1049</v>
      </c>
      <c r="B1053" s="5">
        <v>9073</v>
      </c>
      <c r="C1053" s="5" t="s">
        <v>1472</v>
      </c>
      <c r="D1053" s="5" t="s">
        <v>563</v>
      </c>
      <c r="E1053" s="5" t="s">
        <v>16</v>
      </c>
      <c r="F1053" s="5" t="s">
        <v>739</v>
      </c>
      <c r="G1053" s="7">
        <v>45579</v>
      </c>
      <c r="H1053" s="5" t="s">
        <v>1075</v>
      </c>
    </row>
    <row r="1054" spans="1:8" x14ac:dyDescent="0.35">
      <c r="A1054" s="10">
        <f t="shared" si="16"/>
        <v>1050</v>
      </c>
      <c r="B1054" s="5">
        <v>9075</v>
      </c>
      <c r="C1054" s="5" t="s">
        <v>1473</v>
      </c>
      <c r="D1054" s="5" t="s">
        <v>563</v>
      </c>
      <c r="E1054" s="5" t="s">
        <v>16</v>
      </c>
      <c r="F1054" s="5" t="s">
        <v>897</v>
      </c>
      <c r="G1054" s="7">
        <v>45581</v>
      </c>
      <c r="H1054" s="5" t="s">
        <v>1075</v>
      </c>
    </row>
    <row r="1055" spans="1:8" x14ac:dyDescent="0.35">
      <c r="A1055" s="10">
        <f t="shared" si="16"/>
        <v>1051</v>
      </c>
      <c r="B1055" s="5">
        <v>9076</v>
      </c>
      <c r="C1055" s="5" t="s">
        <v>1474</v>
      </c>
      <c r="D1055" s="5" t="s">
        <v>563</v>
      </c>
      <c r="E1055" s="5" t="s">
        <v>16</v>
      </c>
      <c r="F1055" s="5" t="s">
        <v>1107</v>
      </c>
      <c r="G1055" s="7">
        <v>45581</v>
      </c>
      <c r="H1055" s="5" t="s">
        <v>1075</v>
      </c>
    </row>
    <row r="1056" spans="1:8" x14ac:dyDescent="0.35">
      <c r="A1056" s="10">
        <f t="shared" si="16"/>
        <v>1052</v>
      </c>
      <c r="B1056" s="5">
        <v>9079</v>
      </c>
      <c r="C1056" s="5" t="s">
        <v>1475</v>
      </c>
      <c r="D1056" s="5" t="s">
        <v>733</v>
      </c>
      <c r="E1056" s="5" t="s">
        <v>165</v>
      </c>
      <c r="F1056" s="5" t="s">
        <v>165</v>
      </c>
      <c r="G1056" s="7">
        <v>45566</v>
      </c>
      <c r="H1056" s="5" t="s">
        <v>1075</v>
      </c>
    </row>
    <row r="1057" spans="1:8" x14ac:dyDescent="0.35">
      <c r="A1057" s="10">
        <f t="shared" si="16"/>
        <v>1053</v>
      </c>
      <c r="B1057" s="5">
        <v>9082</v>
      </c>
      <c r="C1057" s="5" t="s">
        <v>1476</v>
      </c>
      <c r="D1057" s="5" t="s">
        <v>1434</v>
      </c>
      <c r="E1057" s="5" t="s">
        <v>68</v>
      </c>
      <c r="F1057" s="5" t="s">
        <v>1435</v>
      </c>
      <c r="G1057" s="7">
        <v>45580</v>
      </c>
      <c r="H1057" s="5" t="s">
        <v>1075</v>
      </c>
    </row>
    <row r="1058" spans="1:8" x14ac:dyDescent="0.35">
      <c r="A1058" s="10">
        <f t="shared" si="16"/>
        <v>1054</v>
      </c>
      <c r="B1058" s="5">
        <v>9083</v>
      </c>
      <c r="C1058" s="5" t="s">
        <v>1477</v>
      </c>
      <c r="D1058" s="5" t="s">
        <v>1478</v>
      </c>
      <c r="E1058" s="5" t="s">
        <v>117</v>
      </c>
      <c r="F1058" s="5" t="s">
        <v>176</v>
      </c>
      <c r="G1058" s="7">
        <v>45566</v>
      </c>
      <c r="H1058" s="5" t="s">
        <v>13</v>
      </c>
    </row>
    <row r="1059" spans="1:8" x14ac:dyDescent="0.35">
      <c r="A1059" s="10">
        <f t="shared" si="16"/>
        <v>1055</v>
      </c>
      <c r="B1059" s="5">
        <v>9085</v>
      </c>
      <c r="C1059" s="5" t="s">
        <v>1479</v>
      </c>
      <c r="D1059" s="5" t="s">
        <v>563</v>
      </c>
      <c r="E1059" s="5" t="s">
        <v>16</v>
      </c>
      <c r="F1059" s="5" t="s">
        <v>238</v>
      </c>
      <c r="G1059" s="7">
        <v>45992</v>
      </c>
      <c r="H1059" s="5" t="s">
        <v>888</v>
      </c>
    </row>
    <row r="1060" spans="1:8" x14ac:dyDescent="0.35">
      <c r="A1060" s="10">
        <f t="shared" si="16"/>
        <v>1056</v>
      </c>
      <c r="B1060" s="5">
        <v>9089</v>
      </c>
      <c r="C1060" s="5" t="s">
        <v>1480</v>
      </c>
      <c r="D1060" s="5" t="s">
        <v>563</v>
      </c>
      <c r="E1060" s="5" t="s">
        <v>16</v>
      </c>
      <c r="F1060" s="5" t="s">
        <v>141</v>
      </c>
      <c r="G1060" s="7">
        <v>45600</v>
      </c>
      <c r="H1060" s="5" t="s">
        <v>1075</v>
      </c>
    </row>
    <row r="1061" spans="1:8" x14ac:dyDescent="0.35">
      <c r="A1061" s="10">
        <f t="shared" si="16"/>
        <v>1057</v>
      </c>
      <c r="B1061" s="5">
        <v>9090</v>
      </c>
      <c r="C1061" s="5" t="s">
        <v>1481</v>
      </c>
      <c r="D1061" s="5" t="s">
        <v>563</v>
      </c>
      <c r="E1061" s="5" t="s">
        <v>16</v>
      </c>
      <c r="F1061" s="5" t="s">
        <v>681</v>
      </c>
      <c r="G1061" s="7">
        <v>45600</v>
      </c>
      <c r="H1061" s="5" t="s">
        <v>1075</v>
      </c>
    </row>
    <row r="1062" spans="1:8" x14ac:dyDescent="0.35">
      <c r="A1062" s="10">
        <f t="shared" si="16"/>
        <v>1058</v>
      </c>
      <c r="B1062" s="5">
        <v>9091</v>
      </c>
      <c r="C1062" s="5" t="s">
        <v>1482</v>
      </c>
      <c r="D1062" s="5" t="s">
        <v>563</v>
      </c>
      <c r="E1062" s="5" t="s">
        <v>16</v>
      </c>
      <c r="F1062" s="5" t="s">
        <v>1224</v>
      </c>
      <c r="G1062" s="7">
        <v>45600</v>
      </c>
      <c r="H1062" s="5" t="s">
        <v>1075</v>
      </c>
    </row>
    <row r="1063" spans="1:8" x14ac:dyDescent="0.35">
      <c r="A1063" s="10">
        <f t="shared" si="16"/>
        <v>1059</v>
      </c>
      <c r="B1063" s="5">
        <v>9092</v>
      </c>
      <c r="C1063" s="5" t="s">
        <v>1483</v>
      </c>
      <c r="D1063" s="5" t="s">
        <v>563</v>
      </c>
      <c r="E1063" s="5" t="s">
        <v>16</v>
      </c>
      <c r="F1063" s="5" t="s">
        <v>711</v>
      </c>
      <c r="G1063" s="7">
        <v>45600</v>
      </c>
      <c r="H1063" s="5" t="s">
        <v>1075</v>
      </c>
    </row>
    <row r="1064" spans="1:8" x14ac:dyDescent="0.35">
      <c r="A1064" s="10">
        <f t="shared" si="16"/>
        <v>1060</v>
      </c>
      <c r="B1064" s="5">
        <v>9094</v>
      </c>
      <c r="C1064" s="5" t="s">
        <v>1484</v>
      </c>
      <c r="D1064" s="5" t="s">
        <v>563</v>
      </c>
      <c r="E1064" s="5" t="s">
        <v>16</v>
      </c>
      <c r="F1064" s="5" t="s">
        <v>763</v>
      </c>
      <c r="G1064" s="7">
        <v>45600</v>
      </c>
      <c r="H1064" s="5" t="s">
        <v>1075</v>
      </c>
    </row>
    <row r="1065" spans="1:8" x14ac:dyDescent="0.35">
      <c r="A1065" s="10">
        <f t="shared" si="16"/>
        <v>1061</v>
      </c>
      <c r="B1065" s="5">
        <v>9096</v>
      </c>
      <c r="C1065" s="5" t="s">
        <v>1485</v>
      </c>
      <c r="D1065" s="5" t="s">
        <v>563</v>
      </c>
      <c r="E1065" s="5" t="s">
        <v>16</v>
      </c>
      <c r="F1065" s="5" t="s">
        <v>658</v>
      </c>
      <c r="G1065" s="7">
        <v>45600</v>
      </c>
      <c r="H1065" s="5" t="s">
        <v>1075</v>
      </c>
    </row>
    <row r="1066" spans="1:8" x14ac:dyDescent="0.35">
      <c r="A1066" s="10">
        <f t="shared" si="16"/>
        <v>1062</v>
      </c>
      <c r="B1066" s="5">
        <v>9097</v>
      </c>
      <c r="C1066" s="5" t="s">
        <v>1486</v>
      </c>
      <c r="D1066" s="5" t="s">
        <v>563</v>
      </c>
      <c r="E1066" s="5" t="s">
        <v>16</v>
      </c>
      <c r="F1066" s="5" t="s">
        <v>497</v>
      </c>
      <c r="G1066" s="7">
        <v>45600</v>
      </c>
      <c r="H1066" s="5" t="s">
        <v>1075</v>
      </c>
    </row>
    <row r="1067" spans="1:8" x14ac:dyDescent="0.35">
      <c r="A1067" s="10">
        <f t="shared" si="16"/>
        <v>1063</v>
      </c>
      <c r="B1067" s="5">
        <v>9098</v>
      </c>
      <c r="C1067" s="5" t="s">
        <v>1487</v>
      </c>
      <c r="D1067" s="5" t="s">
        <v>21</v>
      </c>
      <c r="E1067" s="5" t="s">
        <v>24</v>
      </c>
      <c r="F1067" s="5" t="s">
        <v>24</v>
      </c>
      <c r="G1067" s="7">
        <v>45600</v>
      </c>
      <c r="H1067" s="5" t="s">
        <v>13</v>
      </c>
    </row>
    <row r="1068" spans="1:8" x14ac:dyDescent="0.35">
      <c r="A1068" s="10">
        <f t="shared" si="16"/>
        <v>1064</v>
      </c>
      <c r="B1068" s="5">
        <v>9099</v>
      </c>
      <c r="C1068" s="5" t="s">
        <v>1488</v>
      </c>
      <c r="D1068" s="5" t="s">
        <v>778</v>
      </c>
      <c r="E1068" s="5" t="s">
        <v>314</v>
      </c>
      <c r="F1068" s="5" t="s">
        <v>315</v>
      </c>
      <c r="G1068" s="7">
        <v>45597</v>
      </c>
      <c r="H1068" s="5" t="s">
        <v>1075</v>
      </c>
    </row>
    <row r="1069" spans="1:8" x14ac:dyDescent="0.35">
      <c r="A1069" s="10">
        <f t="shared" si="16"/>
        <v>1065</v>
      </c>
      <c r="B1069" s="5">
        <v>9103</v>
      </c>
      <c r="C1069" s="5" t="s">
        <v>1492</v>
      </c>
      <c r="D1069" s="5" t="s">
        <v>733</v>
      </c>
      <c r="E1069" s="5" t="s">
        <v>165</v>
      </c>
      <c r="F1069" s="5" t="s">
        <v>165</v>
      </c>
      <c r="G1069" s="7">
        <v>45614</v>
      </c>
      <c r="H1069" s="5" t="s">
        <v>1075</v>
      </c>
    </row>
    <row r="1070" spans="1:8" x14ac:dyDescent="0.35">
      <c r="A1070" s="10">
        <f t="shared" si="16"/>
        <v>1066</v>
      </c>
      <c r="B1070" s="5">
        <v>9104</v>
      </c>
      <c r="C1070" s="5" t="s">
        <v>1493</v>
      </c>
      <c r="D1070" s="5" t="s">
        <v>563</v>
      </c>
      <c r="E1070" s="5" t="s">
        <v>16</v>
      </c>
      <c r="F1070" s="5" t="s">
        <v>919</v>
      </c>
      <c r="G1070" s="7">
        <v>45614</v>
      </c>
      <c r="H1070" s="5" t="s">
        <v>1075</v>
      </c>
    </row>
    <row r="1071" spans="1:8" x14ac:dyDescent="0.35">
      <c r="A1071" s="10">
        <f t="shared" si="16"/>
        <v>1067</v>
      </c>
      <c r="B1071" s="5">
        <v>9110</v>
      </c>
      <c r="C1071" s="5" t="s">
        <v>1494</v>
      </c>
      <c r="D1071" s="5" t="s">
        <v>563</v>
      </c>
      <c r="E1071" s="5" t="s">
        <v>16</v>
      </c>
      <c r="F1071" s="5" t="s">
        <v>434</v>
      </c>
      <c r="G1071" s="7">
        <v>45614</v>
      </c>
      <c r="H1071" s="5" t="s">
        <v>1075</v>
      </c>
    </row>
    <row r="1072" spans="1:8" x14ac:dyDescent="0.35">
      <c r="A1072" s="10">
        <f t="shared" si="16"/>
        <v>1068</v>
      </c>
      <c r="B1072" s="5">
        <v>9111</v>
      </c>
      <c r="C1072" s="5" t="s">
        <v>1495</v>
      </c>
      <c r="D1072" s="5" t="s">
        <v>563</v>
      </c>
      <c r="E1072" s="5" t="s">
        <v>16</v>
      </c>
      <c r="F1072" s="5" t="s">
        <v>1107</v>
      </c>
      <c r="G1072" s="7">
        <v>45614</v>
      </c>
      <c r="H1072" s="5" t="s">
        <v>1075</v>
      </c>
    </row>
    <row r="1073" spans="1:8" x14ac:dyDescent="0.35">
      <c r="A1073" s="10">
        <f t="shared" si="16"/>
        <v>1069</v>
      </c>
      <c r="B1073" s="5">
        <v>9112</v>
      </c>
      <c r="C1073" s="5" t="s">
        <v>1496</v>
      </c>
      <c r="D1073" s="5" t="s">
        <v>563</v>
      </c>
      <c r="E1073" s="5" t="s">
        <v>16</v>
      </c>
      <c r="F1073" s="5" t="s">
        <v>688</v>
      </c>
      <c r="G1073" s="7">
        <v>45614</v>
      </c>
      <c r="H1073" s="5" t="s">
        <v>1075</v>
      </c>
    </row>
    <row r="1074" spans="1:8" x14ac:dyDescent="0.35">
      <c r="A1074" s="10">
        <f t="shared" si="16"/>
        <v>1070</v>
      </c>
      <c r="B1074" s="5">
        <v>9113</v>
      </c>
      <c r="C1074" s="5" t="s">
        <v>1497</v>
      </c>
      <c r="D1074" s="5" t="s">
        <v>563</v>
      </c>
      <c r="E1074" s="5" t="s">
        <v>16</v>
      </c>
      <c r="F1074" s="5" t="s">
        <v>739</v>
      </c>
      <c r="G1074" s="7">
        <v>45614</v>
      </c>
      <c r="H1074" s="5" t="s">
        <v>888</v>
      </c>
    </row>
    <row r="1075" spans="1:8" x14ac:dyDescent="0.35">
      <c r="A1075" s="10">
        <f t="shared" si="16"/>
        <v>1071</v>
      </c>
      <c r="B1075" s="5">
        <v>9117</v>
      </c>
      <c r="C1075" s="5" t="s">
        <v>1499</v>
      </c>
      <c r="D1075" s="5" t="s">
        <v>733</v>
      </c>
      <c r="E1075" s="5" t="s">
        <v>165</v>
      </c>
      <c r="F1075" s="5" t="s">
        <v>165</v>
      </c>
      <c r="G1075" s="7">
        <v>45616</v>
      </c>
      <c r="H1075" s="5" t="s">
        <v>1075</v>
      </c>
    </row>
    <row r="1076" spans="1:8" x14ac:dyDescent="0.35">
      <c r="A1076" s="10">
        <f t="shared" si="16"/>
        <v>1072</v>
      </c>
      <c r="B1076" s="5">
        <v>9118</v>
      </c>
      <c r="C1076" s="5" t="s">
        <v>1500</v>
      </c>
      <c r="D1076" s="5" t="s">
        <v>1156</v>
      </c>
      <c r="E1076" s="5" t="s">
        <v>198</v>
      </c>
      <c r="F1076" s="5" t="s">
        <v>198</v>
      </c>
      <c r="G1076" s="7">
        <v>45614</v>
      </c>
      <c r="H1076" s="5" t="s">
        <v>13</v>
      </c>
    </row>
    <row r="1077" spans="1:8" x14ac:dyDescent="0.35">
      <c r="A1077" s="10">
        <f t="shared" si="16"/>
        <v>1073</v>
      </c>
      <c r="B1077" s="5">
        <v>9125</v>
      </c>
      <c r="C1077" s="5" t="s">
        <v>1502</v>
      </c>
      <c r="D1077" s="5" t="s">
        <v>563</v>
      </c>
      <c r="E1077" s="5" t="s">
        <v>16</v>
      </c>
      <c r="F1077" s="5" t="s">
        <v>850</v>
      </c>
      <c r="G1077" s="7">
        <v>45628</v>
      </c>
      <c r="H1077" s="5" t="s">
        <v>1075</v>
      </c>
    </row>
    <row r="1078" spans="1:8" x14ac:dyDescent="0.35">
      <c r="A1078" s="10">
        <f t="shared" si="16"/>
        <v>1074</v>
      </c>
      <c r="B1078" s="5">
        <v>9126</v>
      </c>
      <c r="C1078" s="5" t="s">
        <v>1503</v>
      </c>
      <c r="D1078" s="5" t="s">
        <v>563</v>
      </c>
      <c r="E1078" s="5" t="s">
        <v>16</v>
      </c>
      <c r="F1078" s="5" t="s">
        <v>574</v>
      </c>
      <c r="G1078" s="7">
        <v>45628</v>
      </c>
      <c r="H1078" s="5" t="s">
        <v>1075</v>
      </c>
    </row>
    <row r="1079" spans="1:8" x14ac:dyDescent="0.35">
      <c r="A1079" s="10">
        <f t="shared" si="16"/>
        <v>1075</v>
      </c>
      <c r="B1079" s="5">
        <v>9130</v>
      </c>
      <c r="C1079" s="5" t="s">
        <v>1505</v>
      </c>
      <c r="D1079" s="5" t="s">
        <v>693</v>
      </c>
      <c r="E1079" s="5" t="s">
        <v>181</v>
      </c>
      <c r="F1079" s="5" t="s">
        <v>181</v>
      </c>
      <c r="G1079" s="7">
        <v>45628</v>
      </c>
      <c r="H1079" s="5" t="s">
        <v>1075</v>
      </c>
    </row>
    <row r="1080" spans="1:8" x14ac:dyDescent="0.35">
      <c r="A1080" s="10">
        <f t="shared" si="16"/>
        <v>1076</v>
      </c>
      <c r="B1080" s="5">
        <v>9131</v>
      </c>
      <c r="C1080" s="5" t="s">
        <v>1506</v>
      </c>
      <c r="D1080" s="5" t="s">
        <v>563</v>
      </c>
      <c r="E1080" s="5" t="s">
        <v>16</v>
      </c>
      <c r="F1080" s="5" t="s">
        <v>1057</v>
      </c>
      <c r="G1080" s="7">
        <v>45630</v>
      </c>
      <c r="H1080" s="5" t="s">
        <v>1075</v>
      </c>
    </row>
    <row r="1081" spans="1:8" x14ac:dyDescent="0.35">
      <c r="A1081" s="10">
        <f t="shared" si="16"/>
        <v>1077</v>
      </c>
      <c r="B1081" s="5">
        <v>9133</v>
      </c>
      <c r="C1081" s="5" t="s">
        <v>1507</v>
      </c>
      <c r="D1081" s="5" t="s">
        <v>669</v>
      </c>
      <c r="E1081" s="5" t="s">
        <v>103</v>
      </c>
      <c r="F1081" s="5" t="s">
        <v>103</v>
      </c>
      <c r="G1081" s="7">
        <v>45627</v>
      </c>
      <c r="H1081" s="5" t="s">
        <v>1075</v>
      </c>
    </row>
    <row r="1082" spans="1:8" x14ac:dyDescent="0.35">
      <c r="A1082" s="10">
        <f t="shared" si="16"/>
        <v>1078</v>
      </c>
      <c r="B1082" s="5">
        <v>9135</v>
      </c>
      <c r="C1082" s="5" t="s">
        <v>1508</v>
      </c>
      <c r="D1082" s="5" t="s">
        <v>563</v>
      </c>
      <c r="E1082" s="5" t="s">
        <v>16</v>
      </c>
      <c r="F1082" s="5" t="s">
        <v>483</v>
      </c>
      <c r="G1082" s="7">
        <v>45642</v>
      </c>
      <c r="H1082" s="5" t="s">
        <v>1075</v>
      </c>
    </row>
    <row r="1083" spans="1:8" x14ac:dyDescent="0.35">
      <c r="A1083" s="10">
        <f t="shared" si="16"/>
        <v>1079</v>
      </c>
      <c r="B1083" s="5">
        <v>9136</v>
      </c>
      <c r="C1083" s="5" t="s">
        <v>1509</v>
      </c>
      <c r="D1083" s="5" t="s">
        <v>563</v>
      </c>
      <c r="E1083" s="5" t="s">
        <v>16</v>
      </c>
      <c r="F1083" s="5" t="s">
        <v>141</v>
      </c>
      <c r="G1083" s="7">
        <v>45658</v>
      </c>
      <c r="H1083" s="5" t="s">
        <v>1075</v>
      </c>
    </row>
    <row r="1084" spans="1:8" x14ac:dyDescent="0.35">
      <c r="A1084" s="10">
        <f t="shared" si="16"/>
        <v>1080</v>
      </c>
      <c r="B1084" s="5">
        <v>9138</v>
      </c>
      <c r="C1084" s="5" t="s">
        <v>1510</v>
      </c>
      <c r="D1084" s="5" t="s">
        <v>1458</v>
      </c>
      <c r="E1084" s="5" t="s">
        <v>1459</v>
      </c>
      <c r="F1084" s="5" t="s">
        <v>1460</v>
      </c>
      <c r="G1084" s="7">
        <v>45642</v>
      </c>
      <c r="H1084" s="5" t="s">
        <v>1075</v>
      </c>
    </row>
    <row r="1085" spans="1:8" x14ac:dyDescent="0.35">
      <c r="A1085" s="10">
        <f t="shared" si="16"/>
        <v>1081</v>
      </c>
      <c r="B1085" s="5">
        <v>9139</v>
      </c>
      <c r="C1085" s="5" t="s">
        <v>1511</v>
      </c>
      <c r="D1085" s="5" t="s">
        <v>151</v>
      </c>
      <c r="E1085" s="5" t="s">
        <v>1061</v>
      </c>
      <c r="F1085" s="5" t="s">
        <v>1247</v>
      </c>
      <c r="G1085" s="7">
        <v>45643</v>
      </c>
      <c r="H1085" s="5" t="s">
        <v>13</v>
      </c>
    </row>
    <row r="1086" spans="1:8" x14ac:dyDescent="0.35">
      <c r="A1086" s="10">
        <f t="shared" si="16"/>
        <v>1082</v>
      </c>
      <c r="B1086" s="5">
        <v>9140</v>
      </c>
      <c r="C1086" s="5" t="s">
        <v>1512</v>
      </c>
      <c r="D1086" s="5" t="s">
        <v>669</v>
      </c>
      <c r="E1086" s="5" t="s">
        <v>103</v>
      </c>
      <c r="F1086" s="5" t="s">
        <v>103</v>
      </c>
      <c r="G1086" s="7">
        <v>45649</v>
      </c>
      <c r="H1086" s="5" t="s">
        <v>1075</v>
      </c>
    </row>
    <row r="1087" spans="1:8" x14ac:dyDescent="0.35">
      <c r="A1087" s="10">
        <f t="shared" si="16"/>
        <v>1083</v>
      </c>
      <c r="B1087" s="5">
        <v>9141</v>
      </c>
      <c r="C1087" s="5" t="s">
        <v>1513</v>
      </c>
      <c r="D1087" s="5" t="s">
        <v>455</v>
      </c>
      <c r="E1087" s="5" t="s">
        <v>68</v>
      </c>
      <c r="F1087" s="5" t="s">
        <v>254</v>
      </c>
      <c r="G1087" s="7">
        <v>45658</v>
      </c>
      <c r="H1087" s="5" t="s">
        <v>1075</v>
      </c>
    </row>
    <row r="1088" spans="1:8" x14ac:dyDescent="0.35">
      <c r="A1088" s="10">
        <f t="shared" si="16"/>
        <v>1084</v>
      </c>
      <c r="B1088" s="5">
        <v>9143</v>
      </c>
      <c r="C1088" s="5" t="s">
        <v>1514</v>
      </c>
      <c r="D1088" s="5" t="s">
        <v>563</v>
      </c>
      <c r="E1088" s="5" t="s">
        <v>16</v>
      </c>
      <c r="F1088" s="5" t="s">
        <v>439</v>
      </c>
      <c r="G1088" s="7">
        <v>45658</v>
      </c>
      <c r="H1088" s="5" t="s">
        <v>1075</v>
      </c>
    </row>
    <row r="1089" spans="1:8" x14ac:dyDescent="0.35">
      <c r="A1089" s="10">
        <f t="shared" si="16"/>
        <v>1085</v>
      </c>
      <c r="B1089" s="5">
        <v>9146</v>
      </c>
      <c r="C1089" s="5" t="s">
        <v>1515</v>
      </c>
      <c r="D1089" s="5" t="s">
        <v>563</v>
      </c>
      <c r="E1089" s="5" t="s">
        <v>16</v>
      </c>
      <c r="F1089" s="5" t="s">
        <v>681</v>
      </c>
      <c r="G1089" s="7">
        <v>45658</v>
      </c>
      <c r="H1089" s="5" t="s">
        <v>1075</v>
      </c>
    </row>
    <row r="1090" spans="1:8" x14ac:dyDescent="0.35">
      <c r="A1090" s="10">
        <f t="shared" si="16"/>
        <v>1086</v>
      </c>
      <c r="B1090" s="5">
        <v>9148</v>
      </c>
      <c r="C1090" s="5" t="s">
        <v>1516</v>
      </c>
      <c r="D1090" s="5" t="s">
        <v>563</v>
      </c>
      <c r="E1090" s="5" t="s">
        <v>16</v>
      </c>
      <c r="F1090" s="5" t="s">
        <v>141</v>
      </c>
      <c r="G1090" s="7">
        <v>46054</v>
      </c>
      <c r="H1090" s="5" t="s">
        <v>888</v>
      </c>
    </row>
    <row r="1091" spans="1:8" x14ac:dyDescent="0.35">
      <c r="A1091" s="10">
        <f t="shared" si="16"/>
        <v>1087</v>
      </c>
      <c r="B1091" s="5">
        <v>9149</v>
      </c>
      <c r="C1091" s="5" t="s">
        <v>1517</v>
      </c>
      <c r="D1091" s="5" t="s">
        <v>563</v>
      </c>
      <c r="E1091" s="5" t="s">
        <v>16</v>
      </c>
      <c r="F1091" s="5" t="s">
        <v>589</v>
      </c>
      <c r="G1091" s="7">
        <v>45658</v>
      </c>
      <c r="H1091" s="5" t="s">
        <v>1075</v>
      </c>
    </row>
    <row r="1092" spans="1:8" x14ac:dyDescent="0.35">
      <c r="A1092" s="10">
        <f t="shared" si="16"/>
        <v>1088</v>
      </c>
      <c r="B1092" s="5">
        <v>9150</v>
      </c>
      <c r="C1092" s="5" t="s">
        <v>1518</v>
      </c>
      <c r="D1092" s="5" t="s">
        <v>563</v>
      </c>
      <c r="E1092" s="5" t="s">
        <v>16</v>
      </c>
      <c r="F1092" s="5" t="s">
        <v>238</v>
      </c>
      <c r="G1092" s="7">
        <v>45658</v>
      </c>
      <c r="H1092" s="5" t="s">
        <v>1075</v>
      </c>
    </row>
    <row r="1093" spans="1:8" x14ac:dyDescent="0.35">
      <c r="A1093" s="10">
        <f t="shared" si="16"/>
        <v>1089</v>
      </c>
      <c r="B1093" s="5">
        <v>9151</v>
      </c>
      <c r="C1093" s="5" t="s">
        <v>1519</v>
      </c>
      <c r="D1093" s="5" t="s">
        <v>985</v>
      </c>
      <c r="E1093" s="5" t="s">
        <v>51</v>
      </c>
      <c r="F1093" s="5" t="s">
        <v>51</v>
      </c>
      <c r="G1093" s="7">
        <v>45658</v>
      </c>
      <c r="H1093" s="5" t="s">
        <v>888</v>
      </c>
    </row>
    <row r="1094" spans="1:8" x14ac:dyDescent="0.35">
      <c r="A1094" s="10">
        <f t="shared" ref="A1094:A1157" si="17">+A1093+1</f>
        <v>1090</v>
      </c>
      <c r="B1094" s="5">
        <v>9152</v>
      </c>
      <c r="C1094" s="5" t="s">
        <v>1520</v>
      </c>
      <c r="D1094" s="5" t="s">
        <v>563</v>
      </c>
      <c r="E1094" s="5" t="s">
        <v>16</v>
      </c>
      <c r="F1094" s="5" t="s">
        <v>697</v>
      </c>
      <c r="G1094" s="7">
        <v>45658</v>
      </c>
      <c r="H1094" s="5" t="s">
        <v>1075</v>
      </c>
    </row>
    <row r="1095" spans="1:8" x14ac:dyDescent="0.35">
      <c r="A1095" s="10">
        <f t="shared" si="17"/>
        <v>1091</v>
      </c>
      <c r="B1095" s="5">
        <v>9153</v>
      </c>
      <c r="C1095" s="5" t="s">
        <v>1521</v>
      </c>
      <c r="D1095" s="5" t="s">
        <v>797</v>
      </c>
      <c r="E1095" s="5" t="s">
        <v>387</v>
      </c>
      <c r="F1095" s="5" t="s">
        <v>388</v>
      </c>
      <c r="G1095" s="7">
        <v>45658</v>
      </c>
      <c r="H1095" s="5" t="s">
        <v>1075</v>
      </c>
    </row>
    <row r="1096" spans="1:8" x14ac:dyDescent="0.35">
      <c r="A1096" s="10">
        <f t="shared" si="17"/>
        <v>1092</v>
      </c>
      <c r="B1096" s="5">
        <v>9154</v>
      </c>
      <c r="C1096" s="5" t="s">
        <v>1522</v>
      </c>
      <c r="D1096" s="5" t="s">
        <v>669</v>
      </c>
      <c r="E1096" s="5" t="s">
        <v>103</v>
      </c>
      <c r="F1096" s="5" t="s">
        <v>103</v>
      </c>
      <c r="G1096" s="7">
        <v>45663</v>
      </c>
      <c r="H1096" s="5" t="s">
        <v>1075</v>
      </c>
    </row>
    <row r="1097" spans="1:8" x14ac:dyDescent="0.35">
      <c r="A1097" s="10">
        <f t="shared" si="17"/>
        <v>1093</v>
      </c>
      <c r="B1097" s="5">
        <v>9155</v>
      </c>
      <c r="C1097" s="5" t="s">
        <v>1523</v>
      </c>
      <c r="D1097" s="5" t="s">
        <v>488</v>
      </c>
      <c r="E1097" s="5" t="s">
        <v>94</v>
      </c>
      <c r="F1097" s="5" t="s">
        <v>94</v>
      </c>
      <c r="G1097" s="7">
        <v>45663</v>
      </c>
      <c r="H1097" s="5" t="s">
        <v>13</v>
      </c>
    </row>
    <row r="1098" spans="1:8" x14ac:dyDescent="0.35">
      <c r="A1098" s="10">
        <f t="shared" si="17"/>
        <v>1094</v>
      </c>
      <c r="B1098" s="5">
        <v>9156</v>
      </c>
      <c r="C1098" s="5" t="s">
        <v>1524</v>
      </c>
      <c r="D1098" s="5" t="s">
        <v>151</v>
      </c>
      <c r="E1098" s="5" t="s">
        <v>378</v>
      </c>
      <c r="F1098" s="5" t="s">
        <v>198</v>
      </c>
      <c r="G1098" s="7">
        <v>45664</v>
      </c>
      <c r="H1098" s="5" t="s">
        <v>13</v>
      </c>
    </row>
    <row r="1099" spans="1:8" x14ac:dyDescent="0.35">
      <c r="A1099" s="10">
        <f t="shared" si="17"/>
        <v>1095</v>
      </c>
      <c r="B1099" s="5">
        <v>9158</v>
      </c>
      <c r="C1099" s="5" t="s">
        <v>1525</v>
      </c>
      <c r="D1099" s="5" t="s">
        <v>1152</v>
      </c>
      <c r="E1099" s="5" t="s">
        <v>112</v>
      </c>
      <c r="F1099" s="5" t="s">
        <v>112</v>
      </c>
      <c r="G1099" s="7">
        <v>45870</v>
      </c>
      <c r="H1099" s="5" t="s">
        <v>1075</v>
      </c>
    </row>
    <row r="1100" spans="1:8" x14ac:dyDescent="0.35">
      <c r="A1100" s="10">
        <f t="shared" si="17"/>
        <v>1096</v>
      </c>
      <c r="B1100" s="5">
        <v>9159</v>
      </c>
      <c r="C1100" s="5" t="s">
        <v>1526</v>
      </c>
      <c r="D1100" s="5" t="s">
        <v>563</v>
      </c>
      <c r="E1100" s="5" t="s">
        <v>16</v>
      </c>
      <c r="F1100" s="5" t="s">
        <v>110</v>
      </c>
      <c r="G1100" s="7">
        <v>45672</v>
      </c>
      <c r="H1100" s="5" t="s">
        <v>1075</v>
      </c>
    </row>
    <row r="1101" spans="1:8" x14ac:dyDescent="0.35">
      <c r="A1101" s="10">
        <f t="shared" si="17"/>
        <v>1097</v>
      </c>
      <c r="B1101" s="5">
        <v>9160</v>
      </c>
      <c r="C1101" s="5" t="s">
        <v>1527</v>
      </c>
      <c r="D1101" s="5" t="s">
        <v>563</v>
      </c>
      <c r="E1101" s="5" t="s">
        <v>16</v>
      </c>
      <c r="F1101" s="5" t="s">
        <v>589</v>
      </c>
      <c r="G1101" s="7">
        <v>46054</v>
      </c>
      <c r="H1101" s="5" t="s">
        <v>888</v>
      </c>
    </row>
    <row r="1102" spans="1:8" x14ac:dyDescent="0.35">
      <c r="A1102" s="10">
        <f t="shared" si="17"/>
        <v>1098</v>
      </c>
      <c r="B1102" s="5">
        <v>9161</v>
      </c>
      <c r="C1102" s="5" t="s">
        <v>1528</v>
      </c>
      <c r="D1102" s="5" t="s">
        <v>563</v>
      </c>
      <c r="E1102" s="5" t="s">
        <v>16</v>
      </c>
      <c r="F1102" s="5" t="s">
        <v>1423</v>
      </c>
      <c r="G1102" s="7">
        <v>45672</v>
      </c>
      <c r="H1102" s="5" t="s">
        <v>1075</v>
      </c>
    </row>
    <row r="1103" spans="1:8" x14ac:dyDescent="0.35">
      <c r="A1103" s="10">
        <f t="shared" si="17"/>
        <v>1099</v>
      </c>
      <c r="B1103" s="5">
        <v>9163</v>
      </c>
      <c r="C1103" s="5" t="s">
        <v>1529</v>
      </c>
      <c r="D1103" s="5" t="s">
        <v>669</v>
      </c>
      <c r="E1103" s="5" t="s">
        <v>103</v>
      </c>
      <c r="F1103" s="5" t="s">
        <v>103</v>
      </c>
      <c r="G1103" s="7">
        <v>45677</v>
      </c>
      <c r="H1103" s="5" t="s">
        <v>13</v>
      </c>
    </row>
    <row r="1104" spans="1:8" x14ac:dyDescent="0.35">
      <c r="A1104" s="10">
        <f t="shared" si="17"/>
        <v>1100</v>
      </c>
      <c r="B1104" s="5">
        <v>9164</v>
      </c>
      <c r="C1104" s="5" t="s">
        <v>1530</v>
      </c>
      <c r="D1104" s="5" t="s">
        <v>31</v>
      </c>
      <c r="E1104" s="5" t="s">
        <v>16</v>
      </c>
      <c r="F1104" s="5" t="s">
        <v>141</v>
      </c>
      <c r="G1104" s="7">
        <v>45667</v>
      </c>
      <c r="H1104" s="5" t="s">
        <v>1075</v>
      </c>
    </row>
    <row r="1105" spans="1:8" x14ac:dyDescent="0.35">
      <c r="A1105" s="10">
        <f t="shared" si="17"/>
        <v>1101</v>
      </c>
      <c r="B1105" s="5">
        <v>9165</v>
      </c>
      <c r="C1105" s="5" t="s">
        <v>1531</v>
      </c>
      <c r="D1105" s="5" t="s">
        <v>563</v>
      </c>
      <c r="E1105" s="5" t="s">
        <v>16</v>
      </c>
      <c r="F1105" s="5" t="s">
        <v>141</v>
      </c>
      <c r="G1105" s="7">
        <v>45691</v>
      </c>
      <c r="H1105" s="5" t="s">
        <v>1075</v>
      </c>
    </row>
    <row r="1106" spans="1:8" x14ac:dyDescent="0.35">
      <c r="A1106" s="10">
        <f t="shared" si="17"/>
        <v>1102</v>
      </c>
      <c r="B1106" s="5">
        <v>9176</v>
      </c>
      <c r="C1106" s="5" t="s">
        <v>1532</v>
      </c>
      <c r="D1106" s="5" t="s">
        <v>21</v>
      </c>
      <c r="E1106" s="5" t="s">
        <v>378</v>
      </c>
      <c r="F1106" s="5" t="s">
        <v>198</v>
      </c>
      <c r="G1106" s="7">
        <v>45698</v>
      </c>
      <c r="H1106" s="5" t="s">
        <v>13</v>
      </c>
    </row>
    <row r="1107" spans="1:8" x14ac:dyDescent="0.35">
      <c r="A1107" s="10">
        <f t="shared" si="17"/>
        <v>1103</v>
      </c>
      <c r="B1107" s="5">
        <v>9178</v>
      </c>
      <c r="C1107" s="5" t="s">
        <v>1533</v>
      </c>
      <c r="D1107" s="5" t="s">
        <v>21</v>
      </c>
      <c r="E1107" s="5" t="s">
        <v>24</v>
      </c>
      <c r="F1107" s="5" t="s">
        <v>24</v>
      </c>
      <c r="G1107" s="7">
        <v>45705</v>
      </c>
      <c r="H1107" s="5" t="s">
        <v>13</v>
      </c>
    </row>
    <row r="1108" spans="1:8" x14ac:dyDescent="0.35">
      <c r="A1108" s="10">
        <f t="shared" si="17"/>
        <v>1104</v>
      </c>
      <c r="B1108" s="5">
        <v>9180</v>
      </c>
      <c r="C1108" s="5" t="s">
        <v>1534</v>
      </c>
      <c r="D1108" s="5" t="s">
        <v>1308</v>
      </c>
      <c r="E1108" s="5" t="s">
        <v>1309</v>
      </c>
      <c r="F1108" s="5" t="s">
        <v>1309</v>
      </c>
      <c r="G1108" s="7">
        <v>45717</v>
      </c>
      <c r="H1108" s="5" t="s">
        <v>888</v>
      </c>
    </row>
    <row r="1109" spans="1:8" x14ac:dyDescent="0.35">
      <c r="A1109" s="10">
        <f t="shared" si="17"/>
        <v>1105</v>
      </c>
      <c r="B1109" s="5">
        <v>9181</v>
      </c>
      <c r="C1109" s="5" t="s">
        <v>1535</v>
      </c>
      <c r="D1109" s="5" t="s">
        <v>455</v>
      </c>
      <c r="E1109" s="5" t="s">
        <v>68</v>
      </c>
      <c r="F1109" s="5" t="s">
        <v>69</v>
      </c>
      <c r="G1109" s="7">
        <v>45719</v>
      </c>
      <c r="H1109" s="5" t="s">
        <v>888</v>
      </c>
    </row>
    <row r="1110" spans="1:8" x14ac:dyDescent="0.35">
      <c r="A1110" s="10">
        <f t="shared" si="17"/>
        <v>1106</v>
      </c>
      <c r="B1110" s="5">
        <v>9187</v>
      </c>
      <c r="C1110" s="5" t="s">
        <v>1538</v>
      </c>
      <c r="D1110" s="5" t="s">
        <v>29</v>
      </c>
      <c r="E1110" s="5" t="s">
        <v>28</v>
      </c>
      <c r="F1110" s="5" t="s">
        <v>29</v>
      </c>
      <c r="G1110" s="7">
        <v>45734</v>
      </c>
      <c r="H1110" s="5" t="s">
        <v>888</v>
      </c>
    </row>
    <row r="1111" spans="1:8" x14ac:dyDescent="0.35">
      <c r="A1111" s="10">
        <f t="shared" si="17"/>
        <v>1107</v>
      </c>
      <c r="B1111" s="5">
        <v>9188</v>
      </c>
      <c r="C1111" s="5" t="s">
        <v>1539</v>
      </c>
      <c r="D1111" s="5" t="s">
        <v>249</v>
      </c>
      <c r="E1111" s="5" t="s">
        <v>165</v>
      </c>
      <c r="F1111" s="5" t="s">
        <v>165</v>
      </c>
      <c r="G1111" s="7">
        <v>45740</v>
      </c>
      <c r="H1111" s="5" t="s">
        <v>888</v>
      </c>
    </row>
    <row r="1112" spans="1:8" x14ac:dyDescent="0.35">
      <c r="A1112" s="10">
        <f t="shared" si="17"/>
        <v>1108</v>
      </c>
      <c r="B1112" s="5">
        <v>9189</v>
      </c>
      <c r="C1112" s="5" t="s">
        <v>1540</v>
      </c>
      <c r="D1112" s="5" t="s">
        <v>669</v>
      </c>
      <c r="E1112" s="5" t="s">
        <v>103</v>
      </c>
      <c r="F1112" s="5" t="s">
        <v>103</v>
      </c>
      <c r="G1112" s="7">
        <v>45748</v>
      </c>
      <c r="H1112" s="5" t="s">
        <v>888</v>
      </c>
    </row>
    <row r="1113" spans="1:8" x14ac:dyDescent="0.35">
      <c r="A1113" s="10">
        <f t="shared" si="17"/>
        <v>1109</v>
      </c>
      <c r="B1113" s="5">
        <v>9190</v>
      </c>
      <c r="C1113" s="5" t="s">
        <v>1541</v>
      </c>
      <c r="D1113" s="5" t="s">
        <v>455</v>
      </c>
      <c r="E1113" s="5" t="s">
        <v>68</v>
      </c>
      <c r="F1113" s="5" t="s">
        <v>254</v>
      </c>
      <c r="G1113" s="7">
        <v>45749</v>
      </c>
      <c r="H1113" s="5" t="s">
        <v>888</v>
      </c>
    </row>
    <row r="1114" spans="1:8" x14ac:dyDescent="0.35">
      <c r="A1114" s="10">
        <f t="shared" si="17"/>
        <v>1110</v>
      </c>
      <c r="B1114" s="5">
        <v>9191</v>
      </c>
      <c r="C1114" s="5" t="s">
        <v>1542</v>
      </c>
      <c r="D1114" s="5" t="s">
        <v>563</v>
      </c>
      <c r="E1114" s="5" t="s">
        <v>16</v>
      </c>
      <c r="F1114" s="5" t="s">
        <v>817</v>
      </c>
      <c r="G1114" s="7">
        <v>45754</v>
      </c>
      <c r="H1114" s="5" t="s">
        <v>888</v>
      </c>
    </row>
    <row r="1115" spans="1:8" x14ac:dyDescent="0.35">
      <c r="A1115" s="10">
        <f t="shared" si="17"/>
        <v>1111</v>
      </c>
      <c r="B1115" s="5">
        <v>9192</v>
      </c>
      <c r="C1115" s="5" t="s">
        <v>1543</v>
      </c>
      <c r="D1115" s="5" t="s">
        <v>1271</v>
      </c>
      <c r="E1115" s="5" t="s">
        <v>538</v>
      </c>
      <c r="F1115" s="5" t="s">
        <v>538</v>
      </c>
      <c r="G1115" s="7">
        <v>45754</v>
      </c>
      <c r="H1115" s="5" t="s">
        <v>888</v>
      </c>
    </row>
    <row r="1116" spans="1:8" x14ac:dyDescent="0.35">
      <c r="A1116" s="10">
        <f t="shared" si="17"/>
        <v>1112</v>
      </c>
      <c r="B1116" s="5">
        <v>9195</v>
      </c>
      <c r="C1116" s="5" t="s">
        <v>1544</v>
      </c>
      <c r="D1116" s="5" t="s">
        <v>678</v>
      </c>
      <c r="E1116" s="5" t="s">
        <v>87</v>
      </c>
      <c r="F1116" s="5" t="s">
        <v>678</v>
      </c>
      <c r="G1116" s="7">
        <v>45757</v>
      </c>
      <c r="H1116" s="5" t="s">
        <v>888</v>
      </c>
    </row>
    <row r="1117" spans="1:8" x14ac:dyDescent="0.35">
      <c r="A1117" s="10">
        <f t="shared" si="17"/>
        <v>1113</v>
      </c>
      <c r="B1117" s="5">
        <v>9196</v>
      </c>
      <c r="C1117" s="5" t="s">
        <v>1545</v>
      </c>
      <c r="D1117" s="5" t="s">
        <v>669</v>
      </c>
      <c r="E1117" s="5" t="s">
        <v>103</v>
      </c>
      <c r="F1117" s="5" t="s">
        <v>103</v>
      </c>
      <c r="G1117" s="7">
        <v>45757</v>
      </c>
      <c r="H1117" s="5" t="s">
        <v>888</v>
      </c>
    </row>
    <row r="1118" spans="1:8" x14ac:dyDescent="0.35">
      <c r="A1118" s="10">
        <f t="shared" si="17"/>
        <v>1114</v>
      </c>
      <c r="B1118" s="5">
        <v>9197</v>
      </c>
      <c r="C1118" s="5" t="s">
        <v>1546</v>
      </c>
      <c r="D1118" s="5" t="s">
        <v>563</v>
      </c>
      <c r="E1118" s="5" t="s">
        <v>16</v>
      </c>
      <c r="F1118" s="5" t="s">
        <v>817</v>
      </c>
      <c r="G1118" s="7">
        <v>45756</v>
      </c>
      <c r="H1118" s="5" t="s">
        <v>888</v>
      </c>
    </row>
    <row r="1119" spans="1:8" x14ac:dyDescent="0.35">
      <c r="A1119" s="10">
        <f t="shared" si="17"/>
        <v>1115</v>
      </c>
      <c r="B1119" s="5">
        <v>9198</v>
      </c>
      <c r="C1119" s="5" t="s">
        <v>1547</v>
      </c>
      <c r="D1119" s="5" t="s">
        <v>669</v>
      </c>
      <c r="E1119" s="5" t="s">
        <v>103</v>
      </c>
      <c r="F1119" s="5" t="s">
        <v>103</v>
      </c>
      <c r="G1119" s="7">
        <v>45757</v>
      </c>
      <c r="H1119" s="5" t="s">
        <v>888</v>
      </c>
    </row>
    <row r="1120" spans="1:8" x14ac:dyDescent="0.35">
      <c r="A1120" s="10">
        <f t="shared" si="17"/>
        <v>1116</v>
      </c>
      <c r="B1120" s="5">
        <v>9200</v>
      </c>
      <c r="C1120" s="5" t="s">
        <v>1548</v>
      </c>
      <c r="D1120" s="5" t="s">
        <v>1141</v>
      </c>
      <c r="E1120" s="5" t="s">
        <v>769</v>
      </c>
      <c r="F1120" s="5" t="s">
        <v>769</v>
      </c>
      <c r="G1120" s="7">
        <v>45748</v>
      </c>
      <c r="H1120" s="5" t="s">
        <v>888</v>
      </c>
    </row>
    <row r="1121" spans="1:8" x14ac:dyDescent="0.35">
      <c r="A1121" s="10">
        <f t="shared" si="17"/>
        <v>1117</v>
      </c>
      <c r="B1121" s="5">
        <v>9201</v>
      </c>
      <c r="C1121" s="5" t="s">
        <v>1549</v>
      </c>
      <c r="D1121" s="5" t="s">
        <v>488</v>
      </c>
      <c r="E1121" s="5" t="s">
        <v>94</v>
      </c>
      <c r="F1121" s="5" t="s">
        <v>94</v>
      </c>
      <c r="G1121" s="7">
        <v>45762</v>
      </c>
      <c r="H1121" s="5" t="s">
        <v>888</v>
      </c>
    </row>
    <row r="1122" spans="1:8" x14ac:dyDescent="0.35">
      <c r="A1122" s="10">
        <f t="shared" si="17"/>
        <v>1118</v>
      </c>
      <c r="B1122" s="5">
        <v>9203</v>
      </c>
      <c r="C1122" s="5" t="s">
        <v>1550</v>
      </c>
      <c r="D1122" s="5" t="s">
        <v>733</v>
      </c>
      <c r="E1122" s="5" t="s">
        <v>165</v>
      </c>
      <c r="F1122" s="5" t="s">
        <v>165</v>
      </c>
      <c r="G1122" s="7">
        <v>45762</v>
      </c>
      <c r="H1122" s="5" t="s">
        <v>888</v>
      </c>
    </row>
    <row r="1123" spans="1:8" x14ac:dyDescent="0.35">
      <c r="A1123" s="10">
        <f t="shared" si="17"/>
        <v>1119</v>
      </c>
      <c r="B1123" s="5">
        <v>9205</v>
      </c>
      <c r="C1123" s="5" t="s">
        <v>1551</v>
      </c>
      <c r="D1123" s="5" t="s">
        <v>21</v>
      </c>
      <c r="E1123" s="5" t="s">
        <v>1061</v>
      </c>
      <c r="F1123" s="5" t="s">
        <v>1247</v>
      </c>
      <c r="G1123" s="7">
        <v>45763</v>
      </c>
      <c r="H1123" s="5" t="s">
        <v>13</v>
      </c>
    </row>
    <row r="1124" spans="1:8" x14ac:dyDescent="0.35">
      <c r="A1124" s="10">
        <f t="shared" si="17"/>
        <v>1120</v>
      </c>
      <c r="B1124" s="5">
        <v>9206</v>
      </c>
      <c r="C1124" s="5" t="s">
        <v>1552</v>
      </c>
      <c r="D1124" s="5" t="s">
        <v>1371</v>
      </c>
      <c r="E1124" s="5" t="s">
        <v>263</v>
      </c>
      <c r="F1124" s="5" t="s">
        <v>276</v>
      </c>
      <c r="G1124" s="7">
        <v>45770</v>
      </c>
      <c r="H1124" s="5" t="s">
        <v>888</v>
      </c>
    </row>
    <row r="1125" spans="1:8" x14ac:dyDescent="0.35">
      <c r="A1125" s="10">
        <f t="shared" si="17"/>
        <v>1121</v>
      </c>
      <c r="B1125" s="5">
        <v>9207</v>
      </c>
      <c r="C1125" s="5" t="s">
        <v>1553</v>
      </c>
      <c r="D1125" s="5" t="s">
        <v>563</v>
      </c>
      <c r="E1125" s="5" t="s">
        <v>16</v>
      </c>
      <c r="F1125" s="5" t="s">
        <v>141</v>
      </c>
      <c r="G1125" s="7">
        <v>45771</v>
      </c>
      <c r="H1125" s="5" t="s">
        <v>888</v>
      </c>
    </row>
    <row r="1126" spans="1:8" x14ac:dyDescent="0.35">
      <c r="A1126" s="10">
        <f t="shared" si="17"/>
        <v>1122</v>
      </c>
      <c r="B1126" s="5">
        <v>9208</v>
      </c>
      <c r="C1126" s="5" t="s">
        <v>1554</v>
      </c>
      <c r="D1126" s="5" t="s">
        <v>563</v>
      </c>
      <c r="E1126" s="5" t="s">
        <v>16</v>
      </c>
      <c r="F1126" s="5" t="s">
        <v>247</v>
      </c>
      <c r="G1126" s="7">
        <v>45771</v>
      </c>
      <c r="H1126" s="5" t="s">
        <v>888</v>
      </c>
    </row>
    <row r="1127" spans="1:8" x14ac:dyDescent="0.35">
      <c r="A1127" s="10">
        <f t="shared" si="17"/>
        <v>1123</v>
      </c>
      <c r="B1127" s="5">
        <v>9209</v>
      </c>
      <c r="C1127" s="5" t="s">
        <v>1555</v>
      </c>
      <c r="D1127" s="5" t="s">
        <v>563</v>
      </c>
      <c r="E1127" s="5" t="s">
        <v>16</v>
      </c>
      <c r="F1127" s="5" t="s">
        <v>439</v>
      </c>
      <c r="G1127" s="7">
        <v>45779</v>
      </c>
      <c r="H1127" s="5" t="s">
        <v>888</v>
      </c>
    </row>
    <row r="1128" spans="1:8" x14ac:dyDescent="0.35">
      <c r="A1128" s="10">
        <f t="shared" si="17"/>
        <v>1124</v>
      </c>
      <c r="B1128" s="5">
        <v>9210</v>
      </c>
      <c r="C1128" s="5" t="s">
        <v>1556</v>
      </c>
      <c r="D1128" s="5" t="s">
        <v>669</v>
      </c>
      <c r="E1128" s="5" t="s">
        <v>103</v>
      </c>
      <c r="F1128" s="5" t="s">
        <v>103</v>
      </c>
      <c r="G1128" s="7">
        <v>45779</v>
      </c>
      <c r="H1128" s="5" t="s">
        <v>13</v>
      </c>
    </row>
    <row r="1129" spans="1:8" x14ac:dyDescent="0.35">
      <c r="A1129" s="10">
        <f t="shared" si="17"/>
        <v>1125</v>
      </c>
      <c r="B1129" s="5">
        <v>9211</v>
      </c>
      <c r="C1129" s="5" t="s">
        <v>1557</v>
      </c>
      <c r="D1129" s="5" t="s">
        <v>669</v>
      </c>
      <c r="E1129" s="5" t="s">
        <v>103</v>
      </c>
      <c r="F1129" s="5" t="s">
        <v>103</v>
      </c>
      <c r="G1129" s="7">
        <v>45779</v>
      </c>
      <c r="H1129" s="5" t="s">
        <v>888</v>
      </c>
    </row>
    <row r="1130" spans="1:8" x14ac:dyDescent="0.35">
      <c r="A1130" s="10">
        <f t="shared" si="17"/>
        <v>1126</v>
      </c>
      <c r="B1130" s="5">
        <v>9212</v>
      </c>
      <c r="C1130" s="5" t="s">
        <v>1558</v>
      </c>
      <c r="D1130" s="5" t="s">
        <v>563</v>
      </c>
      <c r="E1130" s="5" t="s">
        <v>16</v>
      </c>
      <c r="F1130" s="5" t="s">
        <v>817</v>
      </c>
      <c r="G1130" s="7">
        <v>45779</v>
      </c>
      <c r="H1130" s="5" t="s">
        <v>888</v>
      </c>
    </row>
    <row r="1131" spans="1:8" x14ac:dyDescent="0.35">
      <c r="A1131" s="10">
        <f t="shared" si="17"/>
        <v>1127</v>
      </c>
      <c r="B1131" s="5">
        <v>9214</v>
      </c>
      <c r="C1131" s="5" t="s">
        <v>1559</v>
      </c>
      <c r="D1131" s="5" t="s">
        <v>1373</v>
      </c>
      <c r="E1131" s="5" t="s">
        <v>263</v>
      </c>
      <c r="F1131" s="5" t="s">
        <v>1374</v>
      </c>
      <c r="G1131" s="7">
        <v>45779</v>
      </c>
      <c r="H1131" s="5" t="s">
        <v>888</v>
      </c>
    </row>
    <row r="1132" spans="1:8" x14ac:dyDescent="0.35">
      <c r="A1132" s="10">
        <f t="shared" si="17"/>
        <v>1128</v>
      </c>
      <c r="B1132" s="5">
        <v>9216</v>
      </c>
      <c r="C1132" s="5" t="s">
        <v>1560</v>
      </c>
      <c r="D1132" s="5" t="s">
        <v>678</v>
      </c>
      <c r="E1132" s="5" t="s">
        <v>87</v>
      </c>
      <c r="F1132" s="5" t="s">
        <v>678</v>
      </c>
      <c r="G1132" s="7">
        <v>45782</v>
      </c>
      <c r="H1132" s="5" t="s">
        <v>888</v>
      </c>
    </row>
    <row r="1133" spans="1:8" x14ac:dyDescent="0.35">
      <c r="A1133" s="10">
        <f t="shared" si="17"/>
        <v>1129</v>
      </c>
      <c r="B1133" s="5">
        <v>9217</v>
      </c>
      <c r="C1133" s="5" t="s">
        <v>1561</v>
      </c>
      <c r="D1133" s="5" t="s">
        <v>1333</v>
      </c>
      <c r="E1133" s="5" t="s">
        <v>16</v>
      </c>
      <c r="F1133" s="5" t="s">
        <v>919</v>
      </c>
      <c r="G1133" s="7">
        <v>45782</v>
      </c>
      <c r="H1133" s="5" t="s">
        <v>1334</v>
      </c>
    </row>
    <row r="1134" spans="1:8" x14ac:dyDescent="0.35">
      <c r="A1134" s="10">
        <f t="shared" si="17"/>
        <v>1130</v>
      </c>
      <c r="B1134" s="5">
        <v>9219</v>
      </c>
      <c r="C1134" s="5" t="s">
        <v>1562</v>
      </c>
      <c r="D1134" s="5" t="s">
        <v>563</v>
      </c>
      <c r="E1134" s="5" t="s">
        <v>16</v>
      </c>
      <c r="F1134" s="5" t="s">
        <v>683</v>
      </c>
      <c r="G1134" s="7">
        <v>45782</v>
      </c>
      <c r="H1134" s="5" t="s">
        <v>888</v>
      </c>
    </row>
    <row r="1135" spans="1:8" x14ac:dyDescent="0.35">
      <c r="A1135" s="10">
        <f t="shared" si="17"/>
        <v>1131</v>
      </c>
      <c r="B1135" s="5">
        <v>9220</v>
      </c>
      <c r="C1135" s="5" t="s">
        <v>1563</v>
      </c>
      <c r="D1135" s="5" t="s">
        <v>778</v>
      </c>
      <c r="E1135" s="5" t="s">
        <v>314</v>
      </c>
      <c r="F1135" s="5" t="s">
        <v>315</v>
      </c>
      <c r="G1135" s="7">
        <v>45779</v>
      </c>
      <c r="H1135" s="5" t="s">
        <v>888</v>
      </c>
    </row>
    <row r="1136" spans="1:8" x14ac:dyDescent="0.35">
      <c r="A1136" s="10">
        <f t="shared" si="17"/>
        <v>1132</v>
      </c>
      <c r="B1136" s="5">
        <v>9221</v>
      </c>
      <c r="C1136" s="5" t="s">
        <v>1564</v>
      </c>
      <c r="D1136" s="5" t="s">
        <v>1565</v>
      </c>
      <c r="E1136" s="5" t="s">
        <v>1315</v>
      </c>
      <c r="F1136" s="5" t="s">
        <v>1315</v>
      </c>
      <c r="G1136" s="7">
        <v>45789</v>
      </c>
      <c r="H1136" s="5" t="s">
        <v>13</v>
      </c>
    </row>
    <row r="1137" spans="1:8" x14ac:dyDescent="0.35">
      <c r="A1137" s="10">
        <f t="shared" si="17"/>
        <v>1133</v>
      </c>
      <c r="B1137" s="5">
        <v>9222</v>
      </c>
      <c r="C1137" s="5" t="s">
        <v>1566</v>
      </c>
      <c r="D1137" s="5" t="s">
        <v>455</v>
      </c>
      <c r="E1137" s="5" t="s">
        <v>198</v>
      </c>
      <c r="F1137" s="5" t="s">
        <v>198</v>
      </c>
      <c r="G1137" s="7">
        <v>45789</v>
      </c>
      <c r="H1137" s="5" t="s">
        <v>888</v>
      </c>
    </row>
    <row r="1138" spans="1:8" x14ac:dyDescent="0.35">
      <c r="A1138" s="10">
        <f t="shared" si="17"/>
        <v>1134</v>
      </c>
      <c r="B1138" s="5">
        <v>9223</v>
      </c>
      <c r="C1138" s="5" t="s">
        <v>1567</v>
      </c>
      <c r="D1138" s="5" t="s">
        <v>985</v>
      </c>
      <c r="E1138" s="5" t="s">
        <v>51</v>
      </c>
      <c r="F1138" s="5" t="s">
        <v>51</v>
      </c>
      <c r="G1138" s="7">
        <v>45792</v>
      </c>
      <c r="H1138" s="5" t="s">
        <v>888</v>
      </c>
    </row>
    <row r="1139" spans="1:8" x14ac:dyDescent="0.35">
      <c r="A1139" s="10">
        <f t="shared" si="17"/>
        <v>1135</v>
      </c>
      <c r="B1139" s="5">
        <v>9225</v>
      </c>
      <c r="C1139" s="5" t="s">
        <v>1568</v>
      </c>
      <c r="D1139" s="5" t="s">
        <v>1569</v>
      </c>
      <c r="E1139" s="5" t="s">
        <v>54</v>
      </c>
      <c r="F1139" s="5" t="s">
        <v>54</v>
      </c>
      <c r="G1139" s="7">
        <v>45792</v>
      </c>
      <c r="H1139" s="5" t="s">
        <v>888</v>
      </c>
    </row>
    <row r="1140" spans="1:8" x14ac:dyDescent="0.35">
      <c r="A1140" s="10">
        <f t="shared" si="17"/>
        <v>1136</v>
      </c>
      <c r="B1140" s="5">
        <v>9226</v>
      </c>
      <c r="C1140" s="5" t="s">
        <v>1570</v>
      </c>
      <c r="D1140" s="5" t="s">
        <v>1333</v>
      </c>
      <c r="E1140" s="5" t="s">
        <v>16</v>
      </c>
      <c r="F1140" s="5" t="s">
        <v>141</v>
      </c>
      <c r="G1140" s="7">
        <v>45796</v>
      </c>
      <c r="H1140" s="5" t="s">
        <v>1334</v>
      </c>
    </row>
    <row r="1141" spans="1:8" x14ac:dyDescent="0.35">
      <c r="A1141" s="10">
        <f t="shared" si="17"/>
        <v>1137</v>
      </c>
      <c r="B1141" s="5">
        <v>9227</v>
      </c>
      <c r="C1141" s="5" t="s">
        <v>1571</v>
      </c>
      <c r="D1141" s="5" t="s">
        <v>563</v>
      </c>
      <c r="E1141" s="5" t="s">
        <v>16</v>
      </c>
      <c r="F1141" s="5" t="s">
        <v>141</v>
      </c>
      <c r="G1141" s="7">
        <v>45796</v>
      </c>
      <c r="H1141" s="5" t="s">
        <v>888</v>
      </c>
    </row>
    <row r="1142" spans="1:8" x14ac:dyDescent="0.35">
      <c r="A1142" s="10">
        <f t="shared" si="17"/>
        <v>1138</v>
      </c>
      <c r="B1142" s="5">
        <v>9231</v>
      </c>
      <c r="C1142" s="5" t="s">
        <v>1572</v>
      </c>
      <c r="D1142" s="5" t="s">
        <v>563</v>
      </c>
      <c r="E1142" s="5" t="s">
        <v>16</v>
      </c>
      <c r="F1142" s="5" t="s">
        <v>1057</v>
      </c>
      <c r="G1142" s="7">
        <v>45796</v>
      </c>
      <c r="H1142" s="5" t="s">
        <v>888</v>
      </c>
    </row>
    <row r="1143" spans="1:8" x14ac:dyDescent="0.35">
      <c r="A1143" s="10">
        <f t="shared" si="17"/>
        <v>1139</v>
      </c>
      <c r="B1143" s="5">
        <v>9234</v>
      </c>
      <c r="C1143" s="5" t="s">
        <v>1573</v>
      </c>
      <c r="D1143" s="5" t="s">
        <v>1333</v>
      </c>
      <c r="E1143" s="5" t="s">
        <v>16</v>
      </c>
      <c r="F1143" s="5" t="s">
        <v>1423</v>
      </c>
      <c r="G1143" s="7">
        <v>45798</v>
      </c>
      <c r="H1143" s="5" t="s">
        <v>1334</v>
      </c>
    </row>
    <row r="1144" spans="1:8" x14ac:dyDescent="0.35">
      <c r="A1144" s="10">
        <f t="shared" si="17"/>
        <v>1140</v>
      </c>
      <c r="B1144" s="5">
        <v>9236</v>
      </c>
      <c r="C1144" s="5" t="s">
        <v>1574</v>
      </c>
      <c r="D1144" s="5" t="s">
        <v>563</v>
      </c>
      <c r="E1144" s="5" t="s">
        <v>16</v>
      </c>
      <c r="F1144" s="5" t="s">
        <v>1423</v>
      </c>
      <c r="G1144" s="7">
        <v>45803</v>
      </c>
      <c r="H1144" s="5" t="s">
        <v>888</v>
      </c>
    </row>
    <row r="1145" spans="1:8" x14ac:dyDescent="0.35">
      <c r="A1145" s="10">
        <f t="shared" si="17"/>
        <v>1141</v>
      </c>
      <c r="B1145" s="5">
        <v>9237</v>
      </c>
      <c r="C1145" s="5" t="s">
        <v>1575</v>
      </c>
      <c r="D1145" s="5" t="s">
        <v>1333</v>
      </c>
      <c r="E1145" s="5" t="s">
        <v>16</v>
      </c>
      <c r="F1145" s="5" t="s">
        <v>1224</v>
      </c>
      <c r="G1145" s="7">
        <v>45803</v>
      </c>
      <c r="H1145" s="5" t="s">
        <v>1334</v>
      </c>
    </row>
    <row r="1146" spans="1:8" x14ac:dyDescent="0.35">
      <c r="A1146" s="10">
        <f t="shared" si="17"/>
        <v>1142</v>
      </c>
      <c r="B1146" s="5">
        <v>9238</v>
      </c>
      <c r="C1146" s="5" t="s">
        <v>1576</v>
      </c>
      <c r="D1146" s="5" t="s">
        <v>1333</v>
      </c>
      <c r="E1146" s="5" t="s">
        <v>16</v>
      </c>
      <c r="F1146" s="5" t="s">
        <v>992</v>
      </c>
      <c r="G1146" s="7">
        <v>45803</v>
      </c>
      <c r="H1146" s="5" t="s">
        <v>1334</v>
      </c>
    </row>
    <row r="1147" spans="1:8" x14ac:dyDescent="0.35">
      <c r="A1147" s="10">
        <f t="shared" si="17"/>
        <v>1143</v>
      </c>
      <c r="B1147" s="5">
        <v>9242</v>
      </c>
      <c r="C1147" s="5" t="s">
        <v>1577</v>
      </c>
      <c r="D1147" s="5" t="s">
        <v>563</v>
      </c>
      <c r="E1147" s="5" t="s">
        <v>16</v>
      </c>
      <c r="F1147" s="5" t="s">
        <v>247</v>
      </c>
      <c r="G1147" s="7">
        <v>45810</v>
      </c>
      <c r="H1147" s="5" t="s">
        <v>888</v>
      </c>
    </row>
    <row r="1148" spans="1:8" x14ac:dyDescent="0.35">
      <c r="A1148" s="10">
        <f t="shared" si="17"/>
        <v>1144</v>
      </c>
      <c r="B1148" s="5">
        <v>9243</v>
      </c>
      <c r="C1148" s="5" t="s">
        <v>1578</v>
      </c>
      <c r="D1148" s="5" t="s">
        <v>563</v>
      </c>
      <c r="E1148" s="5" t="s">
        <v>16</v>
      </c>
      <c r="F1148" s="5" t="s">
        <v>110</v>
      </c>
      <c r="G1148" s="7">
        <v>45810</v>
      </c>
      <c r="H1148" s="5" t="s">
        <v>888</v>
      </c>
    </row>
    <row r="1149" spans="1:8" x14ac:dyDescent="0.35">
      <c r="A1149" s="10">
        <f t="shared" si="17"/>
        <v>1145</v>
      </c>
      <c r="B1149" s="5">
        <v>9244</v>
      </c>
      <c r="C1149" s="5" t="s">
        <v>1579</v>
      </c>
      <c r="D1149" s="5" t="s">
        <v>563</v>
      </c>
      <c r="E1149" s="5" t="s">
        <v>16</v>
      </c>
      <c r="F1149" s="5" t="s">
        <v>141</v>
      </c>
      <c r="G1149" s="7">
        <v>45810</v>
      </c>
      <c r="H1149" s="5" t="s">
        <v>888</v>
      </c>
    </row>
    <row r="1150" spans="1:8" x14ac:dyDescent="0.35">
      <c r="A1150" s="10">
        <f t="shared" si="17"/>
        <v>1146</v>
      </c>
      <c r="B1150" s="5">
        <v>9247</v>
      </c>
      <c r="C1150" s="5" t="s">
        <v>1580</v>
      </c>
      <c r="D1150" s="5" t="s">
        <v>563</v>
      </c>
      <c r="E1150" s="5" t="s">
        <v>16</v>
      </c>
      <c r="F1150" s="5" t="s">
        <v>141</v>
      </c>
      <c r="G1150" s="7">
        <v>45810</v>
      </c>
      <c r="H1150" s="5" t="s">
        <v>888</v>
      </c>
    </row>
    <row r="1151" spans="1:8" x14ac:dyDescent="0.35">
      <c r="A1151" s="10">
        <f t="shared" si="17"/>
        <v>1147</v>
      </c>
      <c r="B1151" s="5">
        <v>9251</v>
      </c>
      <c r="C1151" s="5" t="s">
        <v>1581</v>
      </c>
      <c r="D1151" s="5" t="s">
        <v>563</v>
      </c>
      <c r="E1151" s="5" t="s">
        <v>16</v>
      </c>
      <c r="F1151" s="5" t="s">
        <v>817</v>
      </c>
      <c r="G1151" s="7">
        <v>45810</v>
      </c>
      <c r="H1151" s="5" t="s">
        <v>888</v>
      </c>
    </row>
    <row r="1152" spans="1:8" x14ac:dyDescent="0.35">
      <c r="A1152" s="10">
        <f t="shared" si="17"/>
        <v>1148</v>
      </c>
      <c r="B1152" s="5">
        <v>9255</v>
      </c>
      <c r="C1152" s="5" t="s">
        <v>1582</v>
      </c>
      <c r="D1152" s="5" t="s">
        <v>1333</v>
      </c>
      <c r="E1152" s="5" t="s">
        <v>16</v>
      </c>
      <c r="F1152" s="5" t="s">
        <v>1124</v>
      </c>
      <c r="G1152" s="7">
        <v>45812</v>
      </c>
      <c r="H1152" s="5" t="s">
        <v>1334</v>
      </c>
    </row>
    <row r="1153" spans="1:8" x14ac:dyDescent="0.35">
      <c r="A1153" s="10">
        <f t="shared" si="17"/>
        <v>1149</v>
      </c>
      <c r="B1153" s="5">
        <v>9256</v>
      </c>
      <c r="C1153" s="5" t="s">
        <v>1583</v>
      </c>
      <c r="D1153" s="5" t="s">
        <v>249</v>
      </c>
      <c r="E1153" s="5" t="s">
        <v>165</v>
      </c>
      <c r="F1153" s="5" t="s">
        <v>165</v>
      </c>
      <c r="G1153" s="7">
        <v>45812</v>
      </c>
      <c r="H1153" s="5" t="s">
        <v>888</v>
      </c>
    </row>
    <row r="1154" spans="1:8" x14ac:dyDescent="0.35">
      <c r="A1154" s="10">
        <f t="shared" si="17"/>
        <v>1150</v>
      </c>
      <c r="B1154" s="5">
        <v>9258</v>
      </c>
      <c r="C1154" s="5" t="s">
        <v>1584</v>
      </c>
      <c r="D1154" s="5" t="s">
        <v>669</v>
      </c>
      <c r="E1154" s="5" t="s">
        <v>103</v>
      </c>
      <c r="F1154" s="5" t="s">
        <v>103</v>
      </c>
      <c r="G1154" s="7">
        <v>45813</v>
      </c>
      <c r="H1154" s="5" t="s">
        <v>888</v>
      </c>
    </row>
    <row r="1155" spans="1:8" x14ac:dyDescent="0.35">
      <c r="A1155" s="10">
        <f t="shared" si="17"/>
        <v>1151</v>
      </c>
      <c r="B1155" s="5">
        <v>9259</v>
      </c>
      <c r="C1155" s="5" t="s">
        <v>1585</v>
      </c>
      <c r="D1155" s="5" t="s">
        <v>77</v>
      </c>
      <c r="E1155" s="5" t="s">
        <v>61</v>
      </c>
      <c r="F1155" s="5" t="s">
        <v>61</v>
      </c>
      <c r="G1155" s="7">
        <v>45809</v>
      </c>
      <c r="H1155" s="5" t="s">
        <v>888</v>
      </c>
    </row>
    <row r="1156" spans="1:8" x14ac:dyDescent="0.35">
      <c r="A1156" s="10">
        <f t="shared" si="17"/>
        <v>1152</v>
      </c>
      <c r="B1156" s="5">
        <v>9260</v>
      </c>
      <c r="C1156" s="5" t="s">
        <v>1586</v>
      </c>
      <c r="D1156" s="5" t="s">
        <v>1152</v>
      </c>
      <c r="E1156" s="5" t="s">
        <v>112</v>
      </c>
      <c r="F1156" s="5" t="s">
        <v>112</v>
      </c>
      <c r="G1156" s="7">
        <v>45819</v>
      </c>
      <c r="H1156" s="5" t="s">
        <v>888</v>
      </c>
    </row>
    <row r="1157" spans="1:8" x14ac:dyDescent="0.35">
      <c r="A1157" s="10">
        <f t="shared" si="17"/>
        <v>1153</v>
      </c>
      <c r="B1157" s="5">
        <v>9262</v>
      </c>
      <c r="C1157" s="5" t="s">
        <v>1587</v>
      </c>
      <c r="D1157" s="5" t="s">
        <v>563</v>
      </c>
      <c r="E1157" s="5" t="s">
        <v>16</v>
      </c>
      <c r="F1157" s="5" t="s">
        <v>368</v>
      </c>
      <c r="G1157" s="7">
        <v>45817</v>
      </c>
      <c r="H1157" s="5" t="s">
        <v>888</v>
      </c>
    </row>
    <row r="1158" spans="1:8" x14ac:dyDescent="0.35">
      <c r="A1158" s="10">
        <f t="shared" ref="A1158:A1221" si="18">+A1157+1</f>
        <v>1154</v>
      </c>
      <c r="B1158" s="5">
        <v>9263</v>
      </c>
      <c r="C1158" s="5" t="s">
        <v>1588</v>
      </c>
      <c r="D1158" s="5" t="s">
        <v>563</v>
      </c>
      <c r="E1158" s="5" t="s">
        <v>16</v>
      </c>
      <c r="F1158" s="5" t="s">
        <v>683</v>
      </c>
      <c r="G1158" s="7">
        <v>45818</v>
      </c>
      <c r="H1158" s="5" t="s">
        <v>888</v>
      </c>
    </row>
    <row r="1159" spans="1:8" x14ac:dyDescent="0.35">
      <c r="A1159" s="10">
        <f t="shared" si="18"/>
        <v>1155</v>
      </c>
      <c r="B1159" s="5">
        <v>9266</v>
      </c>
      <c r="C1159" s="5" t="s">
        <v>1589</v>
      </c>
      <c r="D1159" s="5" t="s">
        <v>1590</v>
      </c>
      <c r="E1159" s="5" t="s">
        <v>228</v>
      </c>
      <c r="F1159" s="5" t="s">
        <v>228</v>
      </c>
      <c r="G1159" s="7">
        <v>45818</v>
      </c>
      <c r="H1159" s="5" t="s">
        <v>888</v>
      </c>
    </row>
    <row r="1160" spans="1:8" x14ac:dyDescent="0.35">
      <c r="A1160" s="10">
        <f t="shared" si="18"/>
        <v>1156</v>
      </c>
      <c r="B1160" s="5">
        <v>9267</v>
      </c>
      <c r="C1160" s="5" t="s">
        <v>1591</v>
      </c>
      <c r="D1160" s="5" t="s">
        <v>1333</v>
      </c>
      <c r="E1160" s="5" t="s">
        <v>16</v>
      </c>
      <c r="F1160" s="5" t="s">
        <v>718</v>
      </c>
      <c r="G1160" s="7">
        <v>45818</v>
      </c>
      <c r="H1160" s="5" t="s">
        <v>1334</v>
      </c>
    </row>
    <row r="1161" spans="1:8" x14ac:dyDescent="0.35">
      <c r="A1161" s="10">
        <f t="shared" si="18"/>
        <v>1157</v>
      </c>
      <c r="B1161" s="5">
        <v>9268</v>
      </c>
      <c r="C1161" s="5" t="s">
        <v>1592</v>
      </c>
      <c r="D1161" s="5" t="s">
        <v>1333</v>
      </c>
      <c r="E1161" s="5" t="s">
        <v>16</v>
      </c>
      <c r="F1161" s="5" t="s">
        <v>451</v>
      </c>
      <c r="G1161" s="7">
        <v>45818</v>
      </c>
      <c r="H1161" s="5" t="s">
        <v>1334</v>
      </c>
    </row>
    <row r="1162" spans="1:8" x14ac:dyDescent="0.35">
      <c r="A1162" s="10">
        <f t="shared" si="18"/>
        <v>1158</v>
      </c>
      <c r="B1162" s="5">
        <v>9270</v>
      </c>
      <c r="C1162" s="5" t="s">
        <v>1593</v>
      </c>
      <c r="D1162" s="5" t="s">
        <v>1333</v>
      </c>
      <c r="E1162" s="5" t="s">
        <v>16</v>
      </c>
      <c r="F1162" s="5" t="s">
        <v>480</v>
      </c>
      <c r="G1162" s="7">
        <v>45820</v>
      </c>
      <c r="H1162" s="5" t="s">
        <v>1334</v>
      </c>
    </row>
    <row r="1163" spans="1:8" x14ac:dyDescent="0.35">
      <c r="A1163" s="10">
        <f t="shared" si="18"/>
        <v>1159</v>
      </c>
      <c r="B1163" s="5">
        <v>9271</v>
      </c>
      <c r="C1163" s="5" t="s">
        <v>1594</v>
      </c>
      <c r="D1163" s="5" t="s">
        <v>563</v>
      </c>
      <c r="E1163" s="5" t="s">
        <v>16</v>
      </c>
      <c r="F1163" s="5" t="s">
        <v>141</v>
      </c>
      <c r="G1163" s="7">
        <v>45820</v>
      </c>
      <c r="H1163" s="5" t="s">
        <v>888</v>
      </c>
    </row>
    <row r="1164" spans="1:8" x14ac:dyDescent="0.35">
      <c r="A1164" s="10">
        <f t="shared" si="18"/>
        <v>1160</v>
      </c>
      <c r="B1164" s="5">
        <v>9272</v>
      </c>
      <c r="C1164" s="5" t="s">
        <v>1595</v>
      </c>
      <c r="D1164" s="5" t="s">
        <v>563</v>
      </c>
      <c r="E1164" s="5" t="s">
        <v>16</v>
      </c>
      <c r="F1164" s="5" t="s">
        <v>681</v>
      </c>
      <c r="G1164" s="7">
        <v>45820</v>
      </c>
      <c r="H1164" s="5" t="s">
        <v>888</v>
      </c>
    </row>
    <row r="1165" spans="1:8" x14ac:dyDescent="0.35">
      <c r="A1165" s="10">
        <f t="shared" si="18"/>
        <v>1161</v>
      </c>
      <c r="B1165" s="5">
        <v>9273</v>
      </c>
      <c r="C1165" s="5" t="s">
        <v>1596</v>
      </c>
      <c r="D1165" s="5" t="s">
        <v>1333</v>
      </c>
      <c r="E1165" s="5" t="s">
        <v>16</v>
      </c>
      <c r="F1165" s="5" t="s">
        <v>658</v>
      </c>
      <c r="G1165" s="7">
        <v>45820</v>
      </c>
      <c r="H1165" s="5" t="s">
        <v>1334</v>
      </c>
    </row>
    <row r="1166" spans="1:8" x14ac:dyDescent="0.35">
      <c r="A1166" s="10">
        <f t="shared" si="18"/>
        <v>1162</v>
      </c>
      <c r="B1166" s="5">
        <v>9274</v>
      </c>
      <c r="C1166" s="5" t="s">
        <v>1597</v>
      </c>
      <c r="D1166" s="5" t="s">
        <v>1478</v>
      </c>
      <c r="E1166" s="5" t="s">
        <v>117</v>
      </c>
      <c r="F1166" s="5" t="s">
        <v>176</v>
      </c>
      <c r="G1166" s="7">
        <v>45824</v>
      </c>
      <c r="H1166" s="5" t="s">
        <v>888</v>
      </c>
    </row>
    <row r="1167" spans="1:8" x14ac:dyDescent="0.35">
      <c r="A1167" s="10">
        <f t="shared" si="18"/>
        <v>1163</v>
      </c>
      <c r="B1167" s="5">
        <v>9275</v>
      </c>
      <c r="C1167" s="5" t="s">
        <v>1598</v>
      </c>
      <c r="D1167" s="5" t="s">
        <v>1333</v>
      </c>
      <c r="E1167" s="5" t="s">
        <v>16</v>
      </c>
      <c r="F1167" s="5" t="s">
        <v>626</v>
      </c>
      <c r="G1167" s="7">
        <v>45824</v>
      </c>
      <c r="H1167" s="5" t="s">
        <v>1334</v>
      </c>
    </row>
    <row r="1168" spans="1:8" x14ac:dyDescent="0.35">
      <c r="A1168" s="10">
        <f t="shared" si="18"/>
        <v>1164</v>
      </c>
      <c r="B1168" s="5">
        <v>9276</v>
      </c>
      <c r="C1168" s="5" t="s">
        <v>1599</v>
      </c>
      <c r="D1168" s="5" t="s">
        <v>1333</v>
      </c>
      <c r="E1168" s="5" t="s">
        <v>16</v>
      </c>
      <c r="F1168" s="5" t="s">
        <v>656</v>
      </c>
      <c r="G1168" s="7">
        <v>45824</v>
      </c>
      <c r="H1168" s="5" t="s">
        <v>1334</v>
      </c>
    </row>
    <row r="1169" spans="1:8" x14ac:dyDescent="0.35">
      <c r="A1169" s="10">
        <f t="shared" si="18"/>
        <v>1165</v>
      </c>
      <c r="B1169" s="5">
        <v>9277</v>
      </c>
      <c r="C1169" s="5" t="s">
        <v>1600</v>
      </c>
      <c r="D1169" s="5" t="s">
        <v>563</v>
      </c>
      <c r="E1169" s="5" t="s">
        <v>16</v>
      </c>
      <c r="F1169" s="5" t="s">
        <v>451</v>
      </c>
      <c r="G1169" s="7">
        <v>45824</v>
      </c>
      <c r="H1169" s="5" t="s">
        <v>888</v>
      </c>
    </row>
    <row r="1170" spans="1:8" x14ac:dyDescent="0.35">
      <c r="A1170" s="10">
        <f t="shared" si="18"/>
        <v>1166</v>
      </c>
      <c r="B1170" s="5">
        <v>9278</v>
      </c>
      <c r="C1170" s="5" t="s">
        <v>1601</v>
      </c>
      <c r="D1170" s="5" t="s">
        <v>563</v>
      </c>
      <c r="E1170" s="5" t="s">
        <v>16</v>
      </c>
      <c r="F1170" s="5" t="s">
        <v>658</v>
      </c>
      <c r="G1170" s="7">
        <v>45824</v>
      </c>
      <c r="H1170" s="5" t="s">
        <v>888</v>
      </c>
    </row>
    <row r="1171" spans="1:8" x14ac:dyDescent="0.35">
      <c r="A1171" s="10">
        <f t="shared" si="18"/>
        <v>1167</v>
      </c>
      <c r="B1171" s="5">
        <v>9279</v>
      </c>
      <c r="C1171" s="5" t="s">
        <v>1602</v>
      </c>
      <c r="D1171" s="5" t="s">
        <v>563</v>
      </c>
      <c r="E1171" s="5" t="s">
        <v>16</v>
      </c>
      <c r="F1171" s="5" t="s">
        <v>729</v>
      </c>
      <c r="G1171" s="7">
        <v>45824</v>
      </c>
      <c r="H1171" s="5" t="s">
        <v>888</v>
      </c>
    </row>
    <row r="1172" spans="1:8" x14ac:dyDescent="0.35">
      <c r="A1172" s="10">
        <f t="shared" si="18"/>
        <v>1168</v>
      </c>
      <c r="B1172" s="5">
        <v>9281</v>
      </c>
      <c r="C1172" s="5" t="s">
        <v>1603</v>
      </c>
      <c r="D1172" s="5" t="s">
        <v>1333</v>
      </c>
      <c r="E1172" s="5" t="s">
        <v>16</v>
      </c>
      <c r="F1172" s="5" t="s">
        <v>48</v>
      </c>
      <c r="G1172" s="7">
        <v>45824</v>
      </c>
      <c r="H1172" s="5" t="s">
        <v>1334</v>
      </c>
    </row>
    <row r="1173" spans="1:8" x14ac:dyDescent="0.35">
      <c r="A1173" s="10">
        <f t="shared" si="18"/>
        <v>1169</v>
      </c>
      <c r="B1173" s="5">
        <v>9282</v>
      </c>
      <c r="C1173" s="5" t="s">
        <v>1604</v>
      </c>
      <c r="D1173" s="5" t="s">
        <v>1333</v>
      </c>
      <c r="E1173" s="5" t="s">
        <v>16</v>
      </c>
      <c r="F1173" s="5" t="s">
        <v>729</v>
      </c>
      <c r="G1173" s="7">
        <v>45824</v>
      </c>
      <c r="H1173" s="5" t="s">
        <v>1334</v>
      </c>
    </row>
    <row r="1174" spans="1:8" x14ac:dyDescent="0.35">
      <c r="A1174" s="10">
        <f t="shared" si="18"/>
        <v>1170</v>
      </c>
      <c r="B1174" s="5">
        <v>9283</v>
      </c>
      <c r="C1174" s="5" t="s">
        <v>1605</v>
      </c>
      <c r="D1174" s="5" t="s">
        <v>1478</v>
      </c>
      <c r="E1174" s="5" t="s">
        <v>117</v>
      </c>
      <c r="F1174" s="5" t="s">
        <v>176</v>
      </c>
      <c r="G1174" s="7">
        <v>45824</v>
      </c>
      <c r="H1174" s="5" t="s">
        <v>888</v>
      </c>
    </row>
    <row r="1175" spans="1:8" x14ac:dyDescent="0.35">
      <c r="A1175" s="10">
        <f t="shared" si="18"/>
        <v>1171</v>
      </c>
      <c r="B1175" s="5">
        <v>9286</v>
      </c>
      <c r="C1175" s="5" t="s">
        <v>1606</v>
      </c>
      <c r="D1175" s="5" t="s">
        <v>563</v>
      </c>
      <c r="E1175" s="5" t="s">
        <v>16</v>
      </c>
      <c r="F1175" s="5" t="s">
        <v>480</v>
      </c>
      <c r="G1175" s="7">
        <v>45826</v>
      </c>
      <c r="H1175" s="5" t="s">
        <v>888</v>
      </c>
    </row>
    <row r="1176" spans="1:8" x14ac:dyDescent="0.35">
      <c r="A1176" s="10">
        <f t="shared" si="18"/>
        <v>1172</v>
      </c>
      <c r="B1176" s="5">
        <v>9287</v>
      </c>
      <c r="C1176" s="5" t="s">
        <v>1607</v>
      </c>
      <c r="D1176" s="5" t="s">
        <v>733</v>
      </c>
      <c r="E1176" s="5" t="s">
        <v>165</v>
      </c>
      <c r="F1176" s="5" t="s">
        <v>165</v>
      </c>
      <c r="G1176" s="7">
        <v>45824</v>
      </c>
      <c r="H1176" s="5" t="s">
        <v>888</v>
      </c>
    </row>
    <row r="1177" spans="1:8" x14ac:dyDescent="0.35">
      <c r="A1177" s="10">
        <f t="shared" si="18"/>
        <v>1173</v>
      </c>
      <c r="B1177" s="5">
        <v>9288</v>
      </c>
      <c r="C1177" s="5" t="s">
        <v>1608</v>
      </c>
      <c r="D1177" s="5" t="s">
        <v>563</v>
      </c>
      <c r="E1177" s="5" t="s">
        <v>16</v>
      </c>
      <c r="F1177" s="5" t="s">
        <v>517</v>
      </c>
      <c r="G1177" s="7">
        <v>45831</v>
      </c>
      <c r="H1177" s="5" t="s">
        <v>888</v>
      </c>
    </row>
    <row r="1178" spans="1:8" x14ac:dyDescent="0.35">
      <c r="A1178" s="10">
        <f t="shared" si="18"/>
        <v>1174</v>
      </c>
      <c r="B1178" s="5">
        <v>9290</v>
      </c>
      <c r="C1178" s="5" t="s">
        <v>1609</v>
      </c>
      <c r="D1178" s="5" t="s">
        <v>1333</v>
      </c>
      <c r="E1178" s="5" t="s">
        <v>16</v>
      </c>
      <c r="F1178" s="5" t="s">
        <v>1183</v>
      </c>
      <c r="G1178" s="7">
        <v>45831</v>
      </c>
      <c r="H1178" s="5" t="s">
        <v>1334</v>
      </c>
    </row>
    <row r="1179" spans="1:8" x14ac:dyDescent="0.35">
      <c r="A1179" s="10">
        <f t="shared" si="18"/>
        <v>1175</v>
      </c>
      <c r="B1179" s="5">
        <v>9291</v>
      </c>
      <c r="C1179" s="5" t="s">
        <v>1610</v>
      </c>
      <c r="D1179" s="5" t="s">
        <v>1333</v>
      </c>
      <c r="E1179" s="5" t="s">
        <v>16</v>
      </c>
      <c r="F1179" s="5" t="s">
        <v>947</v>
      </c>
      <c r="G1179" s="7">
        <v>45831</v>
      </c>
      <c r="H1179" s="5" t="s">
        <v>1334</v>
      </c>
    </row>
    <row r="1180" spans="1:8" x14ac:dyDescent="0.35">
      <c r="A1180" s="10">
        <f t="shared" si="18"/>
        <v>1176</v>
      </c>
      <c r="B1180" s="5">
        <v>9292</v>
      </c>
      <c r="C1180" s="5" t="s">
        <v>1611</v>
      </c>
      <c r="D1180" s="5" t="s">
        <v>1333</v>
      </c>
      <c r="E1180" s="5" t="s">
        <v>16</v>
      </c>
      <c r="F1180" s="5" t="s">
        <v>353</v>
      </c>
      <c r="G1180" s="7">
        <v>45831</v>
      </c>
      <c r="H1180" s="5" t="s">
        <v>1334</v>
      </c>
    </row>
    <row r="1181" spans="1:8" x14ac:dyDescent="0.35">
      <c r="A1181" s="10">
        <f t="shared" si="18"/>
        <v>1177</v>
      </c>
      <c r="B1181" s="5">
        <v>9293</v>
      </c>
      <c r="C1181" s="5" t="s">
        <v>1612</v>
      </c>
      <c r="D1181" s="5" t="s">
        <v>930</v>
      </c>
      <c r="E1181" s="5" t="s">
        <v>561</v>
      </c>
      <c r="F1181" s="5" t="s">
        <v>561</v>
      </c>
      <c r="G1181" s="7">
        <v>45839</v>
      </c>
      <c r="H1181" s="5" t="s">
        <v>13</v>
      </c>
    </row>
    <row r="1182" spans="1:8" x14ac:dyDescent="0.35">
      <c r="A1182" s="10">
        <f t="shared" si="18"/>
        <v>1178</v>
      </c>
      <c r="B1182" s="5">
        <v>9297</v>
      </c>
      <c r="C1182" s="5" t="s">
        <v>1613</v>
      </c>
      <c r="D1182" s="5" t="s">
        <v>563</v>
      </c>
      <c r="E1182" s="5" t="s">
        <v>16</v>
      </c>
      <c r="F1182" s="5" t="s">
        <v>1124</v>
      </c>
      <c r="G1182" s="7">
        <v>45839</v>
      </c>
      <c r="H1182" s="5" t="s">
        <v>888</v>
      </c>
    </row>
    <row r="1183" spans="1:8" x14ac:dyDescent="0.35">
      <c r="A1183" s="10">
        <f t="shared" si="18"/>
        <v>1179</v>
      </c>
      <c r="B1183" s="5">
        <v>9298</v>
      </c>
      <c r="C1183" s="5" t="s">
        <v>1614</v>
      </c>
      <c r="D1183" s="5" t="s">
        <v>1615</v>
      </c>
      <c r="E1183" s="5" t="s">
        <v>424</v>
      </c>
      <c r="F1183" s="5" t="s">
        <v>424</v>
      </c>
      <c r="G1183" s="7">
        <v>45839</v>
      </c>
      <c r="H1183" s="5" t="s">
        <v>13</v>
      </c>
    </row>
    <row r="1184" spans="1:8" x14ac:dyDescent="0.35">
      <c r="A1184" s="10">
        <f t="shared" si="18"/>
        <v>1180</v>
      </c>
      <c r="B1184" s="5">
        <v>9300</v>
      </c>
      <c r="C1184" s="5" t="s">
        <v>1616</v>
      </c>
      <c r="D1184" s="5" t="s">
        <v>1333</v>
      </c>
      <c r="E1184" s="5" t="s">
        <v>16</v>
      </c>
      <c r="F1184" s="5" t="s">
        <v>439</v>
      </c>
      <c r="G1184" s="7">
        <v>45839</v>
      </c>
      <c r="H1184" s="5" t="s">
        <v>1334</v>
      </c>
    </row>
    <row r="1185" spans="1:8" x14ac:dyDescent="0.35">
      <c r="A1185" s="10">
        <f t="shared" si="18"/>
        <v>1181</v>
      </c>
      <c r="B1185" s="5">
        <v>9301</v>
      </c>
      <c r="C1185" s="5" t="s">
        <v>1617</v>
      </c>
      <c r="D1185" s="5" t="s">
        <v>563</v>
      </c>
      <c r="E1185" s="5" t="s">
        <v>16</v>
      </c>
      <c r="F1185" s="5" t="s">
        <v>110</v>
      </c>
      <c r="G1185" s="7">
        <v>45839</v>
      </c>
      <c r="H1185" s="5" t="s">
        <v>888</v>
      </c>
    </row>
    <row r="1186" spans="1:8" x14ac:dyDescent="0.35">
      <c r="A1186" s="10">
        <f t="shared" si="18"/>
        <v>1182</v>
      </c>
      <c r="B1186" s="5">
        <v>9303</v>
      </c>
      <c r="C1186" s="5" t="s">
        <v>1618</v>
      </c>
      <c r="D1186" s="5" t="s">
        <v>455</v>
      </c>
      <c r="E1186" s="5" t="s">
        <v>24</v>
      </c>
      <c r="F1186" s="5" t="s">
        <v>152</v>
      </c>
      <c r="G1186" s="7">
        <v>45839</v>
      </c>
      <c r="H1186" s="5" t="s">
        <v>888</v>
      </c>
    </row>
    <row r="1187" spans="1:8" x14ac:dyDescent="0.35">
      <c r="A1187" s="10">
        <f t="shared" si="18"/>
        <v>1183</v>
      </c>
      <c r="B1187" s="5">
        <v>9305</v>
      </c>
      <c r="C1187" s="5" t="s">
        <v>1621</v>
      </c>
      <c r="D1187" s="5" t="s">
        <v>563</v>
      </c>
      <c r="E1187" s="5" t="s">
        <v>16</v>
      </c>
      <c r="F1187" s="5" t="s">
        <v>517</v>
      </c>
      <c r="G1187" s="7">
        <v>45852</v>
      </c>
      <c r="H1187" s="5" t="s">
        <v>888</v>
      </c>
    </row>
    <row r="1188" spans="1:8" x14ac:dyDescent="0.35">
      <c r="A1188" s="10">
        <f t="shared" si="18"/>
        <v>1184</v>
      </c>
      <c r="B1188" s="5">
        <v>9307</v>
      </c>
      <c r="C1188" s="5" t="s">
        <v>1622</v>
      </c>
      <c r="D1188" s="5" t="s">
        <v>1333</v>
      </c>
      <c r="E1188" s="5" t="s">
        <v>16</v>
      </c>
      <c r="F1188" s="5" t="s">
        <v>1124</v>
      </c>
      <c r="G1188" s="7">
        <v>45852</v>
      </c>
      <c r="H1188" s="5" t="s">
        <v>1334</v>
      </c>
    </row>
    <row r="1189" spans="1:8" x14ac:dyDescent="0.35">
      <c r="A1189" s="10">
        <f t="shared" si="18"/>
        <v>1185</v>
      </c>
      <c r="B1189" s="5">
        <v>9308</v>
      </c>
      <c r="C1189" s="5" t="s">
        <v>1623</v>
      </c>
      <c r="D1189" s="5" t="s">
        <v>1333</v>
      </c>
      <c r="E1189" s="5" t="s">
        <v>16</v>
      </c>
      <c r="F1189" s="5" t="s">
        <v>681</v>
      </c>
      <c r="G1189" s="7">
        <v>45852</v>
      </c>
      <c r="H1189" s="5" t="s">
        <v>1334</v>
      </c>
    </row>
    <row r="1190" spans="1:8" x14ac:dyDescent="0.35">
      <c r="A1190" s="10">
        <f t="shared" si="18"/>
        <v>1186</v>
      </c>
      <c r="B1190" s="5">
        <v>9309</v>
      </c>
      <c r="C1190" s="5" t="s">
        <v>1624</v>
      </c>
      <c r="D1190" s="5" t="s">
        <v>563</v>
      </c>
      <c r="E1190" s="5" t="s">
        <v>16</v>
      </c>
      <c r="F1190" s="5" t="s">
        <v>825</v>
      </c>
      <c r="G1190" s="7">
        <v>45852</v>
      </c>
      <c r="H1190" s="5" t="s">
        <v>888</v>
      </c>
    </row>
    <row r="1191" spans="1:8" x14ac:dyDescent="0.35">
      <c r="A1191" s="10">
        <f t="shared" si="18"/>
        <v>1187</v>
      </c>
      <c r="B1191" s="5">
        <v>9310</v>
      </c>
      <c r="C1191" s="5" t="s">
        <v>1625</v>
      </c>
      <c r="D1191" s="5" t="s">
        <v>21</v>
      </c>
      <c r="E1191" s="5" t="s">
        <v>68</v>
      </c>
      <c r="F1191" s="5" t="s">
        <v>179</v>
      </c>
      <c r="G1191" s="7">
        <v>45852</v>
      </c>
      <c r="H1191" s="5" t="s">
        <v>888</v>
      </c>
    </row>
    <row r="1192" spans="1:8" x14ac:dyDescent="0.35">
      <c r="A1192" s="10">
        <f t="shared" si="18"/>
        <v>1188</v>
      </c>
      <c r="B1192" s="5">
        <v>9311</v>
      </c>
      <c r="C1192" s="5" t="s">
        <v>1626</v>
      </c>
      <c r="D1192" s="5" t="s">
        <v>733</v>
      </c>
      <c r="E1192" s="5" t="s">
        <v>165</v>
      </c>
      <c r="F1192" s="5" t="s">
        <v>165</v>
      </c>
      <c r="G1192" s="7">
        <v>45852</v>
      </c>
      <c r="H1192" s="5" t="s">
        <v>888</v>
      </c>
    </row>
    <row r="1193" spans="1:8" x14ac:dyDescent="0.35">
      <c r="A1193" s="10">
        <f t="shared" si="18"/>
        <v>1189</v>
      </c>
      <c r="B1193" s="5">
        <v>9312</v>
      </c>
      <c r="C1193" s="5" t="s">
        <v>1627</v>
      </c>
      <c r="D1193" s="5" t="s">
        <v>1333</v>
      </c>
      <c r="E1193" s="5" t="s">
        <v>16</v>
      </c>
      <c r="F1193" s="5" t="s">
        <v>497</v>
      </c>
      <c r="G1193" s="7">
        <v>45852</v>
      </c>
      <c r="H1193" s="5" t="s">
        <v>1334</v>
      </c>
    </row>
    <row r="1194" spans="1:8" x14ac:dyDescent="0.35">
      <c r="A1194" s="10">
        <f t="shared" si="18"/>
        <v>1190</v>
      </c>
      <c r="B1194" s="5">
        <v>9313</v>
      </c>
      <c r="C1194" s="5" t="s">
        <v>1628</v>
      </c>
      <c r="D1194" s="5" t="s">
        <v>1333</v>
      </c>
      <c r="E1194" s="5" t="s">
        <v>16</v>
      </c>
      <c r="F1194" s="5" t="s">
        <v>1183</v>
      </c>
      <c r="G1194" s="7">
        <v>45853</v>
      </c>
      <c r="H1194" s="5" t="s">
        <v>1334</v>
      </c>
    </row>
    <row r="1195" spans="1:8" x14ac:dyDescent="0.35">
      <c r="A1195" s="10">
        <f t="shared" si="18"/>
        <v>1191</v>
      </c>
      <c r="B1195" s="5">
        <v>9315</v>
      </c>
      <c r="C1195" s="5" t="s">
        <v>1629</v>
      </c>
      <c r="D1195" s="5" t="s">
        <v>669</v>
      </c>
      <c r="E1195" s="5" t="s">
        <v>103</v>
      </c>
      <c r="F1195" s="5" t="s">
        <v>103</v>
      </c>
      <c r="G1195" s="7">
        <v>45839</v>
      </c>
      <c r="H1195" s="5" t="s">
        <v>888</v>
      </c>
    </row>
    <row r="1196" spans="1:8" x14ac:dyDescent="0.35">
      <c r="A1196" s="10">
        <f t="shared" si="18"/>
        <v>1192</v>
      </c>
      <c r="B1196" s="5">
        <v>9316</v>
      </c>
      <c r="C1196" s="5" t="s">
        <v>1630</v>
      </c>
      <c r="D1196" s="5" t="s">
        <v>563</v>
      </c>
      <c r="E1196" s="5" t="s">
        <v>16</v>
      </c>
      <c r="F1196" s="5" t="s">
        <v>1124</v>
      </c>
      <c r="G1196" s="7">
        <v>45859</v>
      </c>
      <c r="H1196" s="5" t="s">
        <v>888</v>
      </c>
    </row>
    <row r="1197" spans="1:8" x14ac:dyDescent="0.35">
      <c r="A1197" s="10">
        <f t="shared" si="18"/>
        <v>1193</v>
      </c>
      <c r="B1197" s="5">
        <v>9317</v>
      </c>
      <c r="C1197" s="5" t="s">
        <v>1631</v>
      </c>
      <c r="D1197" s="5" t="s">
        <v>563</v>
      </c>
      <c r="E1197" s="5" t="s">
        <v>16</v>
      </c>
      <c r="F1197" s="5" t="s">
        <v>353</v>
      </c>
      <c r="G1197" s="7">
        <v>45859</v>
      </c>
      <c r="H1197" s="5" t="s">
        <v>888</v>
      </c>
    </row>
    <row r="1198" spans="1:8" x14ac:dyDescent="0.35">
      <c r="A1198" s="10">
        <f t="shared" si="18"/>
        <v>1194</v>
      </c>
      <c r="B1198" s="5">
        <v>9318</v>
      </c>
      <c r="C1198" s="5" t="s">
        <v>1632</v>
      </c>
      <c r="D1198" s="5" t="s">
        <v>563</v>
      </c>
      <c r="E1198" s="5" t="s">
        <v>16</v>
      </c>
      <c r="F1198" s="5" t="s">
        <v>658</v>
      </c>
      <c r="G1198" s="7">
        <v>45864</v>
      </c>
      <c r="H1198" s="5" t="s">
        <v>888</v>
      </c>
    </row>
    <row r="1199" spans="1:8" x14ac:dyDescent="0.35">
      <c r="A1199" s="10">
        <f t="shared" si="18"/>
        <v>1195</v>
      </c>
      <c r="B1199" s="5">
        <v>9320</v>
      </c>
      <c r="C1199" s="5" t="s">
        <v>1129</v>
      </c>
      <c r="D1199" s="5" t="s">
        <v>563</v>
      </c>
      <c r="E1199" s="5" t="s">
        <v>16</v>
      </c>
      <c r="F1199" s="5" t="s">
        <v>656</v>
      </c>
      <c r="G1199" s="7">
        <v>45859</v>
      </c>
      <c r="H1199" s="5" t="s">
        <v>888</v>
      </c>
    </row>
    <row r="1200" spans="1:8" x14ac:dyDescent="0.35">
      <c r="A1200" s="10">
        <f t="shared" si="18"/>
        <v>1196</v>
      </c>
      <c r="B1200" s="5">
        <v>9321</v>
      </c>
      <c r="C1200" s="5" t="s">
        <v>1633</v>
      </c>
      <c r="D1200" s="5" t="s">
        <v>1333</v>
      </c>
      <c r="E1200" s="5" t="s">
        <v>16</v>
      </c>
      <c r="F1200" s="5" t="s">
        <v>626</v>
      </c>
      <c r="G1200" s="7">
        <v>45859</v>
      </c>
      <c r="H1200" s="5" t="s">
        <v>1334</v>
      </c>
    </row>
    <row r="1201" spans="1:8" x14ac:dyDescent="0.35">
      <c r="A1201" s="10">
        <f t="shared" si="18"/>
        <v>1197</v>
      </c>
      <c r="B1201" s="5">
        <v>9322</v>
      </c>
      <c r="C1201" s="5" t="s">
        <v>1634</v>
      </c>
      <c r="D1201" s="5" t="s">
        <v>669</v>
      </c>
      <c r="E1201" s="5" t="s">
        <v>103</v>
      </c>
      <c r="F1201" s="5" t="s">
        <v>103</v>
      </c>
      <c r="G1201" s="7">
        <v>45860</v>
      </c>
      <c r="H1201" s="5" t="s">
        <v>888</v>
      </c>
    </row>
    <row r="1202" spans="1:8" x14ac:dyDescent="0.35">
      <c r="A1202" s="10">
        <f t="shared" si="18"/>
        <v>1198</v>
      </c>
      <c r="B1202" s="5">
        <v>9324</v>
      </c>
      <c r="C1202" s="5" t="s">
        <v>1635</v>
      </c>
      <c r="D1202" s="5" t="s">
        <v>797</v>
      </c>
      <c r="E1202" s="5" t="s">
        <v>1636</v>
      </c>
      <c r="F1202" s="5" t="s">
        <v>1637</v>
      </c>
      <c r="G1202" s="7">
        <v>45861</v>
      </c>
      <c r="H1202" s="5" t="s">
        <v>888</v>
      </c>
    </row>
    <row r="1203" spans="1:8" x14ac:dyDescent="0.35">
      <c r="A1203" s="10">
        <f t="shared" si="18"/>
        <v>1199</v>
      </c>
      <c r="B1203" s="5">
        <v>9325</v>
      </c>
      <c r="C1203" s="5" t="s">
        <v>1638</v>
      </c>
      <c r="D1203" s="5" t="s">
        <v>563</v>
      </c>
      <c r="E1203" s="5" t="s">
        <v>16</v>
      </c>
      <c r="F1203" s="5" t="s">
        <v>1057</v>
      </c>
      <c r="G1203" s="7">
        <v>45862</v>
      </c>
      <c r="H1203" s="5" t="s">
        <v>888</v>
      </c>
    </row>
    <row r="1204" spans="1:8" x14ac:dyDescent="0.35">
      <c r="A1204" s="10">
        <f t="shared" si="18"/>
        <v>1200</v>
      </c>
      <c r="B1204" s="5">
        <v>9326</v>
      </c>
      <c r="C1204" s="5" t="s">
        <v>1639</v>
      </c>
      <c r="D1204" s="5" t="s">
        <v>778</v>
      </c>
      <c r="E1204" s="5" t="s">
        <v>314</v>
      </c>
      <c r="F1204" s="5" t="s">
        <v>315</v>
      </c>
      <c r="G1204" s="7">
        <v>45870</v>
      </c>
      <c r="H1204" s="5" t="s">
        <v>888</v>
      </c>
    </row>
    <row r="1205" spans="1:8" x14ac:dyDescent="0.35">
      <c r="A1205" s="10">
        <f t="shared" si="18"/>
        <v>1201</v>
      </c>
      <c r="B1205" s="5">
        <v>9327</v>
      </c>
      <c r="C1205" s="5" t="s">
        <v>1640</v>
      </c>
      <c r="D1205" s="5" t="s">
        <v>778</v>
      </c>
      <c r="E1205" s="5" t="s">
        <v>314</v>
      </c>
      <c r="F1205" s="5" t="s">
        <v>315</v>
      </c>
      <c r="G1205" s="7">
        <v>45870</v>
      </c>
      <c r="H1205" s="5" t="s">
        <v>888</v>
      </c>
    </row>
    <row r="1206" spans="1:8" x14ac:dyDescent="0.35">
      <c r="A1206" s="10">
        <f t="shared" si="18"/>
        <v>1202</v>
      </c>
      <c r="B1206" s="5">
        <v>9328</v>
      </c>
      <c r="C1206" s="5" t="s">
        <v>1641</v>
      </c>
      <c r="D1206" s="5" t="s">
        <v>455</v>
      </c>
      <c r="E1206" s="5" t="s">
        <v>198</v>
      </c>
      <c r="F1206" s="5" t="s">
        <v>198</v>
      </c>
      <c r="G1206" s="7">
        <v>45870</v>
      </c>
      <c r="H1206" s="5" t="s">
        <v>888</v>
      </c>
    </row>
    <row r="1207" spans="1:8" x14ac:dyDescent="0.35">
      <c r="A1207" s="10">
        <f t="shared" si="18"/>
        <v>1203</v>
      </c>
      <c r="B1207" s="5">
        <v>9329</v>
      </c>
      <c r="C1207" s="5" t="s">
        <v>1642</v>
      </c>
      <c r="D1207" s="5" t="s">
        <v>563</v>
      </c>
      <c r="E1207" s="5" t="s">
        <v>16</v>
      </c>
      <c r="F1207" s="5" t="s">
        <v>141</v>
      </c>
      <c r="G1207" s="7">
        <v>45870</v>
      </c>
      <c r="H1207" s="5" t="s">
        <v>888</v>
      </c>
    </row>
    <row r="1208" spans="1:8" x14ac:dyDescent="0.35">
      <c r="A1208" s="10">
        <f t="shared" si="18"/>
        <v>1204</v>
      </c>
      <c r="B1208" s="5">
        <v>9331</v>
      </c>
      <c r="C1208" s="5" t="s">
        <v>1643</v>
      </c>
      <c r="D1208" s="5" t="s">
        <v>563</v>
      </c>
      <c r="E1208" s="5" t="s">
        <v>16</v>
      </c>
      <c r="F1208" s="5" t="s">
        <v>1183</v>
      </c>
      <c r="G1208" s="7">
        <v>45870</v>
      </c>
      <c r="H1208" s="5" t="s">
        <v>888</v>
      </c>
    </row>
    <row r="1209" spans="1:8" x14ac:dyDescent="0.35">
      <c r="A1209" s="10">
        <f t="shared" si="18"/>
        <v>1205</v>
      </c>
      <c r="B1209" s="5">
        <v>9336</v>
      </c>
      <c r="C1209" s="5" t="s">
        <v>1644</v>
      </c>
      <c r="D1209" s="5" t="s">
        <v>1645</v>
      </c>
      <c r="E1209" s="5" t="s">
        <v>1646</v>
      </c>
      <c r="F1209" s="5" t="s">
        <v>1647</v>
      </c>
      <c r="G1209" s="7">
        <v>45873</v>
      </c>
      <c r="H1209" s="5" t="s">
        <v>888</v>
      </c>
    </row>
    <row r="1210" spans="1:8" x14ac:dyDescent="0.35">
      <c r="A1210" s="10">
        <f t="shared" si="18"/>
        <v>1206</v>
      </c>
      <c r="B1210" s="5">
        <v>9337</v>
      </c>
      <c r="C1210" s="5" t="s">
        <v>1648</v>
      </c>
      <c r="D1210" s="5" t="s">
        <v>1649</v>
      </c>
      <c r="E1210" s="5" t="s">
        <v>769</v>
      </c>
      <c r="F1210" s="5" t="s">
        <v>769</v>
      </c>
      <c r="G1210" s="7">
        <v>45873</v>
      </c>
      <c r="H1210" s="5" t="s">
        <v>1075</v>
      </c>
    </row>
    <row r="1211" spans="1:8" x14ac:dyDescent="0.35">
      <c r="A1211" s="10">
        <f t="shared" si="18"/>
        <v>1207</v>
      </c>
      <c r="B1211" s="5">
        <v>9338</v>
      </c>
      <c r="C1211" s="5" t="s">
        <v>1650</v>
      </c>
      <c r="D1211" s="5" t="s">
        <v>1271</v>
      </c>
      <c r="E1211" s="5" t="s">
        <v>538</v>
      </c>
      <c r="F1211" s="5" t="s">
        <v>538</v>
      </c>
      <c r="G1211" s="7">
        <v>45875</v>
      </c>
      <c r="H1211" s="5" t="s">
        <v>888</v>
      </c>
    </row>
    <row r="1212" spans="1:8" x14ac:dyDescent="0.35">
      <c r="A1212" s="10">
        <f t="shared" si="18"/>
        <v>1208</v>
      </c>
      <c r="B1212" s="5">
        <v>9339</v>
      </c>
      <c r="C1212" s="5" t="s">
        <v>1651</v>
      </c>
      <c r="D1212" s="5" t="s">
        <v>930</v>
      </c>
      <c r="E1212" s="5" t="s">
        <v>561</v>
      </c>
      <c r="F1212" s="5" t="s">
        <v>561</v>
      </c>
      <c r="G1212" s="7">
        <v>45875</v>
      </c>
      <c r="H1212" s="5" t="s">
        <v>888</v>
      </c>
    </row>
    <row r="1213" spans="1:8" x14ac:dyDescent="0.35">
      <c r="A1213" s="10">
        <f t="shared" si="18"/>
        <v>1209</v>
      </c>
      <c r="B1213" s="5">
        <v>9340</v>
      </c>
      <c r="C1213" s="5" t="s">
        <v>1652</v>
      </c>
      <c r="D1213" s="5" t="s">
        <v>455</v>
      </c>
      <c r="E1213" s="5" t="s">
        <v>24</v>
      </c>
      <c r="F1213" s="5" t="s">
        <v>152</v>
      </c>
      <c r="G1213" s="7">
        <v>45870</v>
      </c>
      <c r="H1213" s="5" t="s">
        <v>888</v>
      </c>
    </row>
    <row r="1214" spans="1:8" x14ac:dyDescent="0.35">
      <c r="A1214" s="10">
        <f t="shared" si="18"/>
        <v>1210</v>
      </c>
      <c r="B1214" s="5">
        <v>9343</v>
      </c>
      <c r="C1214" s="5" t="s">
        <v>1656</v>
      </c>
      <c r="D1214" s="5" t="s">
        <v>563</v>
      </c>
      <c r="E1214" s="5" t="s">
        <v>16</v>
      </c>
      <c r="F1214" s="5" t="s">
        <v>825</v>
      </c>
      <c r="G1214" s="7">
        <v>45880</v>
      </c>
      <c r="H1214" s="5" t="s">
        <v>888</v>
      </c>
    </row>
    <row r="1215" spans="1:8" x14ac:dyDescent="0.35">
      <c r="A1215" s="10">
        <f t="shared" si="18"/>
        <v>1211</v>
      </c>
      <c r="B1215" s="5">
        <v>9349</v>
      </c>
      <c r="C1215" s="5" t="s">
        <v>1658</v>
      </c>
      <c r="D1215" s="5" t="s">
        <v>807</v>
      </c>
      <c r="E1215" s="5" t="s">
        <v>87</v>
      </c>
      <c r="F1215" s="5" t="s">
        <v>808</v>
      </c>
      <c r="G1215" s="7">
        <v>45885</v>
      </c>
      <c r="H1215" s="5" t="s">
        <v>888</v>
      </c>
    </row>
    <row r="1216" spans="1:8" x14ac:dyDescent="0.35">
      <c r="A1216" s="10">
        <f t="shared" si="18"/>
        <v>1212</v>
      </c>
      <c r="B1216" s="5">
        <v>9352</v>
      </c>
      <c r="C1216" s="5" t="s">
        <v>1659</v>
      </c>
      <c r="D1216" s="5" t="s">
        <v>1333</v>
      </c>
      <c r="E1216" s="5" t="s">
        <v>16</v>
      </c>
      <c r="F1216" s="5" t="s">
        <v>718</v>
      </c>
      <c r="G1216" s="7">
        <v>45887</v>
      </c>
      <c r="H1216" s="5" t="s">
        <v>1334</v>
      </c>
    </row>
    <row r="1217" spans="1:8" x14ac:dyDescent="0.35">
      <c r="A1217" s="10">
        <f t="shared" si="18"/>
        <v>1213</v>
      </c>
      <c r="B1217" s="5">
        <v>9353</v>
      </c>
      <c r="C1217" s="5" t="s">
        <v>1660</v>
      </c>
      <c r="D1217" s="5" t="s">
        <v>1333</v>
      </c>
      <c r="E1217" s="5" t="s">
        <v>16</v>
      </c>
      <c r="F1217" s="5" t="s">
        <v>656</v>
      </c>
      <c r="G1217" s="7">
        <v>45887</v>
      </c>
      <c r="H1217" s="5" t="s">
        <v>1334</v>
      </c>
    </row>
    <row r="1218" spans="1:8" x14ac:dyDescent="0.35">
      <c r="A1218" s="10">
        <f t="shared" si="18"/>
        <v>1214</v>
      </c>
      <c r="B1218" s="5">
        <v>9354</v>
      </c>
      <c r="C1218" s="5" t="s">
        <v>1661</v>
      </c>
      <c r="D1218" s="5" t="s">
        <v>1333</v>
      </c>
      <c r="E1218" s="5" t="s">
        <v>16</v>
      </c>
      <c r="F1218" s="5" t="s">
        <v>368</v>
      </c>
      <c r="G1218" s="7">
        <v>45887</v>
      </c>
      <c r="H1218" s="5" t="s">
        <v>1334</v>
      </c>
    </row>
    <row r="1219" spans="1:8" x14ac:dyDescent="0.35">
      <c r="A1219" s="10">
        <f t="shared" si="18"/>
        <v>1215</v>
      </c>
      <c r="B1219" s="5">
        <v>9357</v>
      </c>
      <c r="C1219" s="5" t="s">
        <v>1662</v>
      </c>
      <c r="D1219" s="5" t="s">
        <v>669</v>
      </c>
      <c r="E1219" s="5" t="s">
        <v>103</v>
      </c>
      <c r="F1219" s="5" t="s">
        <v>103</v>
      </c>
      <c r="G1219" s="7">
        <v>45896</v>
      </c>
      <c r="H1219" s="5" t="s">
        <v>888</v>
      </c>
    </row>
    <row r="1220" spans="1:8" x14ac:dyDescent="0.35">
      <c r="A1220" s="10">
        <f t="shared" si="18"/>
        <v>1216</v>
      </c>
      <c r="B1220" s="5">
        <v>9358</v>
      </c>
      <c r="C1220" s="5" t="s">
        <v>1663</v>
      </c>
      <c r="D1220" s="5" t="s">
        <v>563</v>
      </c>
      <c r="E1220" s="5" t="s">
        <v>16</v>
      </c>
      <c r="F1220" s="5" t="s">
        <v>238</v>
      </c>
      <c r="G1220" s="7">
        <v>45901</v>
      </c>
      <c r="H1220" s="5" t="s">
        <v>888</v>
      </c>
    </row>
    <row r="1221" spans="1:8" x14ac:dyDescent="0.35">
      <c r="A1221" s="10">
        <f t="shared" si="18"/>
        <v>1217</v>
      </c>
      <c r="B1221" s="5">
        <v>9360</v>
      </c>
      <c r="C1221" s="5" t="s">
        <v>1664</v>
      </c>
      <c r="D1221" s="5" t="s">
        <v>733</v>
      </c>
      <c r="E1221" s="5" t="s">
        <v>165</v>
      </c>
      <c r="F1221" s="5" t="s">
        <v>165</v>
      </c>
      <c r="G1221" s="7">
        <v>45901</v>
      </c>
      <c r="H1221" s="5" t="s">
        <v>13</v>
      </c>
    </row>
    <row r="1222" spans="1:8" x14ac:dyDescent="0.35">
      <c r="A1222" s="10">
        <f t="shared" ref="A1222:A1285" si="19">+A1221+1</f>
        <v>1218</v>
      </c>
      <c r="B1222" s="5">
        <v>9361</v>
      </c>
      <c r="C1222" s="5" t="s">
        <v>1665</v>
      </c>
      <c r="D1222" s="5" t="s">
        <v>669</v>
      </c>
      <c r="E1222" s="5" t="s">
        <v>103</v>
      </c>
      <c r="F1222" s="5" t="s">
        <v>103</v>
      </c>
      <c r="G1222" s="7">
        <v>45901</v>
      </c>
      <c r="H1222" s="5" t="s">
        <v>888</v>
      </c>
    </row>
    <row r="1223" spans="1:8" x14ac:dyDescent="0.35">
      <c r="A1223" s="10">
        <f t="shared" si="19"/>
        <v>1219</v>
      </c>
      <c r="B1223" s="5">
        <v>9362</v>
      </c>
      <c r="C1223" s="5" t="s">
        <v>1666</v>
      </c>
      <c r="D1223" s="5" t="s">
        <v>1333</v>
      </c>
      <c r="E1223" s="5" t="s">
        <v>16</v>
      </c>
      <c r="F1223" s="5" t="s">
        <v>1124</v>
      </c>
      <c r="G1223" s="7">
        <v>45901</v>
      </c>
      <c r="H1223" s="5" t="s">
        <v>1334</v>
      </c>
    </row>
    <row r="1224" spans="1:8" x14ac:dyDescent="0.35">
      <c r="A1224" s="10">
        <f t="shared" si="19"/>
        <v>1220</v>
      </c>
      <c r="B1224" s="5">
        <v>9364</v>
      </c>
      <c r="C1224" s="5" t="s">
        <v>1667</v>
      </c>
      <c r="D1224" s="5" t="s">
        <v>830</v>
      </c>
      <c r="E1224" s="5" t="s">
        <v>35</v>
      </c>
      <c r="F1224" s="5" t="s">
        <v>36</v>
      </c>
      <c r="G1224" s="7">
        <v>45901</v>
      </c>
      <c r="H1224" s="5" t="s">
        <v>888</v>
      </c>
    </row>
    <row r="1225" spans="1:8" x14ac:dyDescent="0.35">
      <c r="A1225" s="10">
        <f t="shared" si="19"/>
        <v>1221</v>
      </c>
      <c r="B1225" s="5">
        <v>9365</v>
      </c>
      <c r="C1225" s="5" t="s">
        <v>1668</v>
      </c>
      <c r="D1225" s="5" t="s">
        <v>563</v>
      </c>
      <c r="E1225" s="5" t="s">
        <v>16</v>
      </c>
      <c r="F1225" s="5" t="s">
        <v>992</v>
      </c>
      <c r="G1225" s="7">
        <v>45908</v>
      </c>
      <c r="H1225" s="5" t="s">
        <v>888</v>
      </c>
    </row>
    <row r="1226" spans="1:8" x14ac:dyDescent="0.35">
      <c r="A1226" s="10">
        <f t="shared" si="19"/>
        <v>1222</v>
      </c>
      <c r="B1226" s="5">
        <v>9366</v>
      </c>
      <c r="C1226" s="5" t="s">
        <v>1669</v>
      </c>
      <c r="D1226" s="5" t="s">
        <v>1333</v>
      </c>
      <c r="E1226" s="5" t="s">
        <v>16</v>
      </c>
      <c r="F1226" s="5" t="s">
        <v>589</v>
      </c>
      <c r="G1226" s="7">
        <v>45908</v>
      </c>
      <c r="H1226" s="5" t="s">
        <v>1334</v>
      </c>
    </row>
    <row r="1227" spans="1:8" x14ac:dyDescent="0.35">
      <c r="A1227" s="10">
        <f t="shared" si="19"/>
        <v>1223</v>
      </c>
      <c r="B1227" s="5">
        <v>9367</v>
      </c>
      <c r="C1227" s="5" t="s">
        <v>1670</v>
      </c>
      <c r="D1227" s="5" t="s">
        <v>563</v>
      </c>
      <c r="E1227" s="5" t="s">
        <v>16</v>
      </c>
      <c r="F1227" s="5" t="s">
        <v>368</v>
      </c>
      <c r="G1227" s="7">
        <v>45908</v>
      </c>
      <c r="H1227" s="5" t="s">
        <v>888</v>
      </c>
    </row>
    <row r="1228" spans="1:8" x14ac:dyDescent="0.35">
      <c r="A1228" s="10">
        <f t="shared" si="19"/>
        <v>1224</v>
      </c>
      <c r="B1228" s="5">
        <v>9378</v>
      </c>
      <c r="C1228" s="5" t="s">
        <v>1671</v>
      </c>
      <c r="D1228" s="5" t="s">
        <v>1333</v>
      </c>
      <c r="E1228" s="5" t="s">
        <v>16</v>
      </c>
      <c r="F1228" s="5" t="s">
        <v>1124</v>
      </c>
      <c r="G1228" s="7">
        <v>45915</v>
      </c>
      <c r="H1228" s="5" t="s">
        <v>1334</v>
      </c>
    </row>
    <row r="1229" spans="1:8" x14ac:dyDescent="0.35">
      <c r="A1229" s="10">
        <f t="shared" si="19"/>
        <v>1225</v>
      </c>
      <c r="B1229" s="5">
        <v>9379</v>
      </c>
      <c r="C1229" s="5" t="s">
        <v>1672</v>
      </c>
      <c r="D1229" s="5" t="s">
        <v>1333</v>
      </c>
      <c r="E1229" s="5" t="s">
        <v>16</v>
      </c>
      <c r="F1229" s="5" t="s">
        <v>711</v>
      </c>
      <c r="G1229" s="7">
        <v>45915</v>
      </c>
      <c r="H1229" s="5" t="s">
        <v>1334</v>
      </c>
    </row>
    <row r="1230" spans="1:8" x14ac:dyDescent="0.35">
      <c r="A1230" s="10">
        <f t="shared" si="19"/>
        <v>1226</v>
      </c>
      <c r="B1230" s="5">
        <v>9380</v>
      </c>
      <c r="C1230" s="5" t="s">
        <v>1673</v>
      </c>
      <c r="D1230" s="5" t="s">
        <v>1333</v>
      </c>
      <c r="E1230" s="5" t="s">
        <v>16</v>
      </c>
      <c r="F1230" s="5" t="s">
        <v>144</v>
      </c>
      <c r="G1230" s="7">
        <v>45915</v>
      </c>
      <c r="H1230" s="5" t="s">
        <v>1334</v>
      </c>
    </row>
    <row r="1231" spans="1:8" x14ac:dyDescent="0.35">
      <c r="A1231" s="10">
        <f t="shared" si="19"/>
        <v>1227</v>
      </c>
      <c r="B1231" s="5">
        <v>9381</v>
      </c>
      <c r="C1231" s="5" t="s">
        <v>1674</v>
      </c>
      <c r="D1231" s="5" t="s">
        <v>563</v>
      </c>
      <c r="E1231" s="5" t="s">
        <v>16</v>
      </c>
      <c r="F1231" s="5" t="s">
        <v>992</v>
      </c>
      <c r="G1231" s="7">
        <v>45915</v>
      </c>
      <c r="H1231" s="5" t="s">
        <v>888</v>
      </c>
    </row>
    <row r="1232" spans="1:8" x14ac:dyDescent="0.35">
      <c r="A1232" s="10">
        <f t="shared" si="19"/>
        <v>1228</v>
      </c>
      <c r="B1232" s="5">
        <v>9382</v>
      </c>
      <c r="C1232" s="5" t="s">
        <v>1675</v>
      </c>
      <c r="D1232" s="5" t="s">
        <v>1333</v>
      </c>
      <c r="E1232" s="5" t="s">
        <v>16</v>
      </c>
      <c r="F1232" s="5" t="s">
        <v>497</v>
      </c>
      <c r="G1232" s="7">
        <v>45915</v>
      </c>
      <c r="H1232" s="5" t="s">
        <v>1334</v>
      </c>
    </row>
    <row r="1233" spans="1:8" x14ac:dyDescent="0.35">
      <c r="A1233" s="10">
        <f t="shared" si="19"/>
        <v>1229</v>
      </c>
      <c r="B1233" s="5">
        <v>9385</v>
      </c>
      <c r="C1233" s="5" t="s">
        <v>1676</v>
      </c>
      <c r="D1233" s="5" t="s">
        <v>669</v>
      </c>
      <c r="E1233" s="5" t="s">
        <v>103</v>
      </c>
      <c r="F1233" s="5" t="s">
        <v>103</v>
      </c>
      <c r="G1233" s="7">
        <v>45915</v>
      </c>
      <c r="H1233" s="5" t="s">
        <v>888</v>
      </c>
    </row>
    <row r="1234" spans="1:8" x14ac:dyDescent="0.35">
      <c r="A1234" s="10">
        <f t="shared" si="19"/>
        <v>1230</v>
      </c>
      <c r="B1234" s="5">
        <v>9387</v>
      </c>
      <c r="C1234" s="5" t="s">
        <v>1677</v>
      </c>
      <c r="D1234" s="5" t="s">
        <v>1678</v>
      </c>
      <c r="E1234" s="5" t="s">
        <v>631</v>
      </c>
      <c r="F1234" s="5" t="s">
        <v>632</v>
      </c>
      <c r="G1234" s="7">
        <v>45915</v>
      </c>
      <c r="H1234" s="5" t="s">
        <v>888</v>
      </c>
    </row>
    <row r="1235" spans="1:8" x14ac:dyDescent="0.35">
      <c r="A1235" s="10">
        <f t="shared" si="19"/>
        <v>1231</v>
      </c>
      <c r="B1235" s="5">
        <v>9388</v>
      </c>
      <c r="C1235" s="5" t="s">
        <v>1679</v>
      </c>
      <c r="D1235" s="5" t="s">
        <v>488</v>
      </c>
      <c r="E1235" s="5" t="s">
        <v>94</v>
      </c>
      <c r="F1235" s="5" t="s">
        <v>94</v>
      </c>
      <c r="G1235" s="7">
        <v>45918</v>
      </c>
      <c r="H1235" s="5" t="s">
        <v>888</v>
      </c>
    </row>
    <row r="1236" spans="1:8" x14ac:dyDescent="0.35">
      <c r="A1236" s="10">
        <f t="shared" si="19"/>
        <v>1232</v>
      </c>
      <c r="B1236" s="5">
        <v>9391</v>
      </c>
      <c r="C1236" s="5" t="s">
        <v>1680</v>
      </c>
      <c r="D1236" s="5" t="s">
        <v>669</v>
      </c>
      <c r="E1236" s="5" t="s">
        <v>103</v>
      </c>
      <c r="F1236" s="5" t="s">
        <v>103</v>
      </c>
      <c r="G1236" s="7">
        <v>45922</v>
      </c>
      <c r="H1236" s="5" t="s">
        <v>888</v>
      </c>
    </row>
    <row r="1237" spans="1:8" x14ac:dyDescent="0.35">
      <c r="A1237" s="10">
        <f t="shared" si="19"/>
        <v>1233</v>
      </c>
      <c r="B1237" s="5">
        <v>9393</v>
      </c>
      <c r="C1237" s="5" t="s">
        <v>1681</v>
      </c>
      <c r="D1237" s="5" t="s">
        <v>21</v>
      </c>
      <c r="E1237" s="5" t="s">
        <v>950</v>
      </c>
      <c r="F1237" s="5" t="s">
        <v>950</v>
      </c>
      <c r="G1237" s="7">
        <v>45922</v>
      </c>
      <c r="H1237" s="5" t="s">
        <v>888</v>
      </c>
    </row>
    <row r="1238" spans="1:8" x14ac:dyDescent="0.35">
      <c r="A1238" s="10">
        <f t="shared" si="19"/>
        <v>1234</v>
      </c>
      <c r="B1238" s="5">
        <v>9394</v>
      </c>
      <c r="C1238" s="5" t="s">
        <v>1682</v>
      </c>
      <c r="D1238" s="5" t="s">
        <v>563</v>
      </c>
      <c r="E1238" s="5" t="s">
        <v>16</v>
      </c>
      <c r="F1238" s="5" t="s">
        <v>1057</v>
      </c>
      <c r="G1238" s="7">
        <v>45922</v>
      </c>
      <c r="H1238" s="5" t="s">
        <v>888</v>
      </c>
    </row>
    <row r="1239" spans="1:8" x14ac:dyDescent="0.35">
      <c r="A1239" s="10">
        <f t="shared" si="19"/>
        <v>1235</v>
      </c>
      <c r="B1239" s="5">
        <v>9395</v>
      </c>
      <c r="C1239" s="5" t="s">
        <v>1683</v>
      </c>
      <c r="D1239" s="5" t="s">
        <v>563</v>
      </c>
      <c r="E1239" s="5" t="s">
        <v>16</v>
      </c>
      <c r="F1239" s="5" t="s">
        <v>483</v>
      </c>
      <c r="G1239" s="7">
        <v>45922</v>
      </c>
      <c r="H1239" s="5" t="s">
        <v>888</v>
      </c>
    </row>
    <row r="1240" spans="1:8" x14ac:dyDescent="0.35">
      <c r="A1240" s="10">
        <f t="shared" si="19"/>
        <v>1236</v>
      </c>
      <c r="B1240" s="5">
        <v>9402</v>
      </c>
      <c r="C1240" s="5" t="s">
        <v>1684</v>
      </c>
      <c r="D1240" s="5" t="s">
        <v>1333</v>
      </c>
      <c r="E1240" s="5" t="s">
        <v>16</v>
      </c>
      <c r="F1240" s="5" t="s">
        <v>947</v>
      </c>
      <c r="G1240" s="7">
        <v>45933</v>
      </c>
      <c r="H1240" s="5" t="s">
        <v>1334</v>
      </c>
    </row>
    <row r="1241" spans="1:8" x14ac:dyDescent="0.35">
      <c r="A1241" s="10">
        <f t="shared" si="19"/>
        <v>1237</v>
      </c>
      <c r="B1241" s="5">
        <v>9403</v>
      </c>
      <c r="C1241" s="5" t="s">
        <v>1685</v>
      </c>
      <c r="D1241" s="5" t="s">
        <v>563</v>
      </c>
      <c r="E1241" s="5" t="s">
        <v>16</v>
      </c>
      <c r="F1241" s="5" t="s">
        <v>141</v>
      </c>
      <c r="G1241" s="7">
        <v>45933</v>
      </c>
      <c r="H1241" s="5" t="s">
        <v>888</v>
      </c>
    </row>
    <row r="1242" spans="1:8" x14ac:dyDescent="0.35">
      <c r="A1242" s="10">
        <f t="shared" si="19"/>
        <v>1238</v>
      </c>
      <c r="B1242" s="5">
        <v>9404</v>
      </c>
      <c r="C1242" s="5" t="s">
        <v>1686</v>
      </c>
      <c r="D1242" s="5" t="s">
        <v>563</v>
      </c>
      <c r="E1242" s="5" t="s">
        <v>16</v>
      </c>
      <c r="F1242" s="5" t="s">
        <v>480</v>
      </c>
      <c r="G1242" s="7">
        <v>45933</v>
      </c>
      <c r="H1242" s="5" t="s">
        <v>888</v>
      </c>
    </row>
    <row r="1243" spans="1:8" x14ac:dyDescent="0.35">
      <c r="A1243" s="10">
        <f t="shared" si="19"/>
        <v>1239</v>
      </c>
      <c r="B1243" s="5">
        <v>9405</v>
      </c>
      <c r="C1243" s="5" t="s">
        <v>1687</v>
      </c>
      <c r="D1243" s="5" t="s">
        <v>563</v>
      </c>
      <c r="E1243" s="5" t="s">
        <v>16</v>
      </c>
      <c r="F1243" s="5" t="s">
        <v>992</v>
      </c>
      <c r="G1243" s="7">
        <v>45933</v>
      </c>
      <c r="H1243" s="5" t="s">
        <v>888</v>
      </c>
    </row>
    <row r="1244" spans="1:8" x14ac:dyDescent="0.35">
      <c r="A1244" s="10">
        <f t="shared" si="19"/>
        <v>1240</v>
      </c>
      <c r="B1244" s="5">
        <v>9408</v>
      </c>
      <c r="C1244" s="5" t="s">
        <v>1688</v>
      </c>
      <c r="D1244" s="5" t="s">
        <v>563</v>
      </c>
      <c r="E1244" s="5" t="s">
        <v>16</v>
      </c>
      <c r="F1244" s="5" t="s">
        <v>955</v>
      </c>
      <c r="G1244" s="7">
        <v>45933</v>
      </c>
      <c r="H1244" s="5" t="s">
        <v>888</v>
      </c>
    </row>
    <row r="1245" spans="1:8" x14ac:dyDescent="0.35">
      <c r="A1245" s="10">
        <f t="shared" si="19"/>
        <v>1241</v>
      </c>
      <c r="B1245" s="5">
        <v>9409</v>
      </c>
      <c r="C1245" s="5" t="s">
        <v>1689</v>
      </c>
      <c r="D1245" s="5" t="s">
        <v>563</v>
      </c>
      <c r="E1245" s="5" t="s">
        <v>16</v>
      </c>
      <c r="F1245" s="5" t="s">
        <v>1224</v>
      </c>
      <c r="G1245" s="7">
        <v>45933</v>
      </c>
      <c r="H1245" s="5" t="s">
        <v>888</v>
      </c>
    </row>
    <row r="1246" spans="1:8" x14ac:dyDescent="0.35">
      <c r="A1246" s="10">
        <f t="shared" si="19"/>
        <v>1242</v>
      </c>
      <c r="B1246" s="5">
        <v>9410</v>
      </c>
      <c r="C1246" s="5" t="s">
        <v>1690</v>
      </c>
      <c r="D1246" s="5" t="s">
        <v>455</v>
      </c>
      <c r="E1246" s="5" t="s">
        <v>68</v>
      </c>
      <c r="F1246" s="5" t="s">
        <v>254</v>
      </c>
      <c r="G1246" s="7">
        <v>45931</v>
      </c>
      <c r="H1246" s="5" t="s">
        <v>888</v>
      </c>
    </row>
    <row r="1247" spans="1:8" x14ac:dyDescent="0.35">
      <c r="A1247" s="10">
        <f t="shared" si="19"/>
        <v>1243</v>
      </c>
      <c r="B1247" s="5">
        <v>9412</v>
      </c>
      <c r="C1247" s="5" t="s">
        <v>1069</v>
      </c>
      <c r="D1247" s="5" t="s">
        <v>455</v>
      </c>
      <c r="E1247" s="5" t="s">
        <v>68</v>
      </c>
      <c r="F1247" s="5" t="s">
        <v>254</v>
      </c>
      <c r="G1247" s="7">
        <v>45931</v>
      </c>
      <c r="H1247" s="5" t="s">
        <v>888</v>
      </c>
    </row>
    <row r="1248" spans="1:8" x14ac:dyDescent="0.35">
      <c r="A1248" s="10">
        <f t="shared" si="19"/>
        <v>1244</v>
      </c>
      <c r="B1248" s="5">
        <v>9414</v>
      </c>
      <c r="C1248" s="5" t="s">
        <v>1691</v>
      </c>
      <c r="D1248" s="5" t="s">
        <v>733</v>
      </c>
      <c r="E1248" s="5" t="s">
        <v>165</v>
      </c>
      <c r="F1248" s="5" t="s">
        <v>165</v>
      </c>
      <c r="G1248" s="7">
        <v>45936</v>
      </c>
      <c r="H1248" s="5" t="s">
        <v>1075</v>
      </c>
    </row>
    <row r="1249" spans="1:8" x14ac:dyDescent="0.35">
      <c r="A1249" s="10">
        <f t="shared" si="19"/>
        <v>1245</v>
      </c>
      <c r="B1249" s="5">
        <v>9415</v>
      </c>
      <c r="C1249" s="5" t="s">
        <v>1692</v>
      </c>
      <c r="D1249" s="5" t="s">
        <v>455</v>
      </c>
      <c r="E1249" s="5" t="s">
        <v>68</v>
      </c>
      <c r="F1249" s="5" t="s">
        <v>254</v>
      </c>
      <c r="G1249" s="7">
        <v>45931</v>
      </c>
      <c r="H1249" s="5" t="s">
        <v>888</v>
      </c>
    </row>
    <row r="1250" spans="1:8" x14ac:dyDescent="0.35">
      <c r="A1250" s="10">
        <f t="shared" si="19"/>
        <v>1246</v>
      </c>
      <c r="B1250" s="5">
        <v>9416</v>
      </c>
      <c r="C1250" s="5" t="s">
        <v>1693</v>
      </c>
      <c r="D1250" s="5" t="s">
        <v>807</v>
      </c>
      <c r="E1250" s="5" t="s">
        <v>87</v>
      </c>
      <c r="F1250" s="5" t="s">
        <v>808</v>
      </c>
      <c r="G1250" s="7">
        <v>45931</v>
      </c>
      <c r="H1250" s="5" t="s">
        <v>888</v>
      </c>
    </row>
    <row r="1251" spans="1:8" x14ac:dyDescent="0.35">
      <c r="A1251" s="10">
        <f t="shared" si="19"/>
        <v>1247</v>
      </c>
      <c r="B1251" s="5">
        <v>9417</v>
      </c>
      <c r="C1251" s="5" t="s">
        <v>1694</v>
      </c>
      <c r="D1251" s="5" t="s">
        <v>1458</v>
      </c>
      <c r="E1251" s="5" t="s">
        <v>1459</v>
      </c>
      <c r="F1251" s="5" t="s">
        <v>1460</v>
      </c>
      <c r="G1251" s="7">
        <v>45943</v>
      </c>
      <c r="H1251" s="5" t="s">
        <v>888</v>
      </c>
    </row>
    <row r="1252" spans="1:8" x14ac:dyDescent="0.35">
      <c r="A1252" s="10">
        <f t="shared" si="19"/>
        <v>1248</v>
      </c>
      <c r="B1252" s="5">
        <v>9418</v>
      </c>
      <c r="C1252" s="5" t="s">
        <v>1695</v>
      </c>
      <c r="D1252" s="5" t="s">
        <v>669</v>
      </c>
      <c r="E1252" s="5" t="s">
        <v>103</v>
      </c>
      <c r="F1252" s="5" t="s">
        <v>103</v>
      </c>
      <c r="G1252" s="7">
        <v>45943</v>
      </c>
      <c r="H1252" s="5" t="s">
        <v>888</v>
      </c>
    </row>
    <row r="1253" spans="1:8" x14ac:dyDescent="0.35">
      <c r="A1253" s="10">
        <f t="shared" si="19"/>
        <v>1249</v>
      </c>
      <c r="B1253" s="5">
        <v>9419</v>
      </c>
      <c r="C1253" s="5" t="s">
        <v>1696</v>
      </c>
      <c r="D1253" s="5" t="s">
        <v>669</v>
      </c>
      <c r="E1253" s="5" t="s">
        <v>103</v>
      </c>
      <c r="F1253" s="5" t="s">
        <v>103</v>
      </c>
      <c r="G1253" s="7">
        <v>45943</v>
      </c>
      <c r="H1253" s="5" t="s">
        <v>888</v>
      </c>
    </row>
    <row r="1254" spans="1:8" x14ac:dyDescent="0.35">
      <c r="A1254" s="10">
        <f t="shared" si="19"/>
        <v>1250</v>
      </c>
      <c r="B1254" s="5">
        <v>9421</v>
      </c>
      <c r="C1254" s="5" t="s">
        <v>1697</v>
      </c>
      <c r="D1254" s="5" t="s">
        <v>563</v>
      </c>
      <c r="E1254" s="5" t="s">
        <v>16</v>
      </c>
      <c r="F1254" s="5" t="s">
        <v>850</v>
      </c>
      <c r="G1254" s="7">
        <v>45945</v>
      </c>
      <c r="H1254" s="5" t="s">
        <v>888</v>
      </c>
    </row>
    <row r="1255" spans="1:8" x14ac:dyDescent="0.35">
      <c r="A1255" s="10">
        <f t="shared" si="19"/>
        <v>1251</v>
      </c>
      <c r="B1255" s="5">
        <v>9422</v>
      </c>
      <c r="C1255" s="5" t="s">
        <v>1698</v>
      </c>
      <c r="D1255" s="5" t="s">
        <v>693</v>
      </c>
      <c r="E1255" s="5" t="s">
        <v>181</v>
      </c>
      <c r="F1255" s="5" t="s">
        <v>181</v>
      </c>
      <c r="G1255" s="7">
        <v>45945</v>
      </c>
      <c r="H1255" s="5" t="s">
        <v>1075</v>
      </c>
    </row>
    <row r="1256" spans="1:8" x14ac:dyDescent="0.35">
      <c r="A1256" s="10">
        <f t="shared" si="19"/>
        <v>1252</v>
      </c>
      <c r="B1256" s="5">
        <v>9423</v>
      </c>
      <c r="C1256" s="5" t="s">
        <v>1699</v>
      </c>
      <c r="D1256" s="5" t="s">
        <v>563</v>
      </c>
      <c r="E1256" s="5" t="s">
        <v>16</v>
      </c>
      <c r="F1256" s="5" t="s">
        <v>850</v>
      </c>
      <c r="G1256" s="7">
        <v>45945</v>
      </c>
      <c r="H1256" s="5" t="s">
        <v>888</v>
      </c>
    </row>
    <row r="1257" spans="1:8" x14ac:dyDescent="0.35">
      <c r="A1257" s="10">
        <f t="shared" si="19"/>
        <v>1253</v>
      </c>
      <c r="B1257" s="5">
        <v>9426</v>
      </c>
      <c r="C1257" s="5" t="s">
        <v>1700</v>
      </c>
      <c r="D1257" s="5" t="s">
        <v>563</v>
      </c>
      <c r="E1257" s="5" t="s">
        <v>16</v>
      </c>
      <c r="F1257" s="5" t="s">
        <v>955</v>
      </c>
      <c r="G1257" s="7">
        <v>45945</v>
      </c>
      <c r="H1257" s="5" t="s">
        <v>888</v>
      </c>
    </row>
    <row r="1258" spans="1:8" x14ac:dyDescent="0.35">
      <c r="A1258" s="10">
        <f t="shared" si="19"/>
        <v>1254</v>
      </c>
      <c r="B1258" s="5">
        <v>9431</v>
      </c>
      <c r="C1258" s="5" t="s">
        <v>1701</v>
      </c>
      <c r="D1258" s="5" t="s">
        <v>1702</v>
      </c>
      <c r="E1258" s="5" t="s">
        <v>505</v>
      </c>
      <c r="F1258" s="5" t="s">
        <v>505</v>
      </c>
      <c r="G1258" s="7">
        <v>45946</v>
      </c>
      <c r="H1258" s="5" t="s">
        <v>1075</v>
      </c>
    </row>
    <row r="1259" spans="1:8" x14ac:dyDescent="0.35">
      <c r="A1259" s="10">
        <f t="shared" si="19"/>
        <v>1255</v>
      </c>
      <c r="B1259" s="5">
        <v>9432</v>
      </c>
      <c r="C1259" s="5" t="s">
        <v>1703</v>
      </c>
      <c r="D1259" s="5" t="s">
        <v>1373</v>
      </c>
      <c r="E1259" s="5" t="s">
        <v>263</v>
      </c>
      <c r="F1259" s="5" t="s">
        <v>1374</v>
      </c>
      <c r="G1259" s="7">
        <v>45951</v>
      </c>
      <c r="H1259" s="5" t="s">
        <v>888</v>
      </c>
    </row>
    <row r="1260" spans="1:8" x14ac:dyDescent="0.35">
      <c r="A1260" s="10">
        <f t="shared" si="19"/>
        <v>1256</v>
      </c>
      <c r="B1260" s="5">
        <v>9434</v>
      </c>
      <c r="C1260" s="5" t="s">
        <v>1704</v>
      </c>
      <c r="D1260" s="5" t="s">
        <v>21</v>
      </c>
      <c r="E1260" s="5" t="s">
        <v>198</v>
      </c>
      <c r="F1260" s="5" t="s">
        <v>198</v>
      </c>
      <c r="G1260" s="7">
        <v>45951</v>
      </c>
      <c r="H1260" s="5" t="s">
        <v>888</v>
      </c>
    </row>
    <row r="1261" spans="1:8" x14ac:dyDescent="0.35">
      <c r="A1261" s="10">
        <f t="shared" si="19"/>
        <v>1257</v>
      </c>
      <c r="B1261" s="5">
        <v>9436</v>
      </c>
      <c r="C1261" s="5" t="s">
        <v>1705</v>
      </c>
      <c r="D1261" s="5" t="s">
        <v>733</v>
      </c>
      <c r="E1261" s="5" t="s">
        <v>165</v>
      </c>
      <c r="F1261" s="5" t="s">
        <v>165</v>
      </c>
      <c r="G1261" s="7">
        <v>45952</v>
      </c>
      <c r="H1261" s="5" t="s">
        <v>888</v>
      </c>
    </row>
    <row r="1262" spans="1:8" x14ac:dyDescent="0.35">
      <c r="A1262" s="10">
        <f t="shared" si="19"/>
        <v>1258</v>
      </c>
      <c r="B1262" s="5">
        <v>9437</v>
      </c>
      <c r="C1262" s="5" t="s">
        <v>1706</v>
      </c>
      <c r="D1262" s="5" t="s">
        <v>797</v>
      </c>
      <c r="E1262" s="5" t="s">
        <v>1646</v>
      </c>
      <c r="F1262" s="5" t="s">
        <v>1647</v>
      </c>
      <c r="G1262" s="7">
        <v>45953</v>
      </c>
      <c r="H1262" s="5" t="s">
        <v>888</v>
      </c>
    </row>
    <row r="1263" spans="1:8" x14ac:dyDescent="0.35">
      <c r="A1263" s="10">
        <f t="shared" si="19"/>
        <v>1259</v>
      </c>
      <c r="B1263" s="5">
        <v>9438</v>
      </c>
      <c r="C1263" s="5" t="s">
        <v>1707</v>
      </c>
      <c r="D1263" s="5" t="s">
        <v>21</v>
      </c>
      <c r="E1263" s="5" t="s">
        <v>117</v>
      </c>
      <c r="F1263" s="5" t="s">
        <v>176</v>
      </c>
      <c r="G1263" s="7">
        <v>45954</v>
      </c>
      <c r="H1263" s="5" t="s">
        <v>1075</v>
      </c>
    </row>
    <row r="1264" spans="1:8" x14ac:dyDescent="0.35">
      <c r="A1264" s="10">
        <f t="shared" si="19"/>
        <v>1260</v>
      </c>
      <c r="B1264" s="5">
        <v>9439</v>
      </c>
      <c r="C1264" s="5" t="s">
        <v>1708</v>
      </c>
      <c r="D1264" s="5" t="s">
        <v>1709</v>
      </c>
      <c r="E1264" s="5" t="s">
        <v>1710</v>
      </c>
      <c r="F1264" s="5" t="s">
        <v>57</v>
      </c>
      <c r="G1264" s="7">
        <v>45955</v>
      </c>
      <c r="H1264" s="5" t="s">
        <v>1075</v>
      </c>
    </row>
    <row r="1265" spans="1:8" x14ac:dyDescent="0.35">
      <c r="A1265" s="10">
        <f t="shared" si="19"/>
        <v>1261</v>
      </c>
      <c r="B1265" s="5">
        <v>9440</v>
      </c>
      <c r="C1265" s="5" t="s">
        <v>1711</v>
      </c>
      <c r="D1265" s="5" t="s">
        <v>488</v>
      </c>
      <c r="E1265" s="5" t="s">
        <v>94</v>
      </c>
      <c r="F1265" s="5" t="s">
        <v>94</v>
      </c>
      <c r="G1265" s="7">
        <v>45962</v>
      </c>
      <c r="H1265" s="5" t="s">
        <v>888</v>
      </c>
    </row>
    <row r="1266" spans="1:8" x14ac:dyDescent="0.35">
      <c r="A1266" s="10">
        <f t="shared" si="19"/>
        <v>1262</v>
      </c>
      <c r="B1266" s="5">
        <v>9442</v>
      </c>
      <c r="C1266" s="5" t="s">
        <v>1714</v>
      </c>
      <c r="D1266" s="5" t="s">
        <v>563</v>
      </c>
      <c r="E1266" s="5" t="s">
        <v>16</v>
      </c>
      <c r="F1266" s="5" t="s">
        <v>817</v>
      </c>
      <c r="G1266" s="7">
        <v>45964</v>
      </c>
      <c r="H1266" s="5" t="s">
        <v>888</v>
      </c>
    </row>
    <row r="1267" spans="1:8" x14ac:dyDescent="0.35">
      <c r="A1267" s="10">
        <f t="shared" si="19"/>
        <v>1263</v>
      </c>
      <c r="B1267" s="5">
        <v>9448</v>
      </c>
      <c r="C1267" s="5" t="s">
        <v>1715</v>
      </c>
      <c r="D1267" s="5" t="s">
        <v>1333</v>
      </c>
      <c r="E1267" s="5" t="s">
        <v>16</v>
      </c>
      <c r="F1267" s="5" t="s">
        <v>718</v>
      </c>
      <c r="G1267" s="7">
        <v>45964</v>
      </c>
      <c r="H1267" s="5" t="s">
        <v>1334</v>
      </c>
    </row>
    <row r="1268" spans="1:8" x14ac:dyDescent="0.35">
      <c r="A1268" s="10">
        <f t="shared" si="19"/>
        <v>1264</v>
      </c>
      <c r="B1268" s="5">
        <v>9450</v>
      </c>
      <c r="C1268" s="5" t="s">
        <v>1716</v>
      </c>
      <c r="D1268" s="5" t="s">
        <v>576</v>
      </c>
      <c r="E1268" s="5" t="s">
        <v>24</v>
      </c>
      <c r="F1268" s="5" t="s">
        <v>24</v>
      </c>
      <c r="G1268" s="7">
        <v>45966</v>
      </c>
      <c r="H1268" s="5" t="s">
        <v>1075</v>
      </c>
    </row>
    <row r="1269" spans="1:8" x14ac:dyDescent="0.35">
      <c r="A1269" s="10">
        <f t="shared" si="19"/>
        <v>1265</v>
      </c>
      <c r="B1269" s="5">
        <v>9451</v>
      </c>
      <c r="C1269" s="5" t="s">
        <v>1717</v>
      </c>
      <c r="D1269" s="5" t="s">
        <v>488</v>
      </c>
      <c r="E1269" s="5" t="s">
        <v>228</v>
      </c>
      <c r="F1269" s="5" t="s">
        <v>228</v>
      </c>
      <c r="G1269" s="7">
        <v>45971</v>
      </c>
      <c r="H1269" s="5" t="s">
        <v>888</v>
      </c>
    </row>
    <row r="1270" spans="1:8" x14ac:dyDescent="0.35">
      <c r="A1270" s="10">
        <f t="shared" si="19"/>
        <v>1266</v>
      </c>
      <c r="B1270" s="5">
        <v>9452</v>
      </c>
      <c r="C1270" s="5" t="s">
        <v>1718</v>
      </c>
      <c r="D1270" s="5" t="s">
        <v>488</v>
      </c>
      <c r="E1270" s="5" t="s">
        <v>228</v>
      </c>
      <c r="F1270" s="5" t="s">
        <v>228</v>
      </c>
      <c r="G1270" s="7">
        <v>45971</v>
      </c>
      <c r="H1270" s="5" t="s">
        <v>888</v>
      </c>
    </row>
    <row r="1271" spans="1:8" x14ac:dyDescent="0.35">
      <c r="A1271" s="10">
        <f t="shared" si="19"/>
        <v>1267</v>
      </c>
      <c r="B1271" s="5">
        <v>9453</v>
      </c>
      <c r="C1271" s="5" t="s">
        <v>1719</v>
      </c>
      <c r="D1271" s="5" t="s">
        <v>563</v>
      </c>
      <c r="E1271" s="5" t="s">
        <v>16</v>
      </c>
      <c r="F1271" s="5" t="s">
        <v>990</v>
      </c>
      <c r="G1271" s="7">
        <v>45971</v>
      </c>
      <c r="H1271" s="5" t="s">
        <v>888</v>
      </c>
    </row>
    <row r="1272" spans="1:8" x14ac:dyDescent="0.35">
      <c r="A1272" s="10">
        <f t="shared" si="19"/>
        <v>1268</v>
      </c>
      <c r="B1272" s="5">
        <v>9455</v>
      </c>
      <c r="C1272" s="5" t="s">
        <v>1720</v>
      </c>
      <c r="D1272" s="5" t="s">
        <v>488</v>
      </c>
      <c r="E1272" s="5" t="s">
        <v>228</v>
      </c>
      <c r="F1272" s="5" t="s">
        <v>228</v>
      </c>
      <c r="G1272" s="7">
        <v>45973</v>
      </c>
      <c r="H1272" s="5" t="s">
        <v>888</v>
      </c>
    </row>
    <row r="1273" spans="1:8" x14ac:dyDescent="0.35">
      <c r="A1273" s="10">
        <f t="shared" si="19"/>
        <v>1269</v>
      </c>
      <c r="B1273" s="5">
        <v>9456</v>
      </c>
      <c r="C1273" s="5" t="s">
        <v>1721</v>
      </c>
      <c r="D1273" s="5" t="s">
        <v>780</v>
      </c>
      <c r="E1273" s="5" t="s">
        <v>407</v>
      </c>
      <c r="F1273" s="5" t="s">
        <v>408</v>
      </c>
      <c r="G1273" s="7">
        <v>45973</v>
      </c>
      <c r="H1273" s="5" t="s">
        <v>1075</v>
      </c>
    </row>
    <row r="1274" spans="1:8" x14ac:dyDescent="0.35">
      <c r="A1274" s="10">
        <f t="shared" si="19"/>
        <v>1270</v>
      </c>
      <c r="B1274" s="5">
        <v>9457</v>
      </c>
      <c r="C1274" s="5" t="s">
        <v>1722</v>
      </c>
      <c r="D1274" s="5" t="s">
        <v>1373</v>
      </c>
      <c r="E1274" s="5" t="s">
        <v>263</v>
      </c>
      <c r="F1274" s="5" t="s">
        <v>1374</v>
      </c>
      <c r="G1274" s="7">
        <v>45974</v>
      </c>
      <c r="H1274" s="5" t="s">
        <v>888</v>
      </c>
    </row>
    <row r="1275" spans="1:8" x14ac:dyDescent="0.35">
      <c r="A1275" s="10">
        <f t="shared" si="19"/>
        <v>1271</v>
      </c>
      <c r="B1275" s="5">
        <v>9458</v>
      </c>
      <c r="C1275" s="5" t="s">
        <v>1723</v>
      </c>
      <c r="D1275" s="5" t="s">
        <v>563</v>
      </c>
      <c r="E1275" s="5" t="s">
        <v>16</v>
      </c>
      <c r="F1275" s="5" t="s">
        <v>497</v>
      </c>
      <c r="G1275" s="7">
        <v>45967</v>
      </c>
      <c r="H1275" s="5" t="s">
        <v>888</v>
      </c>
    </row>
    <row r="1276" spans="1:8" ht="29" x14ac:dyDescent="0.35">
      <c r="A1276" s="10">
        <f t="shared" si="19"/>
        <v>1272</v>
      </c>
      <c r="B1276" s="5">
        <v>9459</v>
      </c>
      <c r="C1276" s="5" t="s">
        <v>1724</v>
      </c>
      <c r="D1276" s="5" t="s">
        <v>1725</v>
      </c>
      <c r="E1276" s="5" t="s">
        <v>1646</v>
      </c>
      <c r="F1276" s="5" t="s">
        <v>1647</v>
      </c>
      <c r="G1276" s="7">
        <v>45978</v>
      </c>
      <c r="H1276" s="5" t="s">
        <v>1075</v>
      </c>
    </row>
    <row r="1277" spans="1:8" x14ac:dyDescent="0.35">
      <c r="A1277" s="10">
        <f t="shared" si="19"/>
        <v>1273</v>
      </c>
      <c r="B1277" s="5">
        <v>9460</v>
      </c>
      <c r="C1277" s="5" t="s">
        <v>1726</v>
      </c>
      <c r="D1277" s="5" t="s">
        <v>21</v>
      </c>
      <c r="E1277" s="5" t="s">
        <v>950</v>
      </c>
      <c r="F1277" s="5" t="s">
        <v>950</v>
      </c>
      <c r="G1277" s="7">
        <v>45978</v>
      </c>
      <c r="H1277" s="5" t="s">
        <v>1075</v>
      </c>
    </row>
    <row r="1278" spans="1:8" x14ac:dyDescent="0.35">
      <c r="A1278" s="10">
        <f t="shared" si="19"/>
        <v>1274</v>
      </c>
      <c r="B1278" s="5">
        <v>9461</v>
      </c>
      <c r="C1278" s="5" t="s">
        <v>1727</v>
      </c>
      <c r="D1278" s="5" t="s">
        <v>21</v>
      </c>
      <c r="E1278" s="5" t="s">
        <v>1315</v>
      </c>
      <c r="F1278" s="5" t="s">
        <v>1315</v>
      </c>
      <c r="G1278" s="7">
        <v>45978</v>
      </c>
      <c r="H1278" s="5" t="s">
        <v>1075</v>
      </c>
    </row>
    <row r="1279" spans="1:8" x14ac:dyDescent="0.35">
      <c r="A1279" s="10">
        <f t="shared" si="19"/>
        <v>1275</v>
      </c>
      <c r="B1279" s="5">
        <v>9462</v>
      </c>
      <c r="C1279" s="5" t="s">
        <v>1728</v>
      </c>
      <c r="D1279" s="5" t="s">
        <v>563</v>
      </c>
      <c r="E1279" s="5" t="s">
        <v>16</v>
      </c>
      <c r="F1279" s="5" t="s">
        <v>683</v>
      </c>
      <c r="G1279" s="7">
        <v>45979</v>
      </c>
      <c r="H1279" s="5" t="s">
        <v>888</v>
      </c>
    </row>
    <row r="1280" spans="1:8" x14ac:dyDescent="0.35">
      <c r="A1280" s="10">
        <f t="shared" si="19"/>
        <v>1276</v>
      </c>
      <c r="B1280" s="5">
        <v>9464</v>
      </c>
      <c r="C1280" s="5" t="s">
        <v>1731</v>
      </c>
      <c r="D1280" s="5" t="s">
        <v>599</v>
      </c>
      <c r="E1280" s="5" t="s">
        <v>54</v>
      </c>
      <c r="F1280" s="5" t="s">
        <v>54</v>
      </c>
      <c r="G1280" s="7">
        <v>45985</v>
      </c>
      <c r="H1280" s="5" t="s">
        <v>1075</v>
      </c>
    </row>
    <row r="1281" spans="1:8" x14ac:dyDescent="0.35">
      <c r="A1281" s="10">
        <f t="shared" si="19"/>
        <v>1277</v>
      </c>
      <c r="B1281" s="5">
        <v>9465</v>
      </c>
      <c r="C1281" s="5" t="s">
        <v>1732</v>
      </c>
      <c r="D1281" s="5" t="s">
        <v>21</v>
      </c>
      <c r="E1281" s="5" t="s">
        <v>950</v>
      </c>
      <c r="F1281" s="5" t="s">
        <v>950</v>
      </c>
      <c r="G1281" s="7">
        <v>45985</v>
      </c>
      <c r="H1281" s="5" t="s">
        <v>1075</v>
      </c>
    </row>
    <row r="1282" spans="1:8" x14ac:dyDescent="0.35">
      <c r="A1282" s="10">
        <f t="shared" si="19"/>
        <v>1278</v>
      </c>
      <c r="B1282" s="5">
        <v>9466</v>
      </c>
      <c r="C1282" s="5" t="s">
        <v>1733</v>
      </c>
      <c r="D1282" s="5" t="s">
        <v>797</v>
      </c>
      <c r="E1282" s="5" t="s">
        <v>662</v>
      </c>
      <c r="F1282" s="5" t="s">
        <v>662</v>
      </c>
      <c r="G1282" s="7">
        <v>45986</v>
      </c>
      <c r="H1282" s="5" t="s">
        <v>888</v>
      </c>
    </row>
    <row r="1283" spans="1:8" x14ac:dyDescent="0.35">
      <c r="A1283" s="10">
        <f t="shared" si="19"/>
        <v>1279</v>
      </c>
      <c r="B1283" s="5">
        <v>9467</v>
      </c>
      <c r="C1283" s="5" t="s">
        <v>1734</v>
      </c>
      <c r="D1283" s="5" t="s">
        <v>563</v>
      </c>
      <c r="E1283" s="5" t="s">
        <v>16</v>
      </c>
      <c r="F1283" s="5" t="s">
        <v>711</v>
      </c>
      <c r="G1283" s="7">
        <v>45987</v>
      </c>
      <c r="H1283" s="5" t="s">
        <v>888</v>
      </c>
    </row>
    <row r="1284" spans="1:8" x14ac:dyDescent="0.35">
      <c r="A1284" s="10">
        <f t="shared" si="19"/>
        <v>1280</v>
      </c>
      <c r="B1284" s="5">
        <v>9471</v>
      </c>
      <c r="C1284" s="5" t="s">
        <v>1735</v>
      </c>
      <c r="D1284" s="5" t="s">
        <v>678</v>
      </c>
      <c r="E1284" s="5" t="s">
        <v>87</v>
      </c>
      <c r="F1284" s="5" t="s">
        <v>678</v>
      </c>
      <c r="G1284" s="7">
        <v>45992</v>
      </c>
      <c r="H1284" s="5" t="s">
        <v>1075</v>
      </c>
    </row>
    <row r="1285" spans="1:8" x14ac:dyDescent="0.35">
      <c r="A1285" s="10">
        <f t="shared" si="19"/>
        <v>1281</v>
      </c>
      <c r="B1285" s="5">
        <v>9472</v>
      </c>
      <c r="C1285" s="5" t="s">
        <v>1736</v>
      </c>
      <c r="D1285" s="5" t="s">
        <v>563</v>
      </c>
      <c r="E1285" s="5" t="s">
        <v>16</v>
      </c>
      <c r="F1285" s="5" t="s">
        <v>1124</v>
      </c>
      <c r="G1285" s="7">
        <v>45992</v>
      </c>
      <c r="H1285" s="5" t="s">
        <v>888</v>
      </c>
    </row>
    <row r="1286" spans="1:8" x14ac:dyDescent="0.35">
      <c r="A1286" s="10">
        <f t="shared" ref="A1286:A1349" si="20">+A1285+1</f>
        <v>1282</v>
      </c>
      <c r="B1286" s="5">
        <v>9474</v>
      </c>
      <c r="C1286" s="5" t="s">
        <v>1737</v>
      </c>
      <c r="D1286" s="5" t="s">
        <v>563</v>
      </c>
      <c r="E1286" s="5" t="s">
        <v>16</v>
      </c>
      <c r="F1286" s="5" t="s">
        <v>739</v>
      </c>
      <c r="G1286" s="7">
        <v>45994</v>
      </c>
      <c r="H1286" s="5" t="s">
        <v>888</v>
      </c>
    </row>
    <row r="1287" spans="1:8" x14ac:dyDescent="0.35">
      <c r="A1287" s="10">
        <f t="shared" si="20"/>
        <v>1283</v>
      </c>
      <c r="B1287" s="5">
        <v>9475</v>
      </c>
      <c r="C1287" s="5" t="s">
        <v>1738</v>
      </c>
      <c r="D1287" s="5" t="s">
        <v>1739</v>
      </c>
      <c r="E1287" s="5" t="s">
        <v>973</v>
      </c>
      <c r="F1287" s="5" t="s">
        <v>973</v>
      </c>
      <c r="G1287" s="7">
        <v>45996</v>
      </c>
      <c r="H1287" s="5" t="s">
        <v>888</v>
      </c>
    </row>
    <row r="1288" spans="1:8" x14ac:dyDescent="0.35">
      <c r="A1288" s="10">
        <f t="shared" si="20"/>
        <v>1284</v>
      </c>
      <c r="B1288" s="5">
        <v>9476</v>
      </c>
      <c r="C1288" s="5" t="s">
        <v>1740</v>
      </c>
      <c r="D1288" s="5" t="s">
        <v>722</v>
      </c>
      <c r="E1288" s="5" t="s">
        <v>424</v>
      </c>
      <c r="F1288" s="5" t="s">
        <v>424</v>
      </c>
      <c r="G1288" s="7">
        <v>45996</v>
      </c>
      <c r="H1288" s="5" t="s">
        <v>1075</v>
      </c>
    </row>
    <row r="1289" spans="1:8" x14ac:dyDescent="0.35">
      <c r="A1289" s="10">
        <f t="shared" si="20"/>
        <v>1285</v>
      </c>
      <c r="B1289" s="5">
        <v>9477</v>
      </c>
      <c r="C1289" s="5" t="s">
        <v>1741</v>
      </c>
      <c r="D1289" s="5" t="s">
        <v>21</v>
      </c>
      <c r="E1289" s="5" t="s">
        <v>198</v>
      </c>
      <c r="F1289" s="5" t="s">
        <v>198</v>
      </c>
      <c r="G1289" s="7">
        <v>45999</v>
      </c>
      <c r="H1289" s="5" t="s">
        <v>888</v>
      </c>
    </row>
    <row r="1290" spans="1:8" x14ac:dyDescent="0.35">
      <c r="A1290" s="10">
        <f t="shared" si="20"/>
        <v>1286</v>
      </c>
      <c r="B1290" s="5">
        <v>9478</v>
      </c>
      <c r="C1290" s="5" t="s">
        <v>1742</v>
      </c>
      <c r="D1290" s="5" t="s">
        <v>21</v>
      </c>
      <c r="E1290" s="5" t="s">
        <v>24</v>
      </c>
      <c r="F1290" s="5" t="s">
        <v>152</v>
      </c>
      <c r="G1290" s="7">
        <v>45999</v>
      </c>
      <c r="H1290" s="5" t="s">
        <v>1075</v>
      </c>
    </row>
    <row r="1291" spans="1:8" x14ac:dyDescent="0.35">
      <c r="A1291" s="10">
        <f t="shared" si="20"/>
        <v>1287</v>
      </c>
      <c r="B1291" s="5">
        <v>9480</v>
      </c>
      <c r="C1291" s="5" t="s">
        <v>1744</v>
      </c>
      <c r="D1291" s="5" t="s">
        <v>563</v>
      </c>
      <c r="E1291" s="5" t="s">
        <v>16</v>
      </c>
      <c r="F1291" s="5" t="s">
        <v>711</v>
      </c>
      <c r="G1291" s="7">
        <v>46006</v>
      </c>
      <c r="H1291" s="5" t="s">
        <v>888</v>
      </c>
    </row>
    <row r="1292" spans="1:8" x14ac:dyDescent="0.35">
      <c r="A1292" s="10">
        <f t="shared" si="20"/>
        <v>1288</v>
      </c>
      <c r="B1292" s="5">
        <v>9481</v>
      </c>
      <c r="C1292" s="5" t="s">
        <v>1745</v>
      </c>
      <c r="D1292" s="5" t="s">
        <v>1333</v>
      </c>
      <c r="E1292" s="5" t="s">
        <v>16</v>
      </c>
      <c r="F1292" s="5" t="s">
        <v>353</v>
      </c>
      <c r="G1292" s="7">
        <v>46008</v>
      </c>
      <c r="H1292" s="5" t="s">
        <v>1334</v>
      </c>
    </row>
    <row r="1293" spans="1:8" x14ac:dyDescent="0.35">
      <c r="A1293" s="10">
        <f t="shared" si="20"/>
        <v>1289</v>
      </c>
      <c r="B1293" s="5">
        <v>9483</v>
      </c>
      <c r="C1293" s="5" t="s">
        <v>1746</v>
      </c>
      <c r="D1293" s="5" t="s">
        <v>733</v>
      </c>
      <c r="E1293" s="5" t="s">
        <v>165</v>
      </c>
      <c r="F1293" s="5" t="s">
        <v>165</v>
      </c>
      <c r="G1293" s="7">
        <v>46013</v>
      </c>
      <c r="H1293" s="5" t="s">
        <v>888</v>
      </c>
    </row>
    <row r="1294" spans="1:8" x14ac:dyDescent="0.35">
      <c r="A1294" s="10">
        <f t="shared" si="20"/>
        <v>1290</v>
      </c>
      <c r="B1294" s="5">
        <v>9484</v>
      </c>
      <c r="C1294" s="5" t="s">
        <v>1747</v>
      </c>
      <c r="D1294" s="5" t="s">
        <v>563</v>
      </c>
      <c r="E1294" s="5" t="s">
        <v>16</v>
      </c>
      <c r="F1294" s="5" t="s">
        <v>947</v>
      </c>
      <c r="G1294" s="7">
        <v>46013</v>
      </c>
      <c r="H1294" s="5" t="s">
        <v>888</v>
      </c>
    </row>
    <row r="1295" spans="1:8" x14ac:dyDescent="0.35">
      <c r="A1295" s="10">
        <f t="shared" si="20"/>
        <v>1291</v>
      </c>
      <c r="B1295" s="5">
        <v>9485</v>
      </c>
      <c r="C1295" s="5" t="s">
        <v>527</v>
      </c>
      <c r="D1295" s="5" t="s">
        <v>455</v>
      </c>
      <c r="E1295" s="5" t="s">
        <v>24</v>
      </c>
      <c r="F1295" s="5" t="s">
        <v>152</v>
      </c>
      <c r="G1295" s="7">
        <v>46023</v>
      </c>
      <c r="H1295" s="5" t="s">
        <v>888</v>
      </c>
    </row>
    <row r="1296" spans="1:8" x14ac:dyDescent="0.35">
      <c r="A1296" s="10">
        <f t="shared" si="20"/>
        <v>1292</v>
      </c>
      <c r="B1296" s="5">
        <v>9486</v>
      </c>
      <c r="C1296" s="5" t="s">
        <v>1748</v>
      </c>
      <c r="D1296" s="5" t="s">
        <v>455</v>
      </c>
      <c r="E1296" s="5" t="s">
        <v>24</v>
      </c>
      <c r="F1296" s="5" t="s">
        <v>152</v>
      </c>
      <c r="G1296" s="7">
        <v>46023</v>
      </c>
      <c r="H1296" s="5" t="s">
        <v>888</v>
      </c>
    </row>
    <row r="1297" spans="1:8" x14ac:dyDescent="0.35">
      <c r="A1297" s="10">
        <f t="shared" si="20"/>
        <v>1293</v>
      </c>
      <c r="B1297" s="5">
        <v>9488</v>
      </c>
      <c r="C1297" s="5" t="s">
        <v>1749</v>
      </c>
      <c r="D1297" s="5" t="s">
        <v>563</v>
      </c>
      <c r="E1297" s="5" t="s">
        <v>16</v>
      </c>
      <c r="F1297" s="5" t="s">
        <v>574</v>
      </c>
      <c r="G1297" s="7">
        <v>46023</v>
      </c>
      <c r="H1297" s="5" t="s">
        <v>888</v>
      </c>
    </row>
    <row r="1298" spans="1:8" x14ac:dyDescent="0.35">
      <c r="A1298" s="10">
        <f t="shared" si="20"/>
        <v>1294</v>
      </c>
      <c r="B1298" s="5">
        <v>9489</v>
      </c>
      <c r="C1298" s="5" t="s">
        <v>1750</v>
      </c>
      <c r="D1298" s="5" t="s">
        <v>563</v>
      </c>
      <c r="E1298" s="5" t="s">
        <v>16</v>
      </c>
      <c r="F1298" s="5" t="s">
        <v>697</v>
      </c>
      <c r="G1298" s="7">
        <v>46023</v>
      </c>
      <c r="H1298" s="5" t="s">
        <v>888</v>
      </c>
    </row>
    <row r="1299" spans="1:8" x14ac:dyDescent="0.35">
      <c r="A1299" s="10">
        <f t="shared" si="20"/>
        <v>1295</v>
      </c>
      <c r="B1299" s="5">
        <v>9490</v>
      </c>
      <c r="C1299" s="5" t="s">
        <v>1751</v>
      </c>
      <c r="D1299" s="5" t="s">
        <v>563</v>
      </c>
      <c r="E1299" s="5" t="s">
        <v>16</v>
      </c>
      <c r="F1299" s="5" t="s">
        <v>683</v>
      </c>
      <c r="G1299" s="7">
        <v>46023</v>
      </c>
      <c r="H1299" s="5" t="s">
        <v>888</v>
      </c>
    </row>
    <row r="1300" spans="1:8" x14ac:dyDescent="0.35">
      <c r="A1300" s="10">
        <f t="shared" si="20"/>
        <v>1296</v>
      </c>
      <c r="B1300" s="5">
        <v>9492</v>
      </c>
      <c r="C1300" s="5" t="s">
        <v>1752</v>
      </c>
      <c r="D1300" s="5" t="s">
        <v>563</v>
      </c>
      <c r="E1300" s="5" t="s">
        <v>16</v>
      </c>
      <c r="F1300" s="5" t="s">
        <v>434</v>
      </c>
      <c r="G1300" s="7">
        <v>46023</v>
      </c>
      <c r="H1300" s="5" t="s">
        <v>888</v>
      </c>
    </row>
    <row r="1301" spans="1:8" x14ac:dyDescent="0.35">
      <c r="A1301" s="10">
        <f t="shared" si="20"/>
        <v>1297</v>
      </c>
      <c r="B1301" s="5">
        <v>9494</v>
      </c>
      <c r="C1301" s="5" t="s">
        <v>1753</v>
      </c>
      <c r="D1301" s="5" t="s">
        <v>563</v>
      </c>
      <c r="E1301" s="5" t="s">
        <v>16</v>
      </c>
      <c r="F1301" s="5" t="s">
        <v>353</v>
      </c>
      <c r="G1301" s="7">
        <v>46024</v>
      </c>
      <c r="H1301" s="5" t="s">
        <v>888</v>
      </c>
    </row>
    <row r="1302" spans="1:8" x14ac:dyDescent="0.35">
      <c r="A1302" s="10">
        <f t="shared" si="20"/>
        <v>1298</v>
      </c>
      <c r="B1302" s="5">
        <v>9495</v>
      </c>
      <c r="C1302" s="5" t="s">
        <v>1754</v>
      </c>
      <c r="D1302" s="5" t="s">
        <v>1458</v>
      </c>
      <c r="E1302" s="5" t="s">
        <v>1459</v>
      </c>
      <c r="F1302" s="5" t="s">
        <v>1460</v>
      </c>
      <c r="G1302" s="7">
        <v>46027</v>
      </c>
      <c r="H1302" s="5" t="s">
        <v>888</v>
      </c>
    </row>
    <row r="1303" spans="1:8" x14ac:dyDescent="0.35">
      <c r="A1303" s="10">
        <f t="shared" si="20"/>
        <v>1299</v>
      </c>
      <c r="B1303" s="5">
        <v>9496</v>
      </c>
      <c r="C1303" s="5" t="s">
        <v>1755</v>
      </c>
      <c r="D1303" s="5" t="s">
        <v>563</v>
      </c>
      <c r="E1303" s="5" t="s">
        <v>16</v>
      </c>
      <c r="F1303" s="5" t="s">
        <v>497</v>
      </c>
      <c r="G1303" s="7">
        <v>46027</v>
      </c>
      <c r="H1303" s="5" t="s">
        <v>888</v>
      </c>
    </row>
    <row r="1304" spans="1:8" x14ac:dyDescent="0.35">
      <c r="A1304" s="10">
        <f t="shared" si="20"/>
        <v>1300</v>
      </c>
      <c r="B1304" s="5">
        <v>9499</v>
      </c>
      <c r="C1304" s="5" t="s">
        <v>1756</v>
      </c>
      <c r="D1304" s="5" t="s">
        <v>455</v>
      </c>
      <c r="E1304" s="5" t="s">
        <v>68</v>
      </c>
      <c r="F1304" s="5" t="s">
        <v>254</v>
      </c>
      <c r="G1304" s="7">
        <v>46023</v>
      </c>
      <c r="H1304" s="5" t="s">
        <v>888</v>
      </c>
    </row>
    <row r="1305" spans="1:8" x14ac:dyDescent="0.35">
      <c r="A1305" s="10">
        <f t="shared" si="20"/>
        <v>1301</v>
      </c>
      <c r="B1305" s="5">
        <v>9500</v>
      </c>
      <c r="C1305" s="5" t="s">
        <v>1757</v>
      </c>
      <c r="D1305" s="5" t="s">
        <v>669</v>
      </c>
      <c r="E1305" s="5" t="s">
        <v>103</v>
      </c>
      <c r="F1305" s="5" t="s">
        <v>103</v>
      </c>
      <c r="G1305" s="7">
        <v>46030</v>
      </c>
      <c r="H1305" s="5" t="s">
        <v>1075</v>
      </c>
    </row>
    <row r="1306" spans="1:8" x14ac:dyDescent="0.35">
      <c r="A1306" s="10">
        <f t="shared" si="20"/>
        <v>1302</v>
      </c>
      <c r="B1306" s="5">
        <v>9501</v>
      </c>
      <c r="C1306" s="5" t="s">
        <v>1758</v>
      </c>
      <c r="D1306" s="5" t="s">
        <v>669</v>
      </c>
      <c r="E1306" s="5" t="s">
        <v>103</v>
      </c>
      <c r="F1306" s="5" t="s">
        <v>103</v>
      </c>
      <c r="G1306" s="7">
        <v>46030</v>
      </c>
      <c r="H1306" s="5" t="s">
        <v>888</v>
      </c>
    </row>
    <row r="1307" spans="1:8" x14ac:dyDescent="0.35">
      <c r="A1307" s="10">
        <f t="shared" si="20"/>
        <v>1303</v>
      </c>
      <c r="B1307" s="5">
        <v>9502</v>
      </c>
      <c r="C1307" s="5" t="s">
        <v>1759</v>
      </c>
      <c r="D1307" s="5" t="s">
        <v>563</v>
      </c>
      <c r="E1307" s="5" t="s">
        <v>16</v>
      </c>
      <c r="F1307" s="5" t="s">
        <v>990</v>
      </c>
      <c r="G1307" s="7">
        <v>46030</v>
      </c>
      <c r="H1307" s="5" t="s">
        <v>888</v>
      </c>
    </row>
    <row r="1308" spans="1:8" x14ac:dyDescent="0.35">
      <c r="A1308" s="10">
        <f t="shared" si="20"/>
        <v>1304</v>
      </c>
      <c r="B1308" s="5">
        <v>9504</v>
      </c>
      <c r="C1308" s="5" t="s">
        <v>1760</v>
      </c>
      <c r="D1308" s="5" t="s">
        <v>1333</v>
      </c>
      <c r="E1308" s="5" t="s">
        <v>16</v>
      </c>
      <c r="F1308" s="5" t="s">
        <v>480</v>
      </c>
      <c r="G1308" s="7">
        <v>46030</v>
      </c>
      <c r="H1308" s="5" t="s">
        <v>1334</v>
      </c>
    </row>
    <row r="1309" spans="1:8" x14ac:dyDescent="0.35">
      <c r="A1309" s="10">
        <f t="shared" si="20"/>
        <v>1305</v>
      </c>
      <c r="B1309" s="5">
        <v>9506</v>
      </c>
      <c r="C1309" s="5" t="s">
        <v>1761</v>
      </c>
      <c r="D1309" s="5" t="s">
        <v>1333</v>
      </c>
      <c r="E1309" s="5" t="s">
        <v>16</v>
      </c>
      <c r="F1309" s="5" t="s">
        <v>483</v>
      </c>
      <c r="G1309" s="7">
        <v>46030</v>
      </c>
      <c r="H1309" s="5" t="s">
        <v>1334</v>
      </c>
    </row>
    <row r="1310" spans="1:8" x14ac:dyDescent="0.35">
      <c r="A1310" s="10">
        <f t="shared" si="20"/>
        <v>1306</v>
      </c>
      <c r="B1310" s="5">
        <v>9508</v>
      </c>
      <c r="C1310" s="5" t="s">
        <v>1762</v>
      </c>
      <c r="D1310" s="5" t="s">
        <v>249</v>
      </c>
      <c r="E1310" s="5" t="s">
        <v>165</v>
      </c>
      <c r="F1310" s="5" t="s">
        <v>165</v>
      </c>
      <c r="G1310" s="7">
        <v>46034</v>
      </c>
      <c r="H1310" s="5" t="s">
        <v>1075</v>
      </c>
    </row>
    <row r="1311" spans="1:8" x14ac:dyDescent="0.35">
      <c r="A1311" s="10">
        <f t="shared" si="20"/>
        <v>1307</v>
      </c>
      <c r="B1311" s="5">
        <v>9509</v>
      </c>
      <c r="C1311" s="5" t="s">
        <v>1763</v>
      </c>
      <c r="D1311" s="5" t="s">
        <v>1645</v>
      </c>
      <c r="E1311" s="5" t="s">
        <v>1646</v>
      </c>
      <c r="F1311" s="5" t="s">
        <v>1647</v>
      </c>
      <c r="G1311" s="7">
        <v>46034</v>
      </c>
      <c r="H1311" s="5" t="s">
        <v>1075</v>
      </c>
    </row>
    <row r="1312" spans="1:8" x14ac:dyDescent="0.35">
      <c r="A1312" s="10">
        <f t="shared" si="20"/>
        <v>1308</v>
      </c>
      <c r="B1312" s="5">
        <v>9510</v>
      </c>
      <c r="C1312" s="5" t="s">
        <v>1764</v>
      </c>
      <c r="D1312" s="5" t="s">
        <v>1333</v>
      </c>
      <c r="E1312" s="5" t="s">
        <v>16</v>
      </c>
      <c r="F1312" s="5" t="s">
        <v>1183</v>
      </c>
      <c r="G1312" s="7">
        <v>46034</v>
      </c>
      <c r="H1312" s="5" t="s">
        <v>1334</v>
      </c>
    </row>
    <row r="1313" spans="1:8" x14ac:dyDescent="0.35">
      <c r="A1313" s="10">
        <f t="shared" si="20"/>
        <v>1309</v>
      </c>
      <c r="B1313" s="5">
        <v>9511</v>
      </c>
      <c r="C1313" s="5" t="s">
        <v>1765</v>
      </c>
      <c r="D1313" s="5" t="s">
        <v>563</v>
      </c>
      <c r="E1313" s="5" t="s">
        <v>16</v>
      </c>
      <c r="F1313" s="5" t="s">
        <v>681</v>
      </c>
      <c r="G1313" s="7">
        <v>46034</v>
      </c>
      <c r="H1313" s="5" t="s">
        <v>888</v>
      </c>
    </row>
    <row r="1314" spans="1:8" x14ac:dyDescent="0.35">
      <c r="A1314" s="10">
        <f t="shared" si="20"/>
        <v>1310</v>
      </c>
      <c r="B1314" s="5">
        <v>9512</v>
      </c>
      <c r="C1314" s="5" t="s">
        <v>1766</v>
      </c>
      <c r="D1314" s="5" t="s">
        <v>563</v>
      </c>
      <c r="E1314" s="5" t="s">
        <v>16</v>
      </c>
      <c r="F1314" s="5" t="s">
        <v>729</v>
      </c>
      <c r="G1314" s="7">
        <v>46034</v>
      </c>
      <c r="H1314" s="5" t="s">
        <v>888</v>
      </c>
    </row>
    <row r="1315" spans="1:8" x14ac:dyDescent="0.35">
      <c r="A1315" s="10">
        <f t="shared" si="20"/>
        <v>1311</v>
      </c>
      <c r="B1315" s="5">
        <v>9516</v>
      </c>
      <c r="C1315" s="5" t="s">
        <v>1767</v>
      </c>
      <c r="D1315" s="5" t="s">
        <v>985</v>
      </c>
      <c r="E1315" s="5" t="s">
        <v>51</v>
      </c>
      <c r="F1315" s="5" t="s">
        <v>51</v>
      </c>
      <c r="G1315" s="7">
        <v>46023</v>
      </c>
      <c r="H1315" s="5" t="s">
        <v>888</v>
      </c>
    </row>
    <row r="1316" spans="1:8" x14ac:dyDescent="0.35">
      <c r="A1316" s="10">
        <f t="shared" si="20"/>
        <v>1312</v>
      </c>
      <c r="B1316" s="5">
        <v>9518</v>
      </c>
      <c r="C1316" s="5" t="s">
        <v>1768</v>
      </c>
      <c r="D1316" s="5" t="s">
        <v>21</v>
      </c>
      <c r="E1316" s="5" t="s">
        <v>68</v>
      </c>
      <c r="F1316" s="5" t="s">
        <v>179</v>
      </c>
      <c r="G1316" s="7">
        <v>46041</v>
      </c>
      <c r="H1316" s="5" t="s">
        <v>1075</v>
      </c>
    </row>
    <row r="1317" spans="1:8" x14ac:dyDescent="0.35">
      <c r="A1317" s="10">
        <f t="shared" si="20"/>
        <v>1313</v>
      </c>
      <c r="B1317" s="5">
        <v>9519</v>
      </c>
      <c r="C1317" s="5" t="s">
        <v>1769</v>
      </c>
      <c r="D1317" s="5" t="s">
        <v>1152</v>
      </c>
      <c r="E1317" s="5" t="s">
        <v>112</v>
      </c>
      <c r="F1317" s="5" t="s">
        <v>112</v>
      </c>
      <c r="G1317" s="7">
        <v>46041</v>
      </c>
      <c r="H1317" s="5" t="s">
        <v>888</v>
      </c>
    </row>
    <row r="1318" spans="1:8" x14ac:dyDescent="0.35">
      <c r="A1318" s="10">
        <f t="shared" si="20"/>
        <v>1314</v>
      </c>
      <c r="B1318" s="5">
        <v>9521</v>
      </c>
      <c r="C1318" s="5" t="s">
        <v>1770</v>
      </c>
      <c r="D1318" s="5" t="s">
        <v>563</v>
      </c>
      <c r="E1318" s="5" t="s">
        <v>16</v>
      </c>
      <c r="F1318" s="5" t="s">
        <v>958</v>
      </c>
      <c r="G1318" s="7">
        <v>46041</v>
      </c>
      <c r="H1318" s="5" t="s">
        <v>888</v>
      </c>
    </row>
    <row r="1319" spans="1:8" x14ac:dyDescent="0.35">
      <c r="A1319" s="10">
        <f t="shared" si="20"/>
        <v>1315</v>
      </c>
      <c r="B1319" s="5">
        <v>9522</v>
      </c>
      <c r="C1319" s="5" t="s">
        <v>1771</v>
      </c>
      <c r="D1319" s="5" t="s">
        <v>563</v>
      </c>
      <c r="E1319" s="5" t="s">
        <v>16</v>
      </c>
      <c r="F1319" s="5" t="s">
        <v>1107</v>
      </c>
      <c r="G1319" s="7">
        <v>46041</v>
      </c>
      <c r="H1319" s="5" t="s">
        <v>888</v>
      </c>
    </row>
    <row r="1320" spans="1:8" x14ac:dyDescent="0.35">
      <c r="A1320" s="10">
        <f t="shared" si="20"/>
        <v>1316</v>
      </c>
      <c r="B1320" s="5">
        <v>9523</v>
      </c>
      <c r="C1320" s="5" t="s">
        <v>1772</v>
      </c>
      <c r="D1320" s="5" t="s">
        <v>563</v>
      </c>
      <c r="E1320" s="5" t="s">
        <v>16</v>
      </c>
      <c r="F1320" s="5" t="s">
        <v>1423</v>
      </c>
      <c r="G1320" s="7">
        <v>46041</v>
      </c>
      <c r="H1320" s="5" t="s">
        <v>888</v>
      </c>
    </row>
    <row r="1321" spans="1:8" x14ac:dyDescent="0.35">
      <c r="A1321" s="10">
        <f t="shared" si="20"/>
        <v>1317</v>
      </c>
      <c r="B1321" s="5">
        <v>9525</v>
      </c>
      <c r="C1321" s="5" t="s">
        <v>1776</v>
      </c>
      <c r="D1321" s="5" t="s">
        <v>797</v>
      </c>
      <c r="E1321" s="5" t="s">
        <v>263</v>
      </c>
      <c r="F1321" s="5" t="s">
        <v>546</v>
      </c>
      <c r="G1321" s="7">
        <v>46041</v>
      </c>
      <c r="H1321" s="5" t="s">
        <v>1075</v>
      </c>
    </row>
    <row r="1322" spans="1:8" x14ac:dyDescent="0.35">
      <c r="A1322" s="10">
        <f t="shared" si="20"/>
        <v>1318</v>
      </c>
      <c r="B1322" s="5">
        <v>9526</v>
      </c>
      <c r="C1322" s="5" t="s">
        <v>1777</v>
      </c>
      <c r="D1322" s="5" t="s">
        <v>563</v>
      </c>
      <c r="E1322" s="5" t="s">
        <v>16</v>
      </c>
      <c r="F1322" s="5" t="s">
        <v>658</v>
      </c>
      <c r="G1322" s="7">
        <v>46041</v>
      </c>
      <c r="H1322" s="5" t="s">
        <v>888</v>
      </c>
    </row>
    <row r="1323" spans="1:8" x14ac:dyDescent="0.35">
      <c r="A1323" s="10">
        <f t="shared" si="20"/>
        <v>1319</v>
      </c>
      <c r="B1323" s="5">
        <v>9530</v>
      </c>
      <c r="C1323" s="5" t="s">
        <v>1778</v>
      </c>
      <c r="D1323" s="5" t="s">
        <v>669</v>
      </c>
      <c r="E1323" s="5" t="s">
        <v>103</v>
      </c>
      <c r="F1323" s="5" t="s">
        <v>103</v>
      </c>
      <c r="G1323" s="7">
        <v>46055</v>
      </c>
      <c r="H1323" s="5" t="s">
        <v>888</v>
      </c>
    </row>
    <row r="1324" spans="1:8" x14ac:dyDescent="0.35">
      <c r="A1324" s="10">
        <f t="shared" si="20"/>
        <v>1320</v>
      </c>
      <c r="B1324" s="5">
        <v>9531</v>
      </c>
      <c r="C1324" s="5" t="s">
        <v>1779</v>
      </c>
      <c r="D1324" s="5" t="s">
        <v>563</v>
      </c>
      <c r="E1324" s="5" t="s">
        <v>16</v>
      </c>
      <c r="F1324" s="5" t="s">
        <v>825</v>
      </c>
      <c r="G1324" s="7">
        <v>46055</v>
      </c>
      <c r="H1324" s="5" t="s">
        <v>888</v>
      </c>
    </row>
    <row r="1325" spans="1:8" x14ac:dyDescent="0.35">
      <c r="A1325" s="10">
        <f t="shared" si="20"/>
        <v>1321</v>
      </c>
      <c r="B1325" s="5">
        <v>9532</v>
      </c>
      <c r="C1325" s="5" t="s">
        <v>1780</v>
      </c>
      <c r="D1325" s="5" t="s">
        <v>1333</v>
      </c>
      <c r="E1325" s="5" t="s">
        <v>16</v>
      </c>
      <c r="F1325" s="5" t="s">
        <v>763</v>
      </c>
      <c r="G1325" s="7">
        <v>46055</v>
      </c>
      <c r="H1325" s="5" t="s">
        <v>1334</v>
      </c>
    </row>
    <row r="1326" spans="1:8" x14ac:dyDescent="0.35">
      <c r="A1326" s="10">
        <f t="shared" si="20"/>
        <v>1322</v>
      </c>
      <c r="B1326" s="5">
        <v>9533</v>
      </c>
      <c r="C1326" s="5" t="s">
        <v>1781</v>
      </c>
      <c r="D1326" s="5" t="s">
        <v>1333</v>
      </c>
      <c r="E1326" s="5" t="s">
        <v>16</v>
      </c>
      <c r="F1326" s="5" t="s">
        <v>1057</v>
      </c>
      <c r="G1326" s="7">
        <v>46055</v>
      </c>
      <c r="H1326" s="5" t="s">
        <v>1334</v>
      </c>
    </row>
    <row r="1327" spans="1:8" x14ac:dyDescent="0.35">
      <c r="A1327" s="10">
        <f t="shared" si="20"/>
        <v>1323</v>
      </c>
      <c r="B1327" s="5">
        <v>9534</v>
      </c>
      <c r="C1327" s="5" t="s">
        <v>1782</v>
      </c>
      <c r="D1327" s="5" t="s">
        <v>669</v>
      </c>
      <c r="E1327" s="5" t="s">
        <v>117</v>
      </c>
      <c r="F1327" s="5" t="s">
        <v>176</v>
      </c>
      <c r="G1327" s="7">
        <v>46055</v>
      </c>
      <c r="H1327" s="5" t="s">
        <v>888</v>
      </c>
    </row>
    <row r="1328" spans="1:8" x14ac:dyDescent="0.35">
      <c r="A1328" s="10">
        <f t="shared" si="20"/>
        <v>1324</v>
      </c>
      <c r="B1328" s="5">
        <v>9535</v>
      </c>
      <c r="C1328" s="5" t="s">
        <v>1783</v>
      </c>
      <c r="D1328" s="5" t="s">
        <v>669</v>
      </c>
      <c r="E1328" s="5" t="s">
        <v>117</v>
      </c>
      <c r="F1328" s="5" t="s">
        <v>176</v>
      </c>
      <c r="G1328" s="7">
        <v>46055</v>
      </c>
      <c r="H1328" s="5" t="s">
        <v>888</v>
      </c>
    </row>
    <row r="1329" spans="1:8" x14ac:dyDescent="0.35">
      <c r="A1329" s="10">
        <f t="shared" si="20"/>
        <v>1325</v>
      </c>
      <c r="B1329" s="5">
        <v>9544</v>
      </c>
      <c r="C1329" s="5" t="s">
        <v>1789</v>
      </c>
      <c r="D1329" s="5" t="s">
        <v>1790</v>
      </c>
      <c r="E1329" s="5" t="s">
        <v>190</v>
      </c>
      <c r="F1329" s="5" t="s">
        <v>190</v>
      </c>
      <c r="G1329" s="7">
        <v>46060</v>
      </c>
      <c r="H1329" s="5" t="s">
        <v>888</v>
      </c>
    </row>
    <row r="1330" spans="1:8" x14ac:dyDescent="0.35">
      <c r="A1330" s="10">
        <f t="shared" si="20"/>
        <v>1326</v>
      </c>
      <c r="B1330" s="5">
        <v>9545</v>
      </c>
      <c r="C1330" s="5" t="s">
        <v>1791</v>
      </c>
      <c r="D1330" s="5" t="s">
        <v>1333</v>
      </c>
      <c r="E1330" s="5" t="s">
        <v>16</v>
      </c>
      <c r="F1330" s="5" t="s">
        <v>483</v>
      </c>
      <c r="G1330" s="7">
        <v>46062</v>
      </c>
      <c r="H1330" s="5" t="s">
        <v>1334</v>
      </c>
    </row>
    <row r="1331" spans="1:8" x14ac:dyDescent="0.35">
      <c r="A1331" s="10">
        <f t="shared" si="20"/>
        <v>1327</v>
      </c>
      <c r="B1331" s="5">
        <v>9547</v>
      </c>
      <c r="C1331" s="5" t="s">
        <v>1792</v>
      </c>
      <c r="D1331" s="5" t="s">
        <v>563</v>
      </c>
      <c r="E1331" s="5" t="s">
        <v>16</v>
      </c>
      <c r="F1331" s="5" t="s">
        <v>697</v>
      </c>
      <c r="G1331" s="7">
        <v>46062</v>
      </c>
      <c r="H1331" s="5" t="s">
        <v>888</v>
      </c>
    </row>
    <row r="1332" spans="1:8" x14ac:dyDescent="0.35">
      <c r="A1332" s="10">
        <f t="shared" si="20"/>
        <v>1328</v>
      </c>
      <c r="B1332" s="5">
        <v>9550</v>
      </c>
      <c r="C1332" s="5" t="s">
        <v>1793</v>
      </c>
      <c r="D1332" s="5" t="s">
        <v>563</v>
      </c>
      <c r="E1332" s="5" t="s">
        <v>16</v>
      </c>
      <c r="F1332" s="5" t="s">
        <v>238</v>
      </c>
      <c r="G1332" s="7">
        <v>46062</v>
      </c>
      <c r="H1332" s="5" t="s">
        <v>888</v>
      </c>
    </row>
    <row r="1333" spans="1:8" x14ac:dyDescent="0.35">
      <c r="A1333" s="10">
        <f t="shared" si="20"/>
        <v>1329</v>
      </c>
      <c r="B1333" s="5">
        <v>9551</v>
      </c>
      <c r="C1333" s="5" t="s">
        <v>1794</v>
      </c>
      <c r="D1333" s="5" t="s">
        <v>563</v>
      </c>
      <c r="E1333" s="5" t="s">
        <v>16</v>
      </c>
      <c r="F1333" s="5" t="s">
        <v>110</v>
      </c>
      <c r="G1333" s="7">
        <v>46062</v>
      </c>
      <c r="H1333" s="5" t="s">
        <v>888</v>
      </c>
    </row>
    <row r="1334" spans="1:8" x14ac:dyDescent="0.35">
      <c r="A1334" s="10">
        <f t="shared" si="20"/>
        <v>1330</v>
      </c>
      <c r="B1334" s="5">
        <v>9553</v>
      </c>
      <c r="C1334" s="5" t="s">
        <v>1795</v>
      </c>
      <c r="D1334" s="5" t="s">
        <v>1796</v>
      </c>
      <c r="E1334" s="5" t="s">
        <v>24</v>
      </c>
      <c r="F1334" s="5" t="s">
        <v>24</v>
      </c>
      <c r="G1334" s="7">
        <v>46062</v>
      </c>
      <c r="H1334" s="5" t="s">
        <v>1075</v>
      </c>
    </row>
    <row r="1335" spans="1:8" x14ac:dyDescent="0.35">
      <c r="A1335" s="10">
        <f t="shared" si="20"/>
        <v>1331</v>
      </c>
      <c r="B1335" s="5">
        <v>9554</v>
      </c>
      <c r="C1335" s="5" t="s">
        <v>1797</v>
      </c>
      <c r="D1335" s="5" t="s">
        <v>669</v>
      </c>
      <c r="E1335" s="5" t="s">
        <v>103</v>
      </c>
      <c r="F1335" s="5" t="s">
        <v>103</v>
      </c>
      <c r="G1335" s="7">
        <v>46062</v>
      </c>
      <c r="H1335" s="5" t="s">
        <v>888</v>
      </c>
    </row>
    <row r="1336" spans="1:8" x14ac:dyDescent="0.35">
      <c r="A1336" s="10">
        <f t="shared" si="20"/>
        <v>1332</v>
      </c>
      <c r="B1336" s="5">
        <v>9555</v>
      </c>
      <c r="C1336" s="5" t="s">
        <v>1798</v>
      </c>
      <c r="D1336" s="5" t="s">
        <v>1799</v>
      </c>
      <c r="E1336" s="5" t="s">
        <v>87</v>
      </c>
      <c r="F1336" s="5" t="s">
        <v>808</v>
      </c>
      <c r="G1336" s="7">
        <v>46062</v>
      </c>
      <c r="H1336" s="5" t="s">
        <v>888</v>
      </c>
    </row>
    <row r="1337" spans="1:8" x14ac:dyDescent="0.35">
      <c r="A1337" s="10">
        <f t="shared" si="20"/>
        <v>1333</v>
      </c>
      <c r="B1337" s="5">
        <v>9556</v>
      </c>
      <c r="C1337" s="5" t="s">
        <v>1800</v>
      </c>
      <c r="D1337" s="5" t="s">
        <v>669</v>
      </c>
      <c r="E1337" s="5" t="s">
        <v>103</v>
      </c>
      <c r="F1337" s="5" t="s">
        <v>103</v>
      </c>
      <c r="G1337" s="7">
        <v>46063</v>
      </c>
      <c r="H1337" s="5" t="s">
        <v>888</v>
      </c>
    </row>
    <row r="1338" spans="1:8" x14ac:dyDescent="0.35">
      <c r="A1338" s="10">
        <f t="shared" si="20"/>
        <v>1334</v>
      </c>
      <c r="B1338" s="5">
        <v>9557</v>
      </c>
      <c r="C1338" s="5" t="s">
        <v>1801</v>
      </c>
      <c r="D1338" s="5" t="s">
        <v>716</v>
      </c>
      <c r="E1338" s="5" t="s">
        <v>1802</v>
      </c>
      <c r="F1338" s="5" t="s">
        <v>1803</v>
      </c>
      <c r="G1338" s="7">
        <v>46064</v>
      </c>
      <c r="H1338" s="5" t="s">
        <v>1075</v>
      </c>
    </row>
    <row r="1339" spans="1:8" x14ac:dyDescent="0.35">
      <c r="A1339" s="10">
        <f t="shared" si="20"/>
        <v>1335</v>
      </c>
      <c r="B1339" s="5">
        <v>9559</v>
      </c>
      <c r="C1339" s="5" t="s">
        <v>1804</v>
      </c>
      <c r="D1339" s="5" t="s">
        <v>563</v>
      </c>
      <c r="E1339" s="5" t="s">
        <v>16</v>
      </c>
      <c r="F1339" s="5" t="s">
        <v>574</v>
      </c>
      <c r="G1339" s="7">
        <v>46064</v>
      </c>
      <c r="H1339" s="5" t="s">
        <v>888</v>
      </c>
    </row>
    <row r="1340" spans="1:8" x14ac:dyDescent="0.35">
      <c r="A1340" s="10">
        <f t="shared" si="20"/>
        <v>1336</v>
      </c>
      <c r="B1340" s="5">
        <v>9560</v>
      </c>
      <c r="C1340" s="5" t="s">
        <v>1805</v>
      </c>
      <c r="D1340" s="5" t="s">
        <v>1152</v>
      </c>
      <c r="E1340" s="5" t="s">
        <v>112</v>
      </c>
      <c r="F1340" s="5" t="s">
        <v>112</v>
      </c>
      <c r="G1340" s="7">
        <v>46058</v>
      </c>
      <c r="H1340" s="5" t="s">
        <v>888</v>
      </c>
    </row>
    <row r="1341" spans="1:8" x14ac:dyDescent="0.35">
      <c r="A1341" s="10">
        <f t="shared" si="20"/>
        <v>1337</v>
      </c>
      <c r="B1341" s="5">
        <v>9562</v>
      </c>
      <c r="C1341" s="5" t="s">
        <v>1807</v>
      </c>
      <c r="D1341" s="5" t="s">
        <v>930</v>
      </c>
      <c r="E1341" s="5" t="s">
        <v>561</v>
      </c>
      <c r="F1341" s="5" t="s">
        <v>561</v>
      </c>
      <c r="G1341" s="7">
        <v>46058</v>
      </c>
      <c r="H1341" s="5" t="s">
        <v>888</v>
      </c>
    </row>
    <row r="1342" spans="1:8" x14ac:dyDescent="0.35">
      <c r="A1342" s="10">
        <f t="shared" si="20"/>
        <v>1338</v>
      </c>
      <c r="B1342" s="5">
        <v>9563</v>
      </c>
      <c r="C1342" s="5" t="s">
        <v>1808</v>
      </c>
      <c r="D1342" s="5" t="s">
        <v>1809</v>
      </c>
      <c r="E1342" s="5" t="s">
        <v>1061</v>
      </c>
      <c r="F1342" s="5" t="s">
        <v>1247</v>
      </c>
      <c r="G1342" s="7">
        <v>46069</v>
      </c>
      <c r="H1342" s="5" t="s">
        <v>1075</v>
      </c>
    </row>
    <row r="1343" spans="1:8" x14ac:dyDescent="0.35">
      <c r="A1343" s="10">
        <f t="shared" si="20"/>
        <v>1339</v>
      </c>
      <c r="B1343" s="5">
        <v>9564</v>
      </c>
      <c r="C1343" s="5" t="s">
        <v>1810</v>
      </c>
      <c r="D1343" s="5" t="s">
        <v>1615</v>
      </c>
      <c r="E1343" s="5" t="s">
        <v>424</v>
      </c>
      <c r="F1343" s="5" t="s">
        <v>424</v>
      </c>
      <c r="G1343" s="7">
        <v>46069</v>
      </c>
      <c r="H1343" s="5" t="s">
        <v>1075</v>
      </c>
    </row>
    <row r="1344" spans="1:8" x14ac:dyDescent="0.35">
      <c r="A1344" s="10">
        <f t="shared" si="20"/>
        <v>1340</v>
      </c>
      <c r="B1344" s="5">
        <v>9565</v>
      </c>
      <c r="C1344" s="5" t="s">
        <v>1811</v>
      </c>
      <c r="D1344" s="5" t="s">
        <v>563</v>
      </c>
      <c r="E1344" s="5" t="s">
        <v>16</v>
      </c>
      <c r="F1344" s="5" t="s">
        <v>763</v>
      </c>
      <c r="G1344" s="7">
        <v>46069</v>
      </c>
      <c r="H1344" s="5" t="s">
        <v>888</v>
      </c>
    </row>
    <row r="1345" spans="1:8" x14ac:dyDescent="0.35">
      <c r="A1345" s="10">
        <f t="shared" si="20"/>
        <v>1341</v>
      </c>
      <c r="B1345" s="5">
        <v>9566</v>
      </c>
      <c r="C1345" s="5" t="s">
        <v>1812</v>
      </c>
      <c r="D1345" s="5" t="s">
        <v>563</v>
      </c>
      <c r="E1345" s="5" t="s">
        <v>16</v>
      </c>
      <c r="F1345" s="5" t="s">
        <v>480</v>
      </c>
      <c r="G1345" s="7">
        <v>46069</v>
      </c>
      <c r="H1345" s="5" t="s">
        <v>888</v>
      </c>
    </row>
    <row r="1346" spans="1:8" x14ac:dyDescent="0.35">
      <c r="A1346" s="10">
        <f t="shared" si="20"/>
        <v>1342</v>
      </c>
      <c r="B1346" s="5">
        <v>9567</v>
      </c>
      <c r="C1346" s="5" t="s">
        <v>1813</v>
      </c>
      <c r="D1346" s="5" t="s">
        <v>563</v>
      </c>
      <c r="E1346" s="5" t="s">
        <v>16</v>
      </c>
      <c r="F1346" s="5" t="s">
        <v>110</v>
      </c>
      <c r="G1346" s="7">
        <v>46069</v>
      </c>
      <c r="H1346" s="5" t="s">
        <v>888</v>
      </c>
    </row>
    <row r="1347" spans="1:8" x14ac:dyDescent="0.35">
      <c r="A1347" s="10">
        <f t="shared" si="20"/>
        <v>1343</v>
      </c>
      <c r="B1347" s="5">
        <v>9569</v>
      </c>
      <c r="C1347" s="5" t="s">
        <v>1814</v>
      </c>
      <c r="D1347" s="5" t="s">
        <v>21</v>
      </c>
      <c r="E1347" s="5" t="s">
        <v>950</v>
      </c>
      <c r="F1347" s="5" t="s">
        <v>950</v>
      </c>
      <c r="G1347" s="7">
        <v>46069</v>
      </c>
      <c r="H1347" s="5" t="s">
        <v>1075</v>
      </c>
    </row>
    <row r="1348" spans="1:8" x14ac:dyDescent="0.35">
      <c r="A1348" s="10">
        <f t="shared" si="20"/>
        <v>1344</v>
      </c>
      <c r="B1348" s="5">
        <v>9570</v>
      </c>
      <c r="C1348" s="5" t="s">
        <v>1815</v>
      </c>
      <c r="D1348" s="5" t="s">
        <v>563</v>
      </c>
      <c r="E1348" s="5" t="s">
        <v>16</v>
      </c>
      <c r="F1348" s="5" t="s">
        <v>483</v>
      </c>
      <c r="G1348" s="7">
        <v>46069</v>
      </c>
      <c r="H1348" s="5" t="s">
        <v>888</v>
      </c>
    </row>
    <row r="1349" spans="1:8" x14ac:dyDescent="0.35">
      <c r="A1349" s="10">
        <f t="shared" si="20"/>
        <v>1345</v>
      </c>
      <c r="B1349" s="5">
        <v>9574</v>
      </c>
      <c r="C1349" s="5" t="s">
        <v>1816</v>
      </c>
      <c r="D1349" s="5" t="s">
        <v>797</v>
      </c>
      <c r="E1349" s="5" t="s">
        <v>1026</v>
      </c>
      <c r="F1349" s="5" t="s">
        <v>1027</v>
      </c>
      <c r="G1349" s="7">
        <v>46076</v>
      </c>
      <c r="H1349" s="5" t="s">
        <v>1075</v>
      </c>
    </row>
    <row r="1350" spans="1:8" x14ac:dyDescent="0.35">
      <c r="A1350" s="10">
        <f t="shared" ref="A1350:A1410" si="21">+A1349+1</f>
        <v>1346</v>
      </c>
      <c r="B1350" s="5">
        <v>9575</v>
      </c>
      <c r="C1350" s="5" t="s">
        <v>1817</v>
      </c>
      <c r="D1350" s="5" t="s">
        <v>563</v>
      </c>
      <c r="E1350" s="5" t="s">
        <v>16</v>
      </c>
      <c r="F1350" s="5" t="s">
        <v>141</v>
      </c>
      <c r="G1350" s="7">
        <v>46071</v>
      </c>
      <c r="H1350" s="5" t="s">
        <v>888</v>
      </c>
    </row>
    <row r="1351" spans="1:8" x14ac:dyDescent="0.35">
      <c r="A1351" s="10">
        <f t="shared" si="21"/>
        <v>1347</v>
      </c>
      <c r="B1351" s="5">
        <v>9576</v>
      </c>
      <c r="C1351" s="5" t="s">
        <v>1818</v>
      </c>
      <c r="D1351" s="5" t="s">
        <v>563</v>
      </c>
      <c r="E1351" s="5" t="s">
        <v>16</v>
      </c>
      <c r="F1351" s="5" t="s">
        <v>739</v>
      </c>
      <c r="G1351" s="7">
        <v>46071</v>
      </c>
      <c r="H1351" s="5" t="s">
        <v>888</v>
      </c>
    </row>
    <row r="1352" spans="1:8" x14ac:dyDescent="0.35">
      <c r="A1352" s="10">
        <f t="shared" si="21"/>
        <v>1348</v>
      </c>
      <c r="B1352" s="5">
        <v>9577</v>
      </c>
      <c r="C1352" s="5" t="s">
        <v>1819</v>
      </c>
      <c r="D1352" s="5" t="s">
        <v>563</v>
      </c>
      <c r="E1352" s="5" t="s">
        <v>16</v>
      </c>
      <c r="F1352" s="5" t="s">
        <v>141</v>
      </c>
      <c r="G1352" s="7">
        <v>46072</v>
      </c>
      <c r="H1352" s="5" t="s">
        <v>888</v>
      </c>
    </row>
    <row r="1353" spans="1:8" x14ac:dyDescent="0.35">
      <c r="A1353" s="10">
        <f t="shared" si="21"/>
        <v>1349</v>
      </c>
      <c r="B1353" s="5">
        <v>9578</v>
      </c>
      <c r="C1353" s="5" t="s">
        <v>1820</v>
      </c>
      <c r="D1353" s="5" t="s">
        <v>563</v>
      </c>
      <c r="E1353" s="5" t="s">
        <v>16</v>
      </c>
      <c r="F1353" s="5" t="s">
        <v>683</v>
      </c>
      <c r="G1353" s="7">
        <v>46076</v>
      </c>
      <c r="H1353" s="5" t="s">
        <v>888</v>
      </c>
    </row>
    <row r="1354" spans="1:8" x14ac:dyDescent="0.35">
      <c r="A1354" s="10">
        <f t="shared" si="21"/>
        <v>1350</v>
      </c>
      <c r="B1354" s="5">
        <v>9581</v>
      </c>
      <c r="C1354" s="5" t="s">
        <v>1825</v>
      </c>
      <c r="D1354" s="5" t="s">
        <v>1826</v>
      </c>
      <c r="E1354" s="5" t="s">
        <v>322</v>
      </c>
      <c r="F1354" s="5" t="s">
        <v>322</v>
      </c>
      <c r="G1354" s="7">
        <v>46078</v>
      </c>
      <c r="H1354" s="5" t="s">
        <v>1075</v>
      </c>
    </row>
    <row r="1355" spans="1:8" x14ac:dyDescent="0.35">
      <c r="A1355" s="10">
        <f t="shared" si="21"/>
        <v>1351</v>
      </c>
      <c r="B1355" s="5">
        <v>9582</v>
      </c>
      <c r="C1355" s="5" t="s">
        <v>1827</v>
      </c>
      <c r="D1355" s="5" t="s">
        <v>1333</v>
      </c>
      <c r="E1355" s="5" t="s">
        <v>16</v>
      </c>
      <c r="F1355" s="5" t="s">
        <v>497</v>
      </c>
      <c r="G1355" s="7">
        <v>46083</v>
      </c>
      <c r="H1355" s="5" t="s">
        <v>1334</v>
      </c>
    </row>
    <row r="1356" spans="1:8" x14ac:dyDescent="0.35">
      <c r="A1356" s="10">
        <f t="shared" si="21"/>
        <v>1352</v>
      </c>
      <c r="B1356" s="5">
        <v>9583</v>
      </c>
      <c r="C1356" s="5" t="s">
        <v>1828</v>
      </c>
      <c r="D1356" s="5" t="s">
        <v>563</v>
      </c>
      <c r="E1356" s="5" t="s">
        <v>16</v>
      </c>
      <c r="F1356" s="5" t="s">
        <v>739</v>
      </c>
      <c r="G1356" s="7">
        <v>46083</v>
      </c>
      <c r="H1356" s="5" t="s">
        <v>888</v>
      </c>
    </row>
    <row r="1357" spans="1:8" x14ac:dyDescent="0.35">
      <c r="A1357" s="10">
        <f t="shared" si="21"/>
        <v>1353</v>
      </c>
      <c r="B1357" s="5">
        <v>9584</v>
      </c>
      <c r="C1357" s="5" t="s">
        <v>1829</v>
      </c>
      <c r="D1357" s="5" t="s">
        <v>563</v>
      </c>
      <c r="E1357" s="5" t="s">
        <v>16</v>
      </c>
      <c r="F1357" s="5" t="s">
        <v>353</v>
      </c>
      <c r="G1357" s="7">
        <v>46083</v>
      </c>
      <c r="H1357" s="5" t="s">
        <v>888</v>
      </c>
    </row>
    <row r="1358" spans="1:8" x14ac:dyDescent="0.35">
      <c r="A1358" s="10">
        <f t="shared" si="21"/>
        <v>1354</v>
      </c>
      <c r="B1358" s="5">
        <v>9585</v>
      </c>
      <c r="C1358" s="5" t="s">
        <v>1830</v>
      </c>
      <c r="D1358" s="5" t="s">
        <v>563</v>
      </c>
      <c r="E1358" s="5" t="s">
        <v>16</v>
      </c>
      <c r="F1358" s="5" t="s">
        <v>368</v>
      </c>
      <c r="G1358" s="7">
        <v>46083</v>
      </c>
      <c r="H1358" s="5" t="s">
        <v>888</v>
      </c>
    </row>
    <row r="1359" spans="1:8" x14ac:dyDescent="0.35">
      <c r="A1359" s="10">
        <f t="shared" si="21"/>
        <v>1355</v>
      </c>
      <c r="B1359" s="5">
        <v>9586</v>
      </c>
      <c r="C1359" s="5" t="s">
        <v>1831</v>
      </c>
      <c r="D1359" s="5" t="s">
        <v>563</v>
      </c>
      <c r="E1359" s="5" t="s">
        <v>16</v>
      </c>
      <c r="F1359" s="5" t="s">
        <v>141</v>
      </c>
      <c r="G1359" s="7">
        <v>46083</v>
      </c>
      <c r="H1359" s="5" t="s">
        <v>888</v>
      </c>
    </row>
    <row r="1360" spans="1:8" x14ac:dyDescent="0.35">
      <c r="A1360" s="10">
        <f t="shared" si="21"/>
        <v>1356</v>
      </c>
      <c r="B1360" s="5">
        <v>9588</v>
      </c>
      <c r="C1360" s="5" t="s">
        <v>1832</v>
      </c>
      <c r="D1360" s="5" t="s">
        <v>563</v>
      </c>
      <c r="E1360" s="5" t="s">
        <v>16</v>
      </c>
      <c r="F1360" s="5" t="s">
        <v>1057</v>
      </c>
      <c r="G1360" s="7">
        <v>46083</v>
      </c>
      <c r="H1360" s="5" t="s">
        <v>888</v>
      </c>
    </row>
    <row r="1361" spans="1:8" x14ac:dyDescent="0.35">
      <c r="A1361" s="10">
        <f t="shared" si="21"/>
        <v>1357</v>
      </c>
      <c r="B1361" s="5">
        <v>9589</v>
      </c>
      <c r="C1361" s="5" t="s">
        <v>1833</v>
      </c>
      <c r="D1361" s="5" t="s">
        <v>1834</v>
      </c>
      <c r="E1361" s="5" t="s">
        <v>632</v>
      </c>
      <c r="F1361" s="5" t="s">
        <v>632</v>
      </c>
      <c r="G1361" s="7">
        <v>46083</v>
      </c>
      <c r="H1361" s="5" t="s">
        <v>1075</v>
      </c>
    </row>
    <row r="1362" spans="1:8" x14ac:dyDescent="0.35">
      <c r="A1362" s="10">
        <f t="shared" si="21"/>
        <v>1358</v>
      </c>
      <c r="B1362" s="5">
        <v>9590</v>
      </c>
      <c r="C1362" s="5" t="s">
        <v>1835</v>
      </c>
      <c r="D1362" s="5" t="s">
        <v>563</v>
      </c>
      <c r="E1362" s="5" t="s">
        <v>16</v>
      </c>
      <c r="F1362" s="5" t="s">
        <v>763</v>
      </c>
      <c r="G1362" s="7">
        <v>46083</v>
      </c>
      <c r="H1362" s="5" t="s">
        <v>888</v>
      </c>
    </row>
    <row r="1363" spans="1:8" x14ac:dyDescent="0.35">
      <c r="A1363" s="10">
        <f t="shared" si="21"/>
        <v>1359</v>
      </c>
      <c r="B1363" s="5">
        <v>9591</v>
      </c>
      <c r="C1363" s="5" t="s">
        <v>1836</v>
      </c>
      <c r="D1363" s="5" t="s">
        <v>563</v>
      </c>
      <c r="E1363" s="5" t="s">
        <v>16</v>
      </c>
      <c r="F1363" s="5" t="s">
        <v>825</v>
      </c>
      <c r="G1363" s="7">
        <v>46083</v>
      </c>
      <c r="H1363" s="5" t="s">
        <v>888</v>
      </c>
    </row>
    <row r="1364" spans="1:8" x14ac:dyDescent="0.35">
      <c r="A1364" s="10">
        <f t="shared" si="21"/>
        <v>1360</v>
      </c>
      <c r="B1364" s="5">
        <v>9593</v>
      </c>
      <c r="C1364" s="5" t="s">
        <v>1837</v>
      </c>
      <c r="D1364" s="5" t="s">
        <v>563</v>
      </c>
      <c r="E1364" s="5" t="s">
        <v>16</v>
      </c>
      <c r="F1364" s="5" t="s">
        <v>739</v>
      </c>
      <c r="G1364" s="7">
        <v>46085</v>
      </c>
      <c r="H1364" s="5" t="s">
        <v>888</v>
      </c>
    </row>
    <row r="1365" spans="1:8" x14ac:dyDescent="0.35">
      <c r="A1365" s="10">
        <f t="shared" si="21"/>
        <v>1361</v>
      </c>
      <c r="B1365" s="5">
        <v>9594</v>
      </c>
      <c r="C1365" s="5" t="s">
        <v>1838</v>
      </c>
      <c r="D1365" s="5" t="s">
        <v>563</v>
      </c>
      <c r="E1365" s="5" t="s">
        <v>16</v>
      </c>
      <c r="F1365" s="5" t="s">
        <v>739</v>
      </c>
      <c r="G1365" s="7">
        <v>46085</v>
      </c>
      <c r="H1365" s="5" t="s">
        <v>888</v>
      </c>
    </row>
    <row r="1366" spans="1:8" x14ac:dyDescent="0.35">
      <c r="A1366" s="10">
        <f t="shared" si="21"/>
        <v>1362</v>
      </c>
      <c r="B1366" s="5">
        <v>9595</v>
      </c>
      <c r="C1366" s="5" t="s">
        <v>1839</v>
      </c>
      <c r="D1366" s="5" t="s">
        <v>563</v>
      </c>
      <c r="E1366" s="5" t="s">
        <v>16</v>
      </c>
      <c r="F1366" s="5" t="s">
        <v>141</v>
      </c>
      <c r="G1366" s="7">
        <v>46085</v>
      </c>
      <c r="H1366" s="5" t="s">
        <v>888</v>
      </c>
    </row>
    <row r="1367" spans="1:8" x14ac:dyDescent="0.35">
      <c r="A1367" s="10">
        <f t="shared" si="21"/>
        <v>1363</v>
      </c>
      <c r="B1367" s="5">
        <v>9596</v>
      </c>
      <c r="C1367" s="5" t="s">
        <v>1840</v>
      </c>
      <c r="D1367" s="5" t="s">
        <v>1333</v>
      </c>
      <c r="E1367" s="5" t="s">
        <v>16</v>
      </c>
      <c r="F1367" s="5" t="s">
        <v>368</v>
      </c>
      <c r="G1367" s="7">
        <v>46085</v>
      </c>
      <c r="H1367" s="5" t="s">
        <v>1334</v>
      </c>
    </row>
    <row r="1368" spans="1:8" x14ac:dyDescent="0.35">
      <c r="A1368" s="10">
        <f t="shared" si="21"/>
        <v>1364</v>
      </c>
      <c r="B1368" s="5">
        <v>9597</v>
      </c>
      <c r="C1368" s="5" t="s">
        <v>1841</v>
      </c>
      <c r="D1368" s="5" t="s">
        <v>563</v>
      </c>
      <c r="E1368" s="5" t="s">
        <v>16</v>
      </c>
      <c r="F1368" s="5" t="s">
        <v>353</v>
      </c>
      <c r="G1368" s="7">
        <v>46085</v>
      </c>
      <c r="H1368" s="5" t="s">
        <v>888</v>
      </c>
    </row>
    <row r="1369" spans="1:8" x14ac:dyDescent="0.35">
      <c r="A1369" s="10">
        <f t="shared" si="21"/>
        <v>1365</v>
      </c>
      <c r="B1369" s="5">
        <v>9599</v>
      </c>
      <c r="C1369" s="5" t="s">
        <v>1842</v>
      </c>
      <c r="D1369" s="5" t="s">
        <v>563</v>
      </c>
      <c r="E1369" s="5" t="s">
        <v>16</v>
      </c>
      <c r="F1369" s="5" t="s">
        <v>919</v>
      </c>
      <c r="G1369" s="7">
        <v>46086</v>
      </c>
      <c r="H1369" s="5" t="s">
        <v>888</v>
      </c>
    </row>
    <row r="1370" spans="1:8" x14ac:dyDescent="0.35">
      <c r="A1370" s="10">
        <f t="shared" si="21"/>
        <v>1366</v>
      </c>
      <c r="B1370" s="5">
        <v>9601</v>
      </c>
      <c r="C1370" s="5" t="s">
        <v>1844</v>
      </c>
      <c r="D1370" s="5" t="s">
        <v>669</v>
      </c>
      <c r="E1370" s="5" t="s">
        <v>103</v>
      </c>
      <c r="F1370" s="5" t="s">
        <v>103</v>
      </c>
      <c r="G1370" s="7">
        <v>46082</v>
      </c>
      <c r="H1370" s="5" t="s">
        <v>888</v>
      </c>
    </row>
    <row r="1371" spans="1:8" x14ac:dyDescent="0.35">
      <c r="A1371" s="10">
        <f t="shared" si="21"/>
        <v>1367</v>
      </c>
      <c r="B1371" s="5">
        <v>9602</v>
      </c>
      <c r="C1371" s="5" t="s">
        <v>1845</v>
      </c>
      <c r="D1371" s="5" t="s">
        <v>778</v>
      </c>
      <c r="E1371" s="5" t="s">
        <v>314</v>
      </c>
      <c r="F1371" s="5" t="s">
        <v>315</v>
      </c>
      <c r="G1371" s="7">
        <v>46082</v>
      </c>
      <c r="H1371" s="5" t="s">
        <v>888</v>
      </c>
    </row>
    <row r="1372" spans="1:8" x14ac:dyDescent="0.35">
      <c r="A1372" s="10">
        <f t="shared" si="21"/>
        <v>1368</v>
      </c>
      <c r="B1372" s="5">
        <v>9603</v>
      </c>
      <c r="C1372" s="5" t="s">
        <v>1846</v>
      </c>
      <c r="D1372" s="5" t="s">
        <v>1333</v>
      </c>
      <c r="E1372" s="5" t="s">
        <v>16</v>
      </c>
      <c r="F1372" s="5" t="s">
        <v>1124</v>
      </c>
      <c r="G1372" s="7">
        <v>46088</v>
      </c>
      <c r="H1372" s="5" t="s">
        <v>1334</v>
      </c>
    </row>
    <row r="1373" spans="1:8" x14ac:dyDescent="0.35">
      <c r="A1373" s="10">
        <f t="shared" si="21"/>
        <v>1369</v>
      </c>
      <c r="B1373" s="5">
        <v>9604</v>
      </c>
      <c r="C1373" s="5" t="s">
        <v>1847</v>
      </c>
      <c r="D1373" s="5" t="s">
        <v>563</v>
      </c>
      <c r="E1373" s="5" t="s">
        <v>16</v>
      </c>
      <c r="F1373" s="5" t="s">
        <v>141</v>
      </c>
      <c r="G1373" s="7">
        <v>46090</v>
      </c>
      <c r="H1373" s="5" t="s">
        <v>888</v>
      </c>
    </row>
    <row r="1374" spans="1:8" x14ac:dyDescent="0.35">
      <c r="A1374" s="10">
        <f t="shared" si="21"/>
        <v>1370</v>
      </c>
      <c r="B1374" s="5">
        <v>9605</v>
      </c>
      <c r="C1374" s="5" t="s">
        <v>1848</v>
      </c>
      <c r="D1374" s="5" t="s">
        <v>563</v>
      </c>
      <c r="E1374" s="5" t="s">
        <v>16</v>
      </c>
      <c r="F1374" s="5" t="s">
        <v>497</v>
      </c>
      <c r="G1374" s="7">
        <v>46090</v>
      </c>
      <c r="H1374" s="5" t="s">
        <v>888</v>
      </c>
    </row>
    <row r="1375" spans="1:8" x14ac:dyDescent="0.35">
      <c r="A1375" s="10">
        <f t="shared" si="21"/>
        <v>1371</v>
      </c>
      <c r="B1375" s="5">
        <v>9607</v>
      </c>
      <c r="C1375" s="5" t="s">
        <v>1849</v>
      </c>
      <c r="D1375" s="5" t="s">
        <v>563</v>
      </c>
      <c r="E1375" s="5" t="s">
        <v>16</v>
      </c>
      <c r="F1375" s="5" t="s">
        <v>681</v>
      </c>
      <c r="G1375" s="7">
        <v>46090</v>
      </c>
      <c r="H1375" s="5" t="s">
        <v>888</v>
      </c>
    </row>
    <row r="1376" spans="1:8" x14ac:dyDescent="0.35">
      <c r="A1376" s="10">
        <f t="shared" si="21"/>
        <v>1372</v>
      </c>
      <c r="B1376" s="5">
        <v>9608</v>
      </c>
      <c r="C1376" s="5" t="s">
        <v>1850</v>
      </c>
      <c r="D1376" s="5" t="s">
        <v>563</v>
      </c>
      <c r="E1376" s="5" t="s">
        <v>16</v>
      </c>
      <c r="F1376" s="5" t="s">
        <v>897</v>
      </c>
      <c r="G1376" s="7">
        <v>46090</v>
      </c>
      <c r="H1376" s="5" t="s">
        <v>888</v>
      </c>
    </row>
    <row r="1377" spans="1:8" x14ac:dyDescent="0.35">
      <c r="A1377" s="10">
        <f t="shared" si="21"/>
        <v>1373</v>
      </c>
      <c r="B1377" s="5">
        <v>9609</v>
      </c>
      <c r="C1377" s="5" t="s">
        <v>1851</v>
      </c>
      <c r="D1377" s="5" t="s">
        <v>563</v>
      </c>
      <c r="E1377" s="5" t="s">
        <v>16</v>
      </c>
      <c r="F1377" s="5" t="s">
        <v>574</v>
      </c>
      <c r="G1377" s="7">
        <v>46090</v>
      </c>
      <c r="H1377" s="5" t="s">
        <v>888</v>
      </c>
    </row>
    <row r="1378" spans="1:8" x14ac:dyDescent="0.35">
      <c r="A1378" s="10">
        <f t="shared" si="21"/>
        <v>1374</v>
      </c>
      <c r="B1378" s="5">
        <v>9610</v>
      </c>
      <c r="C1378" s="5" t="s">
        <v>1852</v>
      </c>
      <c r="D1378" s="5" t="s">
        <v>563</v>
      </c>
      <c r="E1378" s="5" t="s">
        <v>16</v>
      </c>
      <c r="F1378" s="5" t="s">
        <v>958</v>
      </c>
      <c r="G1378" s="7">
        <v>46090</v>
      </c>
      <c r="H1378" s="5" t="s">
        <v>888</v>
      </c>
    </row>
    <row r="1379" spans="1:8" x14ac:dyDescent="0.35">
      <c r="A1379" s="10">
        <f t="shared" si="21"/>
        <v>1375</v>
      </c>
      <c r="B1379" s="5">
        <v>9611</v>
      </c>
      <c r="C1379" s="5" t="s">
        <v>1853</v>
      </c>
      <c r="D1379" s="5" t="s">
        <v>563</v>
      </c>
      <c r="E1379" s="5" t="s">
        <v>16</v>
      </c>
      <c r="F1379" s="5" t="s">
        <v>718</v>
      </c>
      <c r="G1379" s="7">
        <v>46090</v>
      </c>
      <c r="H1379" s="5" t="s">
        <v>888</v>
      </c>
    </row>
    <row r="1380" spans="1:8" x14ac:dyDescent="0.35">
      <c r="A1380" s="10">
        <f t="shared" si="21"/>
        <v>1376</v>
      </c>
      <c r="B1380" s="5">
        <v>9612</v>
      </c>
      <c r="C1380" s="5" t="s">
        <v>1854</v>
      </c>
      <c r="D1380" s="5" t="s">
        <v>563</v>
      </c>
      <c r="E1380" s="5" t="s">
        <v>16</v>
      </c>
      <c r="F1380" s="5" t="s">
        <v>739</v>
      </c>
      <c r="G1380" s="7">
        <v>46090</v>
      </c>
      <c r="H1380" s="5" t="s">
        <v>888</v>
      </c>
    </row>
    <row r="1381" spans="1:8" x14ac:dyDescent="0.35">
      <c r="A1381" s="10">
        <f t="shared" si="21"/>
        <v>1377</v>
      </c>
      <c r="B1381" s="5">
        <v>9613</v>
      </c>
      <c r="C1381" s="5" t="s">
        <v>1855</v>
      </c>
      <c r="D1381" s="5" t="s">
        <v>563</v>
      </c>
      <c r="E1381" s="5" t="s">
        <v>16</v>
      </c>
      <c r="F1381" s="5" t="s">
        <v>1107</v>
      </c>
      <c r="G1381" s="7">
        <v>46090</v>
      </c>
      <c r="H1381" s="5" t="s">
        <v>888</v>
      </c>
    </row>
    <row r="1382" spans="1:8" x14ac:dyDescent="0.35">
      <c r="A1382" s="10">
        <f t="shared" si="21"/>
        <v>1378</v>
      </c>
      <c r="B1382" s="5">
        <v>9614</v>
      </c>
      <c r="C1382" s="5" t="s">
        <v>1856</v>
      </c>
      <c r="D1382" s="5" t="s">
        <v>455</v>
      </c>
      <c r="E1382" s="5" t="s">
        <v>561</v>
      </c>
      <c r="F1382" s="5" t="s">
        <v>561</v>
      </c>
      <c r="G1382" s="7">
        <v>46090</v>
      </c>
      <c r="H1382" s="5" t="s">
        <v>888</v>
      </c>
    </row>
    <row r="1383" spans="1:8" x14ac:dyDescent="0.35">
      <c r="A1383" s="10">
        <f t="shared" si="21"/>
        <v>1379</v>
      </c>
      <c r="B1383" s="5">
        <v>9616</v>
      </c>
      <c r="C1383" s="5" t="s">
        <v>1857</v>
      </c>
      <c r="D1383" s="5" t="s">
        <v>1333</v>
      </c>
      <c r="E1383" s="5" t="s">
        <v>16</v>
      </c>
      <c r="F1383" s="5" t="s">
        <v>353</v>
      </c>
      <c r="G1383" s="7">
        <v>46090</v>
      </c>
      <c r="H1383" s="5" t="s">
        <v>1334</v>
      </c>
    </row>
    <row r="1384" spans="1:8" x14ac:dyDescent="0.35">
      <c r="A1384" s="10">
        <f t="shared" si="21"/>
        <v>1380</v>
      </c>
      <c r="B1384" s="5">
        <v>9617</v>
      </c>
      <c r="C1384" s="5" t="s">
        <v>1858</v>
      </c>
      <c r="D1384" s="5" t="s">
        <v>563</v>
      </c>
      <c r="E1384" s="5" t="s">
        <v>16</v>
      </c>
      <c r="F1384" s="5" t="s">
        <v>589</v>
      </c>
      <c r="G1384" s="7">
        <v>46090</v>
      </c>
      <c r="H1384" s="5" t="s">
        <v>888</v>
      </c>
    </row>
    <row r="1385" spans="1:8" x14ac:dyDescent="0.35">
      <c r="A1385" s="10">
        <f t="shared" si="21"/>
        <v>1381</v>
      </c>
      <c r="B1385" s="5">
        <v>9618</v>
      </c>
      <c r="C1385" s="5" t="s">
        <v>1859</v>
      </c>
      <c r="D1385" s="5" t="s">
        <v>563</v>
      </c>
      <c r="E1385" s="5" t="s">
        <v>16</v>
      </c>
      <c r="F1385" s="5" t="s">
        <v>574</v>
      </c>
      <c r="G1385" s="7">
        <v>46091</v>
      </c>
      <c r="H1385" s="5" t="s">
        <v>888</v>
      </c>
    </row>
    <row r="1386" spans="1:8" x14ac:dyDescent="0.35">
      <c r="A1386" s="10">
        <f t="shared" si="21"/>
        <v>1382</v>
      </c>
      <c r="B1386" s="5">
        <v>9619</v>
      </c>
      <c r="C1386" s="5" t="s">
        <v>1860</v>
      </c>
      <c r="D1386" s="5" t="s">
        <v>563</v>
      </c>
      <c r="E1386" s="5" t="s">
        <v>16</v>
      </c>
      <c r="F1386" s="5" t="s">
        <v>368</v>
      </c>
      <c r="G1386" s="7">
        <v>46092</v>
      </c>
      <c r="H1386" s="5" t="s">
        <v>888</v>
      </c>
    </row>
    <row r="1387" spans="1:8" x14ac:dyDescent="0.35">
      <c r="A1387" s="10">
        <f t="shared" si="21"/>
        <v>1383</v>
      </c>
      <c r="B1387" s="5">
        <v>9620</v>
      </c>
      <c r="C1387" s="5" t="s">
        <v>1861</v>
      </c>
      <c r="D1387" s="5" t="s">
        <v>563</v>
      </c>
      <c r="E1387" s="5" t="s">
        <v>16</v>
      </c>
      <c r="F1387" s="5" t="s">
        <v>480</v>
      </c>
      <c r="G1387" s="7">
        <v>46092</v>
      </c>
      <c r="H1387" s="5" t="s">
        <v>888</v>
      </c>
    </row>
    <row r="1388" spans="1:8" x14ac:dyDescent="0.35">
      <c r="A1388" s="10">
        <f t="shared" si="21"/>
        <v>1384</v>
      </c>
      <c r="B1388" s="5">
        <v>9621</v>
      </c>
      <c r="C1388" s="5" t="s">
        <v>1862</v>
      </c>
      <c r="D1388" s="5" t="s">
        <v>1333</v>
      </c>
      <c r="E1388" s="5" t="s">
        <v>16</v>
      </c>
      <c r="F1388" s="5" t="s">
        <v>697</v>
      </c>
      <c r="G1388" s="7">
        <v>46092</v>
      </c>
      <c r="H1388" s="5" t="s">
        <v>1334</v>
      </c>
    </row>
    <row r="1389" spans="1:8" x14ac:dyDescent="0.35">
      <c r="A1389" s="10">
        <f t="shared" si="21"/>
        <v>1385</v>
      </c>
      <c r="B1389" s="5">
        <v>9622</v>
      </c>
      <c r="C1389" s="5" t="s">
        <v>1863</v>
      </c>
      <c r="D1389" s="5" t="s">
        <v>563</v>
      </c>
      <c r="E1389" s="5" t="s">
        <v>16</v>
      </c>
      <c r="F1389" s="5" t="s">
        <v>658</v>
      </c>
      <c r="G1389" s="7">
        <v>46093</v>
      </c>
      <c r="H1389" s="5" t="s">
        <v>888</v>
      </c>
    </row>
    <row r="1390" spans="1:8" x14ac:dyDescent="0.35">
      <c r="A1390" s="10">
        <f t="shared" si="21"/>
        <v>1386</v>
      </c>
      <c r="B1390" s="5">
        <v>9623</v>
      </c>
      <c r="C1390" s="5" t="s">
        <v>1864</v>
      </c>
      <c r="D1390" s="5" t="s">
        <v>563</v>
      </c>
      <c r="E1390" s="5" t="s">
        <v>16</v>
      </c>
      <c r="F1390" s="5" t="s">
        <v>480</v>
      </c>
      <c r="G1390" s="7">
        <v>46093</v>
      </c>
      <c r="H1390" s="5" t="s">
        <v>888</v>
      </c>
    </row>
    <row r="1391" spans="1:8" x14ac:dyDescent="0.35">
      <c r="A1391" s="10">
        <f t="shared" si="21"/>
        <v>1387</v>
      </c>
      <c r="B1391" s="5">
        <v>9626</v>
      </c>
      <c r="C1391" s="5" t="s">
        <v>1865</v>
      </c>
      <c r="D1391" s="5" t="s">
        <v>563</v>
      </c>
      <c r="E1391" s="5" t="s">
        <v>16</v>
      </c>
      <c r="F1391" s="5" t="s">
        <v>247</v>
      </c>
      <c r="G1391" s="7">
        <v>46097</v>
      </c>
      <c r="H1391" s="5" t="s">
        <v>888</v>
      </c>
    </row>
    <row r="1392" spans="1:8" x14ac:dyDescent="0.35">
      <c r="A1392" s="10">
        <f t="shared" si="21"/>
        <v>1388</v>
      </c>
      <c r="B1392" s="5">
        <v>9627</v>
      </c>
      <c r="C1392" s="5" t="s">
        <v>1866</v>
      </c>
      <c r="D1392" s="5" t="s">
        <v>563</v>
      </c>
      <c r="E1392" s="5" t="s">
        <v>16</v>
      </c>
      <c r="F1392" s="5" t="s">
        <v>141</v>
      </c>
      <c r="G1392" s="7">
        <v>46100</v>
      </c>
      <c r="H1392" s="5" t="s">
        <v>888</v>
      </c>
    </row>
    <row r="1393" spans="1:8" x14ac:dyDescent="0.35">
      <c r="A1393" s="10">
        <f t="shared" si="21"/>
        <v>1389</v>
      </c>
      <c r="B1393" s="5">
        <v>9628</v>
      </c>
      <c r="C1393" s="5" t="s">
        <v>1867</v>
      </c>
      <c r="D1393" s="5" t="s">
        <v>797</v>
      </c>
      <c r="E1393" s="5" t="s">
        <v>1868</v>
      </c>
      <c r="F1393" s="5" t="s">
        <v>1869</v>
      </c>
      <c r="G1393" s="7">
        <v>46104</v>
      </c>
      <c r="H1393" s="5" t="s">
        <v>888</v>
      </c>
    </row>
    <row r="1394" spans="1:8" x14ac:dyDescent="0.35">
      <c r="A1394" s="10">
        <f t="shared" si="21"/>
        <v>1390</v>
      </c>
      <c r="B1394" s="5">
        <v>9629</v>
      </c>
      <c r="C1394" s="5" t="s">
        <v>1870</v>
      </c>
      <c r="D1394" s="5" t="s">
        <v>830</v>
      </c>
      <c r="E1394" s="5" t="s">
        <v>35</v>
      </c>
      <c r="F1394" s="5" t="s">
        <v>36</v>
      </c>
      <c r="G1394" s="7">
        <v>46104</v>
      </c>
      <c r="H1394" s="5" t="s">
        <v>888</v>
      </c>
    </row>
    <row r="1395" spans="1:8" x14ac:dyDescent="0.35">
      <c r="A1395" s="10">
        <f t="shared" si="21"/>
        <v>1391</v>
      </c>
      <c r="B1395" s="5">
        <v>9631</v>
      </c>
      <c r="C1395" s="5" t="s">
        <v>1871</v>
      </c>
      <c r="D1395" s="5" t="s">
        <v>1373</v>
      </c>
      <c r="E1395" s="5" t="s">
        <v>263</v>
      </c>
      <c r="F1395" s="5" t="s">
        <v>1374</v>
      </c>
      <c r="G1395" s="7">
        <v>46104</v>
      </c>
      <c r="H1395" s="5" t="s">
        <v>888</v>
      </c>
    </row>
    <row r="1396" spans="1:8" x14ac:dyDescent="0.35">
      <c r="A1396" s="10">
        <f t="shared" si="21"/>
        <v>1392</v>
      </c>
      <c r="B1396" s="5">
        <v>9632</v>
      </c>
      <c r="C1396" s="5" t="s">
        <v>1872</v>
      </c>
      <c r="D1396" s="5" t="s">
        <v>716</v>
      </c>
      <c r="E1396" s="5" t="s">
        <v>1646</v>
      </c>
      <c r="F1396" s="5" t="s">
        <v>1647</v>
      </c>
      <c r="G1396" s="7">
        <v>46082</v>
      </c>
      <c r="H1396" s="5" t="s">
        <v>888</v>
      </c>
    </row>
    <row r="1397" spans="1:8" x14ac:dyDescent="0.35">
      <c r="A1397" s="10">
        <f t="shared" si="21"/>
        <v>1393</v>
      </c>
      <c r="B1397" s="5">
        <v>9633</v>
      </c>
      <c r="C1397" s="5" t="s">
        <v>1873</v>
      </c>
      <c r="D1397" s="5" t="s">
        <v>427</v>
      </c>
      <c r="E1397" s="5" t="s">
        <v>1646</v>
      </c>
      <c r="F1397" s="5" t="s">
        <v>1647</v>
      </c>
      <c r="G1397" s="7">
        <v>46082</v>
      </c>
      <c r="H1397" s="5" t="s">
        <v>888</v>
      </c>
    </row>
    <row r="1398" spans="1:8" x14ac:dyDescent="0.35">
      <c r="A1398" s="10">
        <f t="shared" si="21"/>
        <v>1394</v>
      </c>
      <c r="B1398" s="5">
        <v>9634</v>
      </c>
      <c r="C1398" s="5" t="s">
        <v>1874</v>
      </c>
      <c r="D1398" s="5" t="s">
        <v>904</v>
      </c>
      <c r="E1398" s="5" t="s">
        <v>190</v>
      </c>
      <c r="F1398" s="5" t="s">
        <v>190</v>
      </c>
      <c r="G1398" s="7">
        <v>46113</v>
      </c>
      <c r="H1398" s="5" t="s">
        <v>888</v>
      </c>
    </row>
    <row r="1399" spans="1:8" x14ac:dyDescent="0.35">
      <c r="A1399" s="10">
        <f t="shared" si="21"/>
        <v>1395</v>
      </c>
      <c r="B1399" s="5">
        <v>9635</v>
      </c>
      <c r="C1399" s="5" t="s">
        <v>1875</v>
      </c>
      <c r="D1399" s="5" t="s">
        <v>1478</v>
      </c>
      <c r="E1399" s="5" t="s">
        <v>117</v>
      </c>
      <c r="F1399" s="5" t="s">
        <v>176</v>
      </c>
      <c r="G1399" s="7">
        <v>46113</v>
      </c>
      <c r="H1399" s="5" t="s">
        <v>888</v>
      </c>
    </row>
    <row r="1400" spans="1:8" x14ac:dyDescent="0.35">
      <c r="A1400" s="10">
        <f t="shared" si="21"/>
        <v>1396</v>
      </c>
      <c r="B1400" s="5">
        <v>9638</v>
      </c>
      <c r="C1400" s="5" t="s">
        <v>1876</v>
      </c>
      <c r="D1400" s="5" t="s">
        <v>1333</v>
      </c>
      <c r="E1400" s="5" t="s">
        <v>16</v>
      </c>
      <c r="F1400" s="5" t="s">
        <v>683</v>
      </c>
      <c r="G1400" s="7">
        <v>46113</v>
      </c>
      <c r="H1400" s="5" t="s">
        <v>1334</v>
      </c>
    </row>
    <row r="1401" spans="1:8" x14ac:dyDescent="0.35">
      <c r="A1401" s="10">
        <f t="shared" si="21"/>
        <v>1397</v>
      </c>
      <c r="B1401" s="5">
        <v>9642</v>
      </c>
      <c r="C1401" s="5" t="s">
        <v>1877</v>
      </c>
      <c r="D1401" s="5" t="s">
        <v>455</v>
      </c>
      <c r="E1401" s="5" t="s">
        <v>68</v>
      </c>
      <c r="F1401" s="5" t="s">
        <v>254</v>
      </c>
      <c r="G1401" s="7">
        <v>46119</v>
      </c>
      <c r="H1401" s="5" t="s">
        <v>888</v>
      </c>
    </row>
    <row r="1402" spans="1:8" x14ac:dyDescent="0.35">
      <c r="A1402" s="10">
        <f t="shared" si="21"/>
        <v>1398</v>
      </c>
      <c r="B1402" s="5">
        <v>9643</v>
      </c>
      <c r="C1402" s="5" t="s">
        <v>1878</v>
      </c>
      <c r="D1402" s="5" t="s">
        <v>1187</v>
      </c>
      <c r="E1402" s="5" t="s">
        <v>800</v>
      </c>
      <c r="F1402" s="5" t="s">
        <v>801</v>
      </c>
      <c r="G1402" s="7">
        <v>46120</v>
      </c>
      <c r="H1402" s="5" t="s">
        <v>888</v>
      </c>
    </row>
    <row r="1403" spans="1:8" x14ac:dyDescent="0.35">
      <c r="A1403" s="10">
        <f t="shared" si="21"/>
        <v>1399</v>
      </c>
      <c r="B1403" s="5">
        <v>9644</v>
      </c>
      <c r="C1403" s="5" t="s">
        <v>1879</v>
      </c>
      <c r="D1403" s="5" t="s">
        <v>563</v>
      </c>
      <c r="E1403" s="5" t="s">
        <v>16</v>
      </c>
      <c r="F1403" s="5" t="s">
        <v>763</v>
      </c>
      <c r="G1403" s="7">
        <v>46132</v>
      </c>
      <c r="H1403" s="5" t="s">
        <v>888</v>
      </c>
    </row>
    <row r="1404" spans="1:8" x14ac:dyDescent="0.35">
      <c r="A1404" s="10">
        <f t="shared" si="21"/>
        <v>1400</v>
      </c>
      <c r="B1404" s="5">
        <v>9645</v>
      </c>
      <c r="C1404" s="5" t="s">
        <v>1880</v>
      </c>
      <c r="D1404" s="5" t="s">
        <v>249</v>
      </c>
      <c r="E1404" s="5" t="s">
        <v>165</v>
      </c>
      <c r="F1404" s="5" t="s">
        <v>165</v>
      </c>
      <c r="G1404" s="7">
        <v>46125</v>
      </c>
      <c r="H1404" s="5" t="s">
        <v>888</v>
      </c>
    </row>
    <row r="1405" spans="1:8" x14ac:dyDescent="0.35">
      <c r="A1405" s="10">
        <f t="shared" si="21"/>
        <v>1401</v>
      </c>
      <c r="B1405" s="5">
        <v>9646</v>
      </c>
      <c r="C1405" s="5" t="s">
        <v>1881</v>
      </c>
      <c r="D1405" s="5" t="s">
        <v>563</v>
      </c>
      <c r="E1405" s="5" t="s">
        <v>16</v>
      </c>
      <c r="F1405" s="5" t="s">
        <v>656</v>
      </c>
      <c r="G1405" s="7">
        <v>46132</v>
      </c>
      <c r="H1405" s="5" t="s">
        <v>888</v>
      </c>
    </row>
    <row r="1406" spans="1:8" x14ac:dyDescent="0.35">
      <c r="A1406" s="10">
        <f t="shared" si="21"/>
        <v>1402</v>
      </c>
      <c r="B1406" s="5">
        <v>9648</v>
      </c>
      <c r="C1406" s="5" t="s">
        <v>1882</v>
      </c>
      <c r="D1406" s="5" t="s">
        <v>563</v>
      </c>
      <c r="E1406" s="5" t="s">
        <v>16</v>
      </c>
      <c r="F1406" s="5" t="s">
        <v>574</v>
      </c>
      <c r="G1406" s="7">
        <v>46132</v>
      </c>
      <c r="H1406" s="5" t="s">
        <v>888</v>
      </c>
    </row>
    <row r="1407" spans="1:8" x14ac:dyDescent="0.35">
      <c r="A1407" s="10">
        <f t="shared" si="21"/>
        <v>1403</v>
      </c>
      <c r="B1407" s="5">
        <v>9649</v>
      </c>
      <c r="C1407" s="5" t="s">
        <v>1883</v>
      </c>
      <c r="D1407" s="5" t="s">
        <v>563</v>
      </c>
      <c r="E1407" s="5" t="s">
        <v>16</v>
      </c>
      <c r="F1407" s="5" t="s">
        <v>483</v>
      </c>
      <c r="G1407" s="7">
        <v>46132</v>
      </c>
      <c r="H1407" s="5" t="s">
        <v>888</v>
      </c>
    </row>
    <row r="1408" spans="1:8" x14ac:dyDescent="0.35">
      <c r="A1408" s="10">
        <f t="shared" si="21"/>
        <v>1404</v>
      </c>
      <c r="B1408" s="5">
        <v>9650</v>
      </c>
      <c r="C1408" s="5" t="s">
        <v>1884</v>
      </c>
      <c r="D1408" s="5" t="s">
        <v>563</v>
      </c>
      <c r="E1408" s="5" t="s">
        <v>16</v>
      </c>
      <c r="F1408" s="5" t="s">
        <v>626</v>
      </c>
      <c r="G1408" s="7">
        <v>46132</v>
      </c>
      <c r="H1408" s="5" t="s">
        <v>888</v>
      </c>
    </row>
    <row r="1409" spans="1:8" x14ac:dyDescent="0.35">
      <c r="A1409" s="10">
        <f t="shared" si="21"/>
        <v>1405</v>
      </c>
      <c r="B1409" s="5">
        <v>9651</v>
      </c>
      <c r="C1409" s="5" t="s">
        <v>1885</v>
      </c>
      <c r="D1409" s="5" t="s">
        <v>812</v>
      </c>
      <c r="E1409" s="5" t="s">
        <v>35</v>
      </c>
      <c r="F1409" s="5" t="s">
        <v>84</v>
      </c>
      <c r="G1409" s="7">
        <v>46137</v>
      </c>
      <c r="H1409" s="5" t="s">
        <v>888</v>
      </c>
    </row>
    <row r="1410" spans="1:8" x14ac:dyDescent="0.35">
      <c r="A1410" s="10">
        <f t="shared" si="21"/>
        <v>1406</v>
      </c>
      <c r="B1410" s="5">
        <v>9652</v>
      </c>
      <c r="C1410" s="5" t="s">
        <v>1886</v>
      </c>
      <c r="D1410" s="5" t="s">
        <v>1615</v>
      </c>
      <c r="E1410" s="5" t="s">
        <v>424</v>
      </c>
      <c r="F1410" s="5" t="s">
        <v>424</v>
      </c>
      <c r="G1410" s="7">
        <v>46139</v>
      </c>
      <c r="H1410" s="5" t="s">
        <v>888</v>
      </c>
    </row>
  </sheetData>
  <autoFilter ref="A4:I1491" xr:uid="{AA9D0E45-AEDC-434D-9A63-8FF9C9876C9A}"/>
  <sortState xmlns:xlrd2="http://schemas.microsoft.com/office/spreadsheetml/2017/richdata2" ref="B4:I1491">
    <sortCondition descending="1" sortBy="cellColor" ref="B4:B1491" dxfId="4"/>
  </sortState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Admin &amp; Para</vt:lpstr>
      <vt:lpstr>Nursing</vt:lpstr>
      <vt:lpstr>Nursing Assistant</vt:lpstr>
      <vt:lpstr>Managers</vt:lpstr>
      <vt:lpstr>Staff List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T T.</dc:creator>
  <cp:lastModifiedBy>Lakshman Sethuraman</cp:lastModifiedBy>
  <cp:lastPrinted>2026-04-30T07:43:21Z</cp:lastPrinted>
  <dcterms:created xsi:type="dcterms:W3CDTF">2026-04-29T09:49:51Z</dcterms:created>
  <dcterms:modified xsi:type="dcterms:W3CDTF">2026-04-30T10:05:24Z</dcterms:modified>
</cp:coreProperties>
</file>
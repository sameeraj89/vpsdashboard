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BEQUIP\Shared drives\Bequip FINAC\5_CLIENTS\4_Ongoing\Lakeshore\5_FY 2026-27\AOP\DECK V2\"/>
    </mc:Choice>
  </mc:AlternateContent>
  <xr:revisionPtr revIDLastSave="0" documentId="13_ncr:1_{0BF5BDAE-7DDB-41D1-891C-6D8FCB761B9C}" xr6:coauthVersionLast="47" xr6:coauthVersionMax="47" xr10:uidLastSave="{00000000-0000-0000-0000-000000000000}"/>
  <bookViews>
    <workbookView xWindow="-110" yWindow="-110" windowWidth="19420" windowHeight="10300" tabRatio="825" activeTab="1" xr2:uid="{00000000-000D-0000-FFFF-FFFF00000000}"/>
  </bookViews>
  <sheets>
    <sheet name="Dashboard" sheetId="1" r:id="rId1"/>
    <sheet name="Initiative Register" sheetId="5" r:id="rId2"/>
    <sheet name="Monthly Plan" sheetId="6" state="hidden" r:id="rId3"/>
    <sheet name="Cost Plan" sheetId="7" r:id="rId4"/>
    <sheet name="Revenue Impact" sheetId="8" r:id="rId5"/>
    <sheet name="Monthly Actuals" sheetId="9" r:id="rId6"/>
    <sheet name="Variance Analysis" sheetId="10" r:id="rId7"/>
    <sheet name="KPI Tracker" sheetId="11" r:id="rId8"/>
    <sheet name="Initiative Detail Card" sheetId="2" r:id="rId9"/>
    <sheet name="Instructions" sheetId="3" r:id="rId10"/>
    <sheet name="Config" sheetId="4" r:id="rId11"/>
  </sheets>
  <definedNames>
    <definedName name="_xlnm._FilterDatabase" localSheetId="1" hidden="1">'Initiative Register'!$A$4:$Z$153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SXDCTQaS49pRy4FYh9RWkX1hHsTLIlVB7j4TO89Gz0g="/>
    </ext>
  </extLst>
</workbook>
</file>

<file path=xl/calcChain.xml><?xml version="1.0" encoding="utf-8"?>
<calcChain xmlns="http://schemas.openxmlformats.org/spreadsheetml/2006/main">
  <c r="C55" i="9" l="1"/>
  <c r="P55" i="9"/>
  <c r="C56" i="9"/>
  <c r="P56" i="9"/>
  <c r="C57" i="9"/>
  <c r="P57" i="9"/>
  <c r="C58" i="9"/>
  <c r="P58" i="9"/>
  <c r="B59" i="9"/>
  <c r="C59" i="9"/>
  <c r="P59" i="9"/>
  <c r="B60" i="9"/>
  <c r="C60" i="9"/>
  <c r="P60" i="9"/>
  <c r="B61" i="9"/>
  <c r="C61" i="9"/>
  <c r="P61" i="9"/>
  <c r="B62" i="9"/>
  <c r="C62" i="9"/>
  <c r="P62" i="9"/>
  <c r="B63" i="9"/>
  <c r="C63" i="9"/>
  <c r="P63" i="9"/>
  <c r="B64" i="9"/>
  <c r="C64" i="9"/>
  <c r="P64" i="9"/>
  <c r="B65" i="9"/>
  <c r="C65" i="9"/>
  <c r="P65" i="9"/>
  <c r="B66" i="9"/>
  <c r="C66" i="9"/>
  <c r="P66" i="9"/>
  <c r="B67" i="9"/>
  <c r="C67" i="9"/>
  <c r="P67" i="9"/>
  <c r="B68" i="9"/>
  <c r="C68" i="9"/>
  <c r="P68" i="9"/>
  <c r="B69" i="9"/>
  <c r="C69" i="9"/>
  <c r="P69" i="9"/>
  <c r="B70" i="9"/>
  <c r="C70" i="9"/>
  <c r="P70" i="9"/>
  <c r="B71" i="9"/>
  <c r="C71" i="9"/>
  <c r="P71" i="9"/>
  <c r="B72" i="9"/>
  <c r="C72" i="9"/>
  <c r="P72" i="9"/>
  <c r="C31" i="9"/>
  <c r="C32" i="9"/>
  <c r="C33" i="9"/>
  <c r="C34" i="9"/>
  <c r="C35" i="9"/>
  <c r="C36" i="9"/>
  <c r="C37" i="9"/>
  <c r="C38" i="9"/>
  <c r="C39" i="9"/>
  <c r="C40" i="9"/>
  <c r="C41" i="9"/>
  <c r="C42" i="9"/>
  <c r="C43" i="9"/>
  <c r="C44" i="9"/>
  <c r="C45" i="9"/>
  <c r="C46" i="9"/>
  <c r="C47" i="9"/>
  <c r="C48" i="9"/>
  <c r="C49" i="9"/>
  <c r="C50" i="9"/>
  <c r="C51" i="9"/>
  <c r="C52" i="9"/>
  <c r="C53" i="9"/>
  <c r="C54" i="9"/>
  <c r="C31" i="8"/>
  <c r="C30" i="8"/>
  <c r="P30" i="8"/>
  <c r="C56" i="8"/>
  <c r="P56" i="8"/>
  <c r="C57" i="8"/>
  <c r="P57" i="8"/>
  <c r="C58" i="8"/>
  <c r="P58" i="8"/>
  <c r="C59" i="8"/>
  <c r="P59" i="8"/>
  <c r="B60" i="8"/>
  <c r="C60" i="8"/>
  <c r="P60" i="8"/>
  <c r="B61" i="8"/>
  <c r="C61" i="8"/>
  <c r="P61" i="8"/>
  <c r="B62" i="8"/>
  <c r="C62" i="8"/>
  <c r="P62" i="8"/>
  <c r="B63" i="8"/>
  <c r="C63" i="8"/>
  <c r="P63" i="8"/>
  <c r="B64" i="8"/>
  <c r="C64" i="8"/>
  <c r="P64" i="8"/>
  <c r="B65" i="8"/>
  <c r="C65" i="8"/>
  <c r="P65" i="8"/>
  <c r="B66" i="8"/>
  <c r="C66" i="8"/>
  <c r="P66" i="8"/>
  <c r="B67" i="8"/>
  <c r="C67" i="8"/>
  <c r="P67" i="8"/>
  <c r="B68" i="8"/>
  <c r="C68" i="8"/>
  <c r="P68" i="8"/>
  <c r="B69" i="8"/>
  <c r="C69" i="8"/>
  <c r="P69" i="8"/>
  <c r="B70" i="8"/>
  <c r="C70" i="8"/>
  <c r="P70" i="8"/>
  <c r="A6" i="5"/>
  <c r="B6" i="5" s="1"/>
  <c r="B33" i="1" s="1"/>
  <c r="B5" i="5"/>
  <c r="B32" i="1" s="1"/>
  <c r="B76" i="5"/>
  <c r="B59" i="5"/>
  <c r="B59" i="8" s="1"/>
  <c r="B58" i="5"/>
  <c r="B58" i="8" s="1"/>
  <c r="J56" i="5"/>
  <c r="J57" i="5"/>
  <c r="J58" i="5"/>
  <c r="J59" i="5"/>
  <c r="J76" i="5"/>
  <c r="J77" i="5"/>
  <c r="R34" i="11"/>
  <c r="R33" i="11"/>
  <c r="R32" i="11"/>
  <c r="R31" i="11"/>
  <c r="R30" i="11"/>
  <c r="R28" i="11"/>
  <c r="R27" i="11"/>
  <c r="R26" i="11"/>
  <c r="R24" i="11"/>
  <c r="R23" i="11"/>
  <c r="R22" i="11"/>
  <c r="R21" i="11"/>
  <c r="R20" i="11"/>
  <c r="R18" i="11"/>
  <c r="R17" i="11"/>
  <c r="R16" i="11"/>
  <c r="R15" i="11"/>
  <c r="R14" i="11"/>
  <c r="R12" i="11"/>
  <c r="R11" i="11"/>
  <c r="R10" i="11"/>
  <c r="R9" i="11"/>
  <c r="R8" i="11"/>
  <c r="R7" i="11"/>
  <c r="R6" i="11"/>
  <c r="R5" i="11"/>
  <c r="Q54" i="10"/>
  <c r="R54" i="10" s="1"/>
  <c r="P54" i="10"/>
  <c r="S54" i="10" s="1"/>
  <c r="M54" i="10"/>
  <c r="N54" i="10" s="1"/>
  <c r="L54" i="10"/>
  <c r="O54" i="10" s="1"/>
  <c r="I54" i="10"/>
  <c r="H54" i="10"/>
  <c r="E54" i="10"/>
  <c r="F54" i="10" s="1"/>
  <c r="D54" i="10"/>
  <c r="G54" i="10" s="1"/>
  <c r="C54" i="10"/>
  <c r="Q53" i="10"/>
  <c r="P53" i="10"/>
  <c r="S53" i="10" s="1"/>
  <c r="O53" i="10"/>
  <c r="M53" i="10"/>
  <c r="L53" i="10"/>
  <c r="K53" i="10"/>
  <c r="I53" i="10"/>
  <c r="J53" i="10" s="1"/>
  <c r="H53" i="10"/>
  <c r="E53" i="10"/>
  <c r="F53" i="10" s="1"/>
  <c r="D53" i="10"/>
  <c r="G53" i="10" s="1"/>
  <c r="C53" i="10"/>
  <c r="Q52" i="10"/>
  <c r="R52" i="10" s="1"/>
  <c r="P52" i="10"/>
  <c r="S52" i="10" s="1"/>
  <c r="M52" i="10"/>
  <c r="N52" i="10" s="1"/>
  <c r="L52" i="10"/>
  <c r="O52" i="10" s="1"/>
  <c r="I52" i="10"/>
  <c r="J52" i="10" s="1"/>
  <c r="H52" i="10"/>
  <c r="K52" i="10" s="1"/>
  <c r="E52" i="10"/>
  <c r="F52" i="10" s="1"/>
  <c r="D52" i="10"/>
  <c r="G52" i="10" s="1"/>
  <c r="C52" i="10"/>
  <c r="S51" i="10"/>
  <c r="Q51" i="10"/>
  <c r="R51" i="10" s="1"/>
  <c r="P51" i="10"/>
  <c r="O51" i="10"/>
  <c r="N51" i="10"/>
  <c r="M51" i="10"/>
  <c r="L51" i="10"/>
  <c r="K51" i="10"/>
  <c r="I51" i="10"/>
  <c r="J51" i="10" s="1"/>
  <c r="H51" i="10"/>
  <c r="G51" i="10"/>
  <c r="E51" i="10"/>
  <c r="F51" i="10" s="1"/>
  <c r="D51" i="10"/>
  <c r="C51" i="10"/>
  <c r="Q50" i="10"/>
  <c r="P50" i="10"/>
  <c r="M50" i="10"/>
  <c r="N50" i="10" s="1"/>
  <c r="L50" i="10"/>
  <c r="O50" i="10" s="1"/>
  <c r="I50" i="10"/>
  <c r="J50" i="10" s="1"/>
  <c r="H50" i="10"/>
  <c r="K50" i="10" s="1"/>
  <c r="E50" i="10"/>
  <c r="D50" i="10"/>
  <c r="G50" i="10" s="1"/>
  <c r="C50" i="10"/>
  <c r="S49" i="10"/>
  <c r="Q49" i="10"/>
  <c r="R49" i="10" s="1"/>
  <c r="P49" i="10"/>
  <c r="M49" i="10"/>
  <c r="L49" i="10"/>
  <c r="O49" i="10" s="1"/>
  <c r="I49" i="10"/>
  <c r="H49" i="10"/>
  <c r="K49" i="10" s="1"/>
  <c r="G49" i="10"/>
  <c r="E49" i="10"/>
  <c r="F49" i="10" s="1"/>
  <c r="D49" i="10"/>
  <c r="C49" i="10"/>
  <c r="Q48" i="10"/>
  <c r="P48" i="10"/>
  <c r="O48" i="10"/>
  <c r="M48" i="10"/>
  <c r="L48" i="10"/>
  <c r="K48" i="10"/>
  <c r="I48" i="10"/>
  <c r="H48" i="10"/>
  <c r="E48" i="10"/>
  <c r="D48" i="10"/>
  <c r="C48" i="10"/>
  <c r="S47" i="10"/>
  <c r="Q47" i="10"/>
  <c r="R47" i="10" s="1"/>
  <c r="P47" i="10"/>
  <c r="O47" i="10"/>
  <c r="M47" i="10"/>
  <c r="N47" i="10" s="1"/>
  <c r="L47" i="10"/>
  <c r="K47" i="10"/>
  <c r="I47" i="10"/>
  <c r="J47" i="10" s="1"/>
  <c r="H47" i="10"/>
  <c r="G47" i="10"/>
  <c r="E47" i="10"/>
  <c r="F47" i="10" s="1"/>
  <c r="D47" i="10"/>
  <c r="C47" i="10"/>
  <c r="Q46" i="10"/>
  <c r="R46" i="10" s="1"/>
  <c r="P46" i="10"/>
  <c r="S46" i="10" s="1"/>
  <c r="M46" i="10"/>
  <c r="L46" i="10"/>
  <c r="O46" i="10" s="1"/>
  <c r="I46" i="10"/>
  <c r="H46" i="10"/>
  <c r="E46" i="10"/>
  <c r="F46" i="10" s="1"/>
  <c r="D46" i="10"/>
  <c r="G46" i="10" s="1"/>
  <c r="C46" i="10"/>
  <c r="Q45" i="10"/>
  <c r="P45" i="10"/>
  <c r="S45" i="10" s="1"/>
  <c r="O45" i="10"/>
  <c r="M45" i="10"/>
  <c r="N45" i="10" s="1"/>
  <c r="L45" i="10"/>
  <c r="K45" i="10"/>
  <c r="I45" i="10"/>
  <c r="J45" i="10" s="1"/>
  <c r="H45" i="10"/>
  <c r="E45" i="10"/>
  <c r="D45" i="10"/>
  <c r="G45" i="10" s="1"/>
  <c r="C45" i="10"/>
  <c r="Q44" i="10"/>
  <c r="R44" i="10" s="1"/>
  <c r="P44" i="10"/>
  <c r="S44" i="10" s="1"/>
  <c r="M44" i="10"/>
  <c r="N44" i="10" s="1"/>
  <c r="L44" i="10"/>
  <c r="O44" i="10" s="1"/>
  <c r="I44" i="10"/>
  <c r="J44" i="10" s="1"/>
  <c r="H44" i="10"/>
  <c r="K44" i="10" s="1"/>
  <c r="E44" i="10"/>
  <c r="F44" i="10" s="1"/>
  <c r="D44" i="10"/>
  <c r="G44" i="10" s="1"/>
  <c r="C44" i="10"/>
  <c r="S43" i="10"/>
  <c r="Q43" i="10"/>
  <c r="R43" i="10" s="1"/>
  <c r="P43" i="10"/>
  <c r="O43" i="10"/>
  <c r="M43" i="10"/>
  <c r="N43" i="10" s="1"/>
  <c r="L43" i="10"/>
  <c r="K43" i="10"/>
  <c r="I43" i="10"/>
  <c r="J43" i="10" s="1"/>
  <c r="H43" i="10"/>
  <c r="G43" i="10"/>
  <c r="E43" i="10"/>
  <c r="F43" i="10" s="1"/>
  <c r="D43" i="10"/>
  <c r="C43" i="10"/>
  <c r="T42" i="10"/>
  <c r="W42" i="10" s="1"/>
  <c r="X42" i="10" s="1"/>
  <c r="Q42" i="10"/>
  <c r="P42" i="10"/>
  <c r="M42" i="10"/>
  <c r="N42" i="10" s="1"/>
  <c r="L42" i="10"/>
  <c r="O42" i="10" s="1"/>
  <c r="I42" i="10"/>
  <c r="J42" i="10" s="1"/>
  <c r="H42" i="10"/>
  <c r="K42" i="10" s="1"/>
  <c r="E42" i="10"/>
  <c r="D42" i="10"/>
  <c r="G42" i="10" s="1"/>
  <c r="C42" i="10"/>
  <c r="S41" i="10"/>
  <c r="Q41" i="10"/>
  <c r="R41" i="10" s="1"/>
  <c r="P41" i="10"/>
  <c r="M41" i="10"/>
  <c r="L41" i="10"/>
  <c r="O41" i="10" s="1"/>
  <c r="I41" i="10"/>
  <c r="H41" i="10"/>
  <c r="K41" i="10" s="1"/>
  <c r="G41" i="10"/>
  <c r="E41" i="10"/>
  <c r="F41" i="10" s="1"/>
  <c r="D41" i="10"/>
  <c r="C41" i="10"/>
  <c r="S40" i="10"/>
  <c r="Q40" i="10"/>
  <c r="P40" i="10"/>
  <c r="M40" i="10"/>
  <c r="L40" i="10"/>
  <c r="I40" i="10"/>
  <c r="H40" i="10"/>
  <c r="G40" i="10"/>
  <c r="E40" i="10"/>
  <c r="D40" i="10"/>
  <c r="C40" i="10"/>
  <c r="S39" i="10"/>
  <c r="Q39" i="10"/>
  <c r="R39" i="10" s="1"/>
  <c r="P39" i="10"/>
  <c r="O39" i="10"/>
  <c r="M39" i="10"/>
  <c r="N39" i="10" s="1"/>
  <c r="L39" i="10"/>
  <c r="K39" i="10"/>
  <c r="I39" i="10"/>
  <c r="J39" i="10" s="1"/>
  <c r="H39" i="10"/>
  <c r="G39" i="10"/>
  <c r="E39" i="10"/>
  <c r="F39" i="10" s="1"/>
  <c r="D39" i="10"/>
  <c r="C39" i="10"/>
  <c r="Q38" i="10"/>
  <c r="R38" i="10" s="1"/>
  <c r="P38" i="10"/>
  <c r="S38" i="10" s="1"/>
  <c r="M38" i="10"/>
  <c r="N38" i="10" s="1"/>
  <c r="L38" i="10"/>
  <c r="O38" i="10" s="1"/>
  <c r="I38" i="10"/>
  <c r="H38" i="10"/>
  <c r="E38" i="10"/>
  <c r="F38" i="10" s="1"/>
  <c r="D38" i="10"/>
  <c r="G38" i="10" s="1"/>
  <c r="C38" i="10"/>
  <c r="Q37" i="10"/>
  <c r="P37" i="10"/>
  <c r="S37" i="10" s="1"/>
  <c r="O37" i="10"/>
  <c r="M37" i="10"/>
  <c r="N37" i="10" s="1"/>
  <c r="L37" i="10"/>
  <c r="K37" i="10"/>
  <c r="I37" i="10"/>
  <c r="J37" i="10" s="1"/>
  <c r="H37" i="10"/>
  <c r="E37" i="10"/>
  <c r="F37" i="10" s="1"/>
  <c r="D37" i="10"/>
  <c r="G37" i="10" s="1"/>
  <c r="C37" i="10"/>
  <c r="Q36" i="10"/>
  <c r="R36" i="10" s="1"/>
  <c r="P36" i="10"/>
  <c r="S36" i="10" s="1"/>
  <c r="M36" i="10"/>
  <c r="N36" i="10" s="1"/>
  <c r="L36" i="10"/>
  <c r="O36" i="10" s="1"/>
  <c r="I36" i="10"/>
  <c r="J36" i="10" s="1"/>
  <c r="H36" i="10"/>
  <c r="K36" i="10" s="1"/>
  <c r="E36" i="10"/>
  <c r="F36" i="10" s="1"/>
  <c r="D36" i="10"/>
  <c r="G36" i="10" s="1"/>
  <c r="C36" i="10"/>
  <c r="S35" i="10"/>
  <c r="Q35" i="10"/>
  <c r="R35" i="10" s="1"/>
  <c r="P35" i="10"/>
  <c r="O35" i="10"/>
  <c r="M35" i="10"/>
  <c r="N35" i="10" s="1"/>
  <c r="L35" i="10"/>
  <c r="K35" i="10"/>
  <c r="I35" i="10"/>
  <c r="J35" i="10" s="1"/>
  <c r="H35" i="10"/>
  <c r="G35" i="10"/>
  <c r="E35" i="10"/>
  <c r="F35" i="10" s="1"/>
  <c r="D35" i="10"/>
  <c r="C35" i="10"/>
  <c r="Q34" i="10"/>
  <c r="P34" i="10"/>
  <c r="M34" i="10"/>
  <c r="N34" i="10" s="1"/>
  <c r="L34" i="10"/>
  <c r="O34" i="10" s="1"/>
  <c r="I34" i="10"/>
  <c r="J34" i="10" s="1"/>
  <c r="H34" i="10"/>
  <c r="K34" i="10" s="1"/>
  <c r="E34" i="10"/>
  <c r="D34" i="10"/>
  <c r="G34" i="10" s="1"/>
  <c r="C34" i="10"/>
  <c r="S33" i="10"/>
  <c r="Q33" i="10"/>
  <c r="R33" i="10" s="1"/>
  <c r="P33" i="10"/>
  <c r="M33" i="10"/>
  <c r="L33" i="10"/>
  <c r="O33" i="10" s="1"/>
  <c r="I33" i="10"/>
  <c r="H33" i="10"/>
  <c r="K33" i="10" s="1"/>
  <c r="G33" i="10"/>
  <c r="E33" i="10"/>
  <c r="F33" i="10" s="1"/>
  <c r="D33" i="10"/>
  <c r="C33" i="10"/>
  <c r="Q32" i="10"/>
  <c r="P32" i="10"/>
  <c r="O32" i="10"/>
  <c r="M32" i="10"/>
  <c r="L32" i="10"/>
  <c r="K32" i="10"/>
  <c r="I32" i="10"/>
  <c r="H32" i="10"/>
  <c r="E32" i="10"/>
  <c r="D32" i="10"/>
  <c r="C32" i="10"/>
  <c r="S31" i="10"/>
  <c r="Q31" i="10"/>
  <c r="R31" i="10" s="1"/>
  <c r="P31" i="10"/>
  <c r="O31" i="10"/>
  <c r="M31" i="10"/>
  <c r="N31" i="10" s="1"/>
  <c r="L31" i="10"/>
  <c r="K31" i="10"/>
  <c r="I31" i="10"/>
  <c r="J31" i="10" s="1"/>
  <c r="H31" i="10"/>
  <c r="G31" i="10"/>
  <c r="E31" i="10"/>
  <c r="F31" i="10" s="1"/>
  <c r="D31" i="10"/>
  <c r="C31" i="10"/>
  <c r="S30" i="10"/>
  <c r="Q30" i="10"/>
  <c r="R30" i="10" s="1"/>
  <c r="P30" i="10"/>
  <c r="O30" i="10"/>
  <c r="M30" i="10"/>
  <c r="N30" i="10" s="1"/>
  <c r="L30" i="10"/>
  <c r="K30" i="10"/>
  <c r="I30" i="10"/>
  <c r="J30" i="10" s="1"/>
  <c r="H30" i="10"/>
  <c r="G30" i="10"/>
  <c r="E30" i="10"/>
  <c r="F30" i="10" s="1"/>
  <c r="D30" i="10"/>
  <c r="C30" i="10"/>
  <c r="Q29" i="10"/>
  <c r="R29" i="10" s="1"/>
  <c r="P29" i="10"/>
  <c r="S29" i="10" s="1"/>
  <c r="M29" i="10"/>
  <c r="L29" i="10"/>
  <c r="O29" i="10" s="1"/>
  <c r="I29" i="10"/>
  <c r="J29" i="10" s="1"/>
  <c r="H29" i="10"/>
  <c r="K29" i="10" s="1"/>
  <c r="E29" i="10"/>
  <c r="F29" i="10" s="1"/>
  <c r="D29" i="10"/>
  <c r="G29" i="10" s="1"/>
  <c r="C29" i="10"/>
  <c r="S28" i="10"/>
  <c r="Q28" i="10"/>
  <c r="P28" i="10"/>
  <c r="O28" i="10"/>
  <c r="M28" i="10"/>
  <c r="N28" i="10" s="1"/>
  <c r="L28" i="10"/>
  <c r="I28" i="10"/>
  <c r="J28" i="10" s="1"/>
  <c r="H28" i="10"/>
  <c r="K28" i="10" s="1"/>
  <c r="E28" i="10"/>
  <c r="D28" i="10"/>
  <c r="G28" i="10" s="1"/>
  <c r="C28" i="10"/>
  <c r="Q27" i="10"/>
  <c r="R27" i="10" s="1"/>
  <c r="P27" i="10"/>
  <c r="S27" i="10" s="1"/>
  <c r="M27" i="10"/>
  <c r="L27" i="10"/>
  <c r="O27" i="10" s="1"/>
  <c r="I27" i="10"/>
  <c r="J27" i="10" s="1"/>
  <c r="H27" i="10"/>
  <c r="K27" i="10" s="1"/>
  <c r="E27" i="10"/>
  <c r="D27" i="10"/>
  <c r="G27" i="10" s="1"/>
  <c r="C27" i="10"/>
  <c r="T26" i="10"/>
  <c r="W26" i="10" s="1"/>
  <c r="X26" i="10" s="1"/>
  <c r="S26" i="10"/>
  <c r="Q26" i="10"/>
  <c r="R26" i="10" s="1"/>
  <c r="P26" i="10"/>
  <c r="O26" i="10"/>
  <c r="M26" i="10"/>
  <c r="N26" i="10" s="1"/>
  <c r="L26" i="10"/>
  <c r="I26" i="10"/>
  <c r="H26" i="10"/>
  <c r="K26" i="10" s="1"/>
  <c r="E26" i="10"/>
  <c r="D26" i="10"/>
  <c r="G26" i="10" s="1"/>
  <c r="C26" i="10"/>
  <c r="S25" i="10"/>
  <c r="Q25" i="10"/>
  <c r="R25" i="10" s="1"/>
  <c r="P25" i="10"/>
  <c r="O25" i="10"/>
  <c r="M25" i="10"/>
  <c r="N25" i="10" s="1"/>
  <c r="L25" i="10"/>
  <c r="K25" i="10"/>
  <c r="J25" i="10"/>
  <c r="I25" i="10"/>
  <c r="H25" i="10"/>
  <c r="G25" i="10"/>
  <c r="E25" i="10"/>
  <c r="F25" i="10" s="1"/>
  <c r="D25" i="10"/>
  <c r="C25" i="10"/>
  <c r="S24" i="10"/>
  <c r="Q24" i="10"/>
  <c r="R24" i="10" s="1"/>
  <c r="P24" i="10"/>
  <c r="O24" i="10"/>
  <c r="M24" i="10"/>
  <c r="N24" i="10" s="1"/>
  <c r="L24" i="10"/>
  <c r="K24" i="10"/>
  <c r="I24" i="10"/>
  <c r="J24" i="10" s="1"/>
  <c r="H24" i="10"/>
  <c r="G24" i="10"/>
  <c r="E24" i="10"/>
  <c r="F24" i="10" s="1"/>
  <c r="D24" i="10"/>
  <c r="C24" i="10"/>
  <c r="Q23" i="10"/>
  <c r="R23" i="10" s="1"/>
  <c r="P23" i="10"/>
  <c r="S23" i="10" s="1"/>
  <c r="M23" i="10"/>
  <c r="L23" i="10"/>
  <c r="O23" i="10" s="1"/>
  <c r="I23" i="10"/>
  <c r="J23" i="10" s="1"/>
  <c r="H23" i="10"/>
  <c r="K23" i="10" s="1"/>
  <c r="E23" i="10"/>
  <c r="D23" i="10"/>
  <c r="G23" i="10" s="1"/>
  <c r="C23" i="10"/>
  <c r="T22" i="10"/>
  <c r="W22" i="10" s="1"/>
  <c r="X22" i="10" s="1"/>
  <c r="S22" i="10"/>
  <c r="Q22" i="10"/>
  <c r="R22" i="10" s="1"/>
  <c r="P22" i="10"/>
  <c r="O22" i="10"/>
  <c r="M22" i="10"/>
  <c r="N22" i="10" s="1"/>
  <c r="L22" i="10"/>
  <c r="I22" i="10"/>
  <c r="H22" i="10"/>
  <c r="K22" i="10" s="1"/>
  <c r="E22" i="10"/>
  <c r="D22" i="10"/>
  <c r="G22" i="10" s="1"/>
  <c r="C22" i="10"/>
  <c r="S21" i="10"/>
  <c r="Q21" i="10"/>
  <c r="R21" i="10" s="1"/>
  <c r="P21" i="10"/>
  <c r="O21" i="10"/>
  <c r="M21" i="10"/>
  <c r="N21" i="10" s="1"/>
  <c r="L21" i="10"/>
  <c r="K21" i="10"/>
  <c r="J21" i="10"/>
  <c r="I21" i="10"/>
  <c r="H21" i="10"/>
  <c r="G21" i="10"/>
  <c r="E21" i="10"/>
  <c r="F21" i="10" s="1"/>
  <c r="D21" i="10"/>
  <c r="C21" i="10"/>
  <c r="S20" i="10"/>
  <c r="R20" i="10"/>
  <c r="Q20" i="10"/>
  <c r="P20" i="10"/>
  <c r="O20" i="10"/>
  <c r="M20" i="10"/>
  <c r="N20" i="10" s="1"/>
  <c r="L20" i="10"/>
  <c r="K20" i="10"/>
  <c r="I20" i="10"/>
  <c r="J20" i="10" s="1"/>
  <c r="H20" i="10"/>
  <c r="G20" i="10"/>
  <c r="E20" i="10"/>
  <c r="F20" i="10" s="1"/>
  <c r="D20" i="10"/>
  <c r="C20" i="10"/>
  <c r="Q19" i="10"/>
  <c r="R19" i="10" s="1"/>
  <c r="P19" i="10"/>
  <c r="S19" i="10" s="1"/>
  <c r="M19" i="10"/>
  <c r="L19" i="10"/>
  <c r="O19" i="10" s="1"/>
  <c r="I19" i="10"/>
  <c r="J19" i="10" s="1"/>
  <c r="H19" i="10"/>
  <c r="K19" i="10" s="1"/>
  <c r="E19" i="10"/>
  <c r="D19" i="10"/>
  <c r="G19" i="10" s="1"/>
  <c r="C19" i="10"/>
  <c r="T18" i="10"/>
  <c r="W18" i="10" s="1"/>
  <c r="X18" i="10" s="1"/>
  <c r="I45" i="1" s="1"/>
  <c r="S18" i="10"/>
  <c r="Q18" i="10"/>
  <c r="R18" i="10" s="1"/>
  <c r="P18" i="10"/>
  <c r="O18" i="10"/>
  <c r="M18" i="10"/>
  <c r="N18" i="10" s="1"/>
  <c r="L18" i="10"/>
  <c r="I18" i="10"/>
  <c r="H18" i="10"/>
  <c r="K18" i="10" s="1"/>
  <c r="E18" i="10"/>
  <c r="D18" i="10"/>
  <c r="G18" i="10" s="1"/>
  <c r="C18" i="10"/>
  <c r="S17" i="10"/>
  <c r="Q17" i="10"/>
  <c r="R17" i="10" s="1"/>
  <c r="P17" i="10"/>
  <c r="O17" i="10"/>
  <c r="M17" i="10"/>
  <c r="N17" i="10" s="1"/>
  <c r="L17" i="10"/>
  <c r="K17" i="10"/>
  <c r="I17" i="10"/>
  <c r="J17" i="10" s="1"/>
  <c r="H17" i="10"/>
  <c r="G17" i="10"/>
  <c r="E17" i="10"/>
  <c r="F17" i="10" s="1"/>
  <c r="D17" i="10"/>
  <c r="C17" i="10"/>
  <c r="S16" i="10"/>
  <c r="Q16" i="10"/>
  <c r="R16" i="10" s="1"/>
  <c r="P16" i="10"/>
  <c r="O16" i="10"/>
  <c r="M16" i="10"/>
  <c r="N16" i="10" s="1"/>
  <c r="L16" i="10"/>
  <c r="K16" i="10"/>
  <c r="I16" i="10"/>
  <c r="J16" i="10" s="1"/>
  <c r="H16" i="10"/>
  <c r="G16" i="10"/>
  <c r="E16" i="10"/>
  <c r="F16" i="10" s="1"/>
  <c r="D16" i="10"/>
  <c r="C16" i="10"/>
  <c r="Q15" i="10"/>
  <c r="R15" i="10" s="1"/>
  <c r="P15" i="10"/>
  <c r="S15" i="10" s="1"/>
  <c r="M15" i="10"/>
  <c r="L15" i="10"/>
  <c r="O15" i="10" s="1"/>
  <c r="I15" i="10"/>
  <c r="J15" i="10" s="1"/>
  <c r="H15" i="10"/>
  <c r="K15" i="10" s="1"/>
  <c r="E15" i="10"/>
  <c r="D15" i="10"/>
  <c r="G15" i="10" s="1"/>
  <c r="C15" i="10"/>
  <c r="T14" i="10"/>
  <c r="W14" i="10" s="1"/>
  <c r="X14" i="10" s="1"/>
  <c r="I41" i="1" s="1"/>
  <c r="S14" i="10"/>
  <c r="Q14" i="10"/>
  <c r="R14" i="10" s="1"/>
  <c r="P14" i="10"/>
  <c r="O14" i="10"/>
  <c r="M14" i="10"/>
  <c r="N14" i="10" s="1"/>
  <c r="L14" i="10"/>
  <c r="I14" i="10"/>
  <c r="H14" i="10"/>
  <c r="K14" i="10" s="1"/>
  <c r="E14" i="10"/>
  <c r="D14" i="10"/>
  <c r="G14" i="10" s="1"/>
  <c r="C14" i="10"/>
  <c r="S13" i="10"/>
  <c r="Q13" i="10"/>
  <c r="R13" i="10" s="1"/>
  <c r="P13" i="10"/>
  <c r="O13" i="10"/>
  <c r="M13" i="10"/>
  <c r="N13" i="10" s="1"/>
  <c r="L13" i="10"/>
  <c r="K13" i="10"/>
  <c r="I13" i="10"/>
  <c r="J13" i="10" s="1"/>
  <c r="H13" i="10"/>
  <c r="G13" i="10"/>
  <c r="E13" i="10"/>
  <c r="F13" i="10" s="1"/>
  <c r="D13" i="10"/>
  <c r="C13" i="10"/>
  <c r="Q12" i="10"/>
  <c r="R12" i="10" s="1"/>
  <c r="P12" i="10"/>
  <c r="S12" i="10" s="1"/>
  <c r="M12" i="10"/>
  <c r="N12" i="10" s="1"/>
  <c r="L12" i="10"/>
  <c r="O12" i="10" s="1"/>
  <c r="I12" i="10"/>
  <c r="J12" i="10" s="1"/>
  <c r="H12" i="10"/>
  <c r="K12" i="10" s="1"/>
  <c r="E12" i="10"/>
  <c r="F12" i="10" s="1"/>
  <c r="D12" i="10"/>
  <c r="G12" i="10" s="1"/>
  <c r="C12" i="10"/>
  <c r="S11" i="10"/>
  <c r="Q11" i="10"/>
  <c r="P11" i="10"/>
  <c r="O11" i="10"/>
  <c r="M11" i="10"/>
  <c r="L11" i="10"/>
  <c r="K11" i="10"/>
  <c r="I11" i="10"/>
  <c r="H11" i="10"/>
  <c r="G11" i="10"/>
  <c r="E11" i="10"/>
  <c r="D11" i="10"/>
  <c r="C11" i="10"/>
  <c r="S10" i="10"/>
  <c r="Q10" i="10"/>
  <c r="R10" i="10" s="1"/>
  <c r="P10" i="10"/>
  <c r="O10" i="10"/>
  <c r="M10" i="10"/>
  <c r="N10" i="10" s="1"/>
  <c r="L10" i="10"/>
  <c r="K10" i="10"/>
  <c r="I10" i="10"/>
  <c r="J10" i="10" s="1"/>
  <c r="H10" i="10"/>
  <c r="G10" i="10"/>
  <c r="E10" i="10"/>
  <c r="F10" i="10" s="1"/>
  <c r="D10" i="10"/>
  <c r="C10" i="10"/>
  <c r="Q9" i="10"/>
  <c r="R9" i="10" s="1"/>
  <c r="P9" i="10"/>
  <c r="S9" i="10" s="1"/>
  <c r="M9" i="10"/>
  <c r="N9" i="10" s="1"/>
  <c r="L9" i="10"/>
  <c r="O9" i="10" s="1"/>
  <c r="I9" i="10"/>
  <c r="J9" i="10" s="1"/>
  <c r="H9" i="10"/>
  <c r="K9" i="10" s="1"/>
  <c r="E9" i="10"/>
  <c r="F9" i="10" s="1"/>
  <c r="D9" i="10"/>
  <c r="G9" i="10" s="1"/>
  <c r="C9" i="10"/>
  <c r="Q8" i="10"/>
  <c r="R8" i="10" s="1"/>
  <c r="P8" i="10"/>
  <c r="S8" i="10" s="1"/>
  <c r="M8" i="10"/>
  <c r="N8" i="10" s="1"/>
  <c r="L8" i="10"/>
  <c r="O8" i="10" s="1"/>
  <c r="I8" i="10"/>
  <c r="J8" i="10" s="1"/>
  <c r="H8" i="10"/>
  <c r="K8" i="10" s="1"/>
  <c r="E8" i="10"/>
  <c r="F8" i="10" s="1"/>
  <c r="D8" i="10"/>
  <c r="G8" i="10" s="1"/>
  <c r="C8" i="10"/>
  <c r="S7" i="10"/>
  <c r="Q7" i="10"/>
  <c r="P7" i="10"/>
  <c r="O7" i="10"/>
  <c r="M7" i="10"/>
  <c r="L7" i="10"/>
  <c r="K7" i="10"/>
  <c r="I7" i="10"/>
  <c r="H7" i="10"/>
  <c r="G7" i="10"/>
  <c r="E7" i="10"/>
  <c r="D7" i="10"/>
  <c r="C7" i="10"/>
  <c r="S6" i="10"/>
  <c r="Q6" i="10"/>
  <c r="R6" i="10" s="1"/>
  <c r="P6" i="10"/>
  <c r="O6" i="10"/>
  <c r="M6" i="10"/>
  <c r="N6" i="10" s="1"/>
  <c r="L6" i="10"/>
  <c r="K6" i="10"/>
  <c r="I6" i="10"/>
  <c r="J6" i="10" s="1"/>
  <c r="H6" i="10"/>
  <c r="G6" i="10"/>
  <c r="E6" i="10"/>
  <c r="F6" i="10" s="1"/>
  <c r="D6" i="10"/>
  <c r="C6" i="10"/>
  <c r="Q5" i="10"/>
  <c r="R5" i="10" s="1"/>
  <c r="P5" i="10"/>
  <c r="S5" i="10" s="1"/>
  <c r="M5" i="10"/>
  <c r="N5" i="10" s="1"/>
  <c r="L5" i="10"/>
  <c r="O5" i="10" s="1"/>
  <c r="I5" i="10"/>
  <c r="J5" i="10" s="1"/>
  <c r="H5" i="10"/>
  <c r="K5" i="10" s="1"/>
  <c r="E5" i="10"/>
  <c r="F5" i="10" s="1"/>
  <c r="D5" i="10"/>
  <c r="G5" i="10" s="1"/>
  <c r="C5" i="10"/>
  <c r="O127" i="9"/>
  <c r="F28" i="1" s="1"/>
  <c r="N127" i="9"/>
  <c r="F27" i="1" s="1"/>
  <c r="M127" i="9"/>
  <c r="F26" i="1" s="1"/>
  <c r="L127" i="9"/>
  <c r="F25" i="1" s="1"/>
  <c r="K127" i="9"/>
  <c r="F24" i="1" s="1"/>
  <c r="J127" i="9"/>
  <c r="F23" i="1" s="1"/>
  <c r="I127" i="9"/>
  <c r="F22" i="1" s="1"/>
  <c r="H127" i="9"/>
  <c r="F21" i="1" s="1"/>
  <c r="G127" i="9"/>
  <c r="F20" i="1" s="1"/>
  <c r="F127" i="9"/>
  <c r="F19" i="1" s="1"/>
  <c r="E127" i="9"/>
  <c r="F18" i="1" s="1"/>
  <c r="D127" i="9"/>
  <c r="F17" i="1" s="1"/>
  <c r="P126" i="9"/>
  <c r="U54" i="10" s="1"/>
  <c r="V54" i="10" s="1"/>
  <c r="C126" i="9"/>
  <c r="P125" i="9"/>
  <c r="U53" i="10" s="1"/>
  <c r="V53" i="10" s="1"/>
  <c r="C125" i="9"/>
  <c r="P124" i="9"/>
  <c r="U52" i="10" s="1"/>
  <c r="C124" i="9"/>
  <c r="P123" i="9"/>
  <c r="U51" i="10" s="1"/>
  <c r="C123" i="9"/>
  <c r="P122" i="9"/>
  <c r="U50" i="10" s="1"/>
  <c r="C122" i="9"/>
  <c r="P121" i="9"/>
  <c r="U49" i="10" s="1"/>
  <c r="V49" i="10" s="1"/>
  <c r="C121" i="9"/>
  <c r="P120" i="9"/>
  <c r="U48" i="10" s="1"/>
  <c r="C120" i="9"/>
  <c r="P119" i="9"/>
  <c r="U47" i="10" s="1"/>
  <c r="C119" i="9"/>
  <c r="P118" i="9"/>
  <c r="U46" i="10" s="1"/>
  <c r="C118" i="9"/>
  <c r="P117" i="9"/>
  <c r="U45" i="10" s="1"/>
  <c r="C117" i="9"/>
  <c r="P116" i="9"/>
  <c r="U44" i="10" s="1"/>
  <c r="C116" i="9"/>
  <c r="P115" i="9"/>
  <c r="U43" i="10" s="1"/>
  <c r="C115" i="9"/>
  <c r="P114" i="9"/>
  <c r="U42" i="10" s="1"/>
  <c r="V42" i="10" s="1"/>
  <c r="C114" i="9"/>
  <c r="P113" i="9"/>
  <c r="U41" i="10" s="1"/>
  <c r="V41" i="10" s="1"/>
  <c r="C113" i="9"/>
  <c r="P112" i="9"/>
  <c r="U40" i="10" s="1"/>
  <c r="C112" i="9"/>
  <c r="P111" i="9"/>
  <c r="U39" i="10" s="1"/>
  <c r="V39" i="10" s="1"/>
  <c r="C111" i="9"/>
  <c r="P110" i="9"/>
  <c r="U38" i="10" s="1"/>
  <c r="V38" i="10" s="1"/>
  <c r="C110" i="9"/>
  <c r="P109" i="9"/>
  <c r="U37" i="10" s="1"/>
  <c r="V37" i="10" s="1"/>
  <c r="C109" i="9"/>
  <c r="P108" i="9"/>
  <c r="U36" i="10" s="1"/>
  <c r="C108" i="9"/>
  <c r="P107" i="9"/>
  <c r="U35" i="10" s="1"/>
  <c r="C107" i="9"/>
  <c r="P106" i="9"/>
  <c r="U34" i="10" s="1"/>
  <c r="C106" i="9"/>
  <c r="P105" i="9"/>
  <c r="U33" i="10" s="1"/>
  <c r="V33" i="10" s="1"/>
  <c r="C105" i="9"/>
  <c r="P104" i="9"/>
  <c r="U32" i="10" s="1"/>
  <c r="C104" i="9"/>
  <c r="P103" i="9"/>
  <c r="U31" i="10" s="1"/>
  <c r="C103" i="9"/>
  <c r="P102" i="9"/>
  <c r="U30" i="10" s="1"/>
  <c r="V30" i="10" s="1"/>
  <c r="C102" i="9"/>
  <c r="P101" i="9"/>
  <c r="U29" i="10" s="1"/>
  <c r="V29" i="10" s="1"/>
  <c r="C101" i="9"/>
  <c r="P100" i="9"/>
  <c r="U28" i="10" s="1"/>
  <c r="C100" i="9"/>
  <c r="P99" i="9"/>
  <c r="U27" i="10" s="1"/>
  <c r="C99" i="9"/>
  <c r="P98" i="9"/>
  <c r="U26" i="10" s="1"/>
  <c r="C98" i="9"/>
  <c r="P97" i="9"/>
  <c r="U25" i="10" s="1"/>
  <c r="V25" i="10" s="1"/>
  <c r="C97" i="9"/>
  <c r="P96" i="9"/>
  <c r="U24" i="10" s="1"/>
  <c r="C96" i="9"/>
  <c r="P95" i="9"/>
  <c r="U23" i="10" s="1"/>
  <c r="V23" i="10" s="1"/>
  <c r="C95" i="9"/>
  <c r="P94" i="9"/>
  <c r="U22" i="10" s="1"/>
  <c r="C94" i="9"/>
  <c r="P93" i="9"/>
  <c r="U21" i="10" s="1"/>
  <c r="V21" i="10" s="1"/>
  <c r="C93" i="9"/>
  <c r="P92" i="9"/>
  <c r="U20" i="10" s="1"/>
  <c r="C92" i="9"/>
  <c r="P91" i="9"/>
  <c r="U19" i="10" s="1"/>
  <c r="V19" i="10" s="1"/>
  <c r="C91" i="9"/>
  <c r="P90" i="9"/>
  <c r="U18" i="10" s="1"/>
  <c r="C90" i="9"/>
  <c r="P89" i="9"/>
  <c r="U17" i="10" s="1"/>
  <c r="V17" i="10" s="1"/>
  <c r="C89" i="9"/>
  <c r="P88" i="9"/>
  <c r="U16" i="10" s="1"/>
  <c r="C88" i="9"/>
  <c r="P87" i="9"/>
  <c r="U15" i="10" s="1"/>
  <c r="V15" i="10" s="1"/>
  <c r="C87" i="9"/>
  <c r="P86" i="9"/>
  <c r="U14" i="10" s="1"/>
  <c r="C86" i="9"/>
  <c r="P85" i="9"/>
  <c r="U13" i="10" s="1"/>
  <c r="V13" i="10" s="1"/>
  <c r="C85" i="9"/>
  <c r="P84" i="9"/>
  <c r="U12" i="10" s="1"/>
  <c r="C84" i="9"/>
  <c r="P83" i="9"/>
  <c r="U11" i="10" s="1"/>
  <c r="C83" i="9"/>
  <c r="P82" i="9"/>
  <c r="U10" i="10" s="1"/>
  <c r="C82" i="9"/>
  <c r="P81" i="9"/>
  <c r="U9" i="10" s="1"/>
  <c r="V9" i="10" s="1"/>
  <c r="C81" i="9"/>
  <c r="P80" i="9"/>
  <c r="U8" i="10" s="1"/>
  <c r="C80" i="9"/>
  <c r="P79" i="9"/>
  <c r="U7" i="10" s="1"/>
  <c r="V7" i="10" s="1"/>
  <c r="C79" i="9"/>
  <c r="P78" i="9"/>
  <c r="U6" i="10" s="1"/>
  <c r="C78" i="9"/>
  <c r="P77" i="9"/>
  <c r="U5" i="10" s="1"/>
  <c r="V5" i="10" s="1"/>
  <c r="C77" i="9"/>
  <c r="O73" i="9"/>
  <c r="C28" i="1" s="1"/>
  <c r="N73" i="9"/>
  <c r="C27" i="1" s="1"/>
  <c r="I27" i="1" s="1"/>
  <c r="M73" i="9"/>
  <c r="C26" i="1" s="1"/>
  <c r="I26" i="1" s="1"/>
  <c r="L73" i="9"/>
  <c r="C25" i="1" s="1"/>
  <c r="I25" i="1" s="1"/>
  <c r="K73" i="9"/>
  <c r="C24" i="1" s="1"/>
  <c r="J73" i="9"/>
  <c r="C23" i="1" s="1"/>
  <c r="I73" i="9"/>
  <c r="C22" i="1" s="1"/>
  <c r="H73" i="9"/>
  <c r="C21" i="1" s="1"/>
  <c r="I21" i="1" s="1"/>
  <c r="G73" i="9"/>
  <c r="C20" i="1" s="1"/>
  <c r="F73" i="9"/>
  <c r="C19" i="1" s="1"/>
  <c r="I19" i="1" s="1"/>
  <c r="E73" i="9"/>
  <c r="C18" i="1" s="1"/>
  <c r="D73" i="9"/>
  <c r="C17" i="1" s="1"/>
  <c r="P54" i="9"/>
  <c r="P53" i="9"/>
  <c r="P52" i="9"/>
  <c r="P51" i="9"/>
  <c r="P50" i="9"/>
  <c r="P49" i="9"/>
  <c r="P48" i="9"/>
  <c r="P47" i="9"/>
  <c r="P46" i="9"/>
  <c r="P45" i="9"/>
  <c r="P44" i="9"/>
  <c r="P43" i="9"/>
  <c r="P42" i="9"/>
  <c r="P41" i="9"/>
  <c r="P40" i="9"/>
  <c r="P39" i="9"/>
  <c r="P38" i="9"/>
  <c r="P37" i="9"/>
  <c r="P36" i="9"/>
  <c r="P35" i="9"/>
  <c r="P34" i="9"/>
  <c r="P33" i="9"/>
  <c r="P32" i="9"/>
  <c r="P31" i="9"/>
  <c r="P30" i="9"/>
  <c r="C30" i="9"/>
  <c r="P29" i="9"/>
  <c r="C29" i="9"/>
  <c r="P28" i="9"/>
  <c r="C28" i="9"/>
  <c r="P27" i="9"/>
  <c r="C27" i="9"/>
  <c r="P26" i="9"/>
  <c r="C26" i="9"/>
  <c r="P25" i="9"/>
  <c r="C25" i="9"/>
  <c r="P24" i="9"/>
  <c r="C24" i="9"/>
  <c r="P23" i="9"/>
  <c r="C23" i="9"/>
  <c r="P22" i="9"/>
  <c r="C22" i="9"/>
  <c r="P21" i="9"/>
  <c r="C21" i="9"/>
  <c r="P20" i="9"/>
  <c r="C20" i="9"/>
  <c r="P19" i="9"/>
  <c r="C19" i="9"/>
  <c r="P18" i="9"/>
  <c r="C18" i="9"/>
  <c r="P17" i="9"/>
  <c r="C17" i="9"/>
  <c r="P16" i="9"/>
  <c r="C16" i="9"/>
  <c r="P15" i="9"/>
  <c r="C15" i="9"/>
  <c r="P14" i="9"/>
  <c r="C14" i="9"/>
  <c r="P13" i="9"/>
  <c r="C13" i="9"/>
  <c r="P12" i="9"/>
  <c r="C12" i="9"/>
  <c r="P11" i="9"/>
  <c r="C11" i="9"/>
  <c r="P10" i="9"/>
  <c r="C10" i="9"/>
  <c r="P9" i="9"/>
  <c r="C9" i="9"/>
  <c r="P8" i="9"/>
  <c r="C8" i="9"/>
  <c r="P7" i="9"/>
  <c r="C7" i="9"/>
  <c r="P6" i="9"/>
  <c r="C6" i="9"/>
  <c r="P5" i="9"/>
  <c r="C5" i="9"/>
  <c r="O71" i="8"/>
  <c r="B28" i="1" s="1"/>
  <c r="N71" i="8"/>
  <c r="B27" i="1" s="1"/>
  <c r="M71" i="8"/>
  <c r="B26" i="1" s="1"/>
  <c r="L71" i="8"/>
  <c r="B25" i="1" s="1"/>
  <c r="K71" i="8"/>
  <c r="B24" i="1" s="1"/>
  <c r="J71" i="8"/>
  <c r="B23" i="1" s="1"/>
  <c r="I71" i="8"/>
  <c r="B22" i="1" s="1"/>
  <c r="H71" i="8"/>
  <c r="B21" i="1" s="1"/>
  <c r="G71" i="8"/>
  <c r="B20" i="1" s="1"/>
  <c r="F71" i="8"/>
  <c r="E71" i="8"/>
  <c r="B18" i="1" s="1"/>
  <c r="D71" i="8"/>
  <c r="B17" i="1" s="1"/>
  <c r="P55" i="8"/>
  <c r="C55" i="8"/>
  <c r="P54" i="8"/>
  <c r="C54" i="8"/>
  <c r="P53" i="8"/>
  <c r="C53" i="8"/>
  <c r="P52" i="8"/>
  <c r="C52" i="8"/>
  <c r="P51" i="8"/>
  <c r="C51" i="8"/>
  <c r="P50" i="8"/>
  <c r="C50" i="8"/>
  <c r="P49" i="8"/>
  <c r="C49" i="8"/>
  <c r="P48" i="8"/>
  <c r="C48" i="8"/>
  <c r="P47" i="8"/>
  <c r="C47" i="8"/>
  <c r="P46" i="8"/>
  <c r="C46" i="8"/>
  <c r="P45" i="8"/>
  <c r="C45" i="8"/>
  <c r="P44" i="8"/>
  <c r="C44" i="8"/>
  <c r="P43" i="8"/>
  <c r="C43" i="8"/>
  <c r="P42" i="8"/>
  <c r="C42" i="8"/>
  <c r="P41" i="8"/>
  <c r="C41" i="8"/>
  <c r="P40" i="8"/>
  <c r="C40" i="8"/>
  <c r="P39" i="8"/>
  <c r="C39" i="8"/>
  <c r="P38" i="8"/>
  <c r="C38" i="8"/>
  <c r="P37" i="8"/>
  <c r="C37" i="8"/>
  <c r="P36" i="8"/>
  <c r="C36" i="8"/>
  <c r="P35" i="8"/>
  <c r="C35" i="8"/>
  <c r="P34" i="8"/>
  <c r="C34" i="8"/>
  <c r="P33" i="8"/>
  <c r="C33" i="8"/>
  <c r="P32" i="8"/>
  <c r="C32" i="8"/>
  <c r="P31" i="8"/>
  <c r="P29" i="8"/>
  <c r="C29" i="8"/>
  <c r="P28" i="8"/>
  <c r="C28" i="8"/>
  <c r="P27" i="8"/>
  <c r="C27" i="8"/>
  <c r="P26" i="8"/>
  <c r="C26" i="8"/>
  <c r="P25" i="8"/>
  <c r="C25" i="8"/>
  <c r="P24" i="8"/>
  <c r="C24" i="8"/>
  <c r="P23" i="8"/>
  <c r="C23" i="8"/>
  <c r="P22" i="8"/>
  <c r="C22" i="8"/>
  <c r="P21" i="8"/>
  <c r="C21" i="8"/>
  <c r="P20" i="8"/>
  <c r="C20" i="8"/>
  <c r="P19" i="8"/>
  <c r="C19" i="8"/>
  <c r="P18" i="8"/>
  <c r="C18" i="8"/>
  <c r="P17" i="8"/>
  <c r="C17" i="8"/>
  <c r="P16" i="8"/>
  <c r="C16" i="8"/>
  <c r="P15" i="8"/>
  <c r="C15" i="8"/>
  <c r="P14" i="8"/>
  <c r="C14" i="8"/>
  <c r="P13" i="8"/>
  <c r="C13" i="8"/>
  <c r="P12" i="8"/>
  <c r="C12" i="8"/>
  <c r="P11" i="8"/>
  <c r="C11" i="8"/>
  <c r="P10" i="8"/>
  <c r="C10" i="8"/>
  <c r="P9" i="8"/>
  <c r="C9" i="8"/>
  <c r="P8" i="8"/>
  <c r="C8" i="8"/>
  <c r="P7" i="8"/>
  <c r="C7" i="8"/>
  <c r="P6" i="8"/>
  <c r="C6" i="8"/>
  <c r="P5" i="8"/>
  <c r="C5" i="8"/>
  <c r="O55" i="7"/>
  <c r="N55" i="7"/>
  <c r="M55" i="7"/>
  <c r="L55" i="7"/>
  <c r="K55" i="7"/>
  <c r="J55" i="7"/>
  <c r="I55" i="7"/>
  <c r="H55" i="7"/>
  <c r="G55" i="7"/>
  <c r="F55" i="7"/>
  <c r="E55" i="7"/>
  <c r="D55" i="7"/>
  <c r="P54" i="7"/>
  <c r="T54" i="10" s="1"/>
  <c r="W54" i="10" s="1"/>
  <c r="X54" i="10" s="1"/>
  <c r="C54" i="7"/>
  <c r="P53" i="7"/>
  <c r="T53" i="10" s="1"/>
  <c r="W53" i="10" s="1"/>
  <c r="X53" i="10" s="1"/>
  <c r="C53" i="7"/>
  <c r="P52" i="7"/>
  <c r="T52" i="10" s="1"/>
  <c r="W52" i="10" s="1"/>
  <c r="X52" i="10" s="1"/>
  <c r="C52" i="7"/>
  <c r="P51" i="7"/>
  <c r="T51" i="10" s="1"/>
  <c r="W51" i="10" s="1"/>
  <c r="X51" i="10" s="1"/>
  <c r="C51" i="7"/>
  <c r="P50" i="7"/>
  <c r="T50" i="10" s="1"/>
  <c r="W50" i="10" s="1"/>
  <c r="X50" i="10" s="1"/>
  <c r="C50" i="7"/>
  <c r="P49" i="7"/>
  <c r="T49" i="10" s="1"/>
  <c r="W49" i="10" s="1"/>
  <c r="X49" i="10" s="1"/>
  <c r="C49" i="7"/>
  <c r="P48" i="7"/>
  <c r="T48" i="10" s="1"/>
  <c r="W48" i="10" s="1"/>
  <c r="X48" i="10" s="1"/>
  <c r="C48" i="7"/>
  <c r="P47" i="7"/>
  <c r="T47" i="10" s="1"/>
  <c r="W47" i="10" s="1"/>
  <c r="X47" i="10" s="1"/>
  <c r="C47" i="7"/>
  <c r="P46" i="7"/>
  <c r="T46" i="10" s="1"/>
  <c r="W46" i="10" s="1"/>
  <c r="X46" i="10" s="1"/>
  <c r="C46" i="7"/>
  <c r="P45" i="7"/>
  <c r="T45" i="10" s="1"/>
  <c r="W45" i="10" s="1"/>
  <c r="X45" i="10" s="1"/>
  <c r="C45" i="7"/>
  <c r="P44" i="7"/>
  <c r="T44" i="10" s="1"/>
  <c r="W44" i="10" s="1"/>
  <c r="X44" i="10" s="1"/>
  <c r="C44" i="7"/>
  <c r="P43" i="7"/>
  <c r="T43" i="10" s="1"/>
  <c r="W43" i="10" s="1"/>
  <c r="X43" i="10" s="1"/>
  <c r="C43" i="7"/>
  <c r="P42" i="7"/>
  <c r="C42" i="7"/>
  <c r="P41" i="7"/>
  <c r="T41" i="10" s="1"/>
  <c r="W41" i="10" s="1"/>
  <c r="X41" i="10" s="1"/>
  <c r="C41" i="7"/>
  <c r="P40" i="7"/>
  <c r="T40" i="10" s="1"/>
  <c r="W40" i="10" s="1"/>
  <c r="X40" i="10" s="1"/>
  <c r="C40" i="7"/>
  <c r="P39" i="7"/>
  <c r="T39" i="10" s="1"/>
  <c r="W39" i="10" s="1"/>
  <c r="X39" i="10" s="1"/>
  <c r="C39" i="7"/>
  <c r="P38" i="7"/>
  <c r="T38" i="10" s="1"/>
  <c r="W38" i="10" s="1"/>
  <c r="X38" i="10" s="1"/>
  <c r="C38" i="7"/>
  <c r="P37" i="7"/>
  <c r="T37" i="10" s="1"/>
  <c r="W37" i="10" s="1"/>
  <c r="X37" i="10" s="1"/>
  <c r="C37" i="7"/>
  <c r="P36" i="7"/>
  <c r="T36" i="10" s="1"/>
  <c r="W36" i="10" s="1"/>
  <c r="X36" i="10" s="1"/>
  <c r="C36" i="7"/>
  <c r="P35" i="7"/>
  <c r="T35" i="10" s="1"/>
  <c r="W35" i="10" s="1"/>
  <c r="X35" i="10" s="1"/>
  <c r="C35" i="7"/>
  <c r="P34" i="7"/>
  <c r="T34" i="10" s="1"/>
  <c r="W34" i="10" s="1"/>
  <c r="X34" i="10" s="1"/>
  <c r="C34" i="7"/>
  <c r="P33" i="7"/>
  <c r="T33" i="10" s="1"/>
  <c r="W33" i="10" s="1"/>
  <c r="X33" i="10" s="1"/>
  <c r="C33" i="7"/>
  <c r="P32" i="7"/>
  <c r="T32" i="10" s="1"/>
  <c r="W32" i="10" s="1"/>
  <c r="X32" i="10" s="1"/>
  <c r="C32" i="7"/>
  <c r="P31" i="7"/>
  <c r="T31" i="10" s="1"/>
  <c r="W31" i="10" s="1"/>
  <c r="X31" i="10" s="1"/>
  <c r="C31" i="7"/>
  <c r="P30" i="7"/>
  <c r="T30" i="10" s="1"/>
  <c r="W30" i="10" s="1"/>
  <c r="X30" i="10" s="1"/>
  <c r="C30" i="7"/>
  <c r="P29" i="7"/>
  <c r="T29" i="10" s="1"/>
  <c r="W29" i="10" s="1"/>
  <c r="X29" i="10" s="1"/>
  <c r="C29" i="7"/>
  <c r="P28" i="7"/>
  <c r="T28" i="10" s="1"/>
  <c r="W28" i="10" s="1"/>
  <c r="X28" i="10" s="1"/>
  <c r="C28" i="7"/>
  <c r="P27" i="7"/>
  <c r="T27" i="10" s="1"/>
  <c r="W27" i="10" s="1"/>
  <c r="X27" i="10" s="1"/>
  <c r="C27" i="7"/>
  <c r="P26" i="7"/>
  <c r="C26" i="7"/>
  <c r="P25" i="7"/>
  <c r="T25" i="10" s="1"/>
  <c r="W25" i="10" s="1"/>
  <c r="X25" i="10" s="1"/>
  <c r="C25" i="7"/>
  <c r="P24" i="7"/>
  <c r="T24" i="10" s="1"/>
  <c r="W24" i="10" s="1"/>
  <c r="X24" i="10" s="1"/>
  <c r="C24" i="7"/>
  <c r="P23" i="7"/>
  <c r="T23" i="10" s="1"/>
  <c r="W23" i="10" s="1"/>
  <c r="X23" i="10" s="1"/>
  <c r="I50" i="1" s="1"/>
  <c r="C23" i="7"/>
  <c r="P22" i="7"/>
  <c r="C22" i="7"/>
  <c r="P21" i="7"/>
  <c r="T21" i="10" s="1"/>
  <c r="W21" i="10" s="1"/>
  <c r="X21" i="10" s="1"/>
  <c r="I48" i="1" s="1"/>
  <c r="C21" i="7"/>
  <c r="P20" i="7"/>
  <c r="T20" i="10" s="1"/>
  <c r="W20" i="10" s="1"/>
  <c r="X20" i="10" s="1"/>
  <c r="I47" i="1" s="1"/>
  <c r="C20" i="7"/>
  <c r="P19" i="7"/>
  <c r="T19" i="10" s="1"/>
  <c r="W19" i="10" s="1"/>
  <c r="X19" i="10" s="1"/>
  <c r="I46" i="1" s="1"/>
  <c r="C19" i="7"/>
  <c r="P18" i="7"/>
  <c r="C18" i="7"/>
  <c r="P17" i="7"/>
  <c r="T17" i="10" s="1"/>
  <c r="W17" i="10" s="1"/>
  <c r="X17" i="10" s="1"/>
  <c r="I44" i="1" s="1"/>
  <c r="C17" i="7"/>
  <c r="P16" i="7"/>
  <c r="T16" i="10" s="1"/>
  <c r="W16" i="10" s="1"/>
  <c r="X16" i="10" s="1"/>
  <c r="I43" i="1" s="1"/>
  <c r="C16" i="7"/>
  <c r="P15" i="7"/>
  <c r="T15" i="10" s="1"/>
  <c r="W15" i="10" s="1"/>
  <c r="X15" i="10" s="1"/>
  <c r="I42" i="1" s="1"/>
  <c r="C15" i="7"/>
  <c r="P14" i="7"/>
  <c r="C14" i="7"/>
  <c r="P13" i="7"/>
  <c r="T13" i="10" s="1"/>
  <c r="W13" i="10" s="1"/>
  <c r="X13" i="10" s="1"/>
  <c r="I40" i="1" s="1"/>
  <c r="C13" i="7"/>
  <c r="P12" i="7"/>
  <c r="T12" i="10" s="1"/>
  <c r="W12" i="10" s="1"/>
  <c r="X12" i="10" s="1"/>
  <c r="I39" i="1" s="1"/>
  <c r="C12" i="7"/>
  <c r="P11" i="7"/>
  <c r="T11" i="10" s="1"/>
  <c r="W11" i="10" s="1"/>
  <c r="X11" i="10" s="1"/>
  <c r="I38" i="1" s="1"/>
  <c r="C11" i="7"/>
  <c r="P10" i="7"/>
  <c r="T10" i="10" s="1"/>
  <c r="W10" i="10" s="1"/>
  <c r="X10" i="10" s="1"/>
  <c r="I37" i="1" s="1"/>
  <c r="C10" i="7"/>
  <c r="P9" i="7"/>
  <c r="T9" i="10" s="1"/>
  <c r="W9" i="10" s="1"/>
  <c r="X9" i="10" s="1"/>
  <c r="I36" i="1" s="1"/>
  <c r="C9" i="7"/>
  <c r="P8" i="7"/>
  <c r="T8" i="10" s="1"/>
  <c r="W8" i="10" s="1"/>
  <c r="X8" i="10" s="1"/>
  <c r="I35" i="1" s="1"/>
  <c r="C8" i="7"/>
  <c r="P7" i="7"/>
  <c r="T7" i="10" s="1"/>
  <c r="W7" i="10" s="1"/>
  <c r="X7" i="10" s="1"/>
  <c r="I34" i="1" s="1"/>
  <c r="C7" i="7"/>
  <c r="P6" i="7"/>
  <c r="T6" i="10" s="1"/>
  <c r="W6" i="10" s="1"/>
  <c r="X6" i="10" s="1"/>
  <c r="I33" i="1" s="1"/>
  <c r="C6" i="7"/>
  <c r="P5" i="7"/>
  <c r="T5" i="10" s="1"/>
  <c r="W5" i="10" s="1"/>
  <c r="X5" i="10" s="1"/>
  <c r="I32" i="1" s="1"/>
  <c r="C5" i="7"/>
  <c r="P54" i="6"/>
  <c r="C54" i="6"/>
  <c r="P53" i="6"/>
  <c r="C53" i="6"/>
  <c r="P52" i="6"/>
  <c r="C52" i="6"/>
  <c r="P51" i="6"/>
  <c r="C51" i="6"/>
  <c r="P50" i="6"/>
  <c r="C50" i="6"/>
  <c r="P49" i="6"/>
  <c r="C49" i="6"/>
  <c r="P48" i="6"/>
  <c r="C48" i="6"/>
  <c r="P47" i="6"/>
  <c r="C47" i="6"/>
  <c r="P46" i="6"/>
  <c r="C46" i="6"/>
  <c r="P45" i="6"/>
  <c r="C45" i="6"/>
  <c r="P44" i="6"/>
  <c r="C44" i="6"/>
  <c r="P43" i="6"/>
  <c r="C43" i="6"/>
  <c r="P42" i="6"/>
  <c r="C42" i="6"/>
  <c r="P41" i="6"/>
  <c r="C41" i="6"/>
  <c r="P40" i="6"/>
  <c r="C40" i="6"/>
  <c r="P39" i="6"/>
  <c r="C39" i="6"/>
  <c r="P38" i="6"/>
  <c r="C38" i="6"/>
  <c r="P37" i="6"/>
  <c r="C37" i="6"/>
  <c r="P36" i="6"/>
  <c r="C36" i="6"/>
  <c r="P35" i="6"/>
  <c r="C35" i="6"/>
  <c r="P34" i="6"/>
  <c r="C34" i="6"/>
  <c r="P33" i="6"/>
  <c r="C33" i="6"/>
  <c r="P32" i="6"/>
  <c r="C32" i="6"/>
  <c r="P31" i="6"/>
  <c r="C31" i="6"/>
  <c r="P30" i="6"/>
  <c r="C30" i="6"/>
  <c r="P29" i="6"/>
  <c r="C29" i="6"/>
  <c r="P28" i="6"/>
  <c r="C28" i="6"/>
  <c r="P27" i="6"/>
  <c r="C27" i="6"/>
  <c r="P26" i="6"/>
  <c r="C26" i="6"/>
  <c r="P25" i="6"/>
  <c r="C25" i="6"/>
  <c r="P24" i="6"/>
  <c r="C24" i="6"/>
  <c r="P23" i="6"/>
  <c r="C23" i="6"/>
  <c r="P22" i="6"/>
  <c r="C22" i="6"/>
  <c r="P21" i="6"/>
  <c r="C21" i="6"/>
  <c r="P20" i="6"/>
  <c r="C20" i="6"/>
  <c r="P19" i="6"/>
  <c r="C19" i="6"/>
  <c r="P18" i="6"/>
  <c r="C18" i="6"/>
  <c r="P17" i="6"/>
  <c r="C17" i="6"/>
  <c r="P16" i="6"/>
  <c r="C16" i="6"/>
  <c r="P15" i="6"/>
  <c r="C15" i="6"/>
  <c r="P14" i="6"/>
  <c r="C14" i="6"/>
  <c r="P13" i="6"/>
  <c r="C13" i="6"/>
  <c r="P12" i="6"/>
  <c r="C12" i="6"/>
  <c r="P11" i="6"/>
  <c r="C11" i="6"/>
  <c r="P10" i="6"/>
  <c r="C10" i="6"/>
  <c r="P9" i="6"/>
  <c r="C9" i="6"/>
  <c r="P8" i="6"/>
  <c r="C8" i="6"/>
  <c r="P7" i="6"/>
  <c r="C7" i="6"/>
  <c r="P6" i="6"/>
  <c r="C6" i="6"/>
  <c r="P5" i="6"/>
  <c r="C5" i="6"/>
  <c r="O78" i="5"/>
  <c r="L78"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5" i="5"/>
  <c r="I51" i="1"/>
  <c r="E51" i="1"/>
  <c r="H51" i="1" s="1"/>
  <c r="D51" i="1"/>
  <c r="C51" i="1"/>
  <c r="E50" i="1"/>
  <c r="H50" i="1" s="1"/>
  <c r="D50" i="1"/>
  <c r="C50" i="1"/>
  <c r="I49" i="1"/>
  <c r="E49" i="1"/>
  <c r="H49" i="1" s="1"/>
  <c r="D49" i="1"/>
  <c r="C49" i="1"/>
  <c r="E48" i="1"/>
  <c r="H48" i="1" s="1"/>
  <c r="D48" i="1"/>
  <c r="C48" i="1"/>
  <c r="E47" i="1"/>
  <c r="H47" i="1" s="1"/>
  <c r="D47" i="1"/>
  <c r="C47" i="1"/>
  <c r="E46" i="1"/>
  <c r="H46" i="1" s="1"/>
  <c r="D46" i="1"/>
  <c r="C46" i="1"/>
  <c r="E45" i="1"/>
  <c r="H45" i="1" s="1"/>
  <c r="D45" i="1"/>
  <c r="C45" i="1"/>
  <c r="F44" i="1"/>
  <c r="G44" i="1" s="1"/>
  <c r="E44" i="1"/>
  <c r="H44" i="1" s="1"/>
  <c r="D44" i="1"/>
  <c r="C44" i="1"/>
  <c r="E43" i="1"/>
  <c r="H43" i="1" s="1"/>
  <c r="D43" i="1"/>
  <c r="C43" i="1"/>
  <c r="E42" i="1"/>
  <c r="H42" i="1" s="1"/>
  <c r="D42" i="1"/>
  <c r="C42" i="1"/>
  <c r="E41" i="1"/>
  <c r="H41" i="1" s="1"/>
  <c r="D41" i="1"/>
  <c r="C41" i="1"/>
  <c r="E40" i="1"/>
  <c r="H40" i="1" s="1"/>
  <c r="D40" i="1"/>
  <c r="C40" i="1"/>
  <c r="E39" i="1"/>
  <c r="H39" i="1" s="1"/>
  <c r="D39" i="1"/>
  <c r="C39" i="1"/>
  <c r="E38" i="1"/>
  <c r="H38" i="1" s="1"/>
  <c r="D38" i="1"/>
  <c r="C38" i="1"/>
  <c r="E37" i="1"/>
  <c r="H37" i="1" s="1"/>
  <c r="D37" i="1"/>
  <c r="C37" i="1"/>
  <c r="E36" i="1"/>
  <c r="H36" i="1" s="1"/>
  <c r="D36" i="1"/>
  <c r="C36" i="1"/>
  <c r="E35" i="1"/>
  <c r="H35" i="1" s="1"/>
  <c r="D35" i="1"/>
  <c r="C35" i="1"/>
  <c r="E34" i="1"/>
  <c r="H34" i="1" s="1"/>
  <c r="D34" i="1"/>
  <c r="C34" i="1"/>
  <c r="E33" i="1"/>
  <c r="H33" i="1" s="1"/>
  <c r="D33" i="1"/>
  <c r="C33" i="1"/>
  <c r="E32" i="1"/>
  <c r="H32" i="1" s="1"/>
  <c r="D32" i="1"/>
  <c r="C32" i="1"/>
  <c r="E28" i="1"/>
  <c r="E27" i="1"/>
  <c r="E26" i="1"/>
  <c r="E25" i="1"/>
  <c r="E24" i="1"/>
  <c r="E23" i="1"/>
  <c r="E22" i="1"/>
  <c r="E21" i="1"/>
  <c r="E20" i="1"/>
  <c r="E19" i="1"/>
  <c r="B19" i="1"/>
  <c r="E18" i="1"/>
  <c r="E17" i="1"/>
  <c r="K6" i="1"/>
  <c r="I6" i="1"/>
  <c r="G6" i="1"/>
  <c r="E6" i="1"/>
  <c r="C6" i="1"/>
  <c r="A6" i="1"/>
  <c r="B58" i="9" l="1"/>
  <c r="F51" i="1"/>
  <c r="G51" i="1" s="1"/>
  <c r="F32" i="1"/>
  <c r="G32" i="1" s="1"/>
  <c r="F47" i="1"/>
  <c r="G47" i="1" s="1"/>
  <c r="I18" i="1"/>
  <c r="F40" i="1"/>
  <c r="G40" i="1" s="1"/>
  <c r="F41" i="1"/>
  <c r="G41" i="1" s="1"/>
  <c r="N32" i="10"/>
  <c r="F33" i="1"/>
  <c r="G33" i="1" s="1"/>
  <c r="F49" i="1"/>
  <c r="G49" i="1" s="1"/>
  <c r="I23" i="1"/>
  <c r="F35" i="1"/>
  <c r="G35" i="1" s="1"/>
  <c r="G24" i="1"/>
  <c r="F45" i="1"/>
  <c r="G45" i="1" s="1"/>
  <c r="G26" i="1"/>
  <c r="I20" i="1"/>
  <c r="I28" i="1"/>
  <c r="J11" i="10"/>
  <c r="F48" i="1"/>
  <c r="G48" i="1" s="1"/>
  <c r="F36" i="1"/>
  <c r="G36" i="1" s="1"/>
  <c r="I22" i="1"/>
  <c r="J32" i="10"/>
  <c r="G20" i="1"/>
  <c r="F37" i="1"/>
  <c r="G37" i="1" s="1"/>
  <c r="F39" i="1"/>
  <c r="G39" i="1" s="1"/>
  <c r="F7" i="10"/>
  <c r="R40" i="10"/>
  <c r="F40" i="10"/>
  <c r="G28" i="1"/>
  <c r="I24" i="1"/>
  <c r="F43" i="1"/>
  <c r="G43" i="1" s="1"/>
  <c r="J7" i="10"/>
  <c r="G18" i="1"/>
  <c r="G19" i="1"/>
  <c r="G27" i="1"/>
  <c r="G22" i="1"/>
  <c r="F11" i="10"/>
  <c r="G17" i="1"/>
  <c r="F46" i="1"/>
  <c r="G46" i="1" s="1"/>
  <c r="G21" i="1"/>
  <c r="G23" i="1"/>
  <c r="D20" i="1"/>
  <c r="D28" i="1"/>
  <c r="N48" i="10"/>
  <c r="D18" i="1"/>
  <c r="D27" i="1"/>
  <c r="I17" i="1"/>
  <c r="G25" i="1"/>
  <c r="D21" i="1"/>
  <c r="D22" i="1"/>
  <c r="P73" i="9"/>
  <c r="C11" i="1" s="1"/>
  <c r="N7" i="10"/>
  <c r="N11" i="10"/>
  <c r="F34" i="1"/>
  <c r="G34" i="1" s="1"/>
  <c r="F42" i="1"/>
  <c r="G42" i="1" s="1"/>
  <c r="F50" i="1"/>
  <c r="G50" i="1" s="1"/>
  <c r="D23" i="1"/>
  <c r="D26" i="1"/>
  <c r="D24" i="1"/>
  <c r="F38" i="1"/>
  <c r="G38" i="1" s="1"/>
  <c r="D19" i="1"/>
  <c r="D17" i="1"/>
  <c r="D25" i="1"/>
  <c r="R7" i="10"/>
  <c r="R11" i="10"/>
  <c r="J48" i="10"/>
  <c r="H18" i="1"/>
  <c r="H22" i="1"/>
  <c r="H26" i="1"/>
  <c r="H17" i="1"/>
  <c r="H21" i="1"/>
  <c r="H25" i="1"/>
  <c r="H20" i="1"/>
  <c r="H24" i="1"/>
  <c r="H28" i="1"/>
  <c r="P71" i="8"/>
  <c r="B11" i="1" s="1"/>
  <c r="H19" i="1"/>
  <c r="H23" i="1"/>
  <c r="H27" i="1"/>
  <c r="A7" i="5"/>
  <c r="A8" i="5" s="1"/>
  <c r="B8" i="5" s="1"/>
  <c r="B5" i="9"/>
  <c r="B5" i="6"/>
  <c r="B77" i="9"/>
  <c r="B5" i="10"/>
  <c r="B5" i="7"/>
  <c r="V11" i="10"/>
  <c r="V27" i="10"/>
  <c r="B5" i="8"/>
  <c r="V6" i="10"/>
  <c r="V8" i="10"/>
  <c r="V10" i="10"/>
  <c r="V12" i="10"/>
  <c r="V16" i="10"/>
  <c r="V20" i="10"/>
  <c r="V24" i="10"/>
  <c r="V36" i="10"/>
  <c r="V45" i="10"/>
  <c r="V52" i="10"/>
  <c r="B6" i="8"/>
  <c r="B6" i="9"/>
  <c r="B6" i="6"/>
  <c r="B78" i="9"/>
  <c r="B6" i="10"/>
  <c r="B6" i="7"/>
  <c r="P127" i="9"/>
  <c r="C12" i="1" s="1"/>
  <c r="S34" i="10"/>
  <c r="R34" i="10"/>
  <c r="J40" i="10"/>
  <c r="K40" i="10"/>
  <c r="S50" i="10"/>
  <c r="R50" i="10"/>
  <c r="V28" i="10"/>
  <c r="V32" i="10"/>
  <c r="V40" i="10"/>
  <c r="V44" i="10"/>
  <c r="V48" i="10"/>
  <c r="J14" i="10"/>
  <c r="J18" i="10"/>
  <c r="J22" i="10"/>
  <c r="J26" i="10"/>
  <c r="N29" i="10"/>
  <c r="V31" i="10"/>
  <c r="F34" i="10"/>
  <c r="V47" i="10"/>
  <c r="F50" i="10"/>
  <c r="V35" i="10"/>
  <c r="V43" i="10"/>
  <c r="V51" i="10"/>
  <c r="F14" i="10"/>
  <c r="F15" i="10"/>
  <c r="N15" i="10"/>
  <c r="F18" i="10"/>
  <c r="F19" i="10"/>
  <c r="N19" i="10"/>
  <c r="F22" i="10"/>
  <c r="F23" i="10"/>
  <c r="N23" i="10"/>
  <c r="F26" i="10"/>
  <c r="F27" i="10"/>
  <c r="N27" i="10"/>
  <c r="N33" i="10"/>
  <c r="K38" i="10"/>
  <c r="J38" i="10"/>
  <c r="N40" i="10"/>
  <c r="O40" i="10"/>
  <c r="N49" i="10"/>
  <c r="K54" i="10"/>
  <c r="J54" i="10"/>
  <c r="P55" i="7"/>
  <c r="B12" i="1" s="1"/>
  <c r="V14" i="10"/>
  <c r="V18" i="10"/>
  <c r="V22" i="10"/>
  <c r="V26" i="10"/>
  <c r="V34" i="10"/>
  <c r="V46" i="10"/>
  <c r="V50" i="10"/>
  <c r="F32" i="10"/>
  <c r="G32" i="10"/>
  <c r="R32" i="10"/>
  <c r="S32" i="10"/>
  <c r="F48" i="10"/>
  <c r="G48" i="10"/>
  <c r="R48" i="10"/>
  <c r="S48" i="10"/>
  <c r="F28" i="10"/>
  <c r="S42" i="10"/>
  <c r="R42" i="10"/>
  <c r="N46" i="10"/>
  <c r="R28" i="10"/>
  <c r="N41" i="10"/>
  <c r="F42" i="10"/>
  <c r="F45" i="10"/>
  <c r="K46" i="10"/>
  <c r="J46" i="10"/>
  <c r="J33" i="10"/>
  <c r="R37" i="10"/>
  <c r="J41" i="10"/>
  <c r="R45" i="10"/>
  <c r="J49" i="10"/>
  <c r="R53" i="10"/>
  <c r="N53" i="10"/>
  <c r="D11" i="1" l="1"/>
  <c r="E11" i="1" s="1"/>
  <c r="F11" i="1" s="1"/>
  <c r="C13" i="1"/>
  <c r="B13" i="1"/>
  <c r="B7" i="5"/>
  <c r="B34" i="1" s="1"/>
  <c r="A9" i="5"/>
  <c r="B9" i="5" s="1"/>
  <c r="B8" i="8"/>
  <c r="B8" i="6"/>
  <c r="B80" i="9"/>
  <c r="B8" i="7"/>
  <c r="B8" i="10"/>
  <c r="B8" i="9"/>
  <c r="B35" i="1"/>
  <c r="D12" i="1"/>
  <c r="E12" i="1" s="1"/>
  <c r="F12" i="1" s="1"/>
  <c r="D13" i="1" l="1"/>
  <c r="E13" i="1" s="1"/>
  <c r="F13" i="1" s="1"/>
  <c r="A10" i="5"/>
  <c r="A11" i="5" s="1"/>
  <c r="B7" i="8"/>
  <c r="B79" i="9"/>
  <c r="B7" i="7"/>
  <c r="B7" i="6"/>
  <c r="B7" i="9"/>
  <c r="B7" i="10"/>
  <c r="B36" i="1"/>
  <c r="B9" i="7"/>
  <c r="B9" i="8"/>
  <c r="B81" i="9"/>
  <c r="B9" i="9"/>
  <c r="B9" i="6"/>
  <c r="B9" i="10"/>
  <c r="B10" i="5"/>
  <c r="B37" i="1" l="1"/>
  <c r="B10" i="7"/>
  <c r="B10" i="8"/>
  <c r="B10" i="9"/>
  <c r="B10" i="6"/>
  <c r="B82" i="9"/>
  <c r="B10" i="10"/>
  <c r="A12" i="5"/>
  <c r="B11" i="5"/>
  <c r="B12" i="5" l="1"/>
  <c r="A13" i="5"/>
  <c r="B38" i="1"/>
  <c r="B11" i="10"/>
  <c r="B11" i="7"/>
  <c r="B11" i="8"/>
  <c r="B11" i="9"/>
  <c r="B83" i="9"/>
  <c r="B11" i="6"/>
  <c r="B39" i="1" l="1"/>
  <c r="B12" i="9"/>
  <c r="B12" i="10"/>
  <c r="B12" i="7"/>
  <c r="B12" i="6"/>
  <c r="B12" i="8"/>
  <c r="B84" i="9"/>
  <c r="B13" i="5"/>
  <c r="A14" i="5"/>
  <c r="B14" i="5" l="1"/>
  <c r="A15" i="5"/>
  <c r="B40" i="1"/>
  <c r="B13" i="8"/>
  <c r="B85" i="9"/>
  <c r="B13" i="7"/>
  <c r="B13" i="10"/>
  <c r="B13" i="9"/>
  <c r="B13" i="6"/>
  <c r="B41" i="1" l="1"/>
  <c r="B14" i="7"/>
  <c r="B14" i="6"/>
  <c r="B14" i="10"/>
  <c r="B14" i="8"/>
  <c r="B14" i="9"/>
  <c r="B86" i="9"/>
  <c r="A16" i="5"/>
  <c r="B15" i="5"/>
  <c r="B42" i="1" l="1"/>
  <c r="B15" i="9"/>
  <c r="B15" i="10"/>
  <c r="B15" i="7"/>
  <c r="B15" i="8"/>
  <c r="B15" i="6"/>
  <c r="B87" i="9"/>
  <c r="A17" i="5"/>
  <c r="B16" i="5"/>
  <c r="A18" i="5" l="1"/>
  <c r="B17" i="5"/>
  <c r="B16" i="6"/>
  <c r="B43" i="1"/>
  <c r="B88" i="9"/>
  <c r="B16" i="7"/>
  <c r="B16" i="8"/>
  <c r="B16" i="9"/>
  <c r="B16" i="10"/>
  <c r="A19" i="5" l="1"/>
  <c r="B18" i="5"/>
  <c r="B44" i="1"/>
  <c r="B17" i="9"/>
  <c r="B17" i="6"/>
  <c r="B89" i="9"/>
  <c r="B17" i="7"/>
  <c r="B17" i="10"/>
  <c r="B17" i="8"/>
  <c r="B18" i="7" l="1"/>
  <c r="B45" i="1"/>
  <c r="B90" i="9"/>
  <c r="B18" i="10"/>
  <c r="B18" i="8"/>
  <c r="B18" i="6"/>
  <c r="B18" i="9"/>
  <c r="A20" i="5"/>
  <c r="B19" i="5"/>
  <c r="B46" i="1" l="1"/>
  <c r="B19" i="9"/>
  <c r="B91" i="9"/>
  <c r="B19" i="6"/>
  <c r="B19" i="10"/>
  <c r="B19" i="8"/>
  <c r="B19" i="7"/>
  <c r="B20" i="5"/>
  <c r="A21" i="5"/>
  <c r="B21" i="5" l="1"/>
  <c r="A22" i="5"/>
  <c r="B47" i="1"/>
  <c r="B20" i="6"/>
  <c r="B20" i="9"/>
  <c r="B92" i="9"/>
  <c r="B20" i="7"/>
  <c r="B20" i="8"/>
  <c r="B20" i="10"/>
  <c r="B48" i="1" l="1"/>
  <c r="B21" i="9"/>
  <c r="B21" i="10"/>
  <c r="B21" i="8"/>
  <c r="B21" i="6"/>
  <c r="B93" i="9"/>
  <c r="B21" i="7"/>
  <c r="B22" i="5"/>
  <c r="A23" i="5"/>
  <c r="A24" i="5" l="1"/>
  <c r="B23" i="5"/>
  <c r="B49" i="1"/>
  <c r="B22" i="6"/>
  <c r="B94" i="9"/>
  <c r="B22" i="10"/>
  <c r="B22" i="8"/>
  <c r="B22" i="9"/>
  <c r="B22" i="7"/>
  <c r="B50" i="1" l="1"/>
  <c r="B23" i="7"/>
  <c r="B23" i="8"/>
  <c r="B23" i="9"/>
  <c r="B95" i="9"/>
  <c r="B23" i="6"/>
  <c r="B23" i="10"/>
  <c r="A25" i="5"/>
  <c r="B24" i="5"/>
  <c r="A26" i="5" l="1"/>
  <c r="B25" i="5"/>
  <c r="B51" i="1"/>
  <c r="B24" i="9"/>
  <c r="B96" i="9"/>
  <c r="B24" i="7"/>
  <c r="B24" i="10"/>
  <c r="B24" i="8"/>
  <c r="B24" i="6"/>
  <c r="A27" i="5" l="1"/>
  <c r="B26" i="5"/>
  <c r="B25" i="10"/>
  <c r="B25" i="8"/>
  <c r="B97" i="9"/>
  <c r="B25" i="9"/>
  <c r="B25" i="6"/>
  <c r="B25" i="7"/>
  <c r="B26" i="7" l="1"/>
  <c r="B26" i="10"/>
  <c r="B26" i="6"/>
  <c r="B98" i="9"/>
  <c r="B26" i="8"/>
  <c r="B26" i="9"/>
  <c r="A28" i="5"/>
  <c r="B27" i="5"/>
  <c r="B27" i="10" l="1"/>
  <c r="B27" i="7"/>
  <c r="B27" i="6"/>
  <c r="B27" i="8"/>
  <c r="B27" i="9"/>
  <c r="B99" i="9"/>
  <c r="B28" i="5"/>
  <c r="A29" i="5"/>
  <c r="B29" i="5" l="1"/>
  <c r="A30" i="5"/>
  <c r="B28" i="9"/>
  <c r="B28" i="8"/>
  <c r="B28" i="6"/>
  <c r="B28" i="10"/>
  <c r="B28" i="7"/>
  <c r="B100" i="9"/>
  <c r="A31" i="5" l="1"/>
  <c r="B30" i="5"/>
  <c r="B30" i="8" s="1"/>
  <c r="B29" i="8"/>
  <c r="B101" i="9"/>
  <c r="B29" i="7"/>
  <c r="B29" i="10"/>
  <c r="B29" i="9"/>
  <c r="B29" i="6"/>
  <c r="B30" i="7" l="1"/>
  <c r="B30" i="9"/>
  <c r="B30" i="6"/>
  <c r="B102" i="9"/>
  <c r="B30" i="10"/>
  <c r="A32" i="5"/>
  <c r="B31" i="5"/>
  <c r="B31" i="9" l="1"/>
  <c r="B31" i="8"/>
  <c r="A33" i="5"/>
  <c r="B32" i="5"/>
  <c r="B32" i="9" s="1"/>
  <c r="B31" i="6" l="1"/>
  <c r="B31" i="10"/>
  <c r="B31" i="7"/>
  <c r="B103" i="9"/>
  <c r="B32" i="8"/>
  <c r="A34" i="5"/>
  <c r="B33" i="5"/>
  <c r="B33" i="9" s="1"/>
  <c r="A35" i="5" l="1"/>
  <c r="B34" i="5"/>
  <c r="B34" i="9" s="1"/>
  <c r="B32" i="6"/>
  <c r="B32" i="10"/>
  <c r="B32" i="7"/>
  <c r="B104" i="9"/>
  <c r="B33" i="8"/>
  <c r="B34" i="8" l="1"/>
  <c r="B33" i="10"/>
  <c r="B33" i="6"/>
  <c r="B105" i="9"/>
  <c r="B33" i="7"/>
  <c r="A36" i="5"/>
  <c r="B35" i="5"/>
  <c r="B35" i="9" s="1"/>
  <c r="B35" i="8" l="1"/>
  <c r="B34" i="6"/>
  <c r="B106" i="9"/>
  <c r="B34" i="7"/>
  <c r="B34" i="10"/>
  <c r="B36" i="5"/>
  <c r="B36" i="9" s="1"/>
  <c r="A37" i="5"/>
  <c r="B37" i="5" l="1"/>
  <c r="B37" i="9" s="1"/>
  <c r="A38" i="5"/>
  <c r="B36" i="8"/>
  <c r="B35" i="7"/>
  <c r="B107" i="9"/>
  <c r="B35" i="6"/>
  <c r="B35" i="10"/>
  <c r="B38" i="5" l="1"/>
  <c r="B38" i="9" s="1"/>
  <c r="A39" i="5"/>
  <c r="B36" i="10"/>
  <c r="B108" i="9"/>
  <c r="B37" i="8"/>
  <c r="B36" i="6"/>
  <c r="B36" i="7"/>
  <c r="A40" i="5" l="1"/>
  <c r="B39" i="5"/>
  <c r="B39" i="9" s="1"/>
  <c r="B38" i="8"/>
  <c r="B37" i="10"/>
  <c r="B37" i="6"/>
  <c r="B37" i="7"/>
  <c r="B109" i="9"/>
  <c r="B39" i="8" l="1"/>
  <c r="B110" i="9"/>
  <c r="B38" i="7"/>
  <c r="B38" i="6"/>
  <c r="B38" i="10"/>
  <c r="A41" i="5"/>
  <c r="B40" i="5"/>
  <c r="B40" i="9" s="1"/>
  <c r="B39" i="6" l="1"/>
  <c r="B39" i="10"/>
  <c r="B39" i="7"/>
  <c r="B40" i="8"/>
  <c r="B111" i="9"/>
  <c r="A42" i="5"/>
  <c r="B41" i="5"/>
  <c r="B41" i="9" s="1"/>
  <c r="B40" i="10" l="1"/>
  <c r="B40" i="6"/>
  <c r="B112" i="9"/>
  <c r="B41" i="8"/>
  <c r="B40" i="7"/>
  <c r="A43" i="5"/>
  <c r="B42" i="5"/>
  <c r="B42" i="9" s="1"/>
  <c r="B42" i="8" l="1"/>
  <c r="B113" i="9"/>
  <c r="B41" i="7"/>
  <c r="B41" i="10"/>
  <c r="B41" i="6"/>
  <c r="A44" i="5"/>
  <c r="B43" i="5"/>
  <c r="B43" i="9" s="1"/>
  <c r="B42" i="10" l="1"/>
  <c r="B43" i="8"/>
  <c r="B42" i="6"/>
  <c r="B114" i="9"/>
  <c r="B42" i="7"/>
  <c r="B44" i="5"/>
  <c r="B44" i="9" s="1"/>
  <c r="A45" i="5"/>
  <c r="B45" i="5" l="1"/>
  <c r="B45" i="9" s="1"/>
  <c r="A46" i="5"/>
  <c r="B43" i="10"/>
  <c r="B43" i="7"/>
  <c r="B115" i="9"/>
  <c r="B44" i="8"/>
  <c r="B43" i="6"/>
  <c r="B46" i="5" l="1"/>
  <c r="B46" i="9" s="1"/>
  <c r="A47" i="5"/>
  <c r="B116" i="9"/>
  <c r="B45" i="8"/>
  <c r="B44" i="7"/>
  <c r="B44" i="6"/>
  <c r="B44" i="10"/>
  <c r="A48" i="5" l="1"/>
  <c r="B47" i="5"/>
  <c r="B47" i="9" s="1"/>
  <c r="B46" i="8"/>
  <c r="B45" i="6"/>
  <c r="B117" i="9"/>
  <c r="B45" i="7"/>
  <c r="B45" i="10"/>
  <c r="B46" i="10" l="1"/>
  <c r="B46" i="7"/>
  <c r="B118" i="9"/>
  <c r="B46" i="6"/>
  <c r="B47" i="8"/>
  <c r="A49" i="5"/>
  <c r="B48" i="5"/>
  <c r="B48" i="9" s="1"/>
  <c r="A50" i="5" l="1"/>
  <c r="B49" i="5"/>
  <c r="B49" i="9" s="1"/>
  <c r="B47" i="6"/>
  <c r="B119" i="9"/>
  <c r="B48" i="8"/>
  <c r="B47" i="10"/>
  <c r="B47" i="7"/>
  <c r="B48" i="10" l="1"/>
  <c r="B48" i="6"/>
  <c r="B120" i="9"/>
  <c r="B49" i="8"/>
  <c r="B48" i="7"/>
  <c r="A51" i="5"/>
  <c r="B50" i="5"/>
  <c r="B50" i="9" s="1"/>
  <c r="B51" i="5" l="1"/>
  <c r="B51" i="9" s="1"/>
  <c r="A52" i="5"/>
  <c r="B50" i="8"/>
  <c r="B49" i="10"/>
  <c r="B49" i="6"/>
  <c r="B49" i="7"/>
  <c r="B121" i="9"/>
  <c r="B52" i="5" l="1"/>
  <c r="B52" i="9" s="1"/>
  <c r="A53" i="5"/>
  <c r="B50" i="10"/>
  <c r="B122" i="9"/>
  <c r="B50" i="7"/>
  <c r="B51" i="8"/>
  <c r="B50" i="6"/>
  <c r="B53" i="5" l="1"/>
  <c r="B53" i="9" s="1"/>
  <c r="A54" i="5"/>
  <c r="B52" i="8"/>
  <c r="B51" i="7"/>
  <c r="B123" i="9"/>
  <c r="B51" i="6"/>
  <c r="B51" i="10"/>
  <c r="B54" i="5" l="1"/>
  <c r="B54" i="9" s="1"/>
  <c r="A55" i="5"/>
  <c r="B52" i="10"/>
  <c r="B124" i="9"/>
  <c r="B52" i="7"/>
  <c r="B53" i="8"/>
  <c r="B52" i="6"/>
  <c r="A56" i="5" l="1"/>
  <c r="B55" i="5"/>
  <c r="B55" i="9" s="1"/>
  <c r="B54" i="8"/>
  <c r="B53" i="10"/>
  <c r="B53" i="6"/>
  <c r="B125" i="9"/>
  <c r="B53" i="7"/>
  <c r="B55" i="8" l="1"/>
  <c r="B54" i="10"/>
  <c r="B54" i="7"/>
  <c r="B54" i="6"/>
  <c r="B126" i="9"/>
  <c r="A57" i="5"/>
  <c r="B56" i="5"/>
  <c r="B56" i="8" l="1"/>
  <c r="B56" i="9"/>
  <c r="A58" i="5"/>
  <c r="A59" i="5" s="1"/>
  <c r="A60" i="5" s="1"/>
  <c r="A61" i="5" s="1"/>
  <c r="A62" i="5" s="1"/>
  <c r="A63" i="5" s="1"/>
  <c r="A64" i="5" s="1"/>
  <c r="A65" i="5" s="1"/>
  <c r="A66" i="5" s="1"/>
  <c r="A67" i="5" s="1"/>
  <c r="A68" i="5" s="1"/>
  <c r="A69" i="5" s="1"/>
  <c r="A70" i="5" s="1"/>
  <c r="A71" i="5" s="1"/>
  <c r="A72" i="5" s="1"/>
  <c r="A73" i="5" s="1"/>
  <c r="A74" i="5" s="1"/>
  <c r="A75" i="5" s="1"/>
  <c r="A76" i="5" s="1"/>
  <c r="B57" i="5"/>
  <c r="B57" i="8" l="1"/>
  <c r="B57" i="9"/>
</calcChain>
</file>

<file path=xl/sharedStrings.xml><?xml version="1.0" encoding="utf-8"?>
<sst xmlns="http://schemas.openxmlformats.org/spreadsheetml/2006/main" count="835" uniqueCount="438">
  <si>
    <t>AOP EXECUTION DASHBOARD — FY 2026-27  |  VPS Lakeshore Hospital</t>
  </si>
  <si>
    <t xml:space="preserve">  INITIATIVE STATUS</t>
  </si>
  <si>
    <t>Total Initiatives</t>
  </si>
  <si>
    <t>Completed</t>
  </si>
  <si>
    <t>In Progress</t>
  </si>
  <si>
    <t>Delayed</t>
  </si>
  <si>
    <t>On Hold</t>
  </si>
  <si>
    <t>Not Started</t>
  </si>
  <si>
    <t xml:space="preserve">  FINANCIAL SUMMARY  (Rs Lakhs)</t>
  </si>
  <si>
    <t>Metric</t>
  </si>
  <si>
    <t>AOP Budget</t>
  </si>
  <si>
    <t>YTD Actual</t>
  </si>
  <si>
    <t>Variance (Rs)</t>
  </si>
  <si>
    <t>Variance %</t>
  </si>
  <si>
    <t>Status</t>
  </si>
  <si>
    <t>Revenue from Initiatives</t>
  </si>
  <si>
    <t>Cost of Initiatives</t>
  </si>
  <si>
    <t>Net EBITDA Impact</t>
  </si>
  <si>
    <t xml:space="preserve">  MONTHLY TREND  (Rs Lakhs)</t>
  </si>
  <si>
    <t>Month</t>
  </si>
  <si>
    <t>Bdg Revenue</t>
  </si>
  <si>
    <t>Act Revenue</t>
  </si>
  <si>
    <t>Rev Var</t>
  </si>
  <si>
    <t>Bdg Cost</t>
  </si>
  <si>
    <t>Act Cost</t>
  </si>
  <si>
    <t>Cost Var</t>
  </si>
  <si>
    <t>Net EBITDA (Bdg)</t>
  </si>
  <si>
    <t>Net EBITDA (Act)</t>
  </si>
  <si>
    <t>Apr</t>
  </si>
  <si>
    <t>May</t>
  </si>
  <si>
    <t>Jun</t>
  </si>
  <si>
    <t>Jul</t>
  </si>
  <si>
    <t>Aug</t>
  </si>
  <si>
    <t>Sep</t>
  </si>
  <si>
    <t>Oct</t>
  </si>
  <si>
    <t>Nov</t>
  </si>
  <si>
    <t>Dec</t>
  </si>
  <si>
    <t>Jan</t>
  </si>
  <si>
    <t>Feb</t>
  </si>
  <si>
    <t>Mar</t>
  </si>
  <si>
    <t xml:space="preserve">  EXCEPTION LOG — Initiatives Flagged</t>
  </si>
  <si>
    <t>#</t>
  </si>
  <si>
    <t>Initiative ID</t>
  </si>
  <si>
    <t>Initiative Name</t>
  </si>
  <si>
    <t>Ann Budget (Rs)</t>
  </si>
  <si>
    <t>Ann Actual (Rs)</t>
  </si>
  <si>
    <t>Var %</t>
  </si>
  <si>
    <t>Exception Flag</t>
  </si>
  <si>
    <t>INITIATIVE DETAIL CARD — Mini Business Case Template  |  FY 2026-27</t>
  </si>
  <si>
    <t>Fill BLUE input cells. Use before entering into Initiative Register.</t>
  </si>
  <si>
    <t>Auto-generated in Register</t>
  </si>
  <si>
    <t>Function / Department</t>
  </si>
  <si>
    <t>Owner</t>
  </si>
  <si>
    <t>Priority</t>
  </si>
  <si>
    <t>High / Medium / Low</t>
  </si>
  <si>
    <t>PROBLEM / OPPORTUNITY STATEMENT</t>
  </si>
  <si>
    <t>What problem does this solve?</t>
  </si>
  <si>
    <t>What opportunity does this capture?</t>
  </si>
  <si>
    <t>CURRENT STATE</t>
  </si>
  <si>
    <t>Current Metric / KPI Value</t>
  </si>
  <si>
    <t>Source of Data</t>
  </si>
  <si>
    <t>TARGET STATE</t>
  </si>
  <si>
    <t>Target KPI Value</t>
  </si>
  <si>
    <t>Target Timeline</t>
  </si>
  <si>
    <t>INITIATIVE ACTION PLAN</t>
  </si>
  <si>
    <t>Key Action Steps</t>
  </si>
  <si>
    <t>Dependencies / Pre-conditions</t>
  </si>
  <si>
    <t>Resources Required</t>
  </si>
  <si>
    <t>FINANCIAL CASE</t>
  </si>
  <si>
    <t>Cost Type (Opex / Capex)</t>
  </si>
  <si>
    <t>Estimated Cost (Rs Lakhs)</t>
  </si>
  <si>
    <t>Expected Revenue Impact (Rs Lakhs)</t>
  </si>
  <si>
    <t>Payback Period</t>
  </si>
  <si>
    <t>Net EBITDA Impact (Rs Lakhs)</t>
  </si>
  <si>
    <t>TIMELINE</t>
  </si>
  <si>
    <t>Start Month</t>
  </si>
  <si>
    <t>End Month</t>
  </si>
  <si>
    <t>Cost Incurrence Period</t>
  </si>
  <si>
    <t>Benefit Realisation Period</t>
  </si>
  <si>
    <t>RISKS &amp; MITIGATION</t>
  </si>
  <si>
    <t>Key Risks</t>
  </si>
  <si>
    <t>Mitigation Plan</t>
  </si>
  <si>
    <t>APPROVAL</t>
  </si>
  <si>
    <t>Prepared By</t>
  </si>
  <si>
    <t>Reviewed By</t>
  </si>
  <si>
    <t>Approved By</t>
  </si>
  <si>
    <t>Set up  |  Step up  |  Scale up  —  Workbook is intentionally blank. Team fills in initiatives.</t>
  </si>
  <si>
    <t>HOW TO USE THIS WORKBOOK</t>
  </si>
  <si>
    <t>STEP</t>
  </si>
  <si>
    <t>SHEET</t>
  </si>
  <si>
    <t>ACTION</t>
  </si>
  <si>
    <t>BY WHOM</t>
  </si>
  <si>
    <t>1</t>
  </si>
  <si>
    <t>Config</t>
  </si>
  <si>
    <t>Set company name, FY, currency, variance threshold. FY27 Budget targets from Budget_AOP_FY27_UC (WB1).</t>
  </si>
  <si>
    <t>CFO / Admin</t>
  </si>
  <si>
    <t>2</t>
  </si>
  <si>
    <t>Initiative Register</t>
  </si>
  <si>
    <t>Functional heads enter their own initiatives. Blank by design. Must cover the EBITDA gap identified in AOP_ReconciliationBridge_FY2627 (WB5).</t>
  </si>
  <si>
    <t>Functional Heads</t>
  </si>
  <si>
    <t>3</t>
  </si>
  <si>
    <t>Monthly Plan</t>
  </si>
  <si>
    <t>For each initiative, mark months Active (1) or Inactive (0). Timeline must align with Grey-Zone resource deployment in AOP_AnalyticsEngine_FY2627 (WB2).</t>
  </si>
  <si>
    <t>Initiative Owner</t>
  </si>
  <si>
    <t>4</t>
  </si>
  <si>
    <t>Cost Plan</t>
  </si>
  <si>
    <t>Enter budgeted cost (Rs Lakhs) per initiative per month. Totals must reconcile with WB5 Cost_Recon_Summary.</t>
  </si>
  <si>
    <t>Finance / Owner</t>
  </si>
  <si>
    <t>5</t>
  </si>
  <si>
    <t>Revenue Impact</t>
  </si>
  <si>
    <t>Enter expected revenue uplift per initiative per month. Totals must reconcile with WB5 Revenue_Recon.</t>
  </si>
  <si>
    <t>6</t>
  </si>
  <si>
    <t>Monthly Actuals</t>
  </si>
  <si>
    <t>Section A = Actual Revenue Realised | Section B = Actual Cost Incurred. Enter after each month close.</t>
  </si>
  <si>
    <t>Finance</t>
  </si>
  <si>
    <t>7</t>
  </si>
  <si>
    <t>Variance Analysis</t>
  </si>
  <si>
    <t>Auto-calculated. RED = exception over threshold. Review and escalate per governance protocol.</t>
  </si>
  <si>
    <t>CFO</t>
  </si>
  <si>
    <t>8</t>
  </si>
  <si>
    <t>KPI Tracker</t>
  </si>
  <si>
    <t>Track 25+ operational KPIs vs target monthly. Aligned with MPL dept P&amp;L (WB4 / Layer 4).</t>
  </si>
  <si>
    <t>Operations / Finance</t>
  </si>
  <si>
    <t>9</t>
  </si>
  <si>
    <t>Dashboard</t>
  </si>
  <si>
    <t>Executive dashboard — scorecards, financial summary, monthly trend, exception log. Board-ready.</t>
  </si>
  <si>
    <t>CFO / Board</t>
  </si>
  <si>
    <t>10</t>
  </si>
  <si>
    <t>Initiative Detail Card</t>
  </si>
  <si>
    <t>Mini business case + Progress Card per initiative. Row # selector loads live planned vs actual data.</t>
  </si>
  <si>
    <t>All Initiative Owners</t>
  </si>
  <si>
    <t>COLOUR CODING LEGEND</t>
  </si>
  <si>
    <t>BLUE TEXT = Input cells — fill these in</t>
  </si>
  <si>
    <t>BLACK TEXT = Formula cells — do not overwrite</t>
  </si>
  <si>
    <t>GREEN TEXT = Values linked from other sheets</t>
  </si>
  <si>
    <t>RED BACKGROUND = Exception / adverse variance over threshold</t>
  </si>
  <si>
    <t>YELLOW BACKGROUND = Input required / needs attention</t>
  </si>
  <si>
    <t>WORKBOOK CONFIGURATION</t>
  </si>
  <si>
    <t>Parameter</t>
  </si>
  <si>
    <t>Value</t>
  </si>
  <si>
    <t>Notes</t>
  </si>
  <si>
    <t>Company Name</t>
  </si>
  <si>
    <t>VPS Lakeshore</t>
  </si>
  <si>
    <t>Enter organisation name</t>
  </si>
  <si>
    <t>Financial Year</t>
  </si>
  <si>
    <t>FY 2026-27</t>
  </si>
  <si>
    <t>e.g. FY 2026-27</t>
  </si>
  <si>
    <t>Currency</t>
  </si>
  <si>
    <t>INR</t>
  </si>
  <si>
    <t>INR / USD / AED etc.</t>
  </si>
  <si>
    <t>Currency Unit</t>
  </si>
  <si>
    <t>Lakhs</t>
  </si>
  <si>
    <t>Lakhs / Crores / Thousands</t>
  </si>
  <si>
    <t>Variance Alert Threshold (%)</t>
  </si>
  <si>
    <t>% over budget that triggers RED exception flag</t>
  </si>
  <si>
    <t>AOP Prepared By</t>
  </si>
  <si>
    <t>AOP Approved By</t>
  </si>
  <si>
    <t>Date of Preparation</t>
  </si>
  <si>
    <t>dd-mmm-yyyy</t>
  </si>
  <si>
    <t>FUNCTIONAL DEPARTMENTS</t>
  </si>
  <si>
    <t>Operations</t>
  </si>
  <si>
    <t>HR &amp; Admin</t>
  </si>
  <si>
    <t>IT / Systems</t>
  </si>
  <si>
    <t>Business Development</t>
  </si>
  <si>
    <t>Marketing</t>
  </si>
  <si>
    <t>Clinical Services</t>
  </si>
  <si>
    <t>Supply Chain / Purchase</t>
  </si>
  <si>
    <t>Quality &amp; Compliance</t>
  </si>
  <si>
    <t>AOP INITIATIVE REGISTER — FY 2026-27</t>
  </si>
  <si>
    <t>IDENTIFICATION</t>
  </si>
  <si>
    <t>DESCRIPTION</t>
  </si>
  <si>
    <t>OWNERSHIP</t>
  </si>
  <si>
    <t>COST</t>
  </si>
  <si>
    <t>SUCCESS CRITERIA</t>
  </si>
  <si>
    <t>FINANCIAL IMPACT</t>
  </si>
  <si>
    <t>STATUS</t>
  </si>
  <si>
    <t>REMARKS</t>
  </si>
  <si>
    <t>Function / Dept</t>
  </si>
  <si>
    <t>Description / Objective</t>
  </si>
  <si>
    <t>Designation</t>
  </si>
  <si>
    <t>Duration (Mths)</t>
  </si>
  <si>
    <t>Cost Type</t>
  </si>
  <si>
    <t>Est. Cost (Rs Lkh)</t>
  </si>
  <si>
    <t>KRA</t>
  </si>
  <si>
    <t>KPI / Metric</t>
  </si>
  <si>
    <t>Est. Revenue Impact (Rs Lkh)</t>
  </si>
  <si>
    <t>Benefit Month</t>
  </si>
  <si>
    <t>Remarks / Dependencies</t>
  </si>
  <si>
    <t>Campaign- Patient experience improvement</t>
  </si>
  <si>
    <t>To enhance overall patient satisfaction by collecting structured feedback, identifying service gaps, and implementing improvement initiatives across departments.</t>
  </si>
  <si>
    <t>Marketing Head</t>
  </si>
  <si>
    <t>Manager – Marketing</t>
  </si>
  <si>
    <t>Purchase Manager</t>
  </si>
  <si>
    <t>Manager – Supply Chain</t>
  </si>
  <si>
    <t>Geriatric ward</t>
  </si>
  <si>
    <t>To establish and operationalize a dedicated geriatric care unit aimed at improving clinical outcomes, patient comfort, and specialized services for elderly patients.</t>
  </si>
  <si>
    <t>Admin Head</t>
  </si>
  <si>
    <t>Manager – HR &amp; Administration</t>
  </si>
  <si>
    <t>Appointment of Specialized Doctors and development of existing department</t>
  </si>
  <si>
    <t>To strengthen clinical capabilities by onboarding specialized doctors and enhancing existing departments to improve service quality and increase patient inflow.</t>
  </si>
  <si>
    <t>Medical Director</t>
  </si>
  <si>
    <t>Head – Clinical Services</t>
  </si>
  <si>
    <t>Patient companion</t>
  </si>
  <si>
    <t>To enhance patient experience and continuity of care by providing dedicated patient companions to assist throughout the hospital journey, including admission, in-hospital support, discharge coordination, and periodic follow-up, thereby improving patient satisfaction and retention.</t>
  </si>
  <si>
    <t>HR Head</t>
  </si>
  <si>
    <t>Manager</t>
  </si>
  <si>
    <t xml:space="preserve">Newborn Care Enhancement </t>
  </si>
  <si>
    <t>To enhance maternal and neonatal care services by providing comprehensive post-delivery support, including newborn care, mother care, lactation guidance, and structured follow-up programs, thereby improving clinical outcomes and patient satisfaction.</t>
  </si>
  <si>
    <t>Operations Head</t>
  </si>
  <si>
    <t>Manager – Operations / Head – Nursing</t>
  </si>
  <si>
    <t>Digital Patient Acquisition Funnel</t>
  </si>
  <si>
    <t>To strengthen digital patient acquisition by leveraging teleconsultation, digital marketing channels, and conversion optimization strategies to increase OP footfall and IP admissions.</t>
  </si>
  <si>
    <t>Business Development Head</t>
  </si>
  <si>
    <t>Manager – Business Development</t>
  </si>
  <si>
    <t>Development of KPI for Doctors</t>
  </si>
  <si>
    <t>To establish a structured performance management framework for doctors by defining key performance indicators (KPIs) aligned with revenue, clinical outcomes, and patient engagement.</t>
  </si>
  <si>
    <t>Manager – HR</t>
  </si>
  <si>
    <t>Daycare and Minimaly Invasive Shift</t>
  </si>
  <si>
    <t>To improve operational efficiency and reduce average length of stay (ALOS) by promoting daycare procedures and minimally invasive surgical techniques.</t>
  </si>
  <si>
    <t>Manager – Operations</t>
  </si>
  <si>
    <t>Consumables standardization model</t>
  </si>
  <si>
    <t>To optimize cost efficiency by standardizing consumable usage through procedure-wise bundling and reducing wastage across departments.</t>
  </si>
  <si>
    <t>Purchase Head</t>
  </si>
  <si>
    <t>Collaboration with other Hospitals</t>
  </si>
  <si>
    <t>To expand patient inflow and service capabilities through strategic partnerships and referral networks with other hospitals and specialty centers.</t>
  </si>
  <si>
    <t>ANNUAL RATE REVISION POLICY</t>
  </si>
  <si>
    <t>Institutionalise a pricing committee meeting every April. Revise all IP rates (room, procedures, OT charges, nursing, clinical charges) by CPI+2% for cash patients. Simultaneously renegotiate TPA/insurance tariffs annually. Prevents multi-year price stagnation — the single biggest structural margin leak in private hospitals.</t>
  </si>
  <si>
    <t>Finance Head</t>
  </si>
  <si>
    <t>CFO + CEO</t>
  </si>
  <si>
    <t>High</t>
  </si>
  <si>
    <t>Revenue impact starts from May 2026 onwards- Only the annual impact shown.</t>
  </si>
  <si>
    <t>PROCEDURE CONTRIBUTION AUDIT AND REPRICING</t>
  </si>
  <si>
    <t>Cost out the top 50 procedures by revenue value. For 26% EBITDA, procedure-level contribution must average 58%. Identify all procedures where contribution is below 50%. Revise cash rates. Flag TPA tariff renegotiation list separately.</t>
  </si>
  <si>
    <t>CFO + Medical Director</t>
  </si>
  <si>
    <t>Medium</t>
  </si>
  <si>
    <t>INSURANCE CHARGE CAPTURE — BILL WHAT IS COVERED</t>
  </si>
  <si>
    <t>Audit current insurance bills against TPA tariff schedules. Multiple line items (nursing charges, monitoring, clinical charges, physiotherapy, ICU-specific charges) are covered under TPA tariffs but not systematically raised in bills. Fix charge master. Immediate revenue recovery with no new service needed.</t>
  </si>
  <si>
    <t>Accounts Head</t>
  </si>
  <si>
    <t>Billing Head</t>
  </si>
  <si>
    <t xml:space="preserve">Detailes pending </t>
  </si>
  <si>
    <t>SATELLITE CLINIC NETWORK — SURGEON-LED OFF-CAMPUS OPDs</t>
  </si>
  <si>
    <t>Deploy 6–8 surgeons to run weekly OPD clinics in suburban and district locations (Aluva, Angamaly, Muvattupuzha, Thrippunithura, Kakkanad, Thrissur). Hospital provides space, admin, and branding. Surgeon does one day per week off-campus. Consults convert to admissions at main campus.</t>
  </si>
  <si>
    <t>COO</t>
  </si>
  <si>
    <t>CORPORATE HEALTH PROGRAMME</t>
  </si>
  <si>
    <t>Approach top 50 corporates in Kochi (Infopark, Smartcity, BPCL, Cochin Port, FACT, Kochi Metro, KSEB, major hotel chains) for tiered employee health packages: annual health check + OPD benefit + preferential IP rates. Assign dedicated corporate relationship managers. Volume is captive and predictable.</t>
  </si>
  <si>
    <t>List of corporate received, grouping has to be done</t>
  </si>
  <si>
    <t>RESIDENTIAL COLONY AND COMMUNITY HEALTH PROGRAMMES</t>
  </si>
  <si>
    <t>Partner with major gated communities and apartment complexes in Kochi (Sobha, Prestige, Purva in Kakkanad, Edapally, Thrippunithura) for on-site health camps, resident doctor visits, and emergency response agreements. Low acquisition cost. Drives OPD footfall and diagnostics.</t>
  </si>
  <si>
    <t>General measure already covered in campaign programme</t>
  </si>
  <si>
    <t>INTERNATIONAL MEDICAL VALUE TOURISM — GULF, MALDIVES, BANGLADESH</t>
  </si>
  <si>
    <t>Kochi airport has direct flights to 12+ Middle East cities. Lakeshore is already on the Kerala Medical Value Travel Society registry and has multilingual (Arabic, Hindi, English, Malayalam) staff and international patient services. Formalise MVT as a growth vertical: empanel with aggregators, assign dedicated MVT coordinator, develop Arabic-language digital content.</t>
  </si>
  <si>
    <t>Strategy Head</t>
  </si>
  <si>
    <t>STRUCTURED REFERRAL DOCTOR PROGRAMME</t>
  </si>
  <si>
    <t>Map all referring doctors within 50km by specialty and volume. Classify as A/B/C tiers. Assign BD field executives to A-tier (top 100 referrers) with monthly visit cadence. Implement 24-hour discharge summary SOP as a non-negotiable feedback loop for referrers. Track referral volume monthly by doctor.</t>
  </si>
  <si>
    <t>CME AND CLINICAL CONNECT PROGRAMME</t>
  </si>
  <si>
    <t>Run monthly CMEs for referring doctors — specialty-specific, with Lakeshore faculty. Rotate across suburban and district locations (Thrissur, Kottayam, Alappuzha, Ernakulam suburbs). Build a registered community of 500+ referring doctors. CMEs generate clinical credibility and direct referral uplift.</t>
  </si>
  <si>
    <t>CME has to be conducted</t>
  </si>
  <si>
    <t>GOVERNMENT SCHEME EMPANELMENT OPTIMISATION</t>
  </si>
  <si>
    <t>Review PMJAY, KASP, CGHS, ECHS, and ESI empanelments. Ensure all eligible procedures — including complex ones like transplant components, cardiac interventions, cancer treatments — are listed. Renegotiate rates for high-volume procedures. At current occupancy levels, scheme patients fill beds that would otherwise be vacant.</t>
  </si>
  <si>
    <t>TRANSPLANT CENTRE — VOLUME GROWTH AND DONOR PROGRAMME ACTIVATION</t>
  </si>
  <si>
    <t>Multi-organ transplant (liver, kidney, pancreas, combined) is Lakeshore's signature clinical programme. Levers: increase deceased donor programme activity, expand living donor evaluation capacity, grow pre- and post-transplant outpatient care, develop dedicated transplant coordinator network.</t>
  </si>
  <si>
    <t>COO + CEO</t>
  </si>
  <si>
    <t>CARDIAC SCIENCES — STRUCTURAL HEART AND ELECTROPHYSIOLOGY VOLUME BUILD</t>
  </si>
  <si>
    <t>Lakeshore is recognised for comprehensive cardiac care including interventional cardiology, paediatric cardiology, electrophysiology, structural heart disease, CABG, and LVAD implantation. Growth levers: increase EP lab utilisation, develop structural heart disease programme (TAVR, MitraClip), grow paediatric cardiac surgical volume.</t>
  </si>
  <si>
    <t>ONCOLOGY — EARLY DETECTION, SATELLITE CLINICS AND SURGICAL VOLUME GROWTH</t>
  </si>
  <si>
    <t>Build a hub-and-spoke oncology model. Hub: Lakeshore for radiation oncology and complex cancer surgery. Spokes: satellite oncology clinics embedded within partner general hospitals and diagnostic centres across Kerala. Spokes drive early detection (oral, breast, cervical, colorectal screening) and funnel diagnosed cases to Lakeshore for surgery and radiation. Chemotherapy delivery at partner sites where appropriate.</t>
  </si>
  <si>
    <t>ORTHOPAEDICS AND JOINT REPLACEMENT — VOLUME AND PACKAGE PROGRAMME</t>
  </si>
  <si>
    <t>Lakeshore has India's first digitally integrated orthopaedic OT with guided airflow. Performed first bilateral total hip replacement using ceramic head with metal liner in Asia. Growth levers: fixed-price joint replacement packages, sports medicine programme, fracture care and trauma protocols, robotic-assisted joint replacement.</t>
  </si>
  <si>
    <t>LAKESHORE HEART RUN — ANNUAL CARDIAC HEALTH EVENT</t>
  </si>
  <si>
    <t>Organise annual half-marathon or 10K run branded around cardiac health awareness. 3,000–5,000 participants. Entry fee plus sponsorship covers cost. Generates: brand visibility, cardiac health screenings at event (ECG, BP, lipid), OPD follow-ups, cardiologist consultations, and media coverage.</t>
  </si>
  <si>
    <t>Opex - One Time</t>
  </si>
  <si>
    <t>PREVENTIVE HEALTH + LIVER SCREENING CAMPAIGN</t>
  </si>
  <si>
    <t>DIGITAL CONTENT PLATFORM — MALAYALAM AND ENGLISH</t>
  </si>
  <si>
    <t>Build a sustained health content library across specialties: YouTube, Facebook, Instagram, hospital website. Procedure explainers, doctor Q&amp;As, patient testimonials, disease awareness. Prioritise Lakeshore's clinical differentiators: transplant journeys, cardiac interventions, robotic surgery, cancer care. Malayalam is significantly underserved on health content platforms.</t>
  </si>
  <si>
    <t>COMMUNITY HEALTH CAMPS — SCHOOLS, PLACES OF WORSHIP, RESIDENTIAL AREAS</t>
  </si>
  <si>
    <t>Run monthly health awareness programmes in schools (adolescent health, vision, nutrition), temples and mosques (senior citizen camps during festivals, post-Ramadan diabetes and cardiac screening), and residential complexes. Low cost. High community trust. Converts to OPD footfall.</t>
  </si>
  <si>
    <t>DOCTOR ONLINE REPUTATION AND DIGITAL DISCOVERABILITY</t>
  </si>
  <si>
    <t>Ensure all senior consultants have optimised Google Business profiles, Practo and Doctorundi listings, and detailed hospital website profiles with specialisation, publications, clinical firsts, and patient reviews. Over 60% of new OP patients in urban Kerala search online before choosing a doctor.</t>
  </si>
  <si>
    <t>TPA AND INSURER TARIFF RENEGOTIATION</t>
  </si>
  <si>
    <t>Formal annual tariff revision with all empanelled TPAs and insurers. Most hospital-insurer agreements have not been revised in 2–3 years while costs have risen 12–15%. Engage each TPA separately. Leverage volume and case complexity data. Target: 8–12% rate improvement.</t>
  </si>
  <si>
    <t>FINANCIAL COUNSELLING AND PRE-AUTHORISATION AT SURGICAL OPD</t>
  </si>
  <si>
    <t>Deploy trained financial counsellors at surgical OPD (orthopaedics, cardiac, neurosurgery, oncology, transplant). Role: explain package costs, initiate insurance pre-auth on day of consultation, arrange EMI/loan tie-ups for self-pay patients. Converts deferred decisions to same-week admissions.</t>
  </si>
  <si>
    <t>BUILD A SCALED BD ORGANISATION</t>
  </si>
  <si>
    <t>Expand from the current referral-focused BD team to a 27-person full-spectrum function covering: referral development across 3 zones (North, Central, South Kerala); institutional and partnerships (corporate accounts, MVT, satellite clinics, CME); and communications and branding (Arogyam digital platform, PR). Structured under BD Head (Rosh Mohan) reporting to CEO.</t>
  </si>
  <si>
    <t>TOTALS</t>
  </si>
  <si>
    <t>MONTHLY EXECUTION PLAN — Activity Grid (1=Active, 0=Inactive)</t>
  </si>
  <si>
    <t>Enter 1 in months when the initiative is active. Linked from Initiative Register.</t>
  </si>
  <si>
    <t>Active Months</t>
  </si>
  <si>
    <t>COST PLAN — FY 2026-27  |  Monthly Budgeted Cost per Initiative (Rs Lakhs)</t>
  </si>
  <si>
    <t>Annual Total</t>
  </si>
  <si>
    <t>TOTAL</t>
  </si>
  <si>
    <t>REVENUE IMPACT PLAN — FY 2026-27  |  Expected Revenue Uplift per Initiative (Rs Lakhs)</t>
  </si>
  <si>
    <t>MONTHLY ACTUALS — FY 2026-27  |  Enter after each month close (Rs Lakhs)</t>
  </si>
  <si>
    <t>Section A = Actual Revenue Realised  |  Section B = Actual Cost Incurred</t>
  </si>
  <si>
    <t>SECTION A — ACTUAL REVENUE REALISED</t>
  </si>
  <si>
    <t>YTD Total</t>
  </si>
  <si>
    <t>SECTION B — ACTUAL COST INCURRED</t>
  </si>
  <si>
    <t>VARIANCE ANALYSIS — FY 2026-27  |  Budget vs Actual  |  RED = Exception over threshold</t>
  </si>
  <si>
    <t>COST VARIANCE (Quarterly + Annual)</t>
  </si>
  <si>
    <t>Q1 Bdg</t>
  </si>
  <si>
    <t>Q1 Act</t>
  </si>
  <si>
    <t>Q1 Var</t>
  </si>
  <si>
    <t>Q1 Var%</t>
  </si>
  <si>
    <t>Q2 Bdg</t>
  </si>
  <si>
    <t>Q2 Act</t>
  </si>
  <si>
    <t>Q2 Var</t>
  </si>
  <si>
    <t>Q2 Var%</t>
  </si>
  <si>
    <t>Q3 Bdg</t>
  </si>
  <si>
    <t>Q3 Act</t>
  </si>
  <si>
    <t>Q3 Var</t>
  </si>
  <si>
    <t>Q3 Var%</t>
  </si>
  <si>
    <t>Q4 Bdg</t>
  </si>
  <si>
    <t>Q4 Act</t>
  </si>
  <si>
    <t>Q4 Var</t>
  </si>
  <si>
    <t>Q4 Var%</t>
  </si>
  <si>
    <t>Ann Bdg</t>
  </si>
  <si>
    <t>Ann Act</t>
  </si>
  <si>
    <t>Ann Var</t>
  </si>
  <si>
    <t>Ann Var%</t>
  </si>
  <si>
    <t>Exception</t>
  </si>
  <si>
    <t>KPI TRACKER — FY 2026-27  |  Monthly Operational &amp; Financial KPIs vs Target</t>
  </si>
  <si>
    <t>Enter Annual Target in col D. Enter monthly Actuals in cols F-Q. Benchmark in col E.</t>
  </si>
  <si>
    <t>Unit</t>
  </si>
  <si>
    <t>Annual Target</t>
  </si>
  <si>
    <t>Benchmark</t>
  </si>
  <si>
    <t>YTD Avg</t>
  </si>
  <si>
    <t xml:space="preserve">  REVENUE &amp; VOLUME</t>
  </si>
  <si>
    <t>Total Revenue (Rs Lakhs)</t>
  </si>
  <si>
    <t>Rs Lkh</t>
  </si>
  <si>
    <t>OP Footfall</t>
  </si>
  <si>
    <t>Nos</t>
  </si>
  <si>
    <t>IP Admissions</t>
  </si>
  <si>
    <t>ARPOB (Rs)</t>
  </si>
  <si>
    <t>Rs</t>
  </si>
  <si>
    <t>ALOS (Days)</t>
  </si>
  <si>
    <t>Days</t>
  </si>
  <si>
    <t>Bed Occupancy %</t>
  </si>
  <si>
    <t>%</t>
  </si>
  <si>
    <t>OT Utilisation %</t>
  </si>
  <si>
    <t>Surgery Volume</t>
  </si>
  <si>
    <t xml:space="preserve">  COST &amp; EFFICIENCY</t>
  </si>
  <si>
    <t>Employee Cost % of Revenue</t>
  </si>
  <si>
    <t>Drug &amp; Consumable % of Revenue</t>
  </si>
  <si>
    <t>Power Cost (Rs Lakhs)</t>
  </si>
  <si>
    <t>Revenue per Employee (Rs Lkh)</t>
  </si>
  <si>
    <t>Cost per Bed per Day (Rs)</t>
  </si>
  <si>
    <t xml:space="preserve">  FINANCIAL PERFORMANCE</t>
  </si>
  <si>
    <t>EBITDA (Rs Lakhs)</t>
  </si>
  <si>
    <t>EBITDA Margin %</t>
  </si>
  <si>
    <t>Gross Margin %</t>
  </si>
  <si>
    <t>Collection Efficiency %</t>
  </si>
  <si>
    <t>Debtors Days</t>
  </si>
  <si>
    <t xml:space="preserve">  QUALITY &amp; PATIENT</t>
  </si>
  <si>
    <t>Patient Satisfaction Score</t>
  </si>
  <si>
    <t>Score/10</t>
  </si>
  <si>
    <t>Readmission Rate %</t>
  </si>
  <si>
    <t>Infection Rate %</t>
  </si>
  <si>
    <t xml:space="preserve">  CUSTOM KPIs</t>
  </si>
  <si>
    <t>MATERIALS / DRUG COST &amp; CONSUMABLES</t>
  </si>
  <si>
    <t>Replace branded drugs with equivalent generics/lower-cost brands ensuring same clinical outcome; focus on high-value molecules</t>
  </si>
  <si>
    <t>Medical Director + Pharmacy Head</t>
  </si>
  <si>
    <t>Pharmacy Head</t>
  </si>
  <si>
    <t>Negotiate higher discounts from manufacturers through volume commitment and MD-level engagement</t>
  </si>
  <si>
    <t>Purchase Head + MD</t>
  </si>
  <si>
    <t>Reduce distributor base and consolidate procurement to extract volume-linked discounts</t>
  </si>
  <si>
    <t>Implement competitive tendering and rate contracts for high-value consumables replacing spot purchase</t>
  </si>
  <si>
    <t>Purchase Head + Medical Director</t>
  </si>
  <si>
    <t>Standardise consumable usage across surgeons using procedure-based BOQs and preference cards</t>
  </si>
  <si>
    <t>Medical Director + OT Head</t>
  </si>
  <si>
    <t>OT Head</t>
  </si>
  <si>
    <t>Reduce inventory holding days and eliminate expiry-related write-offs through stock optimisation</t>
  </si>
  <si>
    <t>Pharmacy Head + Purchase</t>
  </si>
  <si>
    <t>Reduce linen processing cost and loss through outsourcing optimisation and tracking systems</t>
  </si>
  <si>
    <t>Housekeeping Head</t>
  </si>
  <si>
    <t>Shift non-critical AMC to third-party vendors and renegotiate OEM contracts for critical equipment</t>
  </si>
  <si>
    <t>Biomedical Head + Purchase</t>
  </si>
  <si>
    <t>Biomedical Head</t>
  </si>
  <si>
    <t>PAYROLL – NURSING OPTIMISATION</t>
  </si>
  <si>
    <t>Align nursing headcount to occupied bed norms through attrition and hiring freeze</t>
  </si>
  <si>
    <t>COO + Nursing Head</t>
  </si>
  <si>
    <t>Nursing Head</t>
  </si>
  <si>
    <t>PAYROLL – PHARMACY OPTIMISATION</t>
  </si>
  <si>
    <t>Reduce pharmacy headcount post barcode dispensing and unit-dose system implementation</t>
  </si>
  <si>
    <t>Pharmacy Head + IT</t>
  </si>
  <si>
    <t>PAYROLL – ADMIN (PCS) OPTIMISATION</t>
  </si>
  <si>
    <t>Eliminate manual documentation roles after full EMR implementation in IP wards</t>
  </si>
  <si>
    <t>COO + IT Head</t>
  </si>
  <si>
    <t>IT Head</t>
  </si>
  <si>
    <t>PAYROLL – LAB OPTIMISATION</t>
  </si>
  <si>
    <t>Reduce lab headcount via attrition and workflow consolidation without impacting TAT</t>
  </si>
  <si>
    <t>Lab Head + COO</t>
  </si>
  <si>
    <t>Lab Head</t>
  </si>
  <si>
    <t>PAYROLL – OT COST CONTROL</t>
  </si>
  <si>
    <t>Eliminate structural overtime through roster optimisation and absenteeism control</t>
  </si>
  <si>
    <t>HR Head + COO</t>
  </si>
  <si>
    <t>PAYROLL – OUTSOURCED CONTRACT OPTIMISATION</t>
  </si>
  <si>
    <t>Admin / HR</t>
  </si>
  <si>
    <t>Rebid outsourced staffing contracts and rationalise roles for cost efficiency</t>
  </si>
  <si>
    <t>Admin + HR</t>
  </si>
  <si>
    <t>OVERHEAD – ENERGY COST OPTIMISATION</t>
  </si>
  <si>
    <t>Engineering</t>
  </si>
  <si>
    <t>Reduce electricity and DG fuel consumption through scheduling and optimisation</t>
  </si>
  <si>
    <t>Engineering Head</t>
  </si>
  <si>
    <t>OVERHEAD – F&amp;B COST OPTIMISATION</t>
  </si>
  <si>
    <t>F&amp;B / Admin</t>
  </si>
  <si>
    <t>Reduce cost per patient meal and food wastage via menu standardisation and controls</t>
  </si>
  <si>
    <t>F&amp;B Head + Admin</t>
  </si>
  <si>
    <t>F&amp;B Head</t>
  </si>
  <si>
    <t>OVERHEAD – CLAIM DENIAL REDUCTION</t>
  </si>
  <si>
    <t>Finance / Insurance</t>
  </si>
  <si>
    <t>Reduce insurance claim denials through coding accuracy and pre-auth discipline</t>
  </si>
  <si>
    <t>Finance + Insurance Team</t>
  </si>
  <si>
    <t>OVERHEAD – REVENUE LEAKAGE RECOVERY</t>
  </si>
  <si>
    <t>Finance / Billing</t>
  </si>
  <si>
    <t>Recover revenue loss due to incomplete charge capture and billing gaps</t>
  </si>
  <si>
    <t>Finance + Billing Head</t>
  </si>
  <si>
    <t>WORKING CAPITAL – CREDITOR DAYS OPTIMISATION</t>
  </si>
  <si>
    <t>Extend creditor days to reduce interest cost and improve cash flow</t>
  </si>
  <si>
    <t>PROFESSIONAL FEE RATIONALISATION</t>
  </si>
  <si>
    <t>Finance / Admin</t>
  </si>
  <si>
    <t>Eliminate redundant retainers and renegotiate professional and subscription contracts</t>
  </si>
  <si>
    <t>CFO + COO</t>
  </si>
  <si>
    <t xml:space="preserve"> FY 2026-27  |  Auto-linked from all sheets  |  Refresh after actuals entry each month</t>
  </si>
  <si>
    <t xml:space="preserve">AOP EXECUTION WORKBOOK — FY 2026-27  |  VPS Lakeshore Hospital </t>
  </si>
  <si>
    <t>Promote preventive healthcare during World Health Day through full body checkups, LFT packages, and fatty liver screening to increase early diagnosis and package conversions.April 19th Liver Day</t>
  </si>
  <si>
    <t>Opex - Recurring Monthly</t>
  </si>
  <si>
    <t>final report to receive</t>
  </si>
  <si>
    <t>List of surgical doctors prepared, management to speak to these doctors</t>
  </si>
  <si>
    <t>Data collected from website</t>
  </si>
  <si>
    <t>No direct financial implication points</t>
  </si>
  <si>
    <t>Set up a meeting with Healtheease a Health Startup (SVP suggestion)</t>
  </si>
  <si>
    <t>Set up a meeting with Kancare a senior care startup (SVP suggestion)</t>
  </si>
  <si>
    <t>get the list</t>
  </si>
  <si>
    <t>social media capacity building and give a startegy</t>
  </si>
  <si>
    <t>As informed by the croproate manager, many are at cash rate itself.</t>
  </si>
  <si>
    <t>How  many additional finance councellors would be required?</t>
  </si>
  <si>
    <t>Currently we have financial counsellors who look into all IP</t>
  </si>
  <si>
    <t>TPA agreements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</si>
</sst>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00\)"/>
    <numFmt numFmtId="165" formatCode="0.0%;\(0.0%\)"/>
    <numFmt numFmtId="166" formatCode="#,##0.00;\(#,##0.00\);\-"/>
  </numFmts>
  <fonts count="33" x14ac:knownFonts="1">
    <font>
      <sz val="11"/>
      <color theme="1"/>
      <name val="Calibri"/>
      <scheme val="minor"/>
    </font>
    <font>
      <b/>
      <sz val="15"/>
      <color rgb="FFFFFFFF"/>
      <name val="Arial"/>
      <family val="2"/>
    </font>
    <font>
      <sz val="11"/>
      <name val="Calibri"/>
      <family val="2"/>
    </font>
    <font>
      <sz val="10"/>
      <color rgb="FFFFFFFF"/>
      <name val="Arial"/>
      <family val="2"/>
    </font>
    <font>
      <b/>
      <sz val="10"/>
      <color rgb="FFFFFFFF"/>
      <name val="Arial"/>
      <family val="2"/>
    </font>
    <font>
      <b/>
      <sz val="9"/>
      <color rgb="FFFFFFFF"/>
      <name val="Arial"/>
      <family val="2"/>
    </font>
    <font>
      <b/>
      <sz val="26"/>
      <color rgb="FFED7D31"/>
      <name val="Arial"/>
      <family val="2"/>
    </font>
    <font>
      <b/>
      <sz val="26"/>
      <color rgb="FF70AD47"/>
      <name val="Arial"/>
      <family val="2"/>
    </font>
    <font>
      <b/>
      <sz val="26"/>
      <color rgb="FF4472C4"/>
      <name val="Arial"/>
      <family val="2"/>
    </font>
    <font>
      <b/>
      <sz val="26"/>
      <color rgb="FFFF0000"/>
      <name val="Arial"/>
      <family val="2"/>
    </font>
    <font>
      <b/>
      <sz val="26"/>
      <color rgb="FFFFC000"/>
      <name val="Arial"/>
      <family val="2"/>
    </font>
    <font>
      <b/>
      <sz val="26"/>
      <color rgb="FF595959"/>
      <name val="Arial"/>
      <family val="2"/>
    </font>
    <font>
      <sz val="11"/>
      <color theme="1"/>
      <name val="Calibri"/>
      <family val="2"/>
    </font>
    <font>
      <sz val="9"/>
      <color rgb="FF000000"/>
      <name val="Arial"/>
      <family val="2"/>
    </font>
    <font>
      <sz val="9"/>
      <color rgb="FF008000"/>
      <name val="Arial"/>
      <family val="2"/>
    </font>
    <font>
      <b/>
      <sz val="9"/>
      <color theme="1"/>
      <name val="Arial"/>
      <family val="2"/>
    </font>
    <font>
      <b/>
      <sz val="9"/>
      <color rgb="FF1F3864"/>
      <name val="Arial"/>
      <family val="2"/>
    </font>
    <font>
      <b/>
      <sz val="9"/>
      <color rgb="FF008000"/>
      <name val="Arial"/>
      <family val="2"/>
    </font>
    <font>
      <b/>
      <sz val="9"/>
      <color rgb="FF000000"/>
      <name val="Arial"/>
      <family val="2"/>
    </font>
    <font>
      <sz val="9"/>
      <color rgb="FF595959"/>
      <name val="Arial"/>
      <family val="2"/>
    </font>
    <font>
      <b/>
      <sz val="12"/>
      <color rgb="FFFFFFFF"/>
      <name val="Arial"/>
      <family val="2"/>
    </font>
    <font>
      <sz val="9"/>
      <color rgb="FF1F3864"/>
      <name val="Arial"/>
      <family val="2"/>
    </font>
    <font>
      <b/>
      <sz val="9"/>
      <color rgb="FF595959"/>
      <name val="Arial"/>
      <family val="2"/>
    </font>
    <font>
      <sz val="9"/>
      <color rgb="FF0000FF"/>
      <name val="Arial"/>
      <family val="2"/>
    </font>
    <font>
      <b/>
      <sz val="14"/>
      <color rgb="FFFFFFFF"/>
      <name val="Arial"/>
      <family val="2"/>
    </font>
    <font>
      <b/>
      <sz val="11"/>
      <color rgb="FFFFFFFF"/>
      <name val="Arial"/>
      <family val="2"/>
    </font>
    <font>
      <b/>
      <sz val="13"/>
      <color rgb="FFFFFFFF"/>
      <name val="Arial"/>
      <family val="2"/>
    </font>
    <font>
      <b/>
      <sz val="9"/>
      <color rgb="FF0000FF"/>
      <name val="Arial"/>
      <family val="2"/>
    </font>
    <font>
      <sz val="10"/>
      <color rgb="FF1F3864"/>
      <name val="Arial"/>
      <family val="2"/>
    </font>
    <font>
      <i/>
      <sz val="9"/>
      <color rgb="FF595959"/>
      <name val="Arial"/>
      <family val="2"/>
    </font>
    <font>
      <sz val="9"/>
      <name val="Arial"/>
      <family val="2"/>
    </font>
    <font>
      <sz val="11"/>
      <name val="Calibri"/>
      <family val="2"/>
      <scheme val="minor"/>
    </font>
    <font>
      <sz val="11"/>
      <color theme="1"/>
      <name val="Calibri"/>
      <family val="2"/>
      <scheme val="minor"/>
    </font>
  </fonts>
  <fills count="34">
    <fill>
      <patternFill patternType="none"/>
    </fill>
    <fill>
      <patternFill patternType="gray125"/>
    </fill>
    <fill>
      <patternFill patternType="solid">
        <fgColor rgb="FF1F3864"/>
        <bgColor rgb="FF1F3864"/>
      </patternFill>
    </fill>
    <fill>
      <patternFill patternType="solid">
        <fgColor rgb="FF2F5496"/>
        <bgColor rgb="FF2F5496"/>
      </patternFill>
    </fill>
    <fill>
      <patternFill patternType="solid">
        <fgColor rgb="FF4472C4"/>
        <bgColor rgb="FF4472C4"/>
      </patternFill>
    </fill>
    <fill>
      <patternFill patternType="solid">
        <fgColor rgb="FFED7D31"/>
        <bgColor rgb="FFED7D31"/>
      </patternFill>
    </fill>
    <fill>
      <patternFill patternType="solid">
        <fgColor rgb="FF70AD47"/>
        <bgColor rgb="FF70AD47"/>
      </patternFill>
    </fill>
    <fill>
      <patternFill patternType="solid">
        <fgColor rgb="FFFF0000"/>
        <bgColor rgb="FFFF0000"/>
      </patternFill>
    </fill>
    <fill>
      <patternFill patternType="solid">
        <fgColor rgb="FFFFC000"/>
        <bgColor rgb="FFFFC000"/>
      </patternFill>
    </fill>
    <fill>
      <patternFill patternType="solid">
        <fgColor rgb="FF595959"/>
        <bgColor rgb="FF595959"/>
      </patternFill>
    </fill>
    <fill>
      <patternFill patternType="solid">
        <fgColor rgb="FFF2F2F2"/>
        <bgColor rgb="FFF2F2F2"/>
      </patternFill>
    </fill>
    <fill>
      <patternFill patternType="solid">
        <fgColor rgb="FFE2EFDA"/>
        <bgColor rgb="FFE2EFDA"/>
      </patternFill>
    </fill>
    <fill>
      <patternFill patternType="solid">
        <fgColor rgb="FFDDEEFF"/>
        <bgColor rgb="FFDDEEFF"/>
      </patternFill>
    </fill>
    <fill>
      <patternFill patternType="solid">
        <fgColor rgb="FFFCE4D6"/>
        <bgColor rgb="FFFCE4D6"/>
      </patternFill>
    </fill>
    <fill>
      <patternFill patternType="solid">
        <fgColor rgb="FFFFFDE7"/>
        <bgColor rgb="FFFFFDE7"/>
      </patternFill>
    </fill>
    <fill>
      <patternFill patternType="solid">
        <fgColor rgb="FFFFFFFF"/>
        <bgColor rgb="FFFFFFFF"/>
      </patternFill>
    </fill>
    <fill>
      <patternFill patternType="solid">
        <fgColor rgb="FFBDD7EE"/>
        <bgColor rgb="FFBDD7EE"/>
      </patternFill>
    </fill>
    <fill>
      <patternFill patternType="solid">
        <fgColor rgb="FF2E7D32"/>
        <bgColor rgb="FF2E7D32"/>
      </patternFill>
    </fill>
    <fill>
      <patternFill patternType="solid">
        <fgColor rgb="FF1B5E20"/>
        <bgColor rgb="FF1B5E20"/>
      </patternFill>
    </fill>
    <fill>
      <patternFill patternType="solid">
        <fgColor rgb="FFBF360C"/>
        <bgColor rgb="FFBF360C"/>
      </patternFill>
    </fill>
    <fill>
      <patternFill patternType="solid">
        <fgColor rgb="FF8B0000"/>
        <bgColor rgb="FF8B0000"/>
      </patternFill>
    </fill>
    <fill>
      <patternFill patternType="solid">
        <fgColor rgb="FF0D47A1"/>
        <bgColor rgb="FF0D47A1"/>
      </patternFill>
    </fill>
    <fill>
      <patternFill patternType="solid">
        <fgColor rgb="FFC00000"/>
        <bgColor rgb="FFC00000"/>
      </patternFill>
    </fill>
    <fill>
      <patternFill patternType="solid">
        <fgColor rgb="FFFFD966"/>
        <bgColor rgb="FFFFD966"/>
      </patternFill>
    </fill>
    <fill>
      <patternFill patternType="solid">
        <fgColor rgb="FF0000FF"/>
        <bgColor rgb="FF0000FF"/>
      </patternFill>
    </fill>
    <fill>
      <patternFill patternType="solid">
        <fgColor rgb="FF000000"/>
        <bgColor rgb="FF000000"/>
      </patternFill>
    </fill>
    <fill>
      <patternFill patternType="solid">
        <fgColor rgb="FF008000"/>
        <bgColor rgb="FF008000"/>
      </patternFill>
    </fill>
    <fill>
      <patternFill patternType="solid">
        <fgColor rgb="FFFFFF00"/>
        <bgColor rgb="FFFFFFFF"/>
      </patternFill>
    </fill>
    <fill>
      <patternFill patternType="solid">
        <fgColor rgb="FFFFFF00"/>
        <bgColor rgb="FFF2F2F2"/>
      </patternFill>
    </fill>
    <fill>
      <patternFill patternType="solid">
        <fgColor rgb="FFFFFF00"/>
        <bgColor rgb="FFFFC000"/>
      </patternFill>
    </fill>
    <fill>
      <patternFill patternType="solid">
        <fgColor rgb="FFFF0000"/>
        <bgColor rgb="FFF2F2F2"/>
      </patternFill>
    </fill>
    <fill>
      <patternFill patternType="solid">
        <fgColor rgb="FFFF0000"/>
        <bgColor rgb="FFFFFFFF"/>
      </patternFill>
    </fill>
    <fill>
      <patternFill patternType="solid">
        <fgColor rgb="FFFF0000"/>
        <bgColor indexed="64"/>
      </patternFill>
    </fill>
    <fill>
      <patternFill patternType="solid">
        <fgColor rgb="FFFFFF00"/>
        <bgColor indexed="64"/>
      </patternFill>
    </fill>
  </fills>
  <borders count="3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medium">
        <color rgb="FFED7D31"/>
      </bottom>
      <diagonal/>
    </border>
    <border>
      <left/>
      <right/>
      <top style="thin">
        <color rgb="FF000000"/>
      </top>
      <bottom style="medium">
        <color rgb="FFED7D31"/>
      </bottom>
      <diagonal/>
    </border>
    <border>
      <left style="thin">
        <color rgb="FF000000"/>
      </left>
      <right/>
      <top style="thin">
        <color rgb="FF000000"/>
      </top>
      <bottom style="medium">
        <color rgb="FF70AD47"/>
      </bottom>
      <diagonal/>
    </border>
    <border>
      <left/>
      <right/>
      <top style="thin">
        <color rgb="FF000000"/>
      </top>
      <bottom style="medium">
        <color rgb="FF70AD47"/>
      </bottom>
      <diagonal/>
    </border>
    <border>
      <left style="thin">
        <color rgb="FF000000"/>
      </left>
      <right/>
      <top style="thin">
        <color rgb="FF000000"/>
      </top>
      <bottom style="medium">
        <color rgb="FF4472C4"/>
      </bottom>
      <diagonal/>
    </border>
    <border>
      <left/>
      <right/>
      <top style="thin">
        <color rgb="FF000000"/>
      </top>
      <bottom style="medium">
        <color rgb="FF4472C4"/>
      </bottom>
      <diagonal/>
    </border>
    <border>
      <left style="thin">
        <color rgb="FF000000"/>
      </left>
      <right/>
      <top style="thin">
        <color rgb="FF000000"/>
      </top>
      <bottom style="medium">
        <color rgb="FFFF0000"/>
      </bottom>
      <diagonal/>
    </border>
    <border>
      <left/>
      <right/>
      <top style="thin">
        <color rgb="FF000000"/>
      </top>
      <bottom style="medium">
        <color rgb="FFFF0000"/>
      </bottom>
      <diagonal/>
    </border>
    <border>
      <left style="thin">
        <color rgb="FF000000"/>
      </left>
      <right/>
      <top style="thin">
        <color rgb="FF000000"/>
      </top>
      <bottom style="medium">
        <color rgb="FFFFC000"/>
      </bottom>
      <diagonal/>
    </border>
    <border>
      <left/>
      <right/>
      <top style="thin">
        <color rgb="FF000000"/>
      </top>
      <bottom style="medium">
        <color rgb="FFFFC000"/>
      </bottom>
      <diagonal/>
    </border>
    <border>
      <left style="thin">
        <color rgb="FF000000"/>
      </left>
      <right/>
      <top style="thin">
        <color rgb="FF000000"/>
      </top>
      <bottom style="medium">
        <color rgb="FF595959"/>
      </bottom>
      <diagonal/>
    </border>
    <border>
      <left/>
      <right/>
      <top style="thin">
        <color rgb="FF000000"/>
      </top>
      <bottom style="medium">
        <color rgb="FF595959"/>
      </bottom>
      <diagonal/>
    </border>
    <border>
      <left style="thin">
        <color rgb="FFED7D31"/>
      </left>
      <right/>
      <top/>
      <bottom style="thin">
        <color rgb="FFED7D31"/>
      </bottom>
      <diagonal/>
    </border>
    <border>
      <left/>
      <right/>
      <top/>
      <bottom style="thin">
        <color rgb="FFED7D31"/>
      </bottom>
      <diagonal/>
    </border>
    <border>
      <left style="thin">
        <color rgb="FF70AD47"/>
      </left>
      <right/>
      <top/>
      <bottom style="thin">
        <color rgb="FF70AD47"/>
      </bottom>
      <diagonal/>
    </border>
    <border>
      <left/>
      <right/>
      <top/>
      <bottom style="thin">
        <color rgb="FF70AD47"/>
      </bottom>
      <diagonal/>
    </border>
    <border>
      <left style="thin">
        <color rgb="FF4472C4"/>
      </left>
      <right/>
      <top/>
      <bottom style="thin">
        <color rgb="FF4472C4"/>
      </bottom>
      <diagonal/>
    </border>
    <border>
      <left/>
      <right/>
      <top/>
      <bottom style="thin">
        <color rgb="FF4472C4"/>
      </bottom>
      <diagonal/>
    </border>
    <border>
      <left style="thin">
        <color rgb="FFFF0000"/>
      </left>
      <right/>
      <top/>
      <bottom style="thin">
        <color rgb="FFFF0000"/>
      </bottom>
      <diagonal/>
    </border>
    <border>
      <left/>
      <right/>
      <top/>
      <bottom style="thin">
        <color rgb="FFFF0000"/>
      </bottom>
      <diagonal/>
    </border>
    <border>
      <left style="thin">
        <color rgb="FFFFC000"/>
      </left>
      <right/>
      <top/>
      <bottom style="thin">
        <color rgb="FFFFC000"/>
      </bottom>
      <diagonal/>
    </border>
    <border>
      <left/>
      <right/>
      <top/>
      <bottom style="thin">
        <color rgb="FFFFC000"/>
      </bottom>
      <diagonal/>
    </border>
    <border>
      <left style="thin">
        <color rgb="FF595959"/>
      </left>
      <right/>
      <top/>
      <bottom style="thin">
        <color rgb="FF595959"/>
      </bottom>
      <diagonal/>
    </border>
    <border>
      <left/>
      <right/>
      <top/>
      <bottom style="thin">
        <color rgb="FF595959"/>
      </bottom>
      <diagonal/>
    </border>
    <border>
      <left style="thin">
        <color rgb="FF000000"/>
      </left>
      <right style="thin">
        <color rgb="FF000000"/>
      </right>
      <top style="thin">
        <color rgb="FF000000"/>
      </top>
      <bottom style="thin">
        <color rgb="FF000000"/>
      </bottom>
      <diagonal/>
    </border>
    <border>
      <left/>
      <right/>
      <top/>
      <bottom/>
      <diagonal/>
    </border>
  </borders>
  <cellStyleXfs count="2">
    <xf numFmtId="0" fontId="0" fillId="0" borderId="0"/>
    <xf numFmtId="43" fontId="32" fillId="0" borderId="0" applyFont="0" applyFill="0" applyBorder="0" applyAlignment="0" applyProtection="0"/>
  </cellStyleXfs>
  <cellXfs count="188">
    <xf numFmtId="0" fontId="0" fillId="0" borderId="0" xfId="0"/>
    <xf numFmtId="0" fontId="5" fillId="3" borderId="28" xfId="0" applyFont="1" applyFill="1" applyBorder="1" applyAlignment="1">
      <alignment horizontal="center" vertical="center" wrapText="1"/>
    </xf>
    <xf numFmtId="0" fontId="13" fillId="15" borderId="28" xfId="0" applyFont="1" applyFill="1" applyBorder="1"/>
    <xf numFmtId="4" fontId="14" fillId="15" borderId="28" xfId="0" applyNumberFormat="1" applyFont="1" applyFill="1" applyBorder="1" applyAlignment="1">
      <alignment horizontal="right" vertical="center"/>
    </xf>
    <xf numFmtId="164" fontId="13" fillId="15" borderId="28" xfId="0" applyNumberFormat="1" applyFont="1" applyFill="1" applyBorder="1" applyAlignment="1">
      <alignment horizontal="right" vertical="center"/>
    </xf>
    <xf numFmtId="165" fontId="13" fillId="15" borderId="28" xfId="0" applyNumberFormat="1" applyFont="1" applyFill="1" applyBorder="1" applyAlignment="1">
      <alignment horizontal="right" vertical="center"/>
    </xf>
    <xf numFmtId="0" fontId="15" fillId="15" borderId="28" xfId="0" applyFont="1" applyFill="1" applyBorder="1" applyAlignment="1">
      <alignment horizontal="center" vertical="center"/>
    </xf>
    <xf numFmtId="0" fontId="13" fillId="10" borderId="28" xfId="0" applyFont="1" applyFill="1" applyBorder="1"/>
    <xf numFmtId="4" fontId="14" fillId="10" borderId="28" xfId="0" applyNumberFormat="1" applyFont="1" applyFill="1" applyBorder="1" applyAlignment="1">
      <alignment horizontal="right" vertical="center"/>
    </xf>
    <xf numFmtId="164" fontId="13" fillId="10" borderId="28" xfId="0" applyNumberFormat="1" applyFont="1" applyFill="1" applyBorder="1" applyAlignment="1">
      <alignment horizontal="right" vertical="center"/>
    </xf>
    <xf numFmtId="165" fontId="13" fillId="10" borderId="28" xfId="0" applyNumberFormat="1" applyFont="1" applyFill="1" applyBorder="1" applyAlignment="1">
      <alignment horizontal="right" vertical="center"/>
    </xf>
    <xf numFmtId="0" fontId="15" fillId="10" borderId="28" xfId="0" applyFont="1" applyFill="1" applyBorder="1" applyAlignment="1">
      <alignment horizontal="center" vertical="center"/>
    </xf>
    <xf numFmtId="0" fontId="16" fillId="16" borderId="28" xfId="0" applyFont="1" applyFill="1" applyBorder="1"/>
    <xf numFmtId="4" fontId="17" fillId="16" borderId="28" xfId="0" applyNumberFormat="1" applyFont="1" applyFill="1" applyBorder="1" applyAlignment="1">
      <alignment horizontal="right" vertical="center"/>
    </xf>
    <xf numFmtId="164" fontId="18" fillId="16" borderId="28" xfId="0" applyNumberFormat="1" applyFont="1" applyFill="1" applyBorder="1" applyAlignment="1">
      <alignment horizontal="right" vertical="center"/>
    </xf>
    <xf numFmtId="165" fontId="18" fillId="16" borderId="28" xfId="0" applyNumberFormat="1" applyFont="1" applyFill="1" applyBorder="1" applyAlignment="1">
      <alignment horizontal="right" vertical="center"/>
    </xf>
    <xf numFmtId="0" fontId="15" fillId="16" borderId="28" xfId="0" applyFont="1" applyFill="1" applyBorder="1" applyAlignment="1">
      <alignment horizontal="center" vertical="center"/>
    </xf>
    <xf numFmtId="0" fontId="5" fillId="6" borderId="28" xfId="0" applyFont="1" applyFill="1" applyBorder="1" applyAlignment="1">
      <alignment horizontal="center" vertical="center" wrapText="1"/>
    </xf>
    <xf numFmtId="0" fontId="5" fillId="17" borderId="28" xfId="0" applyFont="1" applyFill="1" applyBorder="1" applyAlignment="1">
      <alignment horizontal="center" vertical="center" wrapText="1"/>
    </xf>
    <xf numFmtId="0" fontId="5" fillId="18" borderId="28" xfId="0" applyFont="1" applyFill="1" applyBorder="1" applyAlignment="1">
      <alignment horizontal="center" vertical="center" wrapText="1"/>
    </xf>
    <xf numFmtId="0" fontId="5" fillId="5" borderId="28" xfId="0" applyFont="1" applyFill="1" applyBorder="1" applyAlignment="1">
      <alignment horizontal="center" vertical="center" wrapText="1"/>
    </xf>
    <xf numFmtId="0" fontId="5" fillId="19" borderId="28" xfId="0" applyFont="1" applyFill="1" applyBorder="1" applyAlignment="1">
      <alignment horizontal="center" vertical="center" wrapText="1"/>
    </xf>
    <xf numFmtId="0" fontId="5" fillId="20" borderId="28" xfId="0" applyFont="1" applyFill="1" applyBorder="1" applyAlignment="1">
      <alignment horizontal="center" vertical="center" wrapText="1"/>
    </xf>
    <xf numFmtId="0" fontId="5" fillId="4" borderId="28" xfId="0" applyFont="1" applyFill="1" applyBorder="1" applyAlignment="1">
      <alignment horizontal="center" vertical="center" wrapText="1"/>
    </xf>
    <xf numFmtId="0" fontId="5" fillId="21" borderId="28" xfId="0" applyFont="1" applyFill="1" applyBorder="1" applyAlignment="1">
      <alignment horizontal="center" vertical="center" wrapText="1"/>
    </xf>
    <xf numFmtId="0" fontId="16" fillId="10" borderId="28" xfId="0" applyFont="1" applyFill="1" applyBorder="1"/>
    <xf numFmtId="4" fontId="13" fillId="10" borderId="28" xfId="0" applyNumberFormat="1" applyFont="1" applyFill="1" applyBorder="1" applyAlignment="1">
      <alignment horizontal="right" vertical="center"/>
    </xf>
    <xf numFmtId="0" fontId="16" fillId="15" borderId="28" xfId="0" applyFont="1" applyFill="1" applyBorder="1"/>
    <xf numFmtId="4" fontId="13" fillId="15" borderId="28" xfId="0" applyNumberFormat="1" applyFont="1" applyFill="1" applyBorder="1" applyAlignment="1">
      <alignment horizontal="right" vertical="center"/>
    </xf>
    <xf numFmtId="0" fontId="19" fillId="10" borderId="28" xfId="0" applyFont="1" applyFill="1" applyBorder="1" applyAlignment="1">
      <alignment horizontal="center" vertical="center"/>
    </xf>
    <xf numFmtId="0" fontId="14" fillId="10" borderId="28" xfId="0" applyFont="1" applyFill="1" applyBorder="1" applyAlignment="1">
      <alignment horizontal="left" vertical="center"/>
    </xf>
    <xf numFmtId="0" fontId="14" fillId="10" borderId="28" xfId="0" applyFont="1" applyFill="1" applyBorder="1" applyAlignment="1">
      <alignment horizontal="center" vertical="center"/>
    </xf>
    <xf numFmtId="0" fontId="13" fillId="10" borderId="28" xfId="0" applyFont="1" applyFill="1" applyBorder="1" applyAlignment="1">
      <alignment horizontal="center" vertical="center"/>
    </xf>
    <xf numFmtId="0" fontId="19" fillId="15" borderId="28" xfId="0" applyFont="1" applyFill="1" applyBorder="1" applyAlignment="1">
      <alignment horizontal="center" vertical="center"/>
    </xf>
    <xf numFmtId="0" fontId="14" fillId="15" borderId="28" xfId="0" applyFont="1" applyFill="1" applyBorder="1" applyAlignment="1">
      <alignment horizontal="left" vertical="center"/>
    </xf>
    <xf numFmtId="0" fontId="14" fillId="15" borderId="28" xfId="0" applyFont="1" applyFill="1" applyBorder="1" applyAlignment="1">
      <alignment horizontal="center" vertical="center"/>
    </xf>
    <xf numFmtId="0" fontId="13" fillId="15" borderId="28" xfId="0" applyFont="1" applyFill="1" applyBorder="1" applyAlignment="1">
      <alignment horizontal="center" vertical="center"/>
    </xf>
    <xf numFmtId="0" fontId="22" fillId="10" borderId="28" xfId="0" applyFont="1" applyFill="1" applyBorder="1"/>
    <xf numFmtId="0" fontId="22" fillId="15" borderId="28" xfId="0" applyFont="1" applyFill="1" applyBorder="1"/>
    <xf numFmtId="0" fontId="4" fillId="4" borderId="28" xfId="0" applyFont="1" applyFill="1" applyBorder="1" applyAlignment="1">
      <alignment horizontal="center" vertical="center" wrapText="1"/>
    </xf>
    <xf numFmtId="0" fontId="13" fillId="10" borderId="28" xfId="0" applyFont="1" applyFill="1" applyBorder="1" applyAlignment="1">
      <alignment horizontal="left" vertical="center" wrapText="1"/>
    </xf>
    <xf numFmtId="0" fontId="13" fillId="15" borderId="28" xfId="0" applyFont="1" applyFill="1" applyBorder="1" applyAlignment="1">
      <alignment horizontal="left" vertical="center" wrapText="1"/>
    </xf>
    <xf numFmtId="0" fontId="18" fillId="15" borderId="28" xfId="0" applyFont="1" applyFill="1" applyBorder="1" applyAlignment="1">
      <alignment horizontal="left" vertical="center" wrapText="1"/>
    </xf>
    <xf numFmtId="0" fontId="27" fillId="23" borderId="28" xfId="0" applyFont="1" applyFill="1" applyBorder="1" applyAlignment="1">
      <alignment horizontal="left" vertical="center"/>
    </xf>
    <xf numFmtId="0" fontId="19" fillId="15" borderId="28" xfId="0" applyFont="1" applyFill="1" applyBorder="1" applyAlignment="1">
      <alignment horizontal="left" vertical="center" wrapText="1"/>
    </xf>
    <xf numFmtId="0" fontId="18" fillId="10" borderId="28" xfId="0" applyFont="1" applyFill="1" applyBorder="1" applyAlignment="1">
      <alignment horizontal="left" vertical="center" wrapText="1"/>
    </xf>
    <xf numFmtId="0" fontId="19" fillId="10" borderId="28" xfId="0" applyFont="1" applyFill="1" applyBorder="1" applyAlignment="1">
      <alignment horizontal="left" vertical="center" wrapText="1"/>
    </xf>
    <xf numFmtId="0" fontId="5" fillId="2" borderId="28" xfId="0" applyFont="1" applyFill="1" applyBorder="1" applyAlignment="1">
      <alignment horizontal="center" vertical="center" wrapText="1"/>
    </xf>
    <xf numFmtId="0" fontId="14" fillId="15" borderId="28" xfId="0" applyFont="1" applyFill="1" applyBorder="1"/>
    <xf numFmtId="0" fontId="23" fillId="15" borderId="28" xfId="0" applyFont="1" applyFill="1" applyBorder="1" applyAlignment="1">
      <alignment horizontal="center" vertical="center"/>
    </xf>
    <xf numFmtId="0" fontId="18" fillId="15" borderId="28" xfId="0" applyFont="1" applyFill="1" applyBorder="1" applyAlignment="1">
      <alignment horizontal="center" vertical="center"/>
    </xf>
    <xf numFmtId="0" fontId="14" fillId="10" borderId="28" xfId="0" applyFont="1" applyFill="1" applyBorder="1"/>
    <xf numFmtId="0" fontId="23" fillId="10" borderId="28" xfId="0" applyFont="1" applyFill="1" applyBorder="1" applyAlignment="1">
      <alignment horizontal="center" vertical="center"/>
    </xf>
    <xf numFmtId="0" fontId="18" fillId="10" borderId="28" xfId="0" applyFont="1" applyFill="1" applyBorder="1" applyAlignment="1">
      <alignment horizontal="center" vertical="center"/>
    </xf>
    <xf numFmtId="166" fontId="23" fillId="15" borderId="28" xfId="0" applyNumberFormat="1" applyFont="1" applyFill="1" applyBorder="1" applyAlignment="1">
      <alignment horizontal="right" vertical="center"/>
    </xf>
    <xf numFmtId="4" fontId="18" fillId="15" borderId="28" xfId="0" applyNumberFormat="1" applyFont="1" applyFill="1" applyBorder="1" applyAlignment="1">
      <alignment horizontal="right" vertical="center"/>
    </xf>
    <xf numFmtId="166" fontId="23" fillId="10" borderId="28" xfId="0" applyNumberFormat="1" applyFont="1" applyFill="1" applyBorder="1" applyAlignment="1">
      <alignment horizontal="right" vertical="center"/>
    </xf>
    <xf numFmtId="4" fontId="18" fillId="10" borderId="28" xfId="0" applyNumberFormat="1" applyFont="1" applyFill="1" applyBorder="1" applyAlignment="1">
      <alignment horizontal="right" vertical="center"/>
    </xf>
    <xf numFmtId="4" fontId="5" fillId="2" borderId="28" xfId="0" applyNumberFormat="1" applyFont="1" applyFill="1" applyBorder="1" applyAlignment="1">
      <alignment horizontal="right" vertical="center"/>
    </xf>
    <xf numFmtId="0" fontId="5" fillId="22" borderId="28" xfId="0" applyFont="1" applyFill="1" applyBorder="1" applyAlignment="1">
      <alignment horizontal="center" vertical="center" wrapText="1"/>
    </xf>
    <xf numFmtId="0" fontId="19" fillId="15" borderId="28" xfId="0" applyFont="1" applyFill="1" applyBorder="1"/>
    <xf numFmtId="4" fontId="14" fillId="15" borderId="28" xfId="0" applyNumberFormat="1" applyFont="1" applyFill="1" applyBorder="1"/>
    <xf numFmtId="4" fontId="13" fillId="15" borderId="28" xfId="0" applyNumberFormat="1" applyFont="1" applyFill="1" applyBorder="1"/>
    <xf numFmtId="165" fontId="13" fillId="15" borderId="28" xfId="0" applyNumberFormat="1" applyFont="1" applyFill="1" applyBorder="1"/>
    <xf numFmtId="4" fontId="17" fillId="15" borderId="28" xfId="0" applyNumberFormat="1" applyFont="1" applyFill="1" applyBorder="1"/>
    <xf numFmtId="4" fontId="18" fillId="15" borderId="28" xfId="0" applyNumberFormat="1" applyFont="1" applyFill="1" applyBorder="1"/>
    <xf numFmtId="165" fontId="18" fillId="15" borderId="28" xfId="0" applyNumberFormat="1" applyFont="1" applyFill="1" applyBorder="1"/>
    <xf numFmtId="0" fontId="19" fillId="10" borderId="28" xfId="0" applyFont="1" applyFill="1" applyBorder="1"/>
    <xf numFmtId="4" fontId="14" fillId="10" borderId="28" xfId="0" applyNumberFormat="1" applyFont="1" applyFill="1" applyBorder="1"/>
    <xf numFmtId="4" fontId="13" fillId="10" borderId="28" xfId="0" applyNumberFormat="1" applyFont="1" applyFill="1" applyBorder="1"/>
    <xf numFmtId="165" fontId="13" fillId="10" borderId="28" xfId="0" applyNumberFormat="1" applyFont="1" applyFill="1" applyBorder="1"/>
    <xf numFmtId="4" fontId="17" fillId="10" borderId="28" xfId="0" applyNumberFormat="1" applyFont="1" applyFill="1" applyBorder="1"/>
    <xf numFmtId="4" fontId="18" fillId="10" borderId="28" xfId="0" applyNumberFormat="1" applyFont="1" applyFill="1" applyBorder="1"/>
    <xf numFmtId="165" fontId="18" fillId="10" borderId="28" xfId="0" applyNumberFormat="1" applyFont="1" applyFill="1" applyBorder="1"/>
    <xf numFmtId="0" fontId="18" fillId="15" borderId="28" xfId="0" applyFont="1" applyFill="1" applyBorder="1"/>
    <xf numFmtId="0" fontId="29" fillId="15" borderId="28" xfId="0" applyFont="1" applyFill="1" applyBorder="1" applyAlignment="1">
      <alignment horizontal="center" vertical="center"/>
    </xf>
    <xf numFmtId="0" fontId="23" fillId="23" borderId="28" xfId="0" applyFont="1" applyFill="1" applyBorder="1" applyAlignment="1">
      <alignment horizontal="right" vertical="center"/>
    </xf>
    <xf numFmtId="0" fontId="23" fillId="15" borderId="28" xfId="0" applyFont="1" applyFill="1" applyBorder="1" applyAlignment="1">
      <alignment horizontal="right" vertical="center"/>
    </xf>
    <xf numFmtId="0" fontId="18" fillId="16" borderId="28" xfId="0" applyFont="1" applyFill="1" applyBorder="1" applyAlignment="1">
      <alignment horizontal="right" vertical="center"/>
    </xf>
    <xf numFmtId="0" fontId="18" fillId="10" borderId="28" xfId="0" applyFont="1" applyFill="1" applyBorder="1"/>
    <xf numFmtId="0" fontId="29" fillId="10" borderId="28" xfId="0" applyFont="1" applyFill="1" applyBorder="1" applyAlignment="1">
      <alignment horizontal="center" vertical="center"/>
    </xf>
    <xf numFmtId="0" fontId="23" fillId="10" borderId="28" xfId="0" applyFont="1" applyFill="1" applyBorder="1" applyAlignment="1">
      <alignment horizontal="right" vertical="center"/>
    </xf>
    <xf numFmtId="0" fontId="30" fillId="15" borderId="28" xfId="0" applyFont="1" applyFill="1" applyBorder="1" applyAlignment="1">
      <alignment horizontal="center" vertical="center"/>
    </xf>
    <xf numFmtId="0" fontId="30" fillId="10" borderId="28" xfId="0" applyFont="1" applyFill="1" applyBorder="1" applyAlignment="1">
      <alignment horizontal="center" vertical="center"/>
    </xf>
    <xf numFmtId="0" fontId="30" fillId="15" borderId="28" xfId="0" applyFont="1" applyFill="1" applyBorder="1" applyAlignment="1">
      <alignment horizontal="left" vertical="center" wrapText="1"/>
    </xf>
    <xf numFmtId="0" fontId="31" fillId="0" borderId="0" xfId="0" applyFont="1"/>
    <xf numFmtId="0" fontId="30" fillId="10" borderId="28" xfId="0" applyFont="1" applyFill="1" applyBorder="1" applyAlignment="1">
      <alignment horizontal="left" vertical="center" wrapText="1"/>
    </xf>
    <xf numFmtId="0" fontId="30" fillId="27" borderId="28" xfId="0" applyFont="1" applyFill="1" applyBorder="1" applyAlignment="1">
      <alignment horizontal="left" vertical="center" wrapText="1"/>
    </xf>
    <xf numFmtId="0" fontId="30" fillId="27" borderId="28" xfId="0" applyFont="1" applyFill="1" applyBorder="1" applyAlignment="1">
      <alignment horizontal="center" vertical="center"/>
    </xf>
    <xf numFmtId="0" fontId="30" fillId="28" borderId="28" xfId="0" applyFont="1" applyFill="1" applyBorder="1" applyAlignment="1">
      <alignment horizontal="left" vertical="center" wrapText="1"/>
    </xf>
    <xf numFmtId="0" fontId="30" fillId="28" borderId="28" xfId="0" applyFont="1" applyFill="1" applyBorder="1" applyAlignment="1">
      <alignment horizontal="center" vertical="center"/>
    </xf>
    <xf numFmtId="0" fontId="30" fillId="0" borderId="28" xfId="0" applyFont="1" applyBorder="1" applyAlignment="1">
      <alignment horizontal="left" vertical="center" wrapText="1"/>
    </xf>
    <xf numFmtId="0" fontId="30" fillId="0" borderId="28" xfId="0" applyFont="1" applyBorder="1" applyAlignment="1">
      <alignment horizontal="center" vertical="center"/>
    </xf>
    <xf numFmtId="0" fontId="2" fillId="0" borderId="29" xfId="0" applyFont="1" applyBorder="1"/>
    <xf numFmtId="0" fontId="30" fillId="29" borderId="28" xfId="0" applyFont="1" applyFill="1" applyBorder="1" applyAlignment="1">
      <alignment horizontal="left" vertical="center" wrapText="1"/>
    </xf>
    <xf numFmtId="0" fontId="30" fillId="29" borderId="28" xfId="0" applyFont="1" applyFill="1" applyBorder="1" applyAlignment="1">
      <alignment horizontal="center" vertical="center"/>
    </xf>
    <xf numFmtId="0" fontId="30" fillId="30" borderId="28" xfId="0" applyFont="1" applyFill="1" applyBorder="1" applyAlignment="1">
      <alignment horizontal="center" vertical="center"/>
    </xf>
    <xf numFmtId="0" fontId="30" fillId="31" borderId="28" xfId="0" applyFont="1" applyFill="1" applyBorder="1" applyAlignment="1">
      <alignment horizontal="left" vertical="center" wrapText="1"/>
    </xf>
    <xf numFmtId="0" fontId="30" fillId="30" borderId="28" xfId="0" applyFont="1" applyFill="1" applyBorder="1" applyAlignment="1">
      <alignment horizontal="left" vertical="center" wrapText="1"/>
    </xf>
    <xf numFmtId="0" fontId="31" fillId="32" borderId="0" xfId="0" applyFont="1" applyFill="1"/>
    <xf numFmtId="0" fontId="31" fillId="33" borderId="0" xfId="0" applyFont="1" applyFill="1"/>
    <xf numFmtId="0" fontId="2" fillId="33" borderId="29" xfId="0" applyFont="1" applyFill="1" applyBorder="1"/>
    <xf numFmtId="43" fontId="5" fillId="4" borderId="28" xfId="1" applyFont="1" applyFill="1" applyBorder="1" applyAlignment="1">
      <alignment horizontal="right" vertical="center" wrapText="1"/>
    </xf>
    <xf numFmtId="43" fontId="30" fillId="15" borderId="28" xfId="1" applyFont="1" applyFill="1" applyBorder="1" applyAlignment="1">
      <alignment horizontal="right" vertical="center" wrapText="1"/>
    </xf>
    <xf numFmtId="43" fontId="30" fillId="10" borderId="28" xfId="1" applyFont="1" applyFill="1" applyBorder="1" applyAlignment="1">
      <alignment horizontal="right" vertical="center" wrapText="1"/>
    </xf>
    <xf numFmtId="43" fontId="30" fillId="27" borderId="28" xfId="1" applyFont="1" applyFill="1" applyBorder="1" applyAlignment="1">
      <alignment horizontal="right" vertical="center" wrapText="1"/>
    </xf>
    <xf numFmtId="43" fontId="30" fillId="28" borderId="28" xfId="1" applyFont="1" applyFill="1" applyBorder="1" applyAlignment="1">
      <alignment horizontal="right" vertical="center" wrapText="1"/>
    </xf>
    <xf numFmtId="43" fontId="30" fillId="0" borderId="28" xfId="1" applyFont="1" applyBorder="1" applyAlignment="1">
      <alignment horizontal="right" vertical="center" wrapText="1"/>
    </xf>
    <xf numFmtId="43" fontId="30" fillId="29" borderId="28" xfId="1" applyFont="1" applyFill="1" applyBorder="1" applyAlignment="1">
      <alignment horizontal="right" vertical="center" wrapText="1"/>
    </xf>
    <xf numFmtId="43" fontId="5" fillId="3" borderId="28" xfId="1" applyFont="1" applyFill="1" applyBorder="1" applyAlignment="1">
      <alignment horizontal="right"/>
    </xf>
    <xf numFmtId="43" fontId="0" fillId="0" borderId="0" xfId="1" applyFont="1" applyAlignment="1">
      <alignment horizontal="right"/>
    </xf>
    <xf numFmtId="43" fontId="5" fillId="4" borderId="28" xfId="1" applyFont="1" applyFill="1" applyBorder="1" applyAlignment="1">
      <alignment horizontal="center" vertical="center" wrapText="1"/>
    </xf>
    <xf numFmtId="43" fontId="30" fillId="15" borderId="28" xfId="1" applyFont="1" applyFill="1" applyBorder="1" applyAlignment="1">
      <alignment horizontal="left" vertical="center" wrapText="1"/>
    </xf>
    <xf numFmtId="43" fontId="30" fillId="10" borderId="28" xfId="1" applyFont="1" applyFill="1" applyBorder="1" applyAlignment="1">
      <alignment horizontal="left" vertical="center" wrapText="1"/>
    </xf>
    <xf numFmtId="43" fontId="30" fillId="27" borderId="28" xfId="1" applyFont="1" applyFill="1" applyBorder="1" applyAlignment="1">
      <alignment horizontal="left" vertical="center" wrapText="1"/>
    </xf>
    <xf numFmtId="43" fontId="30" fillId="28" borderId="28" xfId="1" applyFont="1" applyFill="1" applyBorder="1" applyAlignment="1">
      <alignment horizontal="left" vertical="center" wrapText="1"/>
    </xf>
    <xf numFmtId="43" fontId="30" fillId="0" borderId="28" xfId="1" applyFont="1" applyBorder="1" applyAlignment="1">
      <alignment horizontal="left" vertical="center" wrapText="1"/>
    </xf>
    <xf numFmtId="43" fontId="0" fillId="0" borderId="0" xfId="1" applyFont="1"/>
    <xf numFmtId="0" fontId="30" fillId="31" borderId="28" xfId="0" applyFont="1" applyFill="1" applyBorder="1" applyAlignment="1">
      <alignment horizontal="center" vertical="center"/>
    </xf>
    <xf numFmtId="43" fontId="30" fillId="30" borderId="28" xfId="1" applyFont="1" applyFill="1" applyBorder="1" applyAlignment="1">
      <alignment horizontal="right" vertical="center" wrapText="1"/>
    </xf>
    <xf numFmtId="43" fontId="30" fillId="30" borderId="28" xfId="1" applyFont="1" applyFill="1" applyBorder="1" applyAlignment="1">
      <alignment horizontal="left" vertical="center" wrapText="1"/>
    </xf>
    <xf numFmtId="0" fontId="30" fillId="33" borderId="28"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2" fillId="0" borderId="3" xfId="0" applyFont="1" applyBorder="1"/>
    <xf numFmtId="0" fontId="5" fillId="3" borderId="1" xfId="0" applyFont="1" applyFill="1" applyBorder="1" applyAlignment="1">
      <alignment horizontal="right" vertical="center" wrapText="1"/>
    </xf>
    <xf numFmtId="0" fontId="5" fillId="3" borderId="1" xfId="0" applyFont="1" applyFill="1" applyBorder="1"/>
    <xf numFmtId="0" fontId="2" fillId="0" borderId="2" xfId="0" applyFont="1" applyBorder="1"/>
    <xf numFmtId="0" fontId="26" fillId="2" borderId="1" xfId="0" applyFont="1" applyFill="1" applyBorder="1" applyAlignment="1">
      <alignment horizontal="center" vertical="center" wrapText="1"/>
    </xf>
    <xf numFmtId="0" fontId="2" fillId="0" borderId="2" xfId="0" applyFont="1" applyBorder="1" applyAlignment="1">
      <alignment horizontal="right"/>
    </xf>
    <xf numFmtId="0" fontId="28" fillId="2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4" fillId="22" borderId="1" xfId="0" applyFont="1" applyFill="1" applyBorder="1" applyAlignment="1">
      <alignment horizontal="left" vertical="center" wrapText="1"/>
    </xf>
    <xf numFmtId="0" fontId="6" fillId="10" borderId="4" xfId="0" applyFont="1" applyFill="1" applyBorder="1" applyAlignment="1">
      <alignment horizontal="center" vertical="center"/>
    </xf>
    <xf numFmtId="0" fontId="2" fillId="0" borderId="5" xfId="0" applyFont="1" applyBorder="1"/>
    <xf numFmtId="0" fontId="7" fillId="11" borderId="6" xfId="0" applyFont="1" applyFill="1" applyBorder="1" applyAlignment="1">
      <alignment horizontal="center" vertical="center"/>
    </xf>
    <xf numFmtId="0" fontId="2" fillId="0" borderId="7" xfId="0" applyFont="1" applyBorder="1"/>
    <xf numFmtId="0" fontId="8" fillId="12" borderId="8" xfId="0" applyFont="1" applyFill="1" applyBorder="1" applyAlignment="1">
      <alignment horizontal="center" vertical="center"/>
    </xf>
    <xf numFmtId="0" fontId="2" fillId="0" borderId="9" xfId="0" applyFont="1" applyBorder="1"/>
    <xf numFmtId="0" fontId="9" fillId="13" borderId="10" xfId="0" applyFont="1" applyFill="1" applyBorder="1" applyAlignment="1">
      <alignment horizontal="center" vertical="center"/>
    </xf>
    <xf numFmtId="0" fontId="2" fillId="0" borderId="11" xfId="0" applyFont="1" applyBorder="1"/>
    <xf numFmtId="0" fontId="10" fillId="14" borderId="12" xfId="0" applyFont="1" applyFill="1" applyBorder="1" applyAlignment="1">
      <alignment horizontal="center" vertical="center"/>
    </xf>
    <xf numFmtId="0" fontId="2" fillId="0" borderId="13" xfId="0" applyFont="1" applyBorder="1"/>
    <xf numFmtId="0" fontId="11" fillId="10" borderId="14" xfId="0" applyFont="1" applyFill="1" applyBorder="1" applyAlignment="1">
      <alignment horizontal="center" vertical="center"/>
    </xf>
    <xf numFmtId="0" fontId="2" fillId="0" borderId="15" xfId="0" applyFont="1" applyBorder="1"/>
    <xf numFmtId="0" fontId="12" fillId="10" borderId="16" xfId="0" applyFont="1" applyFill="1" applyBorder="1"/>
    <xf numFmtId="0" fontId="2" fillId="0" borderId="17" xfId="0" applyFont="1" applyBorder="1"/>
    <xf numFmtId="0" fontId="12" fillId="11" borderId="18" xfId="0" applyFont="1" applyFill="1" applyBorder="1"/>
    <xf numFmtId="0" fontId="2" fillId="0" borderId="19" xfId="0" applyFont="1" applyBorder="1"/>
    <xf numFmtId="0" fontId="12" fillId="12" borderId="20" xfId="0" applyFont="1" applyFill="1" applyBorder="1"/>
    <xf numFmtId="0" fontId="2" fillId="0" borderId="21" xfId="0" applyFont="1" applyBorder="1"/>
    <xf numFmtId="0" fontId="12" fillId="13" borderId="22" xfId="0" applyFont="1" applyFill="1" applyBorder="1"/>
    <xf numFmtId="0" fontId="2" fillId="0" borderId="23" xfId="0" applyFont="1" applyBorder="1"/>
    <xf numFmtId="0" fontId="12" fillId="14" borderId="24" xfId="0" applyFont="1" applyFill="1" applyBorder="1"/>
    <xf numFmtId="0" fontId="2" fillId="0" borderId="25" xfId="0" applyFont="1" applyBorder="1"/>
    <xf numFmtId="0" fontId="12" fillId="10" borderId="26" xfId="0" applyFont="1" applyFill="1" applyBorder="1"/>
    <xf numFmtId="0" fontId="2" fillId="0" borderId="27" xfId="0" applyFont="1" applyBorder="1"/>
    <xf numFmtId="0" fontId="20" fillId="2" borderId="1" xfId="0" applyFont="1" applyFill="1" applyBorder="1" applyAlignment="1">
      <alignment horizontal="center" vertical="center" wrapText="1"/>
    </xf>
    <xf numFmtId="0" fontId="21" fillId="23" borderId="1" xfId="0" applyFont="1" applyFill="1" applyBorder="1" applyAlignment="1">
      <alignment horizontal="center" vertical="center" wrapText="1"/>
    </xf>
    <xf numFmtId="0" fontId="5" fillId="2" borderId="1" xfId="0" applyFont="1" applyFill="1" applyBorder="1"/>
    <xf numFmtId="0" fontId="4" fillId="6"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3" fillId="23" borderId="1" xfId="0" applyFont="1" applyFill="1" applyBorder="1"/>
    <xf numFmtId="0" fontId="23" fillId="10" borderId="1" xfId="0" applyFont="1" applyFill="1" applyBorder="1"/>
    <xf numFmtId="0" fontId="23" fillId="15" borderId="1" xfId="0" applyFont="1" applyFill="1" applyBorder="1"/>
    <xf numFmtId="0" fontId="5" fillId="7" borderId="1" xfId="0" applyFont="1" applyFill="1" applyBorder="1" applyAlignment="1">
      <alignment horizontal="left" vertical="center"/>
    </xf>
    <xf numFmtId="0" fontId="18" fillId="23" borderId="1" xfId="0" applyFont="1" applyFill="1" applyBorder="1" applyAlignment="1">
      <alignment horizontal="left" vertical="center"/>
    </xf>
    <xf numFmtId="0" fontId="24" fillId="2" borderId="1" xfId="0" applyFont="1" applyFill="1" applyBorder="1" applyAlignment="1">
      <alignment horizontal="center" vertical="center" wrapText="1"/>
    </xf>
    <xf numFmtId="0" fontId="25"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24" borderId="1" xfId="0" applyFont="1" applyFill="1" applyBorder="1" applyAlignment="1">
      <alignment horizontal="left" vertical="center"/>
    </xf>
    <xf numFmtId="0" fontId="5" fillId="25" borderId="1" xfId="0" applyFont="1" applyFill="1" applyBorder="1" applyAlignment="1">
      <alignment horizontal="left" vertical="center"/>
    </xf>
    <xf numFmtId="0" fontId="5" fillId="26" borderId="1" xfId="0" applyFont="1" applyFill="1" applyBorder="1" applyAlignment="1">
      <alignment horizontal="left" vertical="center"/>
    </xf>
    <xf numFmtId="0" fontId="27" fillId="10" borderId="1" xfId="0" applyFont="1" applyFill="1" applyBorder="1"/>
    <xf numFmtId="0" fontId="4" fillId="4" borderId="1" xfId="0" applyFont="1" applyFill="1" applyBorder="1" applyAlignment="1">
      <alignment horizontal="center" vertical="center" wrapText="1"/>
    </xf>
    <xf numFmtId="0" fontId="30" fillId="0" borderId="28" xfId="0" applyFont="1" applyFill="1" applyBorder="1" applyAlignment="1">
      <alignment horizontal="center" vertical="center"/>
    </xf>
    <xf numFmtId="0" fontId="30" fillId="0" borderId="28" xfId="0" applyFont="1" applyFill="1" applyBorder="1" applyAlignment="1">
      <alignment horizontal="left" vertical="center" wrapText="1"/>
    </xf>
    <xf numFmtId="43" fontId="30" fillId="0" borderId="28" xfId="1" applyFont="1" applyFill="1" applyBorder="1" applyAlignment="1">
      <alignment horizontal="right" vertical="center" wrapText="1"/>
    </xf>
    <xf numFmtId="43" fontId="30" fillId="0" borderId="28" xfId="1" applyFont="1" applyFill="1" applyBorder="1" applyAlignment="1">
      <alignment horizontal="left" vertical="center" wrapText="1"/>
    </xf>
    <xf numFmtId="0" fontId="31" fillId="0" borderId="0" xfId="0" applyFont="1" applyFill="1"/>
  </cellXfs>
  <cellStyles count="2">
    <cellStyle name="Comma" xfId="1" builtinId="3"/>
    <cellStyle name="Normal" xfId="0" builtinId="0"/>
  </cellStyles>
  <dxfs count="7">
    <dxf>
      <font>
        <b/>
        <sz val="9"/>
        <color rgb="FF375623"/>
        <name val="Arial"/>
      </font>
      <fill>
        <patternFill patternType="solid">
          <fgColor rgb="FFC6EFCE"/>
          <bgColor rgb="FFC6EFCE"/>
        </patternFill>
      </fill>
    </dxf>
    <dxf>
      <font>
        <b/>
        <sz val="9"/>
        <color rgb="FFCC0000"/>
        <name val="Arial"/>
      </font>
      <fill>
        <patternFill patternType="solid">
          <fgColor rgb="FFFF9999"/>
          <bgColor rgb="FFFF9999"/>
        </patternFill>
      </fill>
    </dxf>
    <dxf>
      <font>
        <b/>
        <sz val="9"/>
        <color rgb="FFCC0000"/>
        <name val="Arial"/>
      </font>
      <fill>
        <patternFill patternType="solid">
          <fgColor rgb="FFFF9999"/>
          <bgColor rgb="FFFF9999"/>
        </patternFill>
      </fill>
    </dxf>
    <dxf>
      <font>
        <b/>
        <sz val="9"/>
        <color rgb="FFCC0000"/>
        <name val="Arial"/>
      </font>
      <fill>
        <patternFill patternType="solid">
          <fgColor rgb="FFFF9999"/>
          <bgColor rgb="FFFF9999"/>
        </patternFill>
      </fill>
    </dxf>
    <dxf>
      <font>
        <b/>
        <sz val="9"/>
        <color rgb="FF375623"/>
        <name val="Arial"/>
      </font>
      <fill>
        <patternFill patternType="solid">
          <fgColor rgb="FFE2EFDA"/>
          <bgColor rgb="FFE2EFDA"/>
        </patternFill>
      </fill>
    </dxf>
    <dxf>
      <font>
        <b/>
        <sz val="9"/>
        <color rgb="FFCC0000"/>
        <name val="Arial"/>
      </font>
      <fill>
        <patternFill patternType="solid">
          <fgColor rgb="FFFCE4D6"/>
          <bgColor rgb="FFFCE4D6"/>
        </patternFill>
      </fill>
    </dxf>
    <dxf>
      <font>
        <b/>
        <sz val="9"/>
        <color rgb="FFCC0000"/>
        <name val="Arial"/>
      </font>
      <fill>
        <patternFill patternType="solid">
          <fgColor rgb="FFFF9999"/>
          <bgColor rgb="FFFF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8DB9556-63D0-4092-BD87-1EEB33EA2B8C}">
  <we:reference id="wa200009404" version="1.0.0.8" store="en-US" storeType="OMEX"/>
  <we:alternateReferences>
    <we:reference id="WA200009404" version="1.0.0.8" store="" storeType="OMEX"/>
  </we:alternateReferences>
  <we:properties>
    <we:property name="claude.fileId" value="&quot;42633cce-0c69-465a-9c84-0ba3efc43ca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O1000"/>
  <sheetViews>
    <sheetView showGridLines="0" workbookViewId="0">
      <selection activeCell="A3" sqref="A3"/>
    </sheetView>
  </sheetViews>
  <sheetFormatPr defaultColWidth="14.453125" defaultRowHeight="15" customHeight="1" x14ac:dyDescent="0.35"/>
  <cols>
    <col min="1" max="1" width="18.453125" customWidth="1"/>
    <col min="2" max="2" width="14" customWidth="1"/>
    <col min="3" max="3" width="34" customWidth="1"/>
    <col min="4" max="4" width="16" customWidth="1"/>
    <col min="5" max="7" width="14" customWidth="1"/>
    <col min="8" max="8" width="9" customWidth="1"/>
    <col min="9" max="9" width="18" customWidth="1"/>
    <col min="10" max="26" width="8.54296875" customWidth="1"/>
  </cols>
  <sheetData>
    <row r="1" spans="1:15" ht="51.75" customHeight="1" x14ac:dyDescent="0.35">
      <c r="A1" s="133" t="s">
        <v>0</v>
      </c>
      <c r="B1" s="126"/>
      <c r="C1" s="126"/>
      <c r="D1" s="126"/>
      <c r="E1" s="126"/>
      <c r="F1" s="126"/>
      <c r="G1" s="126"/>
      <c r="H1" s="126"/>
      <c r="I1" s="126"/>
      <c r="J1" s="126"/>
      <c r="K1" s="126"/>
      <c r="L1" s="126"/>
      <c r="M1" s="126"/>
      <c r="N1" s="126"/>
      <c r="O1" s="123"/>
    </row>
    <row r="2" spans="1:15" ht="21.75" customHeight="1" x14ac:dyDescent="0.35">
      <c r="A2" s="134" t="s">
        <v>422</v>
      </c>
      <c r="B2" s="126"/>
      <c r="C2" s="126"/>
      <c r="D2" s="126"/>
      <c r="E2" s="126"/>
      <c r="F2" s="126"/>
      <c r="G2" s="126"/>
      <c r="H2" s="126"/>
      <c r="I2" s="126"/>
      <c r="J2" s="126"/>
      <c r="K2" s="126"/>
      <c r="L2" s="126"/>
      <c r="M2" s="126"/>
      <c r="N2" s="126"/>
      <c r="O2" s="123"/>
    </row>
    <row r="3" spans="1:15" ht="9.75" customHeight="1" x14ac:dyDescent="0.35"/>
    <row r="4" spans="1:15" ht="21.75" customHeight="1" x14ac:dyDescent="0.35">
      <c r="A4" s="135" t="s">
        <v>1</v>
      </c>
      <c r="B4" s="126"/>
      <c r="C4" s="126"/>
      <c r="D4" s="126"/>
      <c r="E4" s="126"/>
      <c r="F4" s="126"/>
      <c r="G4" s="126"/>
      <c r="H4" s="126"/>
      <c r="I4" s="126"/>
      <c r="J4" s="126"/>
      <c r="K4" s="126"/>
      <c r="L4" s="126"/>
      <c r="M4" s="126"/>
      <c r="N4" s="126"/>
      <c r="O4" s="123"/>
    </row>
    <row r="5" spans="1:15" ht="18" customHeight="1" x14ac:dyDescent="0.35">
      <c r="A5" s="136" t="s">
        <v>2</v>
      </c>
      <c r="B5" s="123"/>
      <c r="C5" s="137" t="s">
        <v>3</v>
      </c>
      <c r="D5" s="123"/>
      <c r="E5" s="138" t="s">
        <v>4</v>
      </c>
      <c r="F5" s="123"/>
      <c r="G5" s="139" t="s">
        <v>5</v>
      </c>
      <c r="H5" s="123"/>
      <c r="I5" s="131" t="s">
        <v>6</v>
      </c>
      <c r="J5" s="123"/>
      <c r="K5" s="132" t="s">
        <v>7</v>
      </c>
      <c r="L5" s="123"/>
    </row>
    <row r="6" spans="1:15" ht="39.75" customHeight="1" x14ac:dyDescent="0.35">
      <c r="A6" s="141">
        <f>COUNTIF('Initiative Register'!C5:C55,"&lt;&gt;")</f>
        <v>50</v>
      </c>
      <c r="B6" s="142"/>
      <c r="C6" s="143">
        <f>COUNTIF('Initiative Register'!R5:R55,"Completed")</f>
        <v>1</v>
      </c>
      <c r="D6" s="144"/>
      <c r="E6" s="145">
        <f>COUNTIF('Initiative Register'!R5:R55,"In Progress")</f>
        <v>1</v>
      </c>
      <c r="F6" s="146"/>
      <c r="G6" s="147">
        <f>COUNTIF('Initiative Register'!R5:R55,"Delayed")</f>
        <v>0</v>
      </c>
      <c r="H6" s="148"/>
      <c r="I6" s="149">
        <f>COUNTIF('Initiative Register'!R5:R55,"On Hold")</f>
        <v>0</v>
      </c>
      <c r="J6" s="150"/>
      <c r="K6" s="151">
        <f>COUNTIF('Initiative Register'!R5:R55,"Not Started")</f>
        <v>48</v>
      </c>
      <c r="L6" s="152"/>
    </row>
    <row r="7" spans="1:15" ht="19.5" customHeight="1" x14ac:dyDescent="0.35">
      <c r="A7" s="153"/>
      <c r="B7" s="154"/>
      <c r="C7" s="155"/>
      <c r="D7" s="156"/>
      <c r="E7" s="157"/>
      <c r="F7" s="158"/>
      <c r="G7" s="159"/>
      <c r="H7" s="160"/>
      <c r="I7" s="161"/>
      <c r="J7" s="162"/>
      <c r="K7" s="163"/>
      <c r="L7" s="164"/>
    </row>
    <row r="8" spans="1:15" ht="9.75" customHeight="1" x14ac:dyDescent="0.35"/>
    <row r="9" spans="1:15" ht="15.75" customHeight="1" x14ac:dyDescent="0.35">
      <c r="A9" s="135" t="s">
        <v>8</v>
      </c>
      <c r="B9" s="126"/>
      <c r="C9" s="126"/>
      <c r="D9" s="126"/>
      <c r="E9" s="126"/>
      <c r="F9" s="126"/>
      <c r="G9" s="126"/>
      <c r="H9" s="126"/>
      <c r="I9" s="126"/>
      <c r="J9" s="126"/>
      <c r="K9" s="126"/>
      <c r="L9" s="126"/>
      <c r="M9" s="126"/>
      <c r="N9" s="126"/>
      <c r="O9" s="123"/>
    </row>
    <row r="10" spans="1:15" ht="21.75" customHeight="1" x14ac:dyDescent="0.35">
      <c r="A10" s="1" t="s">
        <v>9</v>
      </c>
      <c r="B10" s="1" t="s">
        <v>10</v>
      </c>
      <c r="C10" s="1" t="s">
        <v>11</v>
      </c>
      <c r="D10" s="1" t="s">
        <v>12</v>
      </c>
      <c r="E10" s="1" t="s">
        <v>13</v>
      </c>
      <c r="F10" s="1" t="s">
        <v>14</v>
      </c>
    </row>
    <row r="11" spans="1:15" ht="21.75" customHeight="1" x14ac:dyDescent="0.35">
      <c r="A11" s="2" t="s">
        <v>15</v>
      </c>
      <c r="B11" s="3">
        <f>'Revenue Impact'!P71</f>
        <v>0</v>
      </c>
      <c r="C11" s="3">
        <f>'Monthly Actuals'!P73</f>
        <v>0</v>
      </c>
      <c r="D11" s="4">
        <f t="shared" ref="D11:D13" si="0">C11-B11</f>
        <v>0</v>
      </c>
      <c r="E11" s="5" t="str">
        <f t="shared" ref="E11:E13" si="1">IFERROR(D11/B11,"")</f>
        <v/>
      </c>
      <c r="F11" s="6" t="str">
        <f t="shared" ref="F11:F13" si="2">IF(E11="","",IF(E11&lt;0,"▼ BEHIND","▲ AHEAD"))</f>
        <v/>
      </c>
    </row>
    <row r="12" spans="1:15" ht="21.75" customHeight="1" x14ac:dyDescent="0.35">
      <c r="A12" s="7" t="s">
        <v>16</v>
      </c>
      <c r="B12" s="8">
        <f>'Cost Plan'!P55</f>
        <v>0</v>
      </c>
      <c r="C12" s="8">
        <f>'Monthly Actuals'!P127</f>
        <v>0</v>
      </c>
      <c r="D12" s="9">
        <f t="shared" si="0"/>
        <v>0</v>
      </c>
      <c r="E12" s="10" t="str">
        <f t="shared" si="1"/>
        <v/>
      </c>
      <c r="F12" s="11" t="str">
        <f t="shared" si="2"/>
        <v/>
      </c>
    </row>
    <row r="13" spans="1:15" ht="21.75" customHeight="1" x14ac:dyDescent="0.35">
      <c r="A13" s="12" t="s">
        <v>17</v>
      </c>
      <c r="B13" s="13">
        <f t="shared" ref="B13:C13" si="3">B11-B12</f>
        <v>0</v>
      </c>
      <c r="C13" s="13">
        <f t="shared" si="3"/>
        <v>0</v>
      </c>
      <c r="D13" s="14">
        <f t="shared" si="0"/>
        <v>0</v>
      </c>
      <c r="E13" s="15" t="str">
        <f t="shared" si="1"/>
        <v/>
      </c>
      <c r="F13" s="16" t="str">
        <f t="shared" si="2"/>
        <v/>
      </c>
    </row>
    <row r="14" spans="1:15" ht="9.75" customHeight="1" x14ac:dyDescent="0.35"/>
    <row r="15" spans="1:15" ht="15.75" customHeight="1" x14ac:dyDescent="0.35">
      <c r="A15" s="135" t="s">
        <v>18</v>
      </c>
      <c r="B15" s="126"/>
      <c r="C15" s="126"/>
      <c r="D15" s="126"/>
      <c r="E15" s="126"/>
      <c r="F15" s="126"/>
      <c r="G15" s="126"/>
      <c r="H15" s="126"/>
      <c r="I15" s="126"/>
      <c r="J15" s="126"/>
      <c r="K15" s="126"/>
      <c r="L15" s="126"/>
      <c r="M15" s="126"/>
      <c r="N15" s="126"/>
      <c r="O15" s="123"/>
    </row>
    <row r="16" spans="1:15" ht="21.75" customHeight="1" x14ac:dyDescent="0.35">
      <c r="A16" s="1" t="s">
        <v>19</v>
      </c>
      <c r="B16" s="17" t="s">
        <v>20</v>
      </c>
      <c r="C16" s="18" t="s">
        <v>21</v>
      </c>
      <c r="D16" s="19" t="s">
        <v>22</v>
      </c>
      <c r="E16" s="20" t="s">
        <v>23</v>
      </c>
      <c r="F16" s="21" t="s">
        <v>24</v>
      </c>
      <c r="G16" s="22" t="s">
        <v>25</v>
      </c>
      <c r="H16" s="23" t="s">
        <v>26</v>
      </c>
      <c r="I16" s="24" t="s">
        <v>27</v>
      </c>
    </row>
    <row r="17" spans="1:15" ht="18" customHeight="1" x14ac:dyDescent="0.35">
      <c r="A17" s="25" t="s">
        <v>28</v>
      </c>
      <c r="B17" s="8">
        <f>'Revenue Impact'!D71</f>
        <v>0</v>
      </c>
      <c r="C17" s="8">
        <f>'Monthly Actuals'!D73</f>
        <v>0</v>
      </c>
      <c r="D17" s="9">
        <f t="shared" ref="D17:D28" si="4">C17-B17</f>
        <v>0</v>
      </c>
      <c r="E17" s="8">
        <f>'Cost Plan'!D55</f>
        <v>0</v>
      </c>
      <c r="F17" s="8">
        <f>'Monthly Actuals'!D127</f>
        <v>0</v>
      </c>
      <c r="G17" s="9">
        <f t="shared" ref="G17:G28" si="5">F17-E17</f>
        <v>0</v>
      </c>
      <c r="H17" s="26">
        <f t="shared" ref="H17:I17" si="6">B17-E17</f>
        <v>0</v>
      </c>
      <c r="I17" s="26">
        <f t="shared" si="6"/>
        <v>0</v>
      </c>
    </row>
    <row r="18" spans="1:15" ht="18" customHeight="1" x14ac:dyDescent="0.35">
      <c r="A18" s="27" t="s">
        <v>29</v>
      </c>
      <c r="B18" s="3">
        <f>'Revenue Impact'!E71</f>
        <v>0</v>
      </c>
      <c r="C18" s="3">
        <f>'Monthly Actuals'!E73</f>
        <v>0</v>
      </c>
      <c r="D18" s="4">
        <f t="shared" si="4"/>
        <v>0</v>
      </c>
      <c r="E18" s="3">
        <f>'Cost Plan'!E55</f>
        <v>0</v>
      </c>
      <c r="F18" s="3">
        <f>'Monthly Actuals'!E127</f>
        <v>0</v>
      </c>
      <c r="G18" s="4">
        <f t="shared" si="5"/>
        <v>0</v>
      </c>
      <c r="H18" s="28">
        <f t="shared" ref="H18:I18" si="7">B18-E18</f>
        <v>0</v>
      </c>
      <c r="I18" s="28">
        <f t="shared" si="7"/>
        <v>0</v>
      </c>
    </row>
    <row r="19" spans="1:15" ht="18" customHeight="1" x14ac:dyDescent="0.35">
      <c r="A19" s="25" t="s">
        <v>30</v>
      </c>
      <c r="B19" s="8">
        <f>'Revenue Impact'!F71</f>
        <v>0</v>
      </c>
      <c r="C19" s="8">
        <f>'Monthly Actuals'!F73</f>
        <v>0</v>
      </c>
      <c r="D19" s="9">
        <f t="shared" si="4"/>
        <v>0</v>
      </c>
      <c r="E19" s="8">
        <f>'Cost Plan'!F55</f>
        <v>0</v>
      </c>
      <c r="F19" s="8">
        <f>'Monthly Actuals'!F127</f>
        <v>0</v>
      </c>
      <c r="G19" s="9">
        <f t="shared" si="5"/>
        <v>0</v>
      </c>
      <c r="H19" s="26">
        <f t="shared" ref="H19:I19" si="8">B19-E19</f>
        <v>0</v>
      </c>
      <c r="I19" s="26">
        <f t="shared" si="8"/>
        <v>0</v>
      </c>
    </row>
    <row r="20" spans="1:15" ht="18" customHeight="1" x14ac:dyDescent="0.35">
      <c r="A20" s="27" t="s">
        <v>31</v>
      </c>
      <c r="B20" s="3">
        <f>'Revenue Impact'!G71</f>
        <v>0</v>
      </c>
      <c r="C20" s="3">
        <f>'Monthly Actuals'!G73</f>
        <v>0</v>
      </c>
      <c r="D20" s="4">
        <f t="shared" si="4"/>
        <v>0</v>
      </c>
      <c r="E20" s="3">
        <f>'Cost Plan'!G55</f>
        <v>0</v>
      </c>
      <c r="F20" s="3">
        <f>'Monthly Actuals'!G127</f>
        <v>0</v>
      </c>
      <c r="G20" s="4">
        <f t="shared" si="5"/>
        <v>0</v>
      </c>
      <c r="H20" s="28">
        <f t="shared" ref="H20:I20" si="9">B20-E20</f>
        <v>0</v>
      </c>
      <c r="I20" s="28">
        <f t="shared" si="9"/>
        <v>0</v>
      </c>
    </row>
    <row r="21" spans="1:15" ht="18" customHeight="1" x14ac:dyDescent="0.35">
      <c r="A21" s="25" t="s">
        <v>32</v>
      </c>
      <c r="B21" s="8">
        <f>'Revenue Impact'!H71</f>
        <v>0</v>
      </c>
      <c r="C21" s="8">
        <f>'Monthly Actuals'!H73</f>
        <v>0</v>
      </c>
      <c r="D21" s="9">
        <f t="shared" si="4"/>
        <v>0</v>
      </c>
      <c r="E21" s="8">
        <f>'Cost Plan'!H55</f>
        <v>0</v>
      </c>
      <c r="F21" s="8">
        <f>'Monthly Actuals'!H127</f>
        <v>0</v>
      </c>
      <c r="G21" s="9">
        <f t="shared" si="5"/>
        <v>0</v>
      </c>
      <c r="H21" s="26">
        <f t="shared" ref="H21:I21" si="10">B21-E21</f>
        <v>0</v>
      </c>
      <c r="I21" s="26">
        <f t="shared" si="10"/>
        <v>0</v>
      </c>
    </row>
    <row r="22" spans="1:15" ht="18" customHeight="1" x14ac:dyDescent="0.35">
      <c r="A22" s="27" t="s">
        <v>33</v>
      </c>
      <c r="B22" s="3">
        <f>'Revenue Impact'!I71</f>
        <v>0</v>
      </c>
      <c r="C22" s="3">
        <f>'Monthly Actuals'!I73</f>
        <v>0</v>
      </c>
      <c r="D22" s="4">
        <f t="shared" si="4"/>
        <v>0</v>
      </c>
      <c r="E22" s="3">
        <f>'Cost Plan'!I55</f>
        <v>0</v>
      </c>
      <c r="F22" s="3">
        <f>'Monthly Actuals'!I127</f>
        <v>0</v>
      </c>
      <c r="G22" s="4">
        <f t="shared" si="5"/>
        <v>0</v>
      </c>
      <c r="H22" s="28">
        <f t="shared" ref="H22:I22" si="11">B22-E22</f>
        <v>0</v>
      </c>
      <c r="I22" s="28">
        <f t="shared" si="11"/>
        <v>0</v>
      </c>
    </row>
    <row r="23" spans="1:15" ht="18" customHeight="1" x14ac:dyDescent="0.35">
      <c r="A23" s="25" t="s">
        <v>34</v>
      </c>
      <c r="B23" s="8">
        <f>'Revenue Impact'!J71</f>
        <v>0</v>
      </c>
      <c r="C23" s="8">
        <f>'Monthly Actuals'!J73</f>
        <v>0</v>
      </c>
      <c r="D23" s="9">
        <f t="shared" si="4"/>
        <v>0</v>
      </c>
      <c r="E23" s="8">
        <f>'Cost Plan'!J55</f>
        <v>0</v>
      </c>
      <c r="F23" s="8">
        <f>'Monthly Actuals'!J127</f>
        <v>0</v>
      </c>
      <c r="G23" s="9">
        <f t="shared" si="5"/>
        <v>0</v>
      </c>
      <c r="H23" s="26">
        <f t="shared" ref="H23:I23" si="12">B23-E23</f>
        <v>0</v>
      </c>
      <c r="I23" s="26">
        <f t="shared" si="12"/>
        <v>0</v>
      </c>
    </row>
    <row r="24" spans="1:15" ht="18" customHeight="1" x14ac:dyDescent="0.35">
      <c r="A24" s="27" t="s">
        <v>35</v>
      </c>
      <c r="B24" s="3">
        <f>'Revenue Impact'!K71</f>
        <v>0</v>
      </c>
      <c r="C24" s="3">
        <f>'Monthly Actuals'!K73</f>
        <v>0</v>
      </c>
      <c r="D24" s="4">
        <f t="shared" si="4"/>
        <v>0</v>
      </c>
      <c r="E24" s="3">
        <f>'Cost Plan'!K55</f>
        <v>0</v>
      </c>
      <c r="F24" s="3">
        <f>'Monthly Actuals'!K127</f>
        <v>0</v>
      </c>
      <c r="G24" s="4">
        <f t="shared" si="5"/>
        <v>0</v>
      </c>
      <c r="H24" s="28">
        <f t="shared" ref="H24:I24" si="13">B24-E24</f>
        <v>0</v>
      </c>
      <c r="I24" s="28">
        <f t="shared" si="13"/>
        <v>0</v>
      </c>
    </row>
    <row r="25" spans="1:15" ht="18" customHeight="1" x14ac:dyDescent="0.35">
      <c r="A25" s="25" t="s">
        <v>36</v>
      </c>
      <c r="B25" s="8">
        <f>'Revenue Impact'!L71</f>
        <v>0</v>
      </c>
      <c r="C25" s="8">
        <f>'Monthly Actuals'!L73</f>
        <v>0</v>
      </c>
      <c r="D25" s="9">
        <f t="shared" si="4"/>
        <v>0</v>
      </c>
      <c r="E25" s="8">
        <f>'Cost Plan'!L55</f>
        <v>0</v>
      </c>
      <c r="F25" s="8">
        <f>'Monthly Actuals'!L127</f>
        <v>0</v>
      </c>
      <c r="G25" s="9">
        <f t="shared" si="5"/>
        <v>0</v>
      </c>
      <c r="H25" s="26">
        <f t="shared" ref="H25:I25" si="14">B25-E25</f>
        <v>0</v>
      </c>
      <c r="I25" s="26">
        <f t="shared" si="14"/>
        <v>0</v>
      </c>
    </row>
    <row r="26" spans="1:15" ht="18" customHeight="1" x14ac:dyDescent="0.35">
      <c r="A26" s="27" t="s">
        <v>37</v>
      </c>
      <c r="B26" s="3">
        <f>'Revenue Impact'!M71</f>
        <v>0</v>
      </c>
      <c r="C26" s="3">
        <f>'Monthly Actuals'!M73</f>
        <v>0</v>
      </c>
      <c r="D26" s="4">
        <f t="shared" si="4"/>
        <v>0</v>
      </c>
      <c r="E26" s="3">
        <f>'Cost Plan'!M55</f>
        <v>0</v>
      </c>
      <c r="F26" s="3">
        <f>'Monthly Actuals'!M127</f>
        <v>0</v>
      </c>
      <c r="G26" s="4">
        <f t="shared" si="5"/>
        <v>0</v>
      </c>
      <c r="H26" s="28">
        <f t="shared" ref="H26:I26" si="15">B26-E26</f>
        <v>0</v>
      </c>
      <c r="I26" s="28">
        <f t="shared" si="15"/>
        <v>0</v>
      </c>
    </row>
    <row r="27" spans="1:15" ht="18" customHeight="1" x14ac:dyDescent="0.35">
      <c r="A27" s="25" t="s">
        <v>38</v>
      </c>
      <c r="B27" s="8">
        <f>'Revenue Impact'!N71</f>
        <v>0</v>
      </c>
      <c r="C27" s="8">
        <f>'Monthly Actuals'!N73</f>
        <v>0</v>
      </c>
      <c r="D27" s="9">
        <f t="shared" si="4"/>
        <v>0</v>
      </c>
      <c r="E27" s="8">
        <f>'Cost Plan'!N55</f>
        <v>0</v>
      </c>
      <c r="F27" s="8">
        <f>'Monthly Actuals'!N127</f>
        <v>0</v>
      </c>
      <c r="G27" s="9">
        <f t="shared" si="5"/>
        <v>0</v>
      </c>
      <c r="H27" s="26">
        <f t="shared" ref="H27:I27" si="16">B27-E27</f>
        <v>0</v>
      </c>
      <c r="I27" s="26">
        <f t="shared" si="16"/>
        <v>0</v>
      </c>
    </row>
    <row r="28" spans="1:15" ht="18" customHeight="1" x14ac:dyDescent="0.35">
      <c r="A28" s="27" t="s">
        <v>39</v>
      </c>
      <c r="B28" s="3">
        <f>'Revenue Impact'!O71</f>
        <v>0</v>
      </c>
      <c r="C28" s="3">
        <f>'Monthly Actuals'!O73</f>
        <v>0</v>
      </c>
      <c r="D28" s="4">
        <f t="shared" si="4"/>
        <v>0</v>
      </c>
      <c r="E28" s="3">
        <f>'Cost Plan'!O55</f>
        <v>0</v>
      </c>
      <c r="F28" s="3">
        <f>'Monthly Actuals'!O127</f>
        <v>0</v>
      </c>
      <c r="G28" s="4">
        <f t="shared" si="5"/>
        <v>0</v>
      </c>
      <c r="H28" s="28">
        <f t="shared" ref="H28:I28" si="17">B28-E28</f>
        <v>0</v>
      </c>
      <c r="I28" s="28">
        <f t="shared" si="17"/>
        <v>0</v>
      </c>
    </row>
    <row r="29" spans="1:15" ht="9.75" customHeight="1" x14ac:dyDescent="0.35"/>
    <row r="30" spans="1:15" ht="15.75" customHeight="1" x14ac:dyDescent="0.35">
      <c r="A30" s="140" t="s">
        <v>40</v>
      </c>
      <c r="B30" s="126"/>
      <c r="C30" s="126"/>
      <c r="D30" s="126"/>
      <c r="E30" s="126"/>
      <c r="F30" s="126"/>
      <c r="G30" s="126"/>
      <c r="H30" s="126"/>
      <c r="I30" s="126"/>
      <c r="J30" s="126"/>
      <c r="K30" s="126"/>
      <c r="L30" s="126"/>
      <c r="M30" s="126"/>
      <c r="N30" s="126"/>
      <c r="O30" s="123"/>
    </row>
    <row r="31" spans="1:15" ht="21.75" customHeight="1" x14ac:dyDescent="0.35">
      <c r="A31" s="1" t="s">
        <v>41</v>
      </c>
      <c r="B31" s="1" t="s">
        <v>42</v>
      </c>
      <c r="C31" s="1" t="s">
        <v>43</v>
      </c>
      <c r="D31" s="1" t="s">
        <v>14</v>
      </c>
      <c r="E31" s="1" t="s">
        <v>44</v>
      </c>
      <c r="F31" s="1" t="s">
        <v>45</v>
      </c>
      <c r="G31" s="1" t="s">
        <v>12</v>
      </c>
      <c r="H31" s="1" t="s">
        <v>46</v>
      </c>
      <c r="I31" s="1" t="s">
        <v>47</v>
      </c>
    </row>
    <row r="32" spans="1:15" ht="18" customHeight="1" x14ac:dyDescent="0.35">
      <c r="A32" s="29">
        <v>1</v>
      </c>
      <c r="B32" s="30" t="str">
        <f>'Initiative Register'!B5</f>
        <v>INI-001</v>
      </c>
      <c r="C32" s="30" t="str">
        <f>'Initiative Register'!C5</f>
        <v>Campaign- Patient experience improvement</v>
      </c>
      <c r="D32" s="31" t="str">
        <f>'Initiative Register'!R5</f>
        <v>Completed</v>
      </c>
      <c r="E32" s="8">
        <f>'Cost Plan'!P5</f>
        <v>0</v>
      </c>
      <c r="F32" s="8">
        <f>'Monthly Actuals'!P77</f>
        <v>0</v>
      </c>
      <c r="G32" s="9">
        <f t="shared" ref="G32:G51" si="18">F32-E32</f>
        <v>0</v>
      </c>
      <c r="H32" s="10" t="str">
        <f t="shared" ref="H32:H51" si="19">IFERROR(IF(E32=0,"",G32/E32),"" )</f>
        <v/>
      </c>
      <c r="I32" s="32" t="str">
        <f>'Variance Analysis'!X5</f>
        <v/>
      </c>
    </row>
    <row r="33" spans="1:9" ht="18" customHeight="1" x14ac:dyDescent="0.35">
      <c r="A33" s="33">
        <v>2</v>
      </c>
      <c r="B33" s="34" t="str">
        <f>'Initiative Register'!B6</f>
        <v/>
      </c>
      <c r="C33" s="34">
        <f>'Initiative Register'!C6</f>
        <v>0</v>
      </c>
      <c r="D33" s="35">
        <f>'Initiative Register'!R6</f>
        <v>0</v>
      </c>
      <c r="E33" s="3">
        <f>'Cost Plan'!P6</f>
        <v>0</v>
      </c>
      <c r="F33" s="3">
        <f>'Monthly Actuals'!P78</f>
        <v>0</v>
      </c>
      <c r="G33" s="4">
        <f t="shared" si="18"/>
        <v>0</v>
      </c>
      <c r="H33" s="5" t="str">
        <f t="shared" si="19"/>
        <v/>
      </c>
      <c r="I33" s="36" t="str">
        <f>'Variance Analysis'!X6</f>
        <v/>
      </c>
    </row>
    <row r="34" spans="1:9" ht="18" customHeight="1" x14ac:dyDescent="0.35">
      <c r="A34" s="29">
        <v>3</v>
      </c>
      <c r="B34" s="30" t="str">
        <f>'Initiative Register'!B7</f>
        <v>INI-003</v>
      </c>
      <c r="C34" s="30" t="str">
        <f>'Initiative Register'!C7</f>
        <v>Geriatric ward</v>
      </c>
      <c r="D34" s="31" t="str">
        <f>'Initiative Register'!R7</f>
        <v>Not Started</v>
      </c>
      <c r="E34" s="8">
        <f>'Cost Plan'!P7</f>
        <v>0</v>
      </c>
      <c r="F34" s="8">
        <f>'Monthly Actuals'!P79</f>
        <v>0</v>
      </c>
      <c r="G34" s="9">
        <f t="shared" si="18"/>
        <v>0</v>
      </c>
      <c r="H34" s="10" t="str">
        <f t="shared" si="19"/>
        <v/>
      </c>
      <c r="I34" s="32" t="str">
        <f>'Variance Analysis'!X7</f>
        <v/>
      </c>
    </row>
    <row r="35" spans="1:9" ht="18" customHeight="1" x14ac:dyDescent="0.35">
      <c r="A35" s="33">
        <v>4</v>
      </c>
      <c r="B35" s="34" t="str">
        <f>'Initiative Register'!B8</f>
        <v>INI-004</v>
      </c>
      <c r="C35" s="34" t="str">
        <f>'Initiative Register'!C8</f>
        <v>Appointment of Specialized Doctors and development of existing department</v>
      </c>
      <c r="D35" s="35" t="str">
        <f>'Initiative Register'!R8</f>
        <v>Not Started</v>
      </c>
      <c r="E35" s="3">
        <f>'Cost Plan'!P8</f>
        <v>0</v>
      </c>
      <c r="F35" s="3">
        <f>'Monthly Actuals'!P80</f>
        <v>0</v>
      </c>
      <c r="G35" s="4">
        <f t="shared" si="18"/>
        <v>0</v>
      </c>
      <c r="H35" s="5" t="str">
        <f t="shared" si="19"/>
        <v/>
      </c>
      <c r="I35" s="36" t="str">
        <f>'Variance Analysis'!X8</f>
        <v/>
      </c>
    </row>
    <row r="36" spans="1:9" ht="18" customHeight="1" x14ac:dyDescent="0.35">
      <c r="A36" s="29">
        <v>5</v>
      </c>
      <c r="B36" s="30" t="str">
        <f>'Initiative Register'!B9</f>
        <v>INI-005</v>
      </c>
      <c r="C36" s="30" t="str">
        <f>'Initiative Register'!C9</f>
        <v>Patient companion</v>
      </c>
      <c r="D36" s="31" t="str">
        <f>'Initiative Register'!R9</f>
        <v>Not Started</v>
      </c>
      <c r="E36" s="8">
        <f>'Cost Plan'!P9</f>
        <v>0</v>
      </c>
      <c r="F36" s="8">
        <f>'Monthly Actuals'!P81</f>
        <v>0</v>
      </c>
      <c r="G36" s="9">
        <f t="shared" si="18"/>
        <v>0</v>
      </c>
      <c r="H36" s="10" t="str">
        <f t="shared" si="19"/>
        <v/>
      </c>
      <c r="I36" s="32" t="str">
        <f>'Variance Analysis'!X9</f>
        <v/>
      </c>
    </row>
    <row r="37" spans="1:9" ht="18" customHeight="1" x14ac:dyDescent="0.35">
      <c r="A37" s="33">
        <v>6</v>
      </c>
      <c r="B37" s="34" t="str">
        <f>'Initiative Register'!B10</f>
        <v>INI-006</v>
      </c>
      <c r="C37" s="34" t="str">
        <f>'Initiative Register'!C10</f>
        <v xml:space="preserve">Newborn Care Enhancement </v>
      </c>
      <c r="D37" s="35" t="str">
        <f>'Initiative Register'!R10</f>
        <v>Not Started</v>
      </c>
      <c r="E37" s="3">
        <f>'Cost Plan'!P10</f>
        <v>0</v>
      </c>
      <c r="F37" s="3">
        <f>'Monthly Actuals'!P82</f>
        <v>0</v>
      </c>
      <c r="G37" s="4">
        <f t="shared" si="18"/>
        <v>0</v>
      </c>
      <c r="H37" s="5" t="str">
        <f t="shared" si="19"/>
        <v/>
      </c>
      <c r="I37" s="36" t="str">
        <f>'Variance Analysis'!X10</f>
        <v/>
      </c>
    </row>
    <row r="38" spans="1:9" ht="18" customHeight="1" x14ac:dyDescent="0.35">
      <c r="A38" s="29">
        <v>7</v>
      </c>
      <c r="B38" s="30" t="str">
        <f>'Initiative Register'!B11</f>
        <v>INI-007</v>
      </c>
      <c r="C38" s="30" t="str">
        <f>'Initiative Register'!C11</f>
        <v>Digital Patient Acquisition Funnel</v>
      </c>
      <c r="D38" s="31" t="str">
        <f>'Initiative Register'!R11</f>
        <v>Not Started</v>
      </c>
      <c r="E38" s="8">
        <f>'Cost Plan'!P11</f>
        <v>0</v>
      </c>
      <c r="F38" s="8">
        <f>'Monthly Actuals'!P83</f>
        <v>0</v>
      </c>
      <c r="G38" s="9">
        <f t="shared" si="18"/>
        <v>0</v>
      </c>
      <c r="H38" s="10" t="str">
        <f t="shared" si="19"/>
        <v/>
      </c>
      <c r="I38" s="32" t="str">
        <f>'Variance Analysis'!X11</f>
        <v/>
      </c>
    </row>
    <row r="39" spans="1:9" ht="18" customHeight="1" x14ac:dyDescent="0.35">
      <c r="A39" s="33">
        <v>8</v>
      </c>
      <c r="B39" s="34" t="str">
        <f>'Initiative Register'!B12</f>
        <v>INI-008</v>
      </c>
      <c r="C39" s="34" t="str">
        <f>'Initiative Register'!C12</f>
        <v>Development of KPI for Doctors</v>
      </c>
      <c r="D39" s="35" t="str">
        <f>'Initiative Register'!R12</f>
        <v>Not Started</v>
      </c>
      <c r="E39" s="3">
        <f>'Cost Plan'!P12</f>
        <v>0</v>
      </c>
      <c r="F39" s="3">
        <f>'Monthly Actuals'!P84</f>
        <v>0</v>
      </c>
      <c r="G39" s="4">
        <f t="shared" si="18"/>
        <v>0</v>
      </c>
      <c r="H39" s="5" t="str">
        <f t="shared" si="19"/>
        <v/>
      </c>
      <c r="I39" s="36" t="str">
        <f>'Variance Analysis'!X12</f>
        <v/>
      </c>
    </row>
    <row r="40" spans="1:9" ht="18" customHeight="1" x14ac:dyDescent="0.35">
      <c r="A40" s="29">
        <v>9</v>
      </c>
      <c r="B40" s="30" t="str">
        <f>'Initiative Register'!B13</f>
        <v>INI-009</v>
      </c>
      <c r="C40" s="30" t="str">
        <f>'Initiative Register'!C13</f>
        <v>Daycare and Minimaly Invasive Shift</v>
      </c>
      <c r="D40" s="31" t="str">
        <f>'Initiative Register'!R13</f>
        <v>Not Started</v>
      </c>
      <c r="E40" s="8">
        <f>'Cost Plan'!P13</f>
        <v>0</v>
      </c>
      <c r="F40" s="8">
        <f>'Monthly Actuals'!P85</f>
        <v>0</v>
      </c>
      <c r="G40" s="9">
        <f t="shared" si="18"/>
        <v>0</v>
      </c>
      <c r="H40" s="10" t="str">
        <f t="shared" si="19"/>
        <v/>
      </c>
      <c r="I40" s="32" t="str">
        <f>'Variance Analysis'!X13</f>
        <v/>
      </c>
    </row>
    <row r="41" spans="1:9" ht="18" customHeight="1" x14ac:dyDescent="0.35">
      <c r="A41" s="33">
        <v>10</v>
      </c>
      <c r="B41" s="34" t="str">
        <f>'Initiative Register'!B14</f>
        <v>INI-010</v>
      </c>
      <c r="C41" s="34" t="str">
        <f>'Initiative Register'!C14</f>
        <v>Consumables standardization model</v>
      </c>
      <c r="D41" s="35" t="str">
        <f>'Initiative Register'!R14</f>
        <v>Not Started</v>
      </c>
      <c r="E41" s="3">
        <f>'Cost Plan'!P14</f>
        <v>0</v>
      </c>
      <c r="F41" s="3">
        <f>'Monthly Actuals'!P86</f>
        <v>0</v>
      </c>
      <c r="G41" s="4">
        <f t="shared" si="18"/>
        <v>0</v>
      </c>
      <c r="H41" s="5" t="str">
        <f t="shared" si="19"/>
        <v/>
      </c>
      <c r="I41" s="36" t="str">
        <f>'Variance Analysis'!X14</f>
        <v/>
      </c>
    </row>
    <row r="42" spans="1:9" ht="18" customHeight="1" x14ac:dyDescent="0.35">
      <c r="A42" s="29">
        <v>11</v>
      </c>
      <c r="B42" s="30" t="str">
        <f>'Initiative Register'!B15</f>
        <v>INI-011</v>
      </c>
      <c r="C42" s="30" t="str">
        <f>'Initiative Register'!C15</f>
        <v>Collaboration with other Hospitals</v>
      </c>
      <c r="D42" s="31" t="str">
        <f>'Initiative Register'!R15</f>
        <v>Not Started</v>
      </c>
      <c r="E42" s="8">
        <f>'Cost Plan'!P15</f>
        <v>0</v>
      </c>
      <c r="F42" s="8">
        <f>'Monthly Actuals'!P87</f>
        <v>0</v>
      </c>
      <c r="G42" s="9">
        <f t="shared" si="18"/>
        <v>0</v>
      </c>
      <c r="H42" s="10" t="str">
        <f t="shared" si="19"/>
        <v/>
      </c>
      <c r="I42" s="32" t="str">
        <f>'Variance Analysis'!X15</f>
        <v/>
      </c>
    </row>
    <row r="43" spans="1:9" ht="18" customHeight="1" x14ac:dyDescent="0.35">
      <c r="A43" s="33">
        <v>12</v>
      </c>
      <c r="B43" s="34" t="str">
        <f>'Initiative Register'!B16</f>
        <v>INI-012</v>
      </c>
      <c r="C43" s="34" t="str">
        <f>'Initiative Register'!C16</f>
        <v>ANNUAL RATE REVISION POLICY</v>
      </c>
      <c r="D43" s="35" t="str">
        <f>'Initiative Register'!R16</f>
        <v>Not Started</v>
      </c>
      <c r="E43" s="3">
        <f>'Cost Plan'!P16</f>
        <v>0</v>
      </c>
      <c r="F43" s="3">
        <f>'Monthly Actuals'!P88</f>
        <v>0</v>
      </c>
      <c r="G43" s="4">
        <f t="shared" si="18"/>
        <v>0</v>
      </c>
      <c r="H43" s="5" t="str">
        <f t="shared" si="19"/>
        <v/>
      </c>
      <c r="I43" s="36" t="str">
        <f>'Variance Analysis'!X16</f>
        <v/>
      </c>
    </row>
    <row r="44" spans="1:9" ht="18" customHeight="1" x14ac:dyDescent="0.35">
      <c r="A44" s="29">
        <v>13</v>
      </c>
      <c r="B44" s="30" t="str">
        <f>'Initiative Register'!B17</f>
        <v>INI-013</v>
      </c>
      <c r="C44" s="30" t="str">
        <f>'Initiative Register'!C17</f>
        <v>PROCEDURE CONTRIBUTION AUDIT AND REPRICING</v>
      </c>
      <c r="D44" s="31" t="str">
        <f>'Initiative Register'!R17</f>
        <v>Not Started</v>
      </c>
      <c r="E44" s="8">
        <f>'Cost Plan'!P17</f>
        <v>0</v>
      </c>
      <c r="F44" s="8">
        <f>'Monthly Actuals'!P89</f>
        <v>0</v>
      </c>
      <c r="G44" s="9">
        <f t="shared" si="18"/>
        <v>0</v>
      </c>
      <c r="H44" s="10" t="str">
        <f t="shared" si="19"/>
        <v/>
      </c>
      <c r="I44" s="32" t="str">
        <f>'Variance Analysis'!X17</f>
        <v/>
      </c>
    </row>
    <row r="45" spans="1:9" ht="18" customHeight="1" x14ac:dyDescent="0.35">
      <c r="A45" s="33">
        <v>14</v>
      </c>
      <c r="B45" s="34" t="str">
        <f>'Initiative Register'!B18</f>
        <v>INI-014</v>
      </c>
      <c r="C45" s="34" t="str">
        <f>'Initiative Register'!C18</f>
        <v>INSURANCE CHARGE CAPTURE — BILL WHAT IS COVERED</v>
      </c>
      <c r="D45" s="35" t="str">
        <f>'Initiative Register'!R18</f>
        <v>Not Started</v>
      </c>
      <c r="E45" s="3">
        <f>'Cost Plan'!P18</f>
        <v>0</v>
      </c>
      <c r="F45" s="3">
        <f>'Monthly Actuals'!P90</f>
        <v>0</v>
      </c>
      <c r="G45" s="4">
        <f t="shared" si="18"/>
        <v>0</v>
      </c>
      <c r="H45" s="5" t="str">
        <f t="shared" si="19"/>
        <v/>
      </c>
      <c r="I45" s="36" t="str">
        <f>'Variance Analysis'!X18</f>
        <v/>
      </c>
    </row>
    <row r="46" spans="1:9" ht="18" customHeight="1" x14ac:dyDescent="0.35">
      <c r="A46" s="29">
        <v>15</v>
      </c>
      <c r="B46" s="30" t="str">
        <f>'Initiative Register'!B19</f>
        <v>INI-015</v>
      </c>
      <c r="C46" s="30" t="str">
        <f>'Initiative Register'!C19</f>
        <v>SATELLITE CLINIC NETWORK — SURGEON-LED OFF-CAMPUS OPDs</v>
      </c>
      <c r="D46" s="31" t="str">
        <f>'Initiative Register'!R19</f>
        <v>Not Started</v>
      </c>
      <c r="E46" s="8">
        <f>'Cost Plan'!P19</f>
        <v>0</v>
      </c>
      <c r="F46" s="8">
        <f>'Monthly Actuals'!P91</f>
        <v>0</v>
      </c>
      <c r="G46" s="9">
        <f t="shared" si="18"/>
        <v>0</v>
      </c>
      <c r="H46" s="10" t="str">
        <f t="shared" si="19"/>
        <v/>
      </c>
      <c r="I46" s="32" t="str">
        <f>'Variance Analysis'!X19</f>
        <v/>
      </c>
    </row>
    <row r="47" spans="1:9" ht="18" customHeight="1" x14ac:dyDescent="0.35">
      <c r="A47" s="33">
        <v>16</v>
      </c>
      <c r="B47" s="34" t="str">
        <f>'Initiative Register'!B20</f>
        <v>INI-016</v>
      </c>
      <c r="C47" s="34" t="str">
        <f>'Initiative Register'!C20</f>
        <v>CORPORATE HEALTH PROGRAMME</v>
      </c>
      <c r="D47" s="35" t="str">
        <f>'Initiative Register'!R20</f>
        <v>Not Started</v>
      </c>
      <c r="E47" s="3">
        <f>'Cost Plan'!P20</f>
        <v>0</v>
      </c>
      <c r="F47" s="3">
        <f>'Monthly Actuals'!P92</f>
        <v>0</v>
      </c>
      <c r="G47" s="4">
        <f t="shared" si="18"/>
        <v>0</v>
      </c>
      <c r="H47" s="5" t="str">
        <f t="shared" si="19"/>
        <v/>
      </c>
      <c r="I47" s="36" t="str">
        <f>'Variance Analysis'!X20</f>
        <v/>
      </c>
    </row>
    <row r="48" spans="1:9" ht="18" customHeight="1" x14ac:dyDescent="0.35">
      <c r="A48" s="29">
        <v>17</v>
      </c>
      <c r="B48" s="30" t="str">
        <f>'Initiative Register'!B21</f>
        <v>INI-017</v>
      </c>
      <c r="C48" s="30" t="str">
        <f>'Initiative Register'!C21</f>
        <v>RESIDENTIAL COLONY AND COMMUNITY HEALTH PROGRAMMES</v>
      </c>
      <c r="D48" s="31" t="str">
        <f>'Initiative Register'!R21</f>
        <v>Not Started</v>
      </c>
      <c r="E48" s="8">
        <f>'Cost Plan'!P21</f>
        <v>0</v>
      </c>
      <c r="F48" s="8">
        <f>'Monthly Actuals'!P93</f>
        <v>0</v>
      </c>
      <c r="G48" s="9">
        <f t="shared" si="18"/>
        <v>0</v>
      </c>
      <c r="H48" s="10" t="str">
        <f t="shared" si="19"/>
        <v/>
      </c>
      <c r="I48" s="32" t="str">
        <f>'Variance Analysis'!X21</f>
        <v/>
      </c>
    </row>
    <row r="49" spans="1:9" ht="18" customHeight="1" x14ac:dyDescent="0.35">
      <c r="A49" s="33">
        <v>18</v>
      </c>
      <c r="B49" s="34" t="str">
        <f>'Initiative Register'!B22</f>
        <v>INI-018</v>
      </c>
      <c r="C49" s="34" t="str">
        <f>'Initiative Register'!C22</f>
        <v>INTERNATIONAL MEDICAL VALUE TOURISM — GULF, MALDIVES, BANGLADESH</v>
      </c>
      <c r="D49" s="35" t="str">
        <f>'Initiative Register'!R22</f>
        <v>Not Started</v>
      </c>
      <c r="E49" s="3">
        <f>'Cost Plan'!P22</f>
        <v>0</v>
      </c>
      <c r="F49" s="3">
        <f>'Monthly Actuals'!P94</f>
        <v>0</v>
      </c>
      <c r="G49" s="4">
        <f t="shared" si="18"/>
        <v>0</v>
      </c>
      <c r="H49" s="5" t="str">
        <f t="shared" si="19"/>
        <v/>
      </c>
      <c r="I49" s="36" t="str">
        <f>'Variance Analysis'!X22</f>
        <v/>
      </c>
    </row>
    <row r="50" spans="1:9" ht="18" customHeight="1" x14ac:dyDescent="0.35">
      <c r="A50" s="29">
        <v>19</v>
      </c>
      <c r="B50" s="30" t="str">
        <f>'Initiative Register'!B23</f>
        <v>INI-019</v>
      </c>
      <c r="C50" s="30" t="str">
        <f>'Initiative Register'!C23</f>
        <v>STRUCTURED REFERRAL DOCTOR PROGRAMME</v>
      </c>
      <c r="D50" s="31" t="str">
        <f>'Initiative Register'!R23</f>
        <v>Not Started</v>
      </c>
      <c r="E50" s="8">
        <f>'Cost Plan'!P23</f>
        <v>0</v>
      </c>
      <c r="F50" s="8">
        <f>'Monthly Actuals'!P95</f>
        <v>0</v>
      </c>
      <c r="G50" s="9">
        <f t="shared" si="18"/>
        <v>0</v>
      </c>
      <c r="H50" s="10" t="str">
        <f t="shared" si="19"/>
        <v/>
      </c>
      <c r="I50" s="32" t="str">
        <f>'Variance Analysis'!X23</f>
        <v/>
      </c>
    </row>
    <row r="51" spans="1:9" ht="18" customHeight="1" x14ac:dyDescent="0.35">
      <c r="A51" s="33">
        <v>20</v>
      </c>
      <c r="B51" s="34" t="str">
        <f>'Initiative Register'!B24</f>
        <v>INI-020</v>
      </c>
      <c r="C51" s="34" t="str">
        <f>'Initiative Register'!C24</f>
        <v>CME AND CLINICAL CONNECT PROGRAMME</v>
      </c>
      <c r="D51" s="35" t="str">
        <f>'Initiative Register'!R24</f>
        <v>Not Started</v>
      </c>
      <c r="E51" s="3">
        <f>'Cost Plan'!P24</f>
        <v>0</v>
      </c>
      <c r="F51" s="3">
        <f>'Monthly Actuals'!P96</f>
        <v>0</v>
      </c>
      <c r="G51" s="4">
        <f t="shared" si="18"/>
        <v>0</v>
      </c>
      <c r="H51" s="5" t="str">
        <f t="shared" si="19"/>
        <v/>
      </c>
      <c r="I51" s="36" t="str">
        <f>'Variance Analysis'!X24</f>
        <v/>
      </c>
    </row>
    <row r="52" spans="1:9" ht="14.25" customHeight="1" x14ac:dyDescent="0.35"/>
    <row r="53" spans="1:9" ht="14.25" customHeight="1" x14ac:dyDescent="0.35"/>
    <row r="54" spans="1:9" ht="14.25" customHeight="1" x14ac:dyDescent="0.35"/>
    <row r="55" spans="1:9" ht="14.25" customHeight="1" x14ac:dyDescent="0.35"/>
    <row r="56" spans="1:9" ht="14.25" customHeight="1" x14ac:dyDescent="0.35"/>
    <row r="57" spans="1:9" ht="14.25" customHeight="1" x14ac:dyDescent="0.35"/>
    <row r="58" spans="1:9" ht="14.25" customHeight="1" x14ac:dyDescent="0.35"/>
    <row r="59" spans="1:9" ht="14.25" customHeight="1" x14ac:dyDescent="0.35"/>
    <row r="60" spans="1:9" ht="14.25" customHeight="1" x14ac:dyDescent="0.35"/>
    <row r="61" spans="1:9" ht="14.25" customHeight="1" x14ac:dyDescent="0.35"/>
    <row r="62" spans="1:9" ht="14.25" customHeight="1" x14ac:dyDescent="0.35"/>
    <row r="63" spans="1:9" ht="14.25" customHeight="1" x14ac:dyDescent="0.35"/>
    <row r="64" spans="1:9"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24">
    <mergeCell ref="A9:O9"/>
    <mergeCell ref="A15:O15"/>
    <mergeCell ref="A30:O30"/>
    <mergeCell ref="A6:B6"/>
    <mergeCell ref="C6:D6"/>
    <mergeCell ref="E6:F6"/>
    <mergeCell ref="G6:H6"/>
    <mergeCell ref="I6:J6"/>
    <mergeCell ref="K6:L6"/>
    <mergeCell ref="A7:B7"/>
    <mergeCell ref="C7:D7"/>
    <mergeCell ref="E7:F7"/>
    <mergeCell ref="G7:H7"/>
    <mergeCell ref="I7:J7"/>
    <mergeCell ref="K7:L7"/>
    <mergeCell ref="I5:J5"/>
    <mergeCell ref="K5:L5"/>
    <mergeCell ref="A1:O1"/>
    <mergeCell ref="A2:O2"/>
    <mergeCell ref="A4:O4"/>
    <mergeCell ref="A5:B5"/>
    <mergeCell ref="C5:D5"/>
    <mergeCell ref="E5:F5"/>
    <mergeCell ref="G5:H5"/>
  </mergeCells>
  <conditionalFormatting sqref="D32:D51">
    <cfRule type="expression" dxfId="6" priority="1">
      <formula>D32="Delayed"</formula>
    </cfRule>
  </conditionalFormatting>
  <conditionalFormatting sqref="F11:F13">
    <cfRule type="expression" dxfId="5" priority="2">
      <formula>F11="▼ BEHIND"</formula>
    </cfRule>
    <cfRule type="expression" dxfId="4" priority="3">
      <formula>F11="▲ AHEAD"</formula>
    </cfRule>
  </conditionalFormatting>
  <conditionalFormatting sqref="H32:H51">
    <cfRule type="expression" dxfId="3" priority="4">
      <formula>H32&gt;0.1</formula>
    </cfRule>
  </conditionalFormatting>
  <conditionalFormatting sqref="I32:I51">
    <cfRule type="expression" dxfId="2" priority="5">
      <formula>I32="OVER BUDGET"</formula>
    </cfRule>
  </conditionalFormatting>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4472C4"/>
  </sheetPr>
  <dimension ref="A1:Z153"/>
  <sheetViews>
    <sheetView showGridLines="0" tabSelected="1" zoomScale="70" zoomScaleNormal="70" workbookViewId="0">
      <pane ySplit="4" topLeftCell="A5" activePane="bottomLeft" state="frozen"/>
      <selection pane="bottomLeft" activeCell="A32" sqref="A32"/>
    </sheetView>
  </sheetViews>
  <sheetFormatPr defaultColWidth="14.453125" defaultRowHeight="15" customHeight="1" outlineLevelCol="1" x14ac:dyDescent="0.35"/>
  <cols>
    <col min="1" max="1" width="4" customWidth="1"/>
    <col min="2" max="2" width="14" customWidth="1"/>
    <col min="3" max="3" width="30" customWidth="1"/>
    <col min="4" max="4" width="22" customWidth="1"/>
    <col min="5" max="5" width="53.26953125" customWidth="1"/>
    <col min="6" max="6" width="18" customWidth="1"/>
    <col min="7" max="7" width="16" customWidth="1"/>
    <col min="8" max="10" width="11" customWidth="1"/>
    <col min="11" max="11" width="15.453125" bestFit="1" customWidth="1"/>
    <col min="12" max="12" width="15" style="110" customWidth="1"/>
    <col min="13" max="13" width="10.90625" hidden="1" customWidth="1" outlineLevel="1"/>
    <col min="14" max="14" width="16.81640625" hidden="1" customWidth="1" outlineLevel="1"/>
    <col min="15" max="15" width="20" style="110" customWidth="1" collapsed="1"/>
    <col min="16" max="16" width="13" customWidth="1"/>
    <col min="17" max="17" width="10" customWidth="1"/>
    <col min="18" max="18" width="14" customWidth="1"/>
    <col min="19" max="19" width="38" customWidth="1"/>
    <col min="20" max="26" width="8.54296875" customWidth="1"/>
  </cols>
  <sheetData>
    <row r="1" spans="1:20" ht="14.5" x14ac:dyDescent="0.35">
      <c r="A1" s="127" t="s">
        <v>168</v>
      </c>
      <c r="B1" s="126"/>
      <c r="C1" s="126"/>
      <c r="D1" s="126"/>
      <c r="E1" s="126"/>
      <c r="F1" s="126"/>
      <c r="G1" s="126"/>
      <c r="H1" s="126"/>
      <c r="I1" s="126"/>
      <c r="J1" s="126"/>
      <c r="K1" s="126"/>
      <c r="L1" s="126"/>
      <c r="M1" s="126"/>
      <c r="N1" s="126"/>
      <c r="O1" s="128"/>
      <c r="P1" s="126"/>
      <c r="Q1" s="126"/>
      <c r="R1" s="126"/>
      <c r="S1" s="123"/>
    </row>
    <row r="2" spans="1:20" ht="14.5" x14ac:dyDescent="0.35">
      <c r="A2" s="129"/>
      <c r="B2" s="126"/>
      <c r="C2" s="126"/>
      <c r="D2" s="126"/>
      <c r="E2" s="126"/>
      <c r="F2" s="126"/>
      <c r="G2" s="126"/>
      <c r="H2" s="126"/>
      <c r="I2" s="126"/>
      <c r="J2" s="126"/>
      <c r="K2" s="126"/>
      <c r="L2" s="126"/>
      <c r="M2" s="126"/>
      <c r="N2" s="126"/>
      <c r="O2" s="128"/>
      <c r="P2" s="126"/>
      <c r="Q2" s="126"/>
      <c r="R2" s="126"/>
      <c r="S2" s="123"/>
    </row>
    <row r="3" spans="1:20" ht="14.5" x14ac:dyDescent="0.35">
      <c r="A3" s="122" t="s">
        <v>169</v>
      </c>
      <c r="B3" s="123"/>
      <c r="C3" s="122" t="s">
        <v>170</v>
      </c>
      <c r="D3" s="126"/>
      <c r="E3" s="123"/>
      <c r="F3" s="122" t="s">
        <v>171</v>
      </c>
      <c r="G3" s="123"/>
      <c r="H3" s="122" t="s">
        <v>74</v>
      </c>
      <c r="I3" s="130"/>
      <c r="J3" s="1"/>
      <c r="K3" s="122" t="s">
        <v>172</v>
      </c>
      <c r="L3" s="123"/>
      <c r="M3" s="122" t="s">
        <v>173</v>
      </c>
      <c r="N3" s="123"/>
      <c r="O3" s="124" t="s">
        <v>174</v>
      </c>
      <c r="P3" s="123"/>
      <c r="Q3" s="122" t="s">
        <v>175</v>
      </c>
      <c r="R3" s="123"/>
      <c r="S3" s="1" t="s">
        <v>176</v>
      </c>
    </row>
    <row r="4" spans="1:20" ht="23" x14ac:dyDescent="0.35">
      <c r="A4" s="23" t="s">
        <v>41</v>
      </c>
      <c r="B4" s="23" t="s">
        <v>42</v>
      </c>
      <c r="C4" s="23" t="s">
        <v>43</v>
      </c>
      <c r="D4" s="23" t="s">
        <v>177</v>
      </c>
      <c r="E4" s="23" t="s">
        <v>178</v>
      </c>
      <c r="F4" s="23" t="s">
        <v>52</v>
      </c>
      <c r="G4" s="23" t="s">
        <v>179</v>
      </c>
      <c r="H4" s="23" t="s">
        <v>75</v>
      </c>
      <c r="I4" s="23" t="s">
        <v>76</v>
      </c>
      <c r="J4" s="23" t="s">
        <v>180</v>
      </c>
      <c r="K4" s="23" t="s">
        <v>181</v>
      </c>
      <c r="L4" s="102" t="s">
        <v>182</v>
      </c>
      <c r="M4" s="23" t="s">
        <v>183</v>
      </c>
      <c r="N4" s="23" t="s">
        <v>184</v>
      </c>
      <c r="O4" s="111" t="s">
        <v>185</v>
      </c>
      <c r="P4" s="23" t="s">
        <v>186</v>
      </c>
      <c r="Q4" s="23" t="s">
        <v>53</v>
      </c>
      <c r="R4" s="23" t="s">
        <v>14</v>
      </c>
      <c r="S4" s="23" t="s">
        <v>187</v>
      </c>
    </row>
    <row r="5" spans="1:20" s="85" customFormat="1" ht="34.5" x14ac:dyDescent="0.35">
      <c r="A5" s="82">
        <v>1</v>
      </c>
      <c r="B5" s="83" t="str">
        <f t="shared" ref="B5:B55" si="0">IF(C5&lt;&gt;"","INI-"&amp;TEXT(A5,"000"),"")</f>
        <v>INI-001</v>
      </c>
      <c r="C5" s="84" t="s">
        <v>188</v>
      </c>
      <c r="D5" s="84" t="s">
        <v>164</v>
      </c>
      <c r="E5" s="84" t="s">
        <v>189</v>
      </c>
      <c r="F5" s="84" t="s">
        <v>190</v>
      </c>
      <c r="G5" s="84" t="s">
        <v>191</v>
      </c>
      <c r="H5" s="84" t="s">
        <v>39</v>
      </c>
      <c r="I5" s="84" t="s">
        <v>39</v>
      </c>
      <c r="J5" s="82">
        <f t="shared" ref="J5:J77" si="1">IFERROR(IF(AND(H5&lt;&gt;"",I5&lt;&gt;""),MATCH(I5,{"Apr","May","Jun","Jul","Aug","Sep","Oct","Nov","Dec","Jan","Feb","Mar"},0)-MATCH(H5,{"Apr","May","Jun","Jul","Aug","Sep","Oct","Nov","Dec","Jan","Feb","Mar"},0)+1,""),"" )</f>
        <v>1</v>
      </c>
      <c r="K5" s="84"/>
      <c r="L5" s="103">
        <v>0</v>
      </c>
      <c r="M5" s="84"/>
      <c r="N5" s="84"/>
      <c r="O5" s="112">
        <v>0</v>
      </c>
      <c r="P5" s="84"/>
      <c r="Q5" s="84"/>
      <c r="R5" s="84" t="s">
        <v>3</v>
      </c>
      <c r="S5" s="84" t="s">
        <v>429</v>
      </c>
      <c r="T5" s="85" t="s">
        <v>426</v>
      </c>
    </row>
    <row r="6" spans="1:20" s="99" customFormat="1" ht="14.5" hidden="1" x14ac:dyDescent="0.35">
      <c r="A6" s="96">
        <f>+A5+1</f>
        <v>2</v>
      </c>
      <c r="B6" s="96" t="str">
        <f t="shared" si="0"/>
        <v/>
      </c>
      <c r="C6" s="98"/>
      <c r="D6" s="98"/>
      <c r="E6" s="98"/>
      <c r="F6" s="98"/>
      <c r="G6" s="98"/>
      <c r="H6" s="98"/>
      <c r="I6" s="98"/>
      <c r="J6" s="118"/>
      <c r="K6" s="98"/>
      <c r="L6" s="119"/>
      <c r="M6" s="98"/>
      <c r="N6" s="98"/>
      <c r="O6" s="120"/>
      <c r="P6" s="98"/>
      <c r="Q6" s="98"/>
      <c r="R6" s="97"/>
      <c r="S6" s="98"/>
    </row>
    <row r="7" spans="1:20" s="100" customFormat="1" ht="34.5" hidden="1" x14ac:dyDescent="0.35">
      <c r="A7" s="90">
        <f t="shared" ref="A7:A70" si="2">+A6+1</f>
        <v>3</v>
      </c>
      <c r="B7" s="90" t="str">
        <f t="shared" si="0"/>
        <v>INI-003</v>
      </c>
      <c r="C7" s="87" t="s">
        <v>194</v>
      </c>
      <c r="D7" s="87" t="s">
        <v>161</v>
      </c>
      <c r="E7" s="87" t="s">
        <v>195</v>
      </c>
      <c r="F7" s="87" t="s">
        <v>196</v>
      </c>
      <c r="G7" s="87" t="s">
        <v>197</v>
      </c>
      <c r="H7" s="87"/>
      <c r="I7" s="87"/>
      <c r="J7" s="88" t="str">
        <f t="shared" si="1"/>
        <v/>
      </c>
      <c r="K7" s="87"/>
      <c r="L7" s="105"/>
      <c r="M7" s="87"/>
      <c r="N7" s="87"/>
      <c r="O7" s="114"/>
      <c r="P7" s="87"/>
      <c r="Q7" s="87"/>
      <c r="R7" s="87" t="s">
        <v>7</v>
      </c>
      <c r="S7" s="87" t="s">
        <v>431</v>
      </c>
    </row>
    <row r="8" spans="1:20" s="100" customFormat="1" ht="34.5" hidden="1" x14ac:dyDescent="0.35">
      <c r="A8" s="90">
        <f t="shared" si="2"/>
        <v>4</v>
      </c>
      <c r="B8" s="90" t="str">
        <f t="shared" si="0"/>
        <v>INI-004</v>
      </c>
      <c r="C8" s="89" t="s">
        <v>198</v>
      </c>
      <c r="D8" s="89" t="s">
        <v>161</v>
      </c>
      <c r="E8" s="89" t="s">
        <v>199</v>
      </c>
      <c r="F8" s="89" t="s">
        <v>200</v>
      </c>
      <c r="G8" s="89" t="s">
        <v>201</v>
      </c>
      <c r="H8" s="89"/>
      <c r="I8" s="89"/>
      <c r="J8" s="90" t="str">
        <f t="shared" si="1"/>
        <v/>
      </c>
      <c r="K8" s="89"/>
      <c r="L8" s="106"/>
      <c r="M8" s="89"/>
      <c r="N8" s="89"/>
      <c r="O8" s="115"/>
      <c r="P8" s="89"/>
      <c r="Q8" s="89"/>
      <c r="R8" s="87" t="s">
        <v>7</v>
      </c>
      <c r="S8" s="89"/>
    </row>
    <row r="9" spans="1:20" s="100" customFormat="1" ht="57.5" hidden="1" x14ac:dyDescent="0.35">
      <c r="A9" s="90">
        <f t="shared" si="2"/>
        <v>5</v>
      </c>
      <c r="B9" s="90" t="str">
        <f t="shared" si="0"/>
        <v>INI-005</v>
      </c>
      <c r="C9" s="87" t="s">
        <v>202</v>
      </c>
      <c r="D9" s="87" t="s">
        <v>161</v>
      </c>
      <c r="E9" s="87" t="s">
        <v>203</v>
      </c>
      <c r="F9" s="87" t="s">
        <v>204</v>
      </c>
      <c r="G9" s="87" t="s">
        <v>205</v>
      </c>
      <c r="H9" s="87"/>
      <c r="I9" s="87"/>
      <c r="J9" s="88" t="str">
        <f t="shared" si="1"/>
        <v/>
      </c>
      <c r="K9" s="87"/>
      <c r="L9" s="105"/>
      <c r="M9" s="87"/>
      <c r="N9" s="87"/>
      <c r="O9" s="114"/>
      <c r="P9" s="87"/>
      <c r="Q9" s="87"/>
      <c r="R9" s="87" t="s">
        <v>7</v>
      </c>
      <c r="S9" s="87" t="s">
        <v>430</v>
      </c>
    </row>
    <row r="10" spans="1:20" s="100" customFormat="1" ht="46" hidden="1" x14ac:dyDescent="0.35">
      <c r="A10" s="90">
        <f t="shared" si="2"/>
        <v>6</v>
      </c>
      <c r="B10" s="90" t="str">
        <f t="shared" si="0"/>
        <v>INI-006</v>
      </c>
      <c r="C10" s="89" t="s">
        <v>206</v>
      </c>
      <c r="D10" s="89" t="s">
        <v>160</v>
      </c>
      <c r="E10" s="89" t="s">
        <v>207</v>
      </c>
      <c r="F10" s="89" t="s">
        <v>208</v>
      </c>
      <c r="G10" s="89" t="s">
        <v>209</v>
      </c>
      <c r="H10" s="89"/>
      <c r="I10" s="89"/>
      <c r="J10" s="90" t="str">
        <f t="shared" si="1"/>
        <v/>
      </c>
      <c r="K10" s="89"/>
      <c r="L10" s="106"/>
      <c r="M10" s="89"/>
      <c r="N10" s="89"/>
      <c r="O10" s="115"/>
      <c r="P10" s="89"/>
      <c r="Q10" s="89"/>
      <c r="R10" s="87" t="s">
        <v>7</v>
      </c>
      <c r="S10" s="89"/>
    </row>
    <row r="11" spans="1:20" s="100" customFormat="1" ht="34.5" x14ac:dyDescent="0.35">
      <c r="A11" s="90">
        <f t="shared" si="2"/>
        <v>7</v>
      </c>
      <c r="B11" s="90" t="str">
        <f t="shared" si="0"/>
        <v>INI-007</v>
      </c>
      <c r="C11" s="87" t="s">
        <v>210</v>
      </c>
      <c r="D11" s="87" t="s">
        <v>163</v>
      </c>
      <c r="E11" s="87" t="s">
        <v>211</v>
      </c>
      <c r="F11" s="87" t="s">
        <v>212</v>
      </c>
      <c r="G11" s="87" t="s">
        <v>213</v>
      </c>
      <c r="H11" s="121" t="s">
        <v>29</v>
      </c>
      <c r="I11" s="87" t="s">
        <v>39</v>
      </c>
      <c r="J11" s="88">
        <f t="shared" si="1"/>
        <v>11</v>
      </c>
      <c r="K11" s="87"/>
      <c r="L11" s="105"/>
      <c r="M11" s="87"/>
      <c r="N11" s="87"/>
      <c r="O11" s="114">
        <v>0</v>
      </c>
      <c r="P11" s="87"/>
      <c r="Q11" s="87"/>
      <c r="R11" s="87" t="s">
        <v>7</v>
      </c>
      <c r="S11" s="87"/>
    </row>
    <row r="12" spans="1:20" s="100" customFormat="1" ht="34.5" hidden="1" x14ac:dyDescent="0.35">
      <c r="A12" s="90">
        <f t="shared" si="2"/>
        <v>8</v>
      </c>
      <c r="B12" s="90" t="str">
        <f t="shared" si="0"/>
        <v>INI-008</v>
      </c>
      <c r="C12" s="89" t="s">
        <v>214</v>
      </c>
      <c r="D12" s="89" t="s">
        <v>161</v>
      </c>
      <c r="E12" s="89" t="s">
        <v>215</v>
      </c>
      <c r="F12" s="89" t="s">
        <v>204</v>
      </c>
      <c r="G12" s="89" t="s">
        <v>216</v>
      </c>
      <c r="H12" s="89"/>
      <c r="I12" s="89"/>
      <c r="J12" s="90" t="str">
        <f t="shared" si="1"/>
        <v/>
      </c>
      <c r="K12" s="89"/>
      <c r="L12" s="106"/>
      <c r="M12" s="89"/>
      <c r="N12" s="89"/>
      <c r="O12" s="115"/>
      <c r="P12" s="89"/>
      <c r="Q12" s="89"/>
      <c r="R12" s="87" t="s">
        <v>7</v>
      </c>
      <c r="S12" s="89"/>
    </row>
    <row r="13" spans="1:20" s="100" customFormat="1" ht="34.5" hidden="1" x14ac:dyDescent="0.35">
      <c r="A13" s="90">
        <f t="shared" si="2"/>
        <v>9</v>
      </c>
      <c r="B13" s="90" t="str">
        <f t="shared" si="0"/>
        <v>INI-009</v>
      </c>
      <c r="C13" s="87" t="s">
        <v>217</v>
      </c>
      <c r="D13" s="87" t="s">
        <v>160</v>
      </c>
      <c r="E13" s="87" t="s">
        <v>218</v>
      </c>
      <c r="F13" s="87" t="s">
        <v>208</v>
      </c>
      <c r="G13" s="87" t="s">
        <v>219</v>
      </c>
      <c r="H13" s="87"/>
      <c r="I13" s="87"/>
      <c r="J13" s="88" t="str">
        <f t="shared" si="1"/>
        <v/>
      </c>
      <c r="K13" s="87"/>
      <c r="L13" s="105"/>
      <c r="M13" s="87"/>
      <c r="N13" s="87"/>
      <c r="O13" s="114"/>
      <c r="P13" s="87"/>
      <c r="Q13" s="87"/>
      <c r="R13" s="87" t="s">
        <v>7</v>
      </c>
      <c r="S13" s="87"/>
    </row>
    <row r="14" spans="1:20" s="100" customFormat="1" ht="34.5" hidden="1" x14ac:dyDescent="0.35">
      <c r="A14" s="90">
        <f t="shared" si="2"/>
        <v>10</v>
      </c>
      <c r="B14" s="90" t="str">
        <f t="shared" si="0"/>
        <v>INI-010</v>
      </c>
      <c r="C14" s="89" t="s">
        <v>220</v>
      </c>
      <c r="D14" s="89" t="s">
        <v>166</v>
      </c>
      <c r="E14" s="89" t="s">
        <v>221</v>
      </c>
      <c r="F14" s="89" t="s">
        <v>222</v>
      </c>
      <c r="G14" s="89" t="s">
        <v>193</v>
      </c>
      <c r="H14" s="89"/>
      <c r="I14" s="89"/>
      <c r="J14" s="90" t="str">
        <f t="shared" si="1"/>
        <v/>
      </c>
      <c r="K14" s="89"/>
      <c r="L14" s="106"/>
      <c r="M14" s="89"/>
      <c r="N14" s="89"/>
      <c r="O14" s="115"/>
      <c r="P14" s="89"/>
      <c r="Q14" s="89"/>
      <c r="R14" s="87" t="s">
        <v>7</v>
      </c>
      <c r="S14" s="89"/>
    </row>
    <row r="15" spans="1:20" s="100" customFormat="1" ht="34.5" hidden="1" x14ac:dyDescent="0.35">
      <c r="A15" s="90">
        <f t="shared" si="2"/>
        <v>11</v>
      </c>
      <c r="B15" s="90" t="str">
        <f t="shared" si="0"/>
        <v>INI-011</v>
      </c>
      <c r="C15" s="87" t="s">
        <v>223</v>
      </c>
      <c r="D15" s="87" t="s">
        <v>163</v>
      </c>
      <c r="E15" s="87" t="s">
        <v>224</v>
      </c>
      <c r="F15" s="87" t="s">
        <v>212</v>
      </c>
      <c r="G15" s="87" t="s">
        <v>213</v>
      </c>
      <c r="H15" s="87"/>
      <c r="I15" s="87"/>
      <c r="J15" s="88" t="str">
        <f t="shared" si="1"/>
        <v/>
      </c>
      <c r="K15" s="87"/>
      <c r="L15" s="105"/>
      <c r="M15" s="87"/>
      <c r="N15" s="87"/>
      <c r="O15" s="114"/>
      <c r="P15" s="87"/>
      <c r="Q15" s="87"/>
      <c r="R15" s="87" t="s">
        <v>7</v>
      </c>
      <c r="S15" s="87"/>
    </row>
    <row r="16" spans="1:20" s="85" customFormat="1" ht="57.5" x14ac:dyDescent="0.35">
      <c r="A16" s="83">
        <f t="shared" si="2"/>
        <v>12</v>
      </c>
      <c r="B16" s="83" t="str">
        <f t="shared" si="0"/>
        <v>INI-012</v>
      </c>
      <c r="C16" s="91" t="s">
        <v>225</v>
      </c>
      <c r="D16" s="91" t="s">
        <v>114</v>
      </c>
      <c r="E16" s="91" t="s">
        <v>226</v>
      </c>
      <c r="F16" s="91" t="s">
        <v>227</v>
      </c>
      <c r="G16" s="91" t="s">
        <v>228</v>
      </c>
      <c r="H16" s="91" t="s">
        <v>29</v>
      </c>
      <c r="I16" s="91" t="s">
        <v>29</v>
      </c>
      <c r="J16" s="92">
        <f t="shared" si="1"/>
        <v>1</v>
      </c>
      <c r="K16" s="91"/>
      <c r="L16" s="107">
        <v>0</v>
      </c>
      <c r="M16" s="91"/>
      <c r="N16" s="91"/>
      <c r="O16" s="107">
        <v>634.84</v>
      </c>
      <c r="P16" s="91" t="s">
        <v>29</v>
      </c>
      <c r="Q16" s="91" t="s">
        <v>229</v>
      </c>
      <c r="R16" s="84" t="s">
        <v>7</v>
      </c>
      <c r="S16" s="91" t="s">
        <v>230</v>
      </c>
    </row>
    <row r="17" spans="1:26" s="85" customFormat="1" ht="46" x14ac:dyDescent="0.35">
      <c r="A17" s="83">
        <f t="shared" si="2"/>
        <v>13</v>
      </c>
      <c r="B17" s="83" t="str">
        <f t="shared" si="0"/>
        <v>INI-013</v>
      </c>
      <c r="C17" s="91" t="s">
        <v>231</v>
      </c>
      <c r="D17" s="91" t="s">
        <v>114</v>
      </c>
      <c r="E17" s="91" t="s">
        <v>232</v>
      </c>
      <c r="F17" s="91" t="s">
        <v>227</v>
      </c>
      <c r="G17" s="91" t="s">
        <v>233</v>
      </c>
      <c r="H17" s="91" t="s">
        <v>29</v>
      </c>
      <c r="I17" s="91" t="s">
        <v>30</v>
      </c>
      <c r="J17" s="92">
        <f t="shared" si="1"/>
        <v>2</v>
      </c>
      <c r="K17" s="91"/>
      <c r="L17" s="107">
        <v>0</v>
      </c>
      <c r="M17" s="91"/>
      <c r="N17" s="91"/>
      <c r="O17" s="107">
        <v>9.35</v>
      </c>
      <c r="P17" s="91" t="s">
        <v>30</v>
      </c>
      <c r="Q17" s="91" t="s">
        <v>229</v>
      </c>
      <c r="R17" s="84" t="s">
        <v>7</v>
      </c>
      <c r="S17" s="91"/>
    </row>
    <row r="18" spans="1:26" s="85" customFormat="1" ht="57.5" hidden="1" x14ac:dyDescent="0.35">
      <c r="A18" s="83">
        <f t="shared" si="2"/>
        <v>14</v>
      </c>
      <c r="B18" s="83" t="str">
        <f t="shared" si="0"/>
        <v>INI-014</v>
      </c>
      <c r="C18" s="86" t="s">
        <v>235</v>
      </c>
      <c r="D18" s="86" t="s">
        <v>114</v>
      </c>
      <c r="E18" s="86" t="s">
        <v>236</v>
      </c>
      <c r="F18" s="86" t="s">
        <v>237</v>
      </c>
      <c r="G18" s="86" t="s">
        <v>238</v>
      </c>
      <c r="H18" s="86" t="s">
        <v>29</v>
      </c>
      <c r="I18" s="86" t="s">
        <v>29</v>
      </c>
      <c r="J18" s="83">
        <f t="shared" si="1"/>
        <v>1</v>
      </c>
      <c r="K18" s="86"/>
      <c r="L18" s="104">
        <v>0</v>
      </c>
      <c r="M18" s="86"/>
      <c r="N18" s="86"/>
      <c r="O18" s="113"/>
      <c r="P18" s="86"/>
      <c r="Q18" s="86"/>
      <c r="R18" s="84" t="s">
        <v>7</v>
      </c>
      <c r="S18" s="86" t="s">
        <v>239</v>
      </c>
      <c r="T18" s="85" t="s">
        <v>437</v>
      </c>
    </row>
    <row r="19" spans="1:26" s="85" customFormat="1" ht="57.5" x14ac:dyDescent="0.35">
      <c r="A19" s="83">
        <f t="shared" si="2"/>
        <v>15</v>
      </c>
      <c r="B19" s="83" t="str">
        <f t="shared" si="0"/>
        <v>INI-015</v>
      </c>
      <c r="C19" s="91" t="s">
        <v>240</v>
      </c>
      <c r="D19" s="91" t="s">
        <v>163</v>
      </c>
      <c r="E19" s="91" t="s">
        <v>241</v>
      </c>
      <c r="F19" s="91" t="s">
        <v>208</v>
      </c>
      <c r="G19" s="91" t="s">
        <v>242</v>
      </c>
      <c r="H19" s="91" t="s">
        <v>29</v>
      </c>
      <c r="I19" s="91" t="s">
        <v>34</v>
      </c>
      <c r="J19" s="92">
        <f t="shared" si="1"/>
        <v>6</v>
      </c>
      <c r="K19" s="91"/>
      <c r="L19" s="107"/>
      <c r="M19" s="91"/>
      <c r="N19" s="91"/>
      <c r="O19" s="107">
        <v>4320</v>
      </c>
      <c r="P19" s="91"/>
      <c r="Q19" s="91" t="s">
        <v>229</v>
      </c>
      <c r="R19" s="84" t="s">
        <v>7</v>
      </c>
      <c r="S19" s="91" t="s">
        <v>427</v>
      </c>
    </row>
    <row r="20" spans="1:26" s="85" customFormat="1" ht="57.5" x14ac:dyDescent="0.35">
      <c r="A20" s="83">
        <f t="shared" si="2"/>
        <v>16</v>
      </c>
      <c r="B20" s="83" t="str">
        <f t="shared" si="0"/>
        <v>INI-016</v>
      </c>
      <c r="C20" s="86" t="s">
        <v>243</v>
      </c>
      <c r="D20" s="86" t="s">
        <v>163</v>
      </c>
      <c r="E20" s="86" t="s">
        <v>244</v>
      </c>
      <c r="F20" s="86" t="s">
        <v>227</v>
      </c>
      <c r="G20" s="86" t="s">
        <v>212</v>
      </c>
      <c r="H20" s="86" t="s">
        <v>29</v>
      </c>
      <c r="I20" s="86" t="s">
        <v>32</v>
      </c>
      <c r="J20" s="83">
        <f t="shared" si="1"/>
        <v>4</v>
      </c>
      <c r="K20" s="86"/>
      <c r="L20" s="104"/>
      <c r="M20" s="86"/>
      <c r="N20" s="86"/>
      <c r="O20" s="104">
        <v>354.52</v>
      </c>
      <c r="P20" s="86" t="s">
        <v>32</v>
      </c>
      <c r="Q20" s="91" t="s">
        <v>229</v>
      </c>
      <c r="R20" s="84" t="s">
        <v>7</v>
      </c>
      <c r="S20" s="86" t="s">
        <v>245</v>
      </c>
    </row>
    <row r="21" spans="1:26" s="187" customFormat="1" ht="57.5" x14ac:dyDescent="0.35">
      <c r="A21" s="183">
        <f t="shared" si="2"/>
        <v>17</v>
      </c>
      <c r="B21" s="183" t="str">
        <f t="shared" si="0"/>
        <v>INI-017</v>
      </c>
      <c r="C21" s="184" t="s">
        <v>246</v>
      </c>
      <c r="D21" s="184" t="s">
        <v>163</v>
      </c>
      <c r="E21" s="184" t="s">
        <v>247</v>
      </c>
      <c r="F21" s="184" t="s">
        <v>208</v>
      </c>
      <c r="G21" s="184" t="s">
        <v>190</v>
      </c>
      <c r="H21" s="184" t="s">
        <v>29</v>
      </c>
      <c r="I21" s="184" t="s">
        <v>31</v>
      </c>
      <c r="J21" s="183">
        <f t="shared" si="1"/>
        <v>3</v>
      </c>
      <c r="K21" s="184"/>
      <c r="L21" s="185"/>
      <c r="M21" s="184"/>
      <c r="N21" s="184"/>
      <c r="O21" s="186">
        <v>0</v>
      </c>
      <c r="P21" s="184" t="s">
        <v>29</v>
      </c>
      <c r="Q21" s="184" t="s">
        <v>229</v>
      </c>
      <c r="R21" s="184" t="s">
        <v>7</v>
      </c>
      <c r="S21" s="184" t="s">
        <v>248</v>
      </c>
    </row>
    <row r="22" spans="1:26" s="85" customFormat="1" ht="69" x14ac:dyDescent="0.35">
      <c r="A22" s="83">
        <f t="shared" si="2"/>
        <v>18</v>
      </c>
      <c r="B22" s="83" t="str">
        <f t="shared" si="0"/>
        <v>INI-018</v>
      </c>
      <c r="C22" s="86" t="s">
        <v>249</v>
      </c>
      <c r="D22" s="86" t="s">
        <v>163</v>
      </c>
      <c r="E22" s="86" t="s">
        <v>250</v>
      </c>
      <c r="F22" s="86" t="s">
        <v>251</v>
      </c>
      <c r="G22" s="86" t="s">
        <v>212</v>
      </c>
      <c r="H22" s="86" t="s">
        <v>29</v>
      </c>
      <c r="I22" s="86" t="s">
        <v>34</v>
      </c>
      <c r="J22" s="83">
        <f t="shared" si="1"/>
        <v>6</v>
      </c>
      <c r="K22" s="86"/>
      <c r="L22" s="104"/>
      <c r="M22" s="86"/>
      <c r="N22" s="86"/>
      <c r="O22" s="104">
        <v>614.82000000000005</v>
      </c>
      <c r="P22" s="86" t="s">
        <v>34</v>
      </c>
      <c r="Q22" s="91" t="s">
        <v>229</v>
      </c>
      <c r="R22" s="84" t="s">
        <v>7</v>
      </c>
      <c r="S22" s="86"/>
    </row>
    <row r="23" spans="1:26" s="85" customFormat="1" ht="57.5" hidden="1" x14ac:dyDescent="0.35">
      <c r="A23" s="83">
        <f t="shared" si="2"/>
        <v>19</v>
      </c>
      <c r="B23" s="83" t="str">
        <f t="shared" si="0"/>
        <v>INI-019</v>
      </c>
      <c r="C23" s="91" t="s">
        <v>252</v>
      </c>
      <c r="D23" s="91" t="s">
        <v>163</v>
      </c>
      <c r="E23" s="91" t="s">
        <v>253</v>
      </c>
      <c r="F23" s="91" t="s">
        <v>227</v>
      </c>
      <c r="G23" s="91" t="s">
        <v>212</v>
      </c>
      <c r="H23" s="91" t="s">
        <v>29</v>
      </c>
      <c r="I23" s="91" t="s">
        <v>32</v>
      </c>
      <c r="J23" s="92">
        <f t="shared" si="1"/>
        <v>4</v>
      </c>
      <c r="K23" s="91"/>
      <c r="L23" s="107"/>
      <c r="M23" s="91"/>
      <c r="N23" s="91"/>
      <c r="O23" s="116"/>
      <c r="P23" s="91"/>
      <c r="Q23" s="91" t="s">
        <v>234</v>
      </c>
      <c r="R23" s="84" t="s">
        <v>7</v>
      </c>
      <c r="S23" s="91" t="s">
        <v>428</v>
      </c>
    </row>
    <row r="24" spans="1:26" s="85" customFormat="1" ht="57.5" hidden="1" x14ac:dyDescent="0.35">
      <c r="A24" s="83">
        <f t="shared" si="2"/>
        <v>20</v>
      </c>
      <c r="B24" s="83" t="str">
        <f t="shared" si="0"/>
        <v>INI-020</v>
      </c>
      <c r="C24" s="91" t="s">
        <v>254</v>
      </c>
      <c r="D24" s="91" t="s">
        <v>163</v>
      </c>
      <c r="E24" s="91" t="s">
        <v>255</v>
      </c>
      <c r="F24" s="91" t="s">
        <v>227</v>
      </c>
      <c r="G24" s="91" t="s">
        <v>190</v>
      </c>
      <c r="H24" s="91" t="s">
        <v>29</v>
      </c>
      <c r="I24" s="91" t="s">
        <v>30</v>
      </c>
      <c r="J24" s="92">
        <f t="shared" si="1"/>
        <v>2</v>
      </c>
      <c r="K24" s="91"/>
      <c r="L24" s="107"/>
      <c r="M24" s="91"/>
      <c r="N24" s="91"/>
      <c r="O24" s="116"/>
      <c r="P24" s="91"/>
      <c r="Q24" s="91" t="s">
        <v>234</v>
      </c>
      <c r="R24" s="84" t="s">
        <v>7</v>
      </c>
      <c r="S24" s="91" t="s">
        <v>256</v>
      </c>
    </row>
    <row r="25" spans="1:26" s="85" customFormat="1" ht="69" x14ac:dyDescent="0.35">
      <c r="A25" s="83">
        <f t="shared" si="2"/>
        <v>21</v>
      </c>
      <c r="B25" s="83" t="str">
        <f t="shared" si="0"/>
        <v>INI-021</v>
      </c>
      <c r="C25" s="91" t="s">
        <v>257</v>
      </c>
      <c r="D25" s="91" t="s">
        <v>114</v>
      </c>
      <c r="E25" s="91" t="s">
        <v>258</v>
      </c>
      <c r="F25" s="91" t="s">
        <v>227</v>
      </c>
      <c r="G25" s="91" t="s">
        <v>227</v>
      </c>
      <c r="H25" s="91" t="s">
        <v>29</v>
      </c>
      <c r="I25" s="91" t="s">
        <v>31</v>
      </c>
      <c r="J25" s="92">
        <f t="shared" si="1"/>
        <v>3</v>
      </c>
      <c r="K25" s="91"/>
      <c r="L25" s="107"/>
      <c r="M25" s="91"/>
      <c r="N25" s="91"/>
      <c r="O25" s="107">
        <v>108.39</v>
      </c>
      <c r="P25" s="91" t="s">
        <v>31</v>
      </c>
      <c r="Q25" s="91" t="s">
        <v>234</v>
      </c>
      <c r="R25" s="84" t="s">
        <v>7</v>
      </c>
      <c r="S25" s="91"/>
      <c r="T25" s="93"/>
      <c r="U25" s="93"/>
      <c r="V25" s="93"/>
      <c r="W25" s="93"/>
      <c r="X25" s="93"/>
      <c r="Y25" s="93"/>
      <c r="Z25" s="93"/>
    </row>
    <row r="26" spans="1:26" s="85" customFormat="1" ht="57.5" x14ac:dyDescent="0.35">
      <c r="A26" s="83">
        <f t="shared" si="2"/>
        <v>22</v>
      </c>
      <c r="B26" s="83" t="str">
        <f t="shared" si="0"/>
        <v>INI-022</v>
      </c>
      <c r="C26" s="86" t="s">
        <v>259</v>
      </c>
      <c r="D26" s="86" t="s">
        <v>160</v>
      </c>
      <c r="E26" s="86" t="s">
        <v>260</v>
      </c>
      <c r="F26" s="86" t="s">
        <v>208</v>
      </c>
      <c r="G26" s="86" t="s">
        <v>261</v>
      </c>
      <c r="H26" s="86" t="s">
        <v>29</v>
      </c>
      <c r="I26" s="86" t="s">
        <v>37</v>
      </c>
      <c r="J26" s="83">
        <f t="shared" si="1"/>
        <v>9</v>
      </c>
      <c r="K26" s="86"/>
      <c r="L26" s="104"/>
      <c r="M26" s="86"/>
      <c r="N26" s="86"/>
      <c r="O26" s="113">
        <v>0</v>
      </c>
      <c r="P26" s="86" t="s">
        <v>29</v>
      </c>
      <c r="Q26" s="86" t="s">
        <v>229</v>
      </c>
      <c r="R26" s="84" t="s">
        <v>7</v>
      </c>
      <c r="S26" s="86"/>
    </row>
    <row r="27" spans="1:26" s="85" customFormat="1" ht="69" hidden="1" x14ac:dyDescent="0.35">
      <c r="A27" s="83">
        <f t="shared" si="2"/>
        <v>23</v>
      </c>
      <c r="B27" s="83" t="str">
        <f t="shared" si="0"/>
        <v>INI-023</v>
      </c>
      <c r="C27" s="84" t="s">
        <v>262</v>
      </c>
      <c r="D27" s="84" t="s">
        <v>164</v>
      </c>
      <c r="E27" s="84" t="s">
        <v>263</v>
      </c>
      <c r="F27" s="86" t="s">
        <v>208</v>
      </c>
      <c r="G27" s="86" t="s">
        <v>261</v>
      </c>
      <c r="H27" s="84" t="s">
        <v>29</v>
      </c>
      <c r="I27" s="84" t="s">
        <v>34</v>
      </c>
      <c r="J27" s="82">
        <f t="shared" si="1"/>
        <v>6</v>
      </c>
      <c r="K27" s="84"/>
      <c r="L27" s="103"/>
      <c r="M27" s="84"/>
      <c r="N27" s="84"/>
      <c r="O27" s="112"/>
      <c r="P27" s="84"/>
      <c r="Q27" s="84"/>
      <c r="R27" s="84" t="s">
        <v>7</v>
      </c>
      <c r="S27" s="84"/>
    </row>
    <row r="28" spans="1:26" s="85" customFormat="1" ht="80.5" x14ac:dyDescent="0.35">
      <c r="A28" s="83">
        <f t="shared" si="2"/>
        <v>24</v>
      </c>
      <c r="B28" s="83" t="str">
        <f t="shared" si="0"/>
        <v>INI-024</v>
      </c>
      <c r="C28" s="86" t="s">
        <v>264</v>
      </c>
      <c r="D28" s="86" t="s">
        <v>163</v>
      </c>
      <c r="E28" s="86" t="s">
        <v>265</v>
      </c>
      <c r="F28" s="86" t="s">
        <v>208</v>
      </c>
      <c r="G28" s="86" t="s">
        <v>261</v>
      </c>
      <c r="H28" s="86" t="s">
        <v>29</v>
      </c>
      <c r="I28" s="86" t="s">
        <v>37</v>
      </c>
      <c r="J28" s="83">
        <f t="shared" si="1"/>
        <v>9</v>
      </c>
      <c r="K28" s="86"/>
      <c r="L28" s="104"/>
      <c r="M28" s="86"/>
      <c r="N28" s="86"/>
      <c r="O28" s="104">
        <v>2126.88</v>
      </c>
      <c r="P28" s="86" t="s">
        <v>38</v>
      </c>
      <c r="Q28" s="86" t="s">
        <v>229</v>
      </c>
      <c r="R28" s="84" t="s">
        <v>7</v>
      </c>
      <c r="S28" s="86"/>
    </row>
    <row r="29" spans="1:26" s="85" customFormat="1" ht="57.5" x14ac:dyDescent="0.35">
      <c r="A29" s="83">
        <f t="shared" si="2"/>
        <v>25</v>
      </c>
      <c r="B29" s="83" t="str">
        <f t="shared" si="0"/>
        <v>INI-025</v>
      </c>
      <c r="C29" s="84" t="s">
        <v>266</v>
      </c>
      <c r="D29" s="84" t="s">
        <v>163</v>
      </c>
      <c r="E29" s="84" t="s">
        <v>267</v>
      </c>
      <c r="F29" s="86" t="s">
        <v>208</v>
      </c>
      <c r="G29" s="86" t="s">
        <v>261</v>
      </c>
      <c r="H29" s="84" t="s">
        <v>29</v>
      </c>
      <c r="I29" s="84" t="s">
        <v>32</v>
      </c>
      <c r="J29" s="82">
        <f t="shared" si="1"/>
        <v>4</v>
      </c>
      <c r="K29" s="84"/>
      <c r="L29" s="103"/>
      <c r="M29" s="84"/>
      <c r="N29" s="84"/>
      <c r="O29" s="103">
        <v>1284.97</v>
      </c>
      <c r="P29" s="84"/>
      <c r="Q29" s="84" t="s">
        <v>229</v>
      </c>
      <c r="R29" s="84" t="s">
        <v>7</v>
      </c>
      <c r="S29" s="84"/>
    </row>
    <row r="30" spans="1:26" s="85" customFormat="1" ht="57.5" hidden="1" x14ac:dyDescent="0.35">
      <c r="A30" s="83">
        <f t="shared" si="2"/>
        <v>26</v>
      </c>
      <c r="B30" s="83" t="str">
        <f t="shared" si="0"/>
        <v>INI-026</v>
      </c>
      <c r="C30" s="91" t="s">
        <v>268</v>
      </c>
      <c r="D30" s="91" t="s">
        <v>163</v>
      </c>
      <c r="E30" s="91" t="s">
        <v>269</v>
      </c>
      <c r="F30" s="91" t="s">
        <v>251</v>
      </c>
      <c r="G30" s="91" t="s">
        <v>212</v>
      </c>
      <c r="H30" s="91" t="s">
        <v>33</v>
      </c>
      <c r="I30" s="91" t="s">
        <v>33</v>
      </c>
      <c r="J30" s="92">
        <f t="shared" si="1"/>
        <v>1</v>
      </c>
      <c r="K30" s="91" t="s">
        <v>270</v>
      </c>
      <c r="L30" s="107"/>
      <c r="M30" s="91"/>
      <c r="N30" s="91"/>
      <c r="O30" s="116"/>
      <c r="P30" s="91"/>
      <c r="Q30" s="91"/>
      <c r="R30" s="84" t="s">
        <v>7</v>
      </c>
      <c r="S30" s="91"/>
    </row>
    <row r="31" spans="1:26" s="100" customFormat="1" ht="34.5" x14ac:dyDescent="0.35">
      <c r="A31" s="90">
        <f t="shared" si="2"/>
        <v>27</v>
      </c>
      <c r="B31" s="90" t="str">
        <f t="shared" si="0"/>
        <v>INI-027</v>
      </c>
      <c r="C31" s="94" t="s">
        <v>271</v>
      </c>
      <c r="D31" s="94" t="s">
        <v>163</v>
      </c>
      <c r="E31" s="94" t="s">
        <v>424</v>
      </c>
      <c r="F31" s="94" t="s">
        <v>190</v>
      </c>
      <c r="G31" s="94" t="s">
        <v>212</v>
      </c>
      <c r="H31" s="94" t="s">
        <v>28</v>
      </c>
      <c r="I31" s="94" t="s">
        <v>28</v>
      </c>
      <c r="J31" s="95">
        <f t="shared" si="1"/>
        <v>1</v>
      </c>
      <c r="K31" s="94" t="s">
        <v>270</v>
      </c>
      <c r="L31" s="108">
        <v>1.1200000000000001</v>
      </c>
      <c r="M31" s="94"/>
      <c r="N31" s="94"/>
      <c r="O31" s="108">
        <v>34.25</v>
      </c>
      <c r="P31" s="94" t="s">
        <v>28</v>
      </c>
      <c r="Q31" s="94" t="s">
        <v>229</v>
      </c>
      <c r="R31" s="87" t="s">
        <v>7</v>
      </c>
      <c r="S31" s="94"/>
      <c r="T31" s="101"/>
      <c r="U31" s="101"/>
      <c r="V31" s="101"/>
      <c r="W31" s="101"/>
      <c r="X31" s="101"/>
      <c r="Y31" s="101"/>
      <c r="Z31" s="101"/>
    </row>
    <row r="32" spans="1:26" s="187" customFormat="1" ht="69" x14ac:dyDescent="0.35">
      <c r="A32" s="183">
        <f t="shared" si="2"/>
        <v>28</v>
      </c>
      <c r="B32" s="183" t="str">
        <f t="shared" si="0"/>
        <v>INI-028</v>
      </c>
      <c r="C32" s="184" t="s">
        <v>272</v>
      </c>
      <c r="D32" s="184" t="s">
        <v>163</v>
      </c>
      <c r="E32" s="184" t="s">
        <v>273</v>
      </c>
      <c r="F32" s="184" t="s">
        <v>251</v>
      </c>
      <c r="G32" s="184" t="s">
        <v>212</v>
      </c>
      <c r="H32" s="184" t="s">
        <v>28</v>
      </c>
      <c r="I32" s="184" t="s">
        <v>30</v>
      </c>
      <c r="J32" s="183">
        <f t="shared" si="1"/>
        <v>3</v>
      </c>
      <c r="K32" s="184" t="s">
        <v>425</v>
      </c>
      <c r="L32" s="185"/>
      <c r="M32" s="84"/>
      <c r="N32" s="84"/>
      <c r="O32" s="186">
        <v>0</v>
      </c>
      <c r="P32" s="184"/>
      <c r="Q32" s="184" t="s">
        <v>229</v>
      </c>
      <c r="R32" s="184" t="s">
        <v>7</v>
      </c>
      <c r="S32" s="184"/>
    </row>
    <row r="33" spans="1:20" s="85" customFormat="1" ht="57.5" hidden="1" x14ac:dyDescent="0.35">
      <c r="A33" s="83">
        <f t="shared" si="2"/>
        <v>29</v>
      </c>
      <c r="B33" s="83" t="str">
        <f t="shared" si="0"/>
        <v>INI-029</v>
      </c>
      <c r="C33" s="86" t="s">
        <v>274</v>
      </c>
      <c r="D33" s="86" t="s">
        <v>163</v>
      </c>
      <c r="E33" s="86" t="s">
        <v>275</v>
      </c>
      <c r="F33" s="86" t="s">
        <v>251</v>
      </c>
      <c r="G33" s="86" t="s">
        <v>212</v>
      </c>
      <c r="H33" s="86" t="s">
        <v>29</v>
      </c>
      <c r="I33" s="86" t="s">
        <v>30</v>
      </c>
      <c r="J33" s="92">
        <f t="shared" si="1"/>
        <v>2</v>
      </c>
      <c r="K33" s="86"/>
      <c r="L33" s="104"/>
      <c r="M33" s="86"/>
      <c r="N33" s="86"/>
      <c r="O33" s="113"/>
      <c r="P33" s="86"/>
      <c r="Q33" s="86"/>
      <c r="R33" s="84" t="s">
        <v>7</v>
      </c>
      <c r="S33" s="86"/>
      <c r="T33" s="85" t="s">
        <v>432</v>
      </c>
    </row>
    <row r="34" spans="1:20" s="85" customFormat="1" ht="57.5" hidden="1" x14ac:dyDescent="0.35">
      <c r="A34" s="83">
        <f t="shared" si="2"/>
        <v>30</v>
      </c>
      <c r="B34" s="83" t="str">
        <f t="shared" si="0"/>
        <v>INI-030</v>
      </c>
      <c r="C34" s="84" t="s">
        <v>276</v>
      </c>
      <c r="D34" s="84" t="s">
        <v>164</v>
      </c>
      <c r="E34" s="84" t="s">
        <v>277</v>
      </c>
      <c r="F34" s="86" t="s">
        <v>251</v>
      </c>
      <c r="G34" s="86" t="s">
        <v>212</v>
      </c>
      <c r="H34" s="84" t="s">
        <v>29</v>
      </c>
      <c r="I34" s="84" t="s">
        <v>29</v>
      </c>
      <c r="J34" s="92">
        <f t="shared" si="1"/>
        <v>1</v>
      </c>
      <c r="K34" s="84"/>
      <c r="L34" s="103"/>
      <c r="M34" s="84"/>
      <c r="N34" s="84"/>
      <c r="O34" s="112"/>
      <c r="P34" s="84"/>
      <c r="Q34" s="84"/>
      <c r="R34" s="84" t="s">
        <v>7</v>
      </c>
      <c r="S34" s="84" t="s">
        <v>433</v>
      </c>
    </row>
    <row r="35" spans="1:20" s="85" customFormat="1" ht="57.5" hidden="1" x14ac:dyDescent="0.35">
      <c r="A35" s="83">
        <f t="shared" si="2"/>
        <v>31</v>
      </c>
      <c r="B35" s="83" t="str">
        <f t="shared" si="0"/>
        <v>INI-031</v>
      </c>
      <c r="C35" s="86" t="s">
        <v>278</v>
      </c>
      <c r="D35" s="86" t="s">
        <v>114</v>
      </c>
      <c r="E35" s="86" t="s">
        <v>279</v>
      </c>
      <c r="F35" s="86" t="s">
        <v>227</v>
      </c>
      <c r="G35" s="86" t="s">
        <v>118</v>
      </c>
      <c r="H35" s="86" t="s">
        <v>29</v>
      </c>
      <c r="I35" s="86" t="s">
        <v>31</v>
      </c>
      <c r="J35" s="92">
        <f t="shared" si="1"/>
        <v>3</v>
      </c>
      <c r="K35" s="86"/>
      <c r="L35" s="104"/>
      <c r="M35" s="86"/>
      <c r="N35" s="86"/>
      <c r="O35" s="113"/>
      <c r="P35" s="86"/>
      <c r="Q35" s="86"/>
      <c r="R35" s="84" t="s">
        <v>7</v>
      </c>
      <c r="S35" s="86" t="s">
        <v>434</v>
      </c>
    </row>
    <row r="36" spans="1:20" s="85" customFormat="1" ht="57.5" hidden="1" x14ac:dyDescent="0.35">
      <c r="A36" s="83">
        <f t="shared" si="2"/>
        <v>32</v>
      </c>
      <c r="B36" s="83" t="str">
        <f t="shared" si="0"/>
        <v>INI-032</v>
      </c>
      <c r="C36" s="84" t="s">
        <v>280</v>
      </c>
      <c r="D36" s="84" t="s">
        <v>160</v>
      </c>
      <c r="E36" s="84" t="s">
        <v>281</v>
      </c>
      <c r="F36" s="84" t="s">
        <v>227</v>
      </c>
      <c r="G36" s="84" t="s">
        <v>118</v>
      </c>
      <c r="H36" s="84" t="s">
        <v>29</v>
      </c>
      <c r="I36" s="84" t="s">
        <v>30</v>
      </c>
      <c r="J36" s="92">
        <f t="shared" si="1"/>
        <v>2</v>
      </c>
      <c r="K36" s="84"/>
      <c r="L36" s="103"/>
      <c r="M36" s="84"/>
      <c r="N36" s="84"/>
      <c r="O36" s="112"/>
      <c r="P36" s="84"/>
      <c r="Q36" s="84"/>
      <c r="R36" s="84" t="s">
        <v>7</v>
      </c>
      <c r="S36" s="84" t="s">
        <v>436</v>
      </c>
      <c r="T36" s="85" t="s">
        <v>435</v>
      </c>
    </row>
    <row r="37" spans="1:20" s="85" customFormat="1" ht="69" hidden="1" x14ac:dyDescent="0.35">
      <c r="A37" s="83">
        <f t="shared" si="2"/>
        <v>33</v>
      </c>
      <c r="B37" s="83" t="str">
        <f t="shared" si="0"/>
        <v>INI-033</v>
      </c>
      <c r="C37" s="86" t="s">
        <v>282</v>
      </c>
      <c r="D37" s="86" t="s">
        <v>163</v>
      </c>
      <c r="E37" s="86" t="s">
        <v>283</v>
      </c>
      <c r="F37" s="86" t="s">
        <v>251</v>
      </c>
      <c r="G37" s="86" t="s">
        <v>212</v>
      </c>
      <c r="H37" s="86" t="s">
        <v>28</v>
      </c>
      <c r="I37" s="86" t="s">
        <v>36</v>
      </c>
      <c r="J37" s="92">
        <f t="shared" si="1"/>
        <v>9</v>
      </c>
      <c r="K37" s="86"/>
      <c r="L37" s="104"/>
      <c r="M37" s="86"/>
      <c r="N37" s="86"/>
      <c r="O37" s="113"/>
      <c r="P37" s="86"/>
      <c r="Q37" s="86"/>
      <c r="R37" s="84" t="s">
        <v>7</v>
      </c>
      <c r="S37" s="86"/>
    </row>
    <row r="38" spans="1:20" s="85" customFormat="1" ht="23" hidden="1" x14ac:dyDescent="0.35">
      <c r="A38" s="83">
        <f t="shared" si="2"/>
        <v>34</v>
      </c>
      <c r="B38" s="83" t="str">
        <f t="shared" si="0"/>
        <v>INI-034</v>
      </c>
      <c r="C38" s="84" t="s">
        <v>358</v>
      </c>
      <c r="D38" s="84" t="s">
        <v>166</v>
      </c>
      <c r="E38" s="84" t="s">
        <v>359</v>
      </c>
      <c r="F38" s="84" t="s">
        <v>360</v>
      </c>
      <c r="G38" s="84" t="s">
        <v>361</v>
      </c>
      <c r="H38" s="84" t="s">
        <v>28</v>
      </c>
      <c r="I38" s="84" t="s">
        <v>30</v>
      </c>
      <c r="J38" s="92">
        <f t="shared" si="1"/>
        <v>3</v>
      </c>
      <c r="K38" s="84"/>
      <c r="L38" s="103"/>
      <c r="M38" s="84"/>
      <c r="N38" s="84"/>
      <c r="O38" s="112"/>
      <c r="P38" s="84"/>
      <c r="Q38" s="84"/>
      <c r="R38" s="84" t="s">
        <v>4</v>
      </c>
      <c r="S38" s="84"/>
    </row>
    <row r="39" spans="1:20" s="85" customFormat="1" ht="23" hidden="1" x14ac:dyDescent="0.35">
      <c r="A39" s="83">
        <f t="shared" si="2"/>
        <v>35</v>
      </c>
      <c r="B39" s="83" t="str">
        <f t="shared" si="0"/>
        <v>INI-035</v>
      </c>
      <c r="C39" s="84" t="s">
        <v>358</v>
      </c>
      <c r="D39" s="86" t="s">
        <v>166</v>
      </c>
      <c r="E39" s="86" t="s">
        <v>362</v>
      </c>
      <c r="F39" s="86" t="s">
        <v>363</v>
      </c>
      <c r="G39" s="86" t="s">
        <v>192</v>
      </c>
      <c r="H39" s="86" t="s">
        <v>28</v>
      </c>
      <c r="I39" s="86" t="s">
        <v>29</v>
      </c>
      <c r="J39" s="92">
        <f t="shared" si="1"/>
        <v>2</v>
      </c>
      <c r="K39" s="86"/>
      <c r="L39" s="104"/>
      <c r="M39" s="86"/>
      <c r="N39" s="86"/>
      <c r="O39" s="113"/>
      <c r="P39" s="86"/>
      <c r="Q39" s="86"/>
      <c r="R39" s="84" t="s">
        <v>7</v>
      </c>
      <c r="S39" s="86"/>
    </row>
    <row r="40" spans="1:20" s="85" customFormat="1" ht="23" hidden="1" x14ac:dyDescent="0.35">
      <c r="A40" s="83">
        <f t="shared" si="2"/>
        <v>36</v>
      </c>
      <c r="B40" s="83" t="str">
        <f t="shared" si="0"/>
        <v>INI-036</v>
      </c>
      <c r="C40" s="84" t="s">
        <v>358</v>
      </c>
      <c r="D40" s="84" t="s">
        <v>166</v>
      </c>
      <c r="E40" s="84" t="s">
        <v>364</v>
      </c>
      <c r="F40" s="84" t="s">
        <v>222</v>
      </c>
      <c r="G40" s="84" t="s">
        <v>192</v>
      </c>
      <c r="H40" s="84" t="s">
        <v>28</v>
      </c>
      <c r="I40" s="84" t="s">
        <v>30</v>
      </c>
      <c r="J40" s="92">
        <f t="shared" si="1"/>
        <v>3</v>
      </c>
      <c r="K40" s="84"/>
      <c r="L40" s="103"/>
      <c r="M40" s="84"/>
      <c r="N40" s="84"/>
      <c r="O40" s="112"/>
      <c r="P40" s="84"/>
      <c r="Q40" s="84"/>
      <c r="R40" s="84" t="s">
        <v>7</v>
      </c>
      <c r="S40" s="84"/>
    </row>
    <row r="41" spans="1:20" s="85" customFormat="1" ht="23" hidden="1" x14ac:dyDescent="0.35">
      <c r="A41" s="83">
        <f t="shared" si="2"/>
        <v>37</v>
      </c>
      <c r="B41" s="83" t="str">
        <f t="shared" si="0"/>
        <v>INI-037</v>
      </c>
      <c r="C41" s="84" t="s">
        <v>358</v>
      </c>
      <c r="D41" s="86" t="s">
        <v>166</v>
      </c>
      <c r="E41" s="86" t="s">
        <v>365</v>
      </c>
      <c r="F41" s="86" t="s">
        <v>366</v>
      </c>
      <c r="G41" s="86" t="s">
        <v>192</v>
      </c>
      <c r="H41" s="86" t="s">
        <v>29</v>
      </c>
      <c r="I41" s="86" t="s">
        <v>32</v>
      </c>
      <c r="J41" s="92">
        <f t="shared" si="1"/>
        <v>4</v>
      </c>
      <c r="K41" s="86"/>
      <c r="L41" s="104"/>
      <c r="M41" s="86"/>
      <c r="N41" s="86"/>
      <c r="O41" s="113"/>
      <c r="P41" s="86"/>
      <c r="Q41" s="86"/>
      <c r="R41" s="84" t="s">
        <v>7</v>
      </c>
      <c r="S41" s="86"/>
    </row>
    <row r="42" spans="1:20" s="85" customFormat="1" ht="23" hidden="1" x14ac:dyDescent="0.35">
      <c r="A42" s="83">
        <f t="shared" si="2"/>
        <v>38</v>
      </c>
      <c r="B42" s="83" t="str">
        <f t="shared" si="0"/>
        <v>INI-038</v>
      </c>
      <c r="C42" s="84" t="s">
        <v>358</v>
      </c>
      <c r="D42" s="84" t="s">
        <v>166</v>
      </c>
      <c r="E42" s="84" t="s">
        <v>367</v>
      </c>
      <c r="F42" s="84" t="s">
        <v>368</v>
      </c>
      <c r="G42" s="84" t="s">
        <v>369</v>
      </c>
      <c r="H42" s="84" t="s">
        <v>30</v>
      </c>
      <c r="I42" s="84" t="s">
        <v>33</v>
      </c>
      <c r="J42" s="92">
        <f t="shared" si="1"/>
        <v>4</v>
      </c>
      <c r="K42" s="84"/>
      <c r="L42" s="103"/>
      <c r="M42" s="84"/>
      <c r="N42" s="84"/>
      <c r="O42" s="112"/>
      <c r="P42" s="84"/>
      <c r="Q42" s="84"/>
      <c r="R42" s="84" t="s">
        <v>7</v>
      </c>
      <c r="S42" s="84"/>
    </row>
    <row r="43" spans="1:20" s="85" customFormat="1" ht="23" hidden="1" x14ac:dyDescent="0.35">
      <c r="A43" s="83">
        <f t="shared" si="2"/>
        <v>39</v>
      </c>
      <c r="B43" s="83" t="str">
        <f t="shared" si="0"/>
        <v>INI-039</v>
      </c>
      <c r="C43" s="84" t="s">
        <v>358</v>
      </c>
      <c r="D43" s="86" t="s">
        <v>166</v>
      </c>
      <c r="E43" s="86" t="s">
        <v>370</v>
      </c>
      <c r="F43" s="86" t="s">
        <v>371</v>
      </c>
      <c r="G43" s="86" t="s">
        <v>361</v>
      </c>
      <c r="H43" s="86" t="s">
        <v>28</v>
      </c>
      <c r="I43" s="86" t="s">
        <v>30</v>
      </c>
      <c r="J43" s="92">
        <f t="shared" si="1"/>
        <v>3</v>
      </c>
      <c r="K43" s="86"/>
      <c r="L43" s="104"/>
      <c r="M43" s="86"/>
      <c r="N43" s="86"/>
      <c r="O43" s="113"/>
      <c r="P43" s="86"/>
      <c r="Q43" s="86"/>
      <c r="R43" s="84" t="s">
        <v>7</v>
      </c>
      <c r="S43" s="86"/>
    </row>
    <row r="44" spans="1:20" s="85" customFormat="1" ht="23" hidden="1" x14ac:dyDescent="0.35">
      <c r="A44" s="83">
        <f t="shared" si="2"/>
        <v>40</v>
      </c>
      <c r="B44" s="83" t="str">
        <f t="shared" si="0"/>
        <v>INI-040</v>
      </c>
      <c r="C44" s="84" t="s">
        <v>358</v>
      </c>
      <c r="D44" s="84" t="s">
        <v>161</v>
      </c>
      <c r="E44" s="84" t="s">
        <v>372</v>
      </c>
      <c r="F44" s="84" t="s">
        <v>196</v>
      </c>
      <c r="G44" s="84" t="s">
        <v>373</v>
      </c>
      <c r="H44" s="84" t="s">
        <v>28</v>
      </c>
      <c r="I44" s="84" t="s">
        <v>30</v>
      </c>
      <c r="J44" s="92">
        <f t="shared" si="1"/>
        <v>3</v>
      </c>
      <c r="K44" s="84"/>
      <c r="L44" s="103"/>
      <c r="M44" s="84"/>
      <c r="N44" s="84"/>
      <c r="O44" s="112"/>
      <c r="P44" s="84"/>
      <c r="Q44" s="84"/>
      <c r="R44" s="84" t="s">
        <v>7</v>
      </c>
      <c r="S44" s="84"/>
    </row>
    <row r="45" spans="1:20" s="85" customFormat="1" ht="23" hidden="1" x14ac:dyDescent="0.35">
      <c r="A45" s="83">
        <f t="shared" si="2"/>
        <v>41</v>
      </c>
      <c r="B45" s="83" t="str">
        <f t="shared" si="0"/>
        <v>INI-041</v>
      </c>
      <c r="C45" s="84" t="s">
        <v>358</v>
      </c>
      <c r="D45" s="86" t="s">
        <v>160</v>
      </c>
      <c r="E45" s="86" t="s">
        <v>374</v>
      </c>
      <c r="F45" s="86" t="s">
        <v>375</v>
      </c>
      <c r="G45" s="86" t="s">
        <v>376</v>
      </c>
      <c r="H45" s="86" t="s">
        <v>29</v>
      </c>
      <c r="I45" s="86" t="s">
        <v>32</v>
      </c>
      <c r="J45" s="92">
        <f t="shared" si="1"/>
        <v>4</v>
      </c>
      <c r="K45" s="86"/>
      <c r="L45" s="104"/>
      <c r="M45" s="86"/>
      <c r="N45" s="86"/>
      <c r="O45" s="113"/>
      <c r="P45" s="86"/>
      <c r="Q45" s="86"/>
      <c r="R45" s="84" t="s">
        <v>7</v>
      </c>
      <c r="S45" s="86"/>
    </row>
    <row r="46" spans="1:20" s="85" customFormat="1" ht="23" hidden="1" x14ac:dyDescent="0.35">
      <c r="A46" s="83">
        <f t="shared" si="2"/>
        <v>42</v>
      </c>
      <c r="B46" s="83" t="str">
        <f t="shared" si="0"/>
        <v>INI-042</v>
      </c>
      <c r="C46" s="84" t="s">
        <v>377</v>
      </c>
      <c r="D46" s="84" t="s">
        <v>160</v>
      </c>
      <c r="E46" s="84" t="s">
        <v>378</v>
      </c>
      <c r="F46" s="84" t="s">
        <v>379</v>
      </c>
      <c r="G46" s="84" t="s">
        <v>380</v>
      </c>
      <c r="H46" s="84" t="s">
        <v>28</v>
      </c>
      <c r="I46" s="84" t="s">
        <v>36</v>
      </c>
      <c r="J46" s="92">
        <f t="shared" si="1"/>
        <v>9</v>
      </c>
      <c r="K46" s="84"/>
      <c r="L46" s="103"/>
      <c r="M46" s="84"/>
      <c r="N46" s="84"/>
      <c r="O46" s="112"/>
      <c r="P46" s="84"/>
      <c r="Q46" s="84"/>
      <c r="R46" s="84" t="s">
        <v>7</v>
      </c>
      <c r="S46" s="84"/>
    </row>
    <row r="47" spans="1:20" s="85" customFormat="1" ht="23" hidden="1" x14ac:dyDescent="0.35">
      <c r="A47" s="83">
        <f t="shared" si="2"/>
        <v>43</v>
      </c>
      <c r="B47" s="83" t="str">
        <f t="shared" si="0"/>
        <v>INI-043</v>
      </c>
      <c r="C47" s="86" t="s">
        <v>381</v>
      </c>
      <c r="D47" s="86" t="s">
        <v>160</v>
      </c>
      <c r="E47" s="86" t="s">
        <v>382</v>
      </c>
      <c r="F47" s="86" t="s">
        <v>383</v>
      </c>
      <c r="G47" s="86" t="s">
        <v>361</v>
      </c>
      <c r="H47" s="86" t="s">
        <v>28</v>
      </c>
      <c r="I47" s="86" t="s">
        <v>34</v>
      </c>
      <c r="J47" s="92">
        <f t="shared" si="1"/>
        <v>7</v>
      </c>
      <c r="K47" s="86"/>
      <c r="L47" s="104"/>
      <c r="M47" s="86"/>
      <c r="N47" s="86"/>
      <c r="O47" s="113"/>
      <c r="P47" s="86"/>
      <c r="Q47" s="86"/>
      <c r="R47" s="84" t="s">
        <v>7</v>
      </c>
      <c r="S47" s="86"/>
    </row>
    <row r="48" spans="1:20" s="85" customFormat="1" ht="23" hidden="1" x14ac:dyDescent="0.35">
      <c r="A48" s="83">
        <f t="shared" si="2"/>
        <v>44</v>
      </c>
      <c r="B48" s="83" t="str">
        <f t="shared" si="0"/>
        <v>INI-044</v>
      </c>
      <c r="C48" s="84" t="s">
        <v>384</v>
      </c>
      <c r="D48" s="84" t="s">
        <v>161</v>
      </c>
      <c r="E48" s="84" t="s">
        <v>385</v>
      </c>
      <c r="F48" s="84" t="s">
        <v>386</v>
      </c>
      <c r="G48" s="84" t="s">
        <v>387</v>
      </c>
      <c r="H48" s="84" t="s">
        <v>28</v>
      </c>
      <c r="I48" s="84" t="s">
        <v>39</v>
      </c>
      <c r="J48" s="92">
        <f t="shared" si="1"/>
        <v>12</v>
      </c>
      <c r="K48" s="84"/>
      <c r="L48" s="103"/>
      <c r="M48" s="84"/>
      <c r="N48" s="84"/>
      <c r="O48" s="112"/>
      <c r="P48" s="84"/>
      <c r="Q48" s="84"/>
      <c r="R48" s="84" t="s">
        <v>7</v>
      </c>
      <c r="S48" s="84"/>
    </row>
    <row r="49" spans="1:19" s="85" customFormat="1" ht="23" hidden="1" x14ac:dyDescent="0.35">
      <c r="A49" s="83">
        <f t="shared" si="2"/>
        <v>45</v>
      </c>
      <c r="B49" s="83" t="str">
        <f t="shared" si="0"/>
        <v>INI-045</v>
      </c>
      <c r="C49" s="86" t="s">
        <v>388</v>
      </c>
      <c r="D49" s="86" t="s">
        <v>161</v>
      </c>
      <c r="E49" s="86" t="s">
        <v>389</v>
      </c>
      <c r="F49" s="86" t="s">
        <v>390</v>
      </c>
      <c r="G49" s="86" t="s">
        <v>391</v>
      </c>
      <c r="H49" s="86" t="s">
        <v>28</v>
      </c>
      <c r="I49" s="86" t="s">
        <v>34</v>
      </c>
      <c r="J49" s="92">
        <f t="shared" si="1"/>
        <v>7</v>
      </c>
      <c r="K49" s="86"/>
      <c r="L49" s="104"/>
      <c r="M49" s="86"/>
      <c r="N49" s="86"/>
      <c r="O49" s="113"/>
      <c r="P49" s="86"/>
      <c r="Q49" s="86"/>
      <c r="R49" s="84" t="s">
        <v>7</v>
      </c>
      <c r="S49" s="86"/>
    </row>
    <row r="50" spans="1:19" s="85" customFormat="1" ht="23" hidden="1" x14ac:dyDescent="0.35">
      <c r="A50" s="83">
        <f t="shared" si="2"/>
        <v>46</v>
      </c>
      <c r="B50" s="83" t="str">
        <f t="shared" si="0"/>
        <v>INI-046</v>
      </c>
      <c r="C50" s="84" t="s">
        <v>392</v>
      </c>
      <c r="D50" s="84" t="s">
        <v>114</v>
      </c>
      <c r="E50" s="84" t="s">
        <v>393</v>
      </c>
      <c r="F50" s="84" t="s">
        <v>394</v>
      </c>
      <c r="G50" s="84" t="s">
        <v>204</v>
      </c>
      <c r="H50" s="84" t="s">
        <v>28</v>
      </c>
      <c r="I50" s="84" t="s">
        <v>30</v>
      </c>
      <c r="J50" s="92">
        <f t="shared" si="1"/>
        <v>3</v>
      </c>
      <c r="K50" s="84"/>
      <c r="L50" s="103"/>
      <c r="M50" s="84"/>
      <c r="N50" s="84"/>
      <c r="O50" s="112"/>
      <c r="P50" s="84"/>
      <c r="Q50" s="84"/>
      <c r="R50" s="84" t="s">
        <v>7</v>
      </c>
      <c r="S50" s="84"/>
    </row>
    <row r="51" spans="1:19" s="85" customFormat="1" ht="23" hidden="1" x14ac:dyDescent="0.35">
      <c r="A51" s="83">
        <f t="shared" si="2"/>
        <v>47</v>
      </c>
      <c r="B51" s="83" t="str">
        <f t="shared" si="0"/>
        <v>INI-047</v>
      </c>
      <c r="C51" s="86" t="s">
        <v>395</v>
      </c>
      <c r="D51" s="86" t="s">
        <v>396</v>
      </c>
      <c r="E51" s="86" t="s">
        <v>397</v>
      </c>
      <c r="F51" s="86" t="s">
        <v>398</v>
      </c>
      <c r="G51" s="86" t="s">
        <v>196</v>
      </c>
      <c r="H51" s="86" t="s">
        <v>29</v>
      </c>
      <c r="I51" s="86" t="s">
        <v>32</v>
      </c>
      <c r="J51" s="92">
        <f t="shared" si="1"/>
        <v>4</v>
      </c>
      <c r="K51" s="86"/>
      <c r="L51" s="104"/>
      <c r="M51" s="86"/>
      <c r="N51" s="86"/>
      <c r="O51" s="113"/>
      <c r="P51" s="86"/>
      <c r="Q51" s="86"/>
      <c r="R51" s="84" t="s">
        <v>7</v>
      </c>
      <c r="S51" s="86"/>
    </row>
    <row r="52" spans="1:19" s="85" customFormat="1" ht="23" hidden="1" x14ac:dyDescent="0.35">
      <c r="A52" s="83">
        <f t="shared" si="2"/>
        <v>48</v>
      </c>
      <c r="B52" s="83" t="str">
        <f t="shared" si="0"/>
        <v>INI-048</v>
      </c>
      <c r="C52" s="84" t="s">
        <v>399</v>
      </c>
      <c r="D52" s="84" t="s">
        <v>400</v>
      </c>
      <c r="E52" s="84" t="s">
        <v>401</v>
      </c>
      <c r="F52" s="84" t="s">
        <v>402</v>
      </c>
      <c r="G52" s="84" t="s">
        <v>402</v>
      </c>
      <c r="H52" s="84" t="s">
        <v>28</v>
      </c>
      <c r="I52" s="84" t="s">
        <v>30</v>
      </c>
      <c r="J52" s="92">
        <f t="shared" si="1"/>
        <v>3</v>
      </c>
      <c r="K52" s="84"/>
      <c r="L52" s="103"/>
      <c r="M52" s="84"/>
      <c r="N52" s="84"/>
      <c r="O52" s="112"/>
      <c r="P52" s="84"/>
      <c r="Q52" s="84"/>
      <c r="R52" s="84" t="s">
        <v>7</v>
      </c>
      <c r="S52" s="84"/>
    </row>
    <row r="53" spans="1:19" s="85" customFormat="1" ht="23" hidden="1" x14ac:dyDescent="0.35">
      <c r="A53" s="83">
        <f t="shared" si="2"/>
        <v>49</v>
      </c>
      <c r="B53" s="83" t="str">
        <f t="shared" si="0"/>
        <v>INI-049</v>
      </c>
      <c r="C53" s="86" t="s">
        <v>403</v>
      </c>
      <c r="D53" s="86" t="s">
        <v>404</v>
      </c>
      <c r="E53" s="86" t="s">
        <v>405</v>
      </c>
      <c r="F53" s="86" t="s">
        <v>406</v>
      </c>
      <c r="G53" s="86" t="s">
        <v>407</v>
      </c>
      <c r="H53" s="86" t="s">
        <v>28</v>
      </c>
      <c r="I53" s="86" t="s">
        <v>30</v>
      </c>
      <c r="J53" s="92">
        <f t="shared" si="1"/>
        <v>3</v>
      </c>
      <c r="K53" s="86"/>
      <c r="L53" s="104"/>
      <c r="M53" s="86"/>
      <c r="N53" s="86"/>
      <c r="O53" s="113"/>
      <c r="P53" s="86"/>
      <c r="Q53" s="86"/>
      <c r="R53" s="84" t="s">
        <v>7</v>
      </c>
      <c r="S53" s="86"/>
    </row>
    <row r="54" spans="1:19" s="85" customFormat="1" ht="23" hidden="1" x14ac:dyDescent="0.35">
      <c r="A54" s="83">
        <f t="shared" si="2"/>
        <v>50</v>
      </c>
      <c r="B54" s="83" t="str">
        <f t="shared" si="0"/>
        <v>INI-050</v>
      </c>
      <c r="C54" s="84" t="s">
        <v>408</v>
      </c>
      <c r="D54" s="84" t="s">
        <v>409</v>
      </c>
      <c r="E54" s="84" t="s">
        <v>410</v>
      </c>
      <c r="F54" s="84" t="s">
        <v>411</v>
      </c>
      <c r="G54" s="84" t="s">
        <v>227</v>
      </c>
      <c r="H54" s="84" t="s">
        <v>28</v>
      </c>
      <c r="I54" s="84" t="s">
        <v>31</v>
      </c>
      <c r="J54" s="92">
        <f t="shared" si="1"/>
        <v>4</v>
      </c>
      <c r="K54" s="84"/>
      <c r="L54" s="103"/>
      <c r="M54" s="84"/>
      <c r="N54" s="84"/>
      <c r="O54" s="112"/>
      <c r="P54" s="84"/>
      <c r="Q54" s="84"/>
      <c r="R54" s="84" t="s">
        <v>7</v>
      </c>
      <c r="S54" s="84"/>
    </row>
    <row r="55" spans="1:19" s="85" customFormat="1" ht="23" hidden="1" x14ac:dyDescent="0.35">
      <c r="A55" s="83">
        <f t="shared" si="2"/>
        <v>51</v>
      </c>
      <c r="B55" s="83" t="str">
        <f t="shared" si="0"/>
        <v>INI-051</v>
      </c>
      <c r="C55" s="86" t="s">
        <v>412</v>
      </c>
      <c r="D55" s="86" t="s">
        <v>413</v>
      </c>
      <c r="E55" s="86" t="s">
        <v>414</v>
      </c>
      <c r="F55" s="86" t="s">
        <v>415</v>
      </c>
      <c r="G55" s="86" t="s">
        <v>238</v>
      </c>
      <c r="H55" s="86" t="s">
        <v>28</v>
      </c>
      <c r="I55" s="86" t="s">
        <v>29</v>
      </c>
      <c r="J55" s="92">
        <f t="shared" si="1"/>
        <v>2</v>
      </c>
      <c r="K55" s="86"/>
      <c r="L55" s="104"/>
      <c r="M55" s="86"/>
      <c r="N55" s="86"/>
      <c r="O55" s="113"/>
      <c r="P55" s="86"/>
      <c r="Q55" s="86"/>
      <c r="R55" s="84" t="s">
        <v>7</v>
      </c>
      <c r="S55" s="86"/>
    </row>
    <row r="56" spans="1:19" s="85" customFormat="1" ht="23" hidden="1" x14ac:dyDescent="0.35">
      <c r="A56" s="83">
        <f t="shared" si="2"/>
        <v>52</v>
      </c>
      <c r="B56" s="83" t="str">
        <f>IF(C56&lt;&gt;"","INI-"&amp;TEXT(A56,"000"),"")</f>
        <v>INI-052</v>
      </c>
      <c r="C56" s="86" t="s">
        <v>416</v>
      </c>
      <c r="D56" s="86" t="s">
        <v>114</v>
      </c>
      <c r="E56" s="86" t="s">
        <v>417</v>
      </c>
      <c r="F56" s="86" t="s">
        <v>118</v>
      </c>
      <c r="G56" s="86" t="s">
        <v>118</v>
      </c>
      <c r="H56" s="86" t="s">
        <v>29</v>
      </c>
      <c r="I56" s="86" t="s">
        <v>32</v>
      </c>
      <c r="J56" s="92">
        <f t="shared" si="1"/>
        <v>4</v>
      </c>
      <c r="K56" s="86"/>
      <c r="L56" s="104"/>
      <c r="M56" s="86"/>
      <c r="N56" s="86"/>
      <c r="O56" s="113"/>
      <c r="P56" s="86"/>
      <c r="Q56" s="86"/>
      <c r="R56" s="84" t="s">
        <v>7</v>
      </c>
      <c r="S56" s="86"/>
    </row>
    <row r="57" spans="1:19" s="85" customFormat="1" ht="23" hidden="1" x14ac:dyDescent="0.35">
      <c r="A57" s="83">
        <f t="shared" si="2"/>
        <v>53</v>
      </c>
      <c r="B57" s="83" t="str">
        <f t="shared" ref="B57:B76" si="3">IF(C57&lt;&gt;"","INI-"&amp;TEXT(A57,"000"),"")</f>
        <v>INI-053</v>
      </c>
      <c r="C57" s="86" t="s">
        <v>418</v>
      </c>
      <c r="D57" s="86" t="s">
        <v>419</v>
      </c>
      <c r="E57" s="86" t="s">
        <v>420</v>
      </c>
      <c r="F57" s="86" t="s">
        <v>421</v>
      </c>
      <c r="G57" s="86" t="s">
        <v>118</v>
      </c>
      <c r="H57" s="86" t="s">
        <v>28</v>
      </c>
      <c r="I57" s="86" t="s">
        <v>29</v>
      </c>
      <c r="J57" s="92">
        <f t="shared" si="1"/>
        <v>2</v>
      </c>
      <c r="K57" s="86"/>
      <c r="L57" s="104"/>
      <c r="M57" s="86"/>
      <c r="N57" s="86"/>
      <c r="O57" s="113"/>
      <c r="P57" s="86"/>
      <c r="Q57" s="86"/>
      <c r="R57" s="84" t="s">
        <v>7</v>
      </c>
      <c r="S57" s="86"/>
    </row>
    <row r="58" spans="1:19" s="85" customFormat="1" ht="15" hidden="1" customHeight="1" x14ac:dyDescent="0.35">
      <c r="A58" s="83">
        <f t="shared" si="2"/>
        <v>54</v>
      </c>
      <c r="B58" s="83" t="str">
        <f t="shared" si="3"/>
        <v/>
      </c>
      <c r="C58" s="86"/>
      <c r="D58" s="86"/>
      <c r="E58" s="86"/>
      <c r="F58" s="86"/>
      <c r="G58" s="86"/>
      <c r="H58" s="86"/>
      <c r="I58" s="86"/>
      <c r="J58" s="92" t="str">
        <f t="shared" si="1"/>
        <v/>
      </c>
      <c r="K58" s="86"/>
      <c r="L58" s="104"/>
      <c r="M58" s="86"/>
      <c r="N58" s="86"/>
      <c r="O58" s="113"/>
      <c r="P58" s="86"/>
      <c r="Q58" s="86"/>
      <c r="R58" s="86"/>
      <c r="S58" s="86"/>
    </row>
    <row r="59" spans="1:19" s="85" customFormat="1" ht="15" hidden="1" customHeight="1" x14ac:dyDescent="0.35">
      <c r="A59" s="83">
        <f t="shared" si="2"/>
        <v>55</v>
      </c>
      <c r="B59" s="83" t="str">
        <f t="shared" si="3"/>
        <v/>
      </c>
      <c r="C59" s="86"/>
      <c r="D59" s="86"/>
      <c r="E59" s="86"/>
      <c r="F59" s="86"/>
      <c r="G59" s="86"/>
      <c r="H59" s="86"/>
      <c r="I59" s="86"/>
      <c r="J59" s="92" t="str">
        <f t="shared" si="1"/>
        <v/>
      </c>
      <c r="K59" s="86"/>
      <c r="L59" s="104"/>
      <c r="M59" s="86"/>
      <c r="N59" s="86"/>
      <c r="O59" s="113"/>
      <c r="P59" s="86"/>
      <c r="Q59" s="86"/>
      <c r="R59" s="86"/>
      <c r="S59" s="86"/>
    </row>
    <row r="60" spans="1:19" s="85" customFormat="1" ht="15" hidden="1" customHeight="1" x14ac:dyDescent="0.35">
      <c r="A60" s="83">
        <f t="shared" si="2"/>
        <v>56</v>
      </c>
      <c r="B60" s="83"/>
      <c r="C60" s="86"/>
      <c r="D60" s="86"/>
      <c r="E60" s="86"/>
      <c r="F60" s="86"/>
      <c r="G60" s="86"/>
      <c r="H60" s="86"/>
      <c r="I60" s="86"/>
      <c r="J60" s="92"/>
      <c r="K60" s="86"/>
      <c r="L60" s="104"/>
      <c r="M60" s="86"/>
      <c r="N60" s="86"/>
      <c r="O60" s="113"/>
      <c r="P60" s="86"/>
      <c r="Q60" s="86"/>
      <c r="R60" s="86"/>
      <c r="S60" s="86"/>
    </row>
    <row r="61" spans="1:19" s="85" customFormat="1" ht="15" hidden="1" customHeight="1" x14ac:dyDescent="0.35">
      <c r="A61" s="83">
        <f t="shared" si="2"/>
        <v>57</v>
      </c>
      <c r="B61" s="83"/>
      <c r="C61" s="86"/>
      <c r="D61" s="86"/>
      <c r="E61" s="86"/>
      <c r="F61" s="86"/>
      <c r="G61" s="86"/>
      <c r="H61" s="86"/>
      <c r="I61" s="86"/>
      <c r="J61" s="92"/>
      <c r="K61" s="86"/>
      <c r="L61" s="104"/>
      <c r="M61" s="86"/>
      <c r="N61" s="86"/>
      <c r="O61" s="113"/>
      <c r="P61" s="86"/>
      <c r="Q61" s="86"/>
      <c r="R61" s="86"/>
      <c r="S61" s="86"/>
    </row>
    <row r="62" spans="1:19" s="85" customFormat="1" ht="15" hidden="1" customHeight="1" x14ac:dyDescent="0.35">
      <c r="A62" s="83">
        <f t="shared" si="2"/>
        <v>58</v>
      </c>
      <c r="B62" s="83"/>
      <c r="C62" s="86"/>
      <c r="D62" s="86"/>
      <c r="E62" s="86"/>
      <c r="F62" s="86"/>
      <c r="G62" s="86"/>
      <c r="H62" s="86"/>
      <c r="I62" s="86"/>
      <c r="J62" s="92"/>
      <c r="K62" s="86"/>
      <c r="L62" s="104"/>
      <c r="M62" s="86"/>
      <c r="N62" s="86"/>
      <c r="O62" s="113"/>
      <c r="P62" s="86"/>
      <c r="Q62" s="86"/>
      <c r="R62" s="86"/>
      <c r="S62" s="86"/>
    </row>
    <row r="63" spans="1:19" s="85" customFormat="1" ht="15" hidden="1" customHeight="1" x14ac:dyDescent="0.35">
      <c r="A63" s="83">
        <f t="shared" si="2"/>
        <v>59</v>
      </c>
      <c r="B63" s="83"/>
      <c r="C63" s="86"/>
      <c r="D63" s="86"/>
      <c r="E63" s="86"/>
      <c r="F63" s="86"/>
      <c r="G63" s="86"/>
      <c r="H63" s="86"/>
      <c r="I63" s="86"/>
      <c r="J63" s="92"/>
      <c r="K63" s="86"/>
      <c r="L63" s="104"/>
      <c r="M63" s="86"/>
      <c r="N63" s="86"/>
      <c r="O63" s="113"/>
      <c r="P63" s="86"/>
      <c r="Q63" s="86"/>
      <c r="R63" s="86"/>
      <c r="S63" s="86"/>
    </row>
    <row r="64" spans="1:19" s="85" customFormat="1" ht="15" hidden="1" customHeight="1" x14ac:dyDescent="0.35">
      <c r="A64" s="83">
        <f t="shared" si="2"/>
        <v>60</v>
      </c>
      <c r="B64" s="83"/>
      <c r="C64" s="86"/>
      <c r="D64" s="86"/>
      <c r="E64" s="86"/>
      <c r="F64" s="86"/>
      <c r="G64" s="86"/>
      <c r="H64" s="86"/>
      <c r="I64" s="86"/>
      <c r="J64" s="92"/>
      <c r="K64" s="86"/>
      <c r="L64" s="104"/>
      <c r="M64" s="86"/>
      <c r="N64" s="86"/>
      <c r="O64" s="113"/>
      <c r="P64" s="86"/>
      <c r="Q64" s="86"/>
      <c r="R64" s="86"/>
      <c r="S64" s="86"/>
    </row>
    <row r="65" spans="1:19" s="85" customFormat="1" ht="15" hidden="1" customHeight="1" x14ac:dyDescent="0.35">
      <c r="A65" s="83">
        <f t="shared" si="2"/>
        <v>61</v>
      </c>
      <c r="B65" s="83"/>
      <c r="C65" s="86"/>
      <c r="D65" s="86"/>
      <c r="E65" s="86"/>
      <c r="F65" s="86"/>
      <c r="G65" s="86"/>
      <c r="H65" s="86"/>
      <c r="I65" s="86"/>
      <c r="J65" s="92"/>
      <c r="K65" s="86"/>
      <c r="L65" s="104"/>
      <c r="M65" s="86"/>
      <c r="N65" s="86"/>
      <c r="O65" s="113"/>
      <c r="P65" s="86"/>
      <c r="Q65" s="86"/>
      <c r="R65" s="86"/>
      <c r="S65" s="86"/>
    </row>
    <row r="66" spans="1:19" s="85" customFormat="1" ht="15" hidden="1" customHeight="1" x14ac:dyDescent="0.35">
      <c r="A66" s="83">
        <f t="shared" si="2"/>
        <v>62</v>
      </c>
      <c r="B66" s="83"/>
      <c r="C66" s="86"/>
      <c r="D66" s="86"/>
      <c r="E66" s="86"/>
      <c r="F66" s="86"/>
      <c r="G66" s="86"/>
      <c r="H66" s="86"/>
      <c r="I66" s="86"/>
      <c r="J66" s="92"/>
      <c r="K66" s="86"/>
      <c r="L66" s="104"/>
      <c r="M66" s="86"/>
      <c r="N66" s="86"/>
      <c r="O66" s="113"/>
      <c r="P66" s="86"/>
      <c r="Q66" s="86"/>
      <c r="R66" s="86"/>
      <c r="S66" s="86"/>
    </row>
    <row r="67" spans="1:19" s="85" customFormat="1" ht="15" hidden="1" customHeight="1" x14ac:dyDescent="0.35">
      <c r="A67" s="83">
        <f t="shared" si="2"/>
        <v>63</v>
      </c>
      <c r="B67" s="83"/>
      <c r="C67" s="86"/>
      <c r="D67" s="86"/>
      <c r="E67" s="86"/>
      <c r="F67" s="86"/>
      <c r="G67" s="86"/>
      <c r="H67" s="86"/>
      <c r="I67" s="86"/>
      <c r="J67" s="92"/>
      <c r="K67" s="86"/>
      <c r="L67" s="104"/>
      <c r="M67" s="86"/>
      <c r="N67" s="86"/>
      <c r="O67" s="113"/>
      <c r="P67" s="86"/>
      <c r="Q67" s="86"/>
      <c r="R67" s="86"/>
      <c r="S67" s="86"/>
    </row>
    <row r="68" spans="1:19" s="85" customFormat="1" ht="15" hidden="1" customHeight="1" x14ac:dyDescent="0.35">
      <c r="A68" s="83">
        <f t="shared" si="2"/>
        <v>64</v>
      </c>
      <c r="B68" s="83"/>
      <c r="C68" s="86"/>
      <c r="D68" s="86"/>
      <c r="E68" s="86"/>
      <c r="F68" s="86"/>
      <c r="G68" s="86"/>
      <c r="H68" s="86"/>
      <c r="I68" s="86"/>
      <c r="J68" s="92"/>
      <c r="K68" s="86"/>
      <c r="L68" s="104"/>
      <c r="M68" s="86"/>
      <c r="N68" s="86"/>
      <c r="O68" s="113"/>
      <c r="P68" s="86"/>
      <c r="Q68" s="86"/>
      <c r="R68" s="86"/>
      <c r="S68" s="86"/>
    </row>
    <row r="69" spans="1:19" s="85" customFormat="1" ht="15" hidden="1" customHeight="1" x14ac:dyDescent="0.35">
      <c r="A69" s="83">
        <f t="shared" si="2"/>
        <v>65</v>
      </c>
      <c r="B69" s="83"/>
      <c r="C69" s="86"/>
      <c r="D69" s="86"/>
      <c r="E69" s="86"/>
      <c r="F69" s="86"/>
      <c r="G69" s="86"/>
      <c r="H69" s="86"/>
      <c r="I69" s="86"/>
      <c r="J69" s="92"/>
      <c r="K69" s="86"/>
      <c r="L69" s="104"/>
      <c r="M69" s="86"/>
      <c r="N69" s="86"/>
      <c r="O69" s="113"/>
      <c r="P69" s="86"/>
      <c r="Q69" s="86"/>
      <c r="R69" s="86"/>
      <c r="S69" s="86"/>
    </row>
    <row r="70" spans="1:19" s="85" customFormat="1" ht="15" hidden="1" customHeight="1" x14ac:dyDescent="0.35">
      <c r="A70" s="83">
        <f t="shared" si="2"/>
        <v>66</v>
      </c>
      <c r="B70" s="83"/>
      <c r="C70" s="86"/>
      <c r="D70" s="86"/>
      <c r="E70" s="86"/>
      <c r="F70" s="86"/>
      <c r="G70" s="86"/>
      <c r="H70" s="86"/>
      <c r="I70" s="86"/>
      <c r="J70" s="92"/>
      <c r="K70" s="86"/>
      <c r="L70" s="104"/>
      <c r="M70" s="86"/>
      <c r="N70" s="86"/>
      <c r="O70" s="113"/>
      <c r="P70" s="86"/>
      <c r="Q70" s="86"/>
      <c r="R70" s="86"/>
      <c r="S70" s="86"/>
    </row>
    <row r="71" spans="1:19" s="85" customFormat="1" ht="15" hidden="1" customHeight="1" x14ac:dyDescent="0.35">
      <c r="A71" s="83">
        <f t="shared" ref="A71:A76" si="4">+A70+1</f>
        <v>67</v>
      </c>
      <c r="B71" s="83"/>
      <c r="C71" s="86"/>
      <c r="D71" s="86"/>
      <c r="E71" s="86"/>
      <c r="F71" s="86"/>
      <c r="G71" s="86"/>
      <c r="H71" s="86"/>
      <c r="I71" s="86"/>
      <c r="J71" s="92"/>
      <c r="K71" s="86"/>
      <c r="L71" s="104"/>
      <c r="M71" s="86"/>
      <c r="N71" s="86"/>
      <c r="O71" s="113"/>
      <c r="P71" s="86"/>
      <c r="Q71" s="86"/>
      <c r="R71" s="86"/>
      <c r="S71" s="86"/>
    </row>
    <row r="72" spans="1:19" s="85" customFormat="1" ht="15" hidden="1" customHeight="1" x14ac:dyDescent="0.35">
      <c r="A72" s="83">
        <f t="shared" si="4"/>
        <v>68</v>
      </c>
      <c r="B72" s="83"/>
      <c r="C72" s="86"/>
      <c r="D72" s="86"/>
      <c r="E72" s="86"/>
      <c r="F72" s="86"/>
      <c r="G72" s="86"/>
      <c r="H72" s="86"/>
      <c r="I72" s="86"/>
      <c r="J72" s="92"/>
      <c r="K72" s="86"/>
      <c r="L72" s="104"/>
      <c r="M72" s="86"/>
      <c r="N72" s="86"/>
      <c r="O72" s="113"/>
      <c r="P72" s="86"/>
      <c r="Q72" s="86"/>
      <c r="R72" s="86"/>
      <c r="S72" s="86"/>
    </row>
    <row r="73" spans="1:19" s="85" customFormat="1" ht="15" hidden="1" customHeight="1" x14ac:dyDescent="0.35">
      <c r="A73" s="83">
        <f t="shared" si="4"/>
        <v>69</v>
      </c>
      <c r="B73" s="83"/>
      <c r="C73" s="86"/>
      <c r="D73" s="86"/>
      <c r="E73" s="86"/>
      <c r="F73" s="86"/>
      <c r="G73" s="86"/>
      <c r="H73" s="86"/>
      <c r="I73" s="86"/>
      <c r="J73" s="92"/>
      <c r="K73" s="86"/>
      <c r="L73" s="104"/>
      <c r="M73" s="86"/>
      <c r="N73" s="86"/>
      <c r="O73" s="113"/>
      <c r="P73" s="86"/>
      <c r="Q73" s="86"/>
      <c r="R73" s="86"/>
      <c r="S73" s="86"/>
    </row>
    <row r="74" spans="1:19" s="85" customFormat="1" ht="15" hidden="1" customHeight="1" x14ac:dyDescent="0.35">
      <c r="A74" s="83">
        <f t="shared" si="4"/>
        <v>70</v>
      </c>
      <c r="B74" s="83"/>
      <c r="C74" s="86"/>
      <c r="D74" s="86"/>
      <c r="E74" s="86"/>
      <c r="F74" s="86"/>
      <c r="G74" s="86"/>
      <c r="H74" s="86"/>
      <c r="I74" s="86"/>
      <c r="J74" s="92"/>
      <c r="K74" s="86"/>
      <c r="L74" s="104"/>
      <c r="M74" s="86"/>
      <c r="N74" s="86"/>
      <c r="O74" s="113"/>
      <c r="P74" s="86"/>
      <c r="Q74" s="86"/>
      <c r="R74" s="86"/>
      <c r="S74" s="86"/>
    </row>
    <row r="75" spans="1:19" s="85" customFormat="1" ht="15" hidden="1" customHeight="1" x14ac:dyDescent="0.35">
      <c r="A75" s="83">
        <f t="shared" si="4"/>
        <v>71</v>
      </c>
      <c r="B75" s="83"/>
      <c r="C75" s="86"/>
      <c r="D75" s="86"/>
      <c r="E75" s="86"/>
      <c r="F75" s="86"/>
      <c r="G75" s="86"/>
      <c r="H75" s="86"/>
      <c r="I75" s="86"/>
      <c r="J75" s="92"/>
      <c r="K75" s="86"/>
      <c r="L75" s="104"/>
      <c r="M75" s="86"/>
      <c r="N75" s="86"/>
      <c r="O75" s="113"/>
      <c r="P75" s="86"/>
      <c r="Q75" s="86"/>
      <c r="R75" s="86"/>
      <c r="S75" s="86"/>
    </row>
    <row r="76" spans="1:19" s="85" customFormat="1" ht="15" hidden="1" customHeight="1" x14ac:dyDescent="0.35">
      <c r="A76" s="83">
        <f t="shared" si="4"/>
        <v>72</v>
      </c>
      <c r="B76" s="83" t="str">
        <f t="shared" si="3"/>
        <v/>
      </c>
      <c r="C76" s="86"/>
      <c r="D76" s="86"/>
      <c r="E76" s="86"/>
      <c r="F76" s="86"/>
      <c r="G76" s="86"/>
      <c r="H76" s="86"/>
      <c r="I76" s="86"/>
      <c r="J76" s="92" t="str">
        <f t="shared" si="1"/>
        <v/>
      </c>
      <c r="K76" s="86"/>
      <c r="L76" s="104"/>
      <c r="M76" s="86"/>
      <c r="N76" s="86"/>
      <c r="O76" s="113"/>
      <c r="P76" s="86"/>
      <c r="Q76" s="86"/>
      <c r="R76" s="86"/>
      <c r="S76" s="86"/>
    </row>
    <row r="77" spans="1:19" s="85" customFormat="1" ht="15" hidden="1" customHeight="1" x14ac:dyDescent="0.35">
      <c r="A77" s="83"/>
      <c r="B77" s="83"/>
      <c r="C77" s="86"/>
      <c r="D77" s="86"/>
      <c r="E77" s="86"/>
      <c r="F77" s="86"/>
      <c r="G77" s="86"/>
      <c r="H77" s="86"/>
      <c r="I77" s="86"/>
      <c r="J77" s="92" t="str">
        <f t="shared" si="1"/>
        <v/>
      </c>
      <c r="K77" s="86"/>
      <c r="L77" s="104"/>
      <c r="M77" s="86"/>
      <c r="N77" s="86"/>
      <c r="O77" s="113"/>
      <c r="P77" s="86"/>
      <c r="Q77" s="86"/>
      <c r="R77" s="86"/>
      <c r="S77" s="86"/>
    </row>
    <row r="78" spans="1:19" ht="14.5" x14ac:dyDescent="0.35">
      <c r="A78" s="125" t="s">
        <v>284</v>
      </c>
      <c r="B78" s="126"/>
      <c r="C78" s="126"/>
      <c r="D78" s="126"/>
      <c r="E78" s="126"/>
      <c r="F78" s="126"/>
      <c r="G78" s="126"/>
      <c r="H78" s="126"/>
      <c r="I78" s="126"/>
      <c r="J78" s="126"/>
      <c r="K78" s="123"/>
      <c r="L78" s="109">
        <f>SUM(L5:L55)</f>
        <v>1.1200000000000001</v>
      </c>
      <c r="O78" s="109">
        <f>SUM(O5:O55)</f>
        <v>9488.02</v>
      </c>
    </row>
    <row r="79" spans="1:19" ht="15" hidden="1" customHeight="1" x14ac:dyDescent="0.35">
      <c r="O79" s="117"/>
    </row>
    <row r="80" spans="1:19" ht="15" hidden="1" customHeight="1" x14ac:dyDescent="0.35">
      <c r="O80" s="117"/>
    </row>
    <row r="81" spans="15:15" ht="15" hidden="1" customHeight="1" x14ac:dyDescent="0.35">
      <c r="O81" s="117"/>
    </row>
    <row r="82" spans="15:15" ht="15" hidden="1" customHeight="1" x14ac:dyDescent="0.35">
      <c r="O82" s="117"/>
    </row>
    <row r="83" spans="15:15" ht="15" hidden="1" customHeight="1" x14ac:dyDescent="0.35">
      <c r="O83" s="117"/>
    </row>
    <row r="84" spans="15:15" ht="15" hidden="1" customHeight="1" x14ac:dyDescent="0.35">
      <c r="O84" s="117"/>
    </row>
    <row r="85" spans="15:15" ht="15" hidden="1" customHeight="1" x14ac:dyDescent="0.35">
      <c r="O85" s="117"/>
    </row>
    <row r="86" spans="15:15" ht="15" hidden="1" customHeight="1" x14ac:dyDescent="0.35">
      <c r="O86" s="117"/>
    </row>
    <row r="87" spans="15:15" ht="15" hidden="1" customHeight="1" x14ac:dyDescent="0.35">
      <c r="O87" s="117"/>
    </row>
    <row r="88" spans="15:15" ht="15" hidden="1" customHeight="1" x14ac:dyDescent="0.35">
      <c r="O88" s="117"/>
    </row>
    <row r="89" spans="15:15" ht="15" hidden="1" customHeight="1" x14ac:dyDescent="0.35">
      <c r="O89" s="117"/>
    </row>
    <row r="90" spans="15:15" ht="15" hidden="1" customHeight="1" x14ac:dyDescent="0.35">
      <c r="O90" s="117"/>
    </row>
    <row r="91" spans="15:15" ht="15" hidden="1" customHeight="1" x14ac:dyDescent="0.35">
      <c r="O91" s="117"/>
    </row>
    <row r="92" spans="15:15" ht="15" hidden="1" customHeight="1" x14ac:dyDescent="0.35">
      <c r="O92" s="117"/>
    </row>
    <row r="93" spans="15:15" ht="15" hidden="1" customHeight="1" x14ac:dyDescent="0.35">
      <c r="O93" s="117"/>
    </row>
    <row r="94" spans="15:15" ht="15" hidden="1" customHeight="1" x14ac:dyDescent="0.35">
      <c r="O94" s="117"/>
    </row>
    <row r="95" spans="15:15" ht="15" hidden="1" customHeight="1" x14ac:dyDescent="0.35">
      <c r="O95" s="117"/>
    </row>
    <row r="96" spans="15:15" ht="15" hidden="1" customHeight="1" x14ac:dyDescent="0.35">
      <c r="O96" s="117"/>
    </row>
    <row r="97" spans="15:15" ht="15" hidden="1" customHeight="1" x14ac:dyDescent="0.35">
      <c r="O97" s="117"/>
    </row>
    <row r="98" spans="15:15" ht="15" hidden="1" customHeight="1" x14ac:dyDescent="0.35">
      <c r="O98" s="117"/>
    </row>
    <row r="99" spans="15:15" ht="15" hidden="1" customHeight="1" x14ac:dyDescent="0.35">
      <c r="O99" s="117"/>
    </row>
    <row r="100" spans="15:15" ht="15" hidden="1" customHeight="1" x14ac:dyDescent="0.35">
      <c r="O100" s="117"/>
    </row>
    <row r="101" spans="15:15" ht="15" hidden="1" customHeight="1" x14ac:dyDescent="0.35">
      <c r="O101" s="117"/>
    </row>
    <row r="102" spans="15:15" ht="15" hidden="1" customHeight="1" x14ac:dyDescent="0.35">
      <c r="O102" s="117"/>
    </row>
    <row r="103" spans="15:15" ht="15" hidden="1" customHeight="1" x14ac:dyDescent="0.35">
      <c r="O103" s="117"/>
    </row>
    <row r="104" spans="15:15" ht="15" hidden="1" customHeight="1" x14ac:dyDescent="0.35">
      <c r="O104" s="117"/>
    </row>
    <row r="105" spans="15:15" ht="15" hidden="1" customHeight="1" x14ac:dyDescent="0.35">
      <c r="O105" s="117"/>
    </row>
    <row r="106" spans="15:15" ht="15" hidden="1" customHeight="1" x14ac:dyDescent="0.35">
      <c r="O106" s="117"/>
    </row>
    <row r="107" spans="15:15" ht="15" hidden="1" customHeight="1" x14ac:dyDescent="0.35">
      <c r="O107" s="117"/>
    </row>
    <row r="108" spans="15:15" ht="15" hidden="1" customHeight="1" x14ac:dyDescent="0.35">
      <c r="O108" s="117"/>
    </row>
    <row r="109" spans="15:15" ht="15" hidden="1" customHeight="1" x14ac:dyDescent="0.35">
      <c r="O109" s="117"/>
    </row>
    <row r="110" spans="15:15" ht="15" hidden="1" customHeight="1" x14ac:dyDescent="0.35">
      <c r="O110" s="117"/>
    </row>
    <row r="111" spans="15:15" ht="15" hidden="1" customHeight="1" x14ac:dyDescent="0.35">
      <c r="O111" s="117"/>
    </row>
    <row r="112" spans="15:15" ht="15" hidden="1" customHeight="1" x14ac:dyDescent="0.35">
      <c r="O112" s="117"/>
    </row>
    <row r="113" spans="15:15" ht="15" hidden="1" customHeight="1" x14ac:dyDescent="0.35">
      <c r="O113" s="117"/>
    </row>
    <row r="114" spans="15:15" ht="15" hidden="1" customHeight="1" x14ac:dyDescent="0.35">
      <c r="O114" s="117"/>
    </row>
    <row r="115" spans="15:15" ht="15" hidden="1" customHeight="1" x14ac:dyDescent="0.35">
      <c r="O115" s="117"/>
    </row>
    <row r="116" spans="15:15" ht="15" hidden="1" customHeight="1" x14ac:dyDescent="0.35">
      <c r="O116" s="117"/>
    </row>
    <row r="117" spans="15:15" ht="15" hidden="1" customHeight="1" x14ac:dyDescent="0.35">
      <c r="O117" s="117"/>
    </row>
    <row r="118" spans="15:15" ht="15" hidden="1" customHeight="1" x14ac:dyDescent="0.35">
      <c r="O118" s="117"/>
    </row>
    <row r="119" spans="15:15" ht="15" hidden="1" customHeight="1" x14ac:dyDescent="0.35">
      <c r="O119" s="117"/>
    </row>
    <row r="120" spans="15:15" ht="15" hidden="1" customHeight="1" x14ac:dyDescent="0.35">
      <c r="O120" s="117"/>
    </row>
    <row r="121" spans="15:15" ht="15" hidden="1" customHeight="1" x14ac:dyDescent="0.35">
      <c r="O121" s="117"/>
    </row>
    <row r="122" spans="15:15" ht="15" hidden="1" customHeight="1" x14ac:dyDescent="0.35">
      <c r="O122" s="117"/>
    </row>
    <row r="123" spans="15:15" ht="15" hidden="1" customHeight="1" x14ac:dyDescent="0.35">
      <c r="O123" s="117"/>
    </row>
    <row r="124" spans="15:15" ht="15" hidden="1" customHeight="1" x14ac:dyDescent="0.35">
      <c r="O124" s="117"/>
    </row>
    <row r="125" spans="15:15" ht="15" hidden="1" customHeight="1" x14ac:dyDescent="0.35">
      <c r="O125" s="117"/>
    </row>
    <row r="126" spans="15:15" ht="15" hidden="1" customHeight="1" x14ac:dyDescent="0.35">
      <c r="O126" s="117"/>
    </row>
    <row r="127" spans="15:15" ht="15" hidden="1" customHeight="1" x14ac:dyDescent="0.35">
      <c r="O127" s="117"/>
    </row>
    <row r="128" spans="15:15" ht="15" hidden="1" customHeight="1" x14ac:dyDescent="0.35">
      <c r="O128" s="117"/>
    </row>
    <row r="129" spans="15:15" ht="15" hidden="1" customHeight="1" x14ac:dyDescent="0.35">
      <c r="O129" s="117"/>
    </row>
    <row r="130" spans="15:15" ht="15" hidden="1" customHeight="1" x14ac:dyDescent="0.35">
      <c r="O130" s="117"/>
    </row>
    <row r="131" spans="15:15" ht="15" hidden="1" customHeight="1" x14ac:dyDescent="0.35">
      <c r="O131" s="117"/>
    </row>
    <row r="132" spans="15:15" ht="15" hidden="1" customHeight="1" x14ac:dyDescent="0.35">
      <c r="O132" s="117"/>
    </row>
    <row r="133" spans="15:15" ht="15" hidden="1" customHeight="1" x14ac:dyDescent="0.35">
      <c r="O133" s="117"/>
    </row>
    <row r="134" spans="15:15" ht="15" hidden="1" customHeight="1" x14ac:dyDescent="0.35">
      <c r="O134" s="117"/>
    </row>
    <row r="135" spans="15:15" ht="15" hidden="1" customHeight="1" x14ac:dyDescent="0.35">
      <c r="O135" s="117"/>
    </row>
    <row r="136" spans="15:15" ht="15" hidden="1" customHeight="1" x14ac:dyDescent="0.35">
      <c r="O136" s="117"/>
    </row>
    <row r="137" spans="15:15" ht="15" hidden="1" customHeight="1" x14ac:dyDescent="0.35">
      <c r="O137" s="117"/>
    </row>
    <row r="138" spans="15:15" ht="15" hidden="1" customHeight="1" x14ac:dyDescent="0.35">
      <c r="O138" s="117"/>
    </row>
    <row r="139" spans="15:15" ht="15" hidden="1" customHeight="1" x14ac:dyDescent="0.35">
      <c r="O139" s="117"/>
    </row>
    <row r="140" spans="15:15" ht="15" hidden="1" customHeight="1" x14ac:dyDescent="0.35">
      <c r="O140" s="117"/>
    </row>
    <row r="141" spans="15:15" ht="15" hidden="1" customHeight="1" x14ac:dyDescent="0.35">
      <c r="O141" s="117"/>
    </row>
    <row r="142" spans="15:15" ht="15" hidden="1" customHeight="1" x14ac:dyDescent="0.35">
      <c r="O142" s="117"/>
    </row>
    <row r="143" spans="15:15" ht="15" hidden="1" customHeight="1" x14ac:dyDescent="0.35">
      <c r="O143" s="117"/>
    </row>
    <row r="144" spans="15:15" ht="15" hidden="1" customHeight="1" x14ac:dyDescent="0.35">
      <c r="O144" s="117"/>
    </row>
    <row r="145" spans="15:15" ht="15" hidden="1" customHeight="1" x14ac:dyDescent="0.35">
      <c r="O145" s="117"/>
    </row>
    <row r="146" spans="15:15" ht="15" hidden="1" customHeight="1" x14ac:dyDescent="0.35">
      <c r="O146" s="117"/>
    </row>
    <row r="147" spans="15:15" ht="15" hidden="1" customHeight="1" x14ac:dyDescent="0.35">
      <c r="O147" s="117"/>
    </row>
    <row r="148" spans="15:15" ht="15" hidden="1" customHeight="1" x14ac:dyDescent="0.35">
      <c r="O148" s="117"/>
    </row>
    <row r="149" spans="15:15" ht="15" hidden="1" customHeight="1" x14ac:dyDescent="0.35">
      <c r="O149" s="117"/>
    </row>
    <row r="150" spans="15:15" ht="15" hidden="1" customHeight="1" x14ac:dyDescent="0.35">
      <c r="O150" s="117"/>
    </row>
    <row r="151" spans="15:15" ht="15" hidden="1" customHeight="1" x14ac:dyDescent="0.35">
      <c r="O151" s="117"/>
    </row>
    <row r="152" spans="15:15" ht="15" hidden="1" customHeight="1" x14ac:dyDescent="0.35">
      <c r="O152" s="117"/>
    </row>
    <row r="153" spans="15:15" ht="15" hidden="1" customHeight="1" x14ac:dyDescent="0.35">
      <c r="O153" s="117"/>
    </row>
  </sheetData>
  <autoFilter ref="A4:Z153" xr:uid="{00000000-0009-0000-0000-000004000000}">
    <filterColumn colId="14">
      <customFilters>
        <customFilter operator="notEqual" val=" "/>
      </customFilters>
    </filterColumn>
  </autoFilter>
  <mergeCells count="11">
    <mergeCell ref="M3:N3"/>
    <mergeCell ref="O3:P3"/>
    <mergeCell ref="A78:K78"/>
    <mergeCell ref="A1:S1"/>
    <mergeCell ref="A2:S2"/>
    <mergeCell ref="A3:B3"/>
    <mergeCell ref="C3:E3"/>
    <mergeCell ref="F3:G3"/>
    <mergeCell ref="K3:L3"/>
    <mergeCell ref="Q3:R3"/>
    <mergeCell ref="H3:I3"/>
  </mergeCells>
  <dataValidations count="5">
    <dataValidation type="list" allowBlank="1" showErrorMessage="1" sqref="D5:D77" xr:uid="{00000000-0002-0000-0400-000000000000}">
      <formula1>"Operations,HR &amp; Admin,Finance,IT / Systems,Business Development,Marketing,Clinical Services,Supply Chain / Purchase,Quality &amp; Compliance"</formula1>
    </dataValidation>
    <dataValidation type="list" allowBlank="1" showErrorMessage="1" sqref="R5:R77" xr:uid="{00000000-0002-0000-0400-000001000000}">
      <formula1>"Not Started,In Progress,Completed,On Hold,Delayed"</formula1>
    </dataValidation>
    <dataValidation type="list" allowBlank="1" showErrorMessage="1" sqref="K5:K77" xr:uid="{00000000-0002-0000-0400-000002000000}">
      <formula1>"Opex - One Time,Opex - Recurring Monthly,Opex - Recurring Quarterly,Opex - Recurring Yearly,Capex"</formula1>
    </dataValidation>
    <dataValidation type="list" allowBlank="1" showErrorMessage="1" sqref="P5:P77 H5:I77" xr:uid="{00000000-0002-0000-0400-000003000000}">
      <formula1>"Apr,May,Jun,Jul,Aug,Sep,Oct,Nov,Dec,Jan,Feb,Mar"</formula1>
    </dataValidation>
    <dataValidation type="list" allowBlank="1" showErrorMessage="1" sqref="Q5:Q77" xr:uid="{00000000-0002-0000-0400-000004000000}">
      <formula1>"High,Medium,Low"</formula1>
    </dataValidation>
  </dataValidation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5496"/>
  </sheetPr>
  <dimension ref="A1:Q1000"/>
  <sheetViews>
    <sheetView showGridLines="0" workbookViewId="0">
      <pane xSplit="3" ySplit="4" topLeftCell="D30" activePane="bottomRight" state="frozen"/>
      <selection pane="topRight" activeCell="D1" sqref="D1"/>
      <selection pane="bottomLeft" activeCell="A5" sqref="A5"/>
      <selection pane="bottomRight" activeCell="P34" sqref="P34"/>
    </sheetView>
  </sheetViews>
  <sheetFormatPr defaultColWidth="14.453125" defaultRowHeight="15" customHeight="1" x14ac:dyDescent="0.35"/>
  <cols>
    <col min="1" max="1" width="4" customWidth="1"/>
    <col min="2" max="2" width="14" customWidth="1"/>
    <col min="3" max="3" width="35" customWidth="1"/>
    <col min="4" max="15" width="8" customWidth="1"/>
    <col min="16" max="16" width="14" customWidth="1"/>
    <col min="17" max="26" width="8.54296875" customWidth="1"/>
  </cols>
  <sheetData>
    <row r="1" spans="1:17" ht="39.75" customHeight="1" x14ac:dyDescent="0.35">
      <c r="A1" s="165" t="s">
        <v>285</v>
      </c>
      <c r="B1" s="126"/>
      <c r="C1" s="126"/>
      <c r="D1" s="126"/>
      <c r="E1" s="126"/>
      <c r="F1" s="126"/>
      <c r="G1" s="126"/>
      <c r="H1" s="126"/>
      <c r="I1" s="126"/>
      <c r="J1" s="126"/>
      <c r="K1" s="126"/>
      <c r="L1" s="126"/>
      <c r="M1" s="126"/>
      <c r="N1" s="126"/>
      <c r="O1" s="126"/>
      <c r="P1" s="126"/>
      <c r="Q1" s="123"/>
    </row>
    <row r="2" spans="1:17" ht="21.75" customHeight="1" x14ac:dyDescent="0.35">
      <c r="A2" s="166" t="s">
        <v>286</v>
      </c>
      <c r="B2" s="126"/>
      <c r="C2" s="126"/>
      <c r="D2" s="126"/>
      <c r="E2" s="126"/>
      <c r="F2" s="126"/>
      <c r="G2" s="126"/>
      <c r="H2" s="126"/>
      <c r="I2" s="126"/>
      <c r="J2" s="126"/>
      <c r="K2" s="126"/>
      <c r="L2" s="126"/>
      <c r="M2" s="126"/>
      <c r="N2" s="126"/>
      <c r="O2" s="126"/>
      <c r="P2" s="126"/>
      <c r="Q2" s="123"/>
    </row>
    <row r="3" spans="1:17" ht="14.25" customHeight="1" x14ac:dyDescent="0.35"/>
    <row r="4" spans="1:17" ht="39.75" customHeight="1" x14ac:dyDescent="0.35">
      <c r="A4" s="47" t="s">
        <v>41</v>
      </c>
      <c r="B4" s="47" t="s">
        <v>42</v>
      </c>
      <c r="C4" s="47" t="s">
        <v>43</v>
      </c>
      <c r="D4" s="23" t="s">
        <v>28</v>
      </c>
      <c r="E4" s="23" t="s">
        <v>29</v>
      </c>
      <c r="F4" s="23" t="s">
        <v>30</v>
      </c>
      <c r="G4" s="23" t="s">
        <v>31</v>
      </c>
      <c r="H4" s="23" t="s">
        <v>32</v>
      </c>
      <c r="I4" s="23" t="s">
        <v>33</v>
      </c>
      <c r="J4" s="23" t="s">
        <v>34</v>
      </c>
      <c r="K4" s="23" t="s">
        <v>35</v>
      </c>
      <c r="L4" s="23" t="s">
        <v>36</v>
      </c>
      <c r="M4" s="23" t="s">
        <v>37</v>
      </c>
      <c r="N4" s="23" t="s">
        <v>38</v>
      </c>
      <c r="O4" s="23" t="s">
        <v>39</v>
      </c>
      <c r="P4" s="1" t="s">
        <v>287</v>
      </c>
    </row>
    <row r="5" spans="1:17" ht="18" customHeight="1" x14ac:dyDescent="0.35">
      <c r="A5" s="33">
        <v>1</v>
      </c>
      <c r="B5" s="48" t="str">
        <f>'Initiative Register'!B5</f>
        <v>INI-001</v>
      </c>
      <c r="C5" s="48" t="str">
        <f>'Initiative Register'!C5</f>
        <v>Campaign- Patient experience improvement</v>
      </c>
      <c r="D5" s="49">
        <v>0</v>
      </c>
      <c r="E5" s="49">
        <v>0</v>
      </c>
      <c r="F5" s="49">
        <v>0</v>
      </c>
      <c r="G5" s="49">
        <v>0</v>
      </c>
      <c r="H5" s="49">
        <v>0</v>
      </c>
      <c r="I5" s="49">
        <v>0</v>
      </c>
      <c r="J5" s="49">
        <v>0</v>
      </c>
      <c r="K5" s="49">
        <v>0</v>
      </c>
      <c r="L5" s="49">
        <v>0</v>
      </c>
      <c r="M5" s="49">
        <v>0</v>
      </c>
      <c r="N5" s="49">
        <v>0</v>
      </c>
      <c r="O5" s="49">
        <v>0</v>
      </c>
      <c r="P5" s="50">
        <f t="shared" ref="P5:P54" si="0">SUM(D5:O5)</f>
        <v>0</v>
      </c>
    </row>
    <row r="6" spans="1:17" ht="18" customHeight="1" x14ac:dyDescent="0.35">
      <c r="A6" s="29">
        <v>2</v>
      </c>
      <c r="B6" s="51" t="str">
        <f>'Initiative Register'!B6</f>
        <v/>
      </c>
      <c r="C6" s="51">
        <f>'Initiative Register'!C6</f>
        <v>0</v>
      </c>
      <c r="D6" s="52">
        <v>0</v>
      </c>
      <c r="E6" s="52">
        <v>0</v>
      </c>
      <c r="F6" s="52">
        <v>0</v>
      </c>
      <c r="G6" s="52">
        <v>0</v>
      </c>
      <c r="H6" s="52">
        <v>0</v>
      </c>
      <c r="I6" s="52">
        <v>0</v>
      </c>
      <c r="J6" s="52">
        <v>0</v>
      </c>
      <c r="K6" s="52">
        <v>0</v>
      </c>
      <c r="L6" s="52">
        <v>0</v>
      </c>
      <c r="M6" s="52">
        <v>0</v>
      </c>
      <c r="N6" s="52">
        <v>0</v>
      </c>
      <c r="O6" s="52">
        <v>0</v>
      </c>
      <c r="P6" s="53">
        <f t="shared" si="0"/>
        <v>0</v>
      </c>
    </row>
    <row r="7" spans="1:17" ht="18" customHeight="1" x14ac:dyDescent="0.35">
      <c r="A7" s="33">
        <v>3</v>
      </c>
      <c r="B7" s="48" t="str">
        <f>'Initiative Register'!B7</f>
        <v>INI-003</v>
      </c>
      <c r="C7" s="48" t="str">
        <f>'Initiative Register'!C7</f>
        <v>Geriatric ward</v>
      </c>
      <c r="D7" s="49">
        <v>0</v>
      </c>
      <c r="E7" s="49">
        <v>0</v>
      </c>
      <c r="F7" s="49">
        <v>0</v>
      </c>
      <c r="G7" s="49">
        <v>0</v>
      </c>
      <c r="H7" s="49">
        <v>0</v>
      </c>
      <c r="I7" s="49">
        <v>0</v>
      </c>
      <c r="J7" s="49">
        <v>0</v>
      </c>
      <c r="K7" s="49">
        <v>0</v>
      </c>
      <c r="L7" s="49">
        <v>0</v>
      </c>
      <c r="M7" s="49">
        <v>0</v>
      </c>
      <c r="N7" s="49">
        <v>0</v>
      </c>
      <c r="O7" s="49">
        <v>0</v>
      </c>
      <c r="P7" s="50">
        <f t="shared" si="0"/>
        <v>0</v>
      </c>
    </row>
    <row r="8" spans="1:17" ht="18" customHeight="1" x14ac:dyDescent="0.35">
      <c r="A8" s="29">
        <v>4</v>
      </c>
      <c r="B8" s="51" t="str">
        <f>'Initiative Register'!B8</f>
        <v>INI-004</v>
      </c>
      <c r="C8" s="51" t="str">
        <f>'Initiative Register'!C8</f>
        <v>Appointment of Specialized Doctors and development of existing department</v>
      </c>
      <c r="D8" s="52">
        <v>0</v>
      </c>
      <c r="E8" s="52">
        <v>0</v>
      </c>
      <c r="F8" s="52">
        <v>0</v>
      </c>
      <c r="G8" s="52">
        <v>0</v>
      </c>
      <c r="H8" s="52">
        <v>0</v>
      </c>
      <c r="I8" s="52">
        <v>0</v>
      </c>
      <c r="J8" s="52">
        <v>0</v>
      </c>
      <c r="K8" s="52">
        <v>0</v>
      </c>
      <c r="L8" s="52">
        <v>0</v>
      </c>
      <c r="M8" s="52">
        <v>0</v>
      </c>
      <c r="N8" s="52">
        <v>0</v>
      </c>
      <c r="O8" s="52">
        <v>0</v>
      </c>
      <c r="P8" s="53">
        <f t="shared" si="0"/>
        <v>0</v>
      </c>
    </row>
    <row r="9" spans="1:17" ht="18" customHeight="1" x14ac:dyDescent="0.35">
      <c r="A9" s="33">
        <v>5</v>
      </c>
      <c r="B9" s="48" t="str">
        <f>'Initiative Register'!B9</f>
        <v>INI-005</v>
      </c>
      <c r="C9" s="48" t="str">
        <f>'Initiative Register'!C9</f>
        <v>Patient companion</v>
      </c>
      <c r="D9" s="49">
        <v>0</v>
      </c>
      <c r="E9" s="49">
        <v>0</v>
      </c>
      <c r="F9" s="49">
        <v>0</v>
      </c>
      <c r="G9" s="49">
        <v>0</v>
      </c>
      <c r="H9" s="49">
        <v>0</v>
      </c>
      <c r="I9" s="49">
        <v>0</v>
      </c>
      <c r="J9" s="49">
        <v>0</v>
      </c>
      <c r="K9" s="49">
        <v>0</v>
      </c>
      <c r="L9" s="49">
        <v>0</v>
      </c>
      <c r="M9" s="49">
        <v>0</v>
      </c>
      <c r="N9" s="49">
        <v>0</v>
      </c>
      <c r="O9" s="49">
        <v>0</v>
      </c>
      <c r="P9" s="50">
        <f t="shared" si="0"/>
        <v>0</v>
      </c>
    </row>
    <row r="10" spans="1:17" ht="18" customHeight="1" x14ac:dyDescent="0.35">
      <c r="A10" s="29">
        <v>6</v>
      </c>
      <c r="B10" s="51" t="str">
        <f>'Initiative Register'!B10</f>
        <v>INI-006</v>
      </c>
      <c r="C10" s="51" t="str">
        <f>'Initiative Register'!C10</f>
        <v xml:space="preserve">Newborn Care Enhancement </v>
      </c>
      <c r="D10" s="52">
        <v>0</v>
      </c>
      <c r="E10" s="52">
        <v>0</v>
      </c>
      <c r="F10" s="52">
        <v>0</v>
      </c>
      <c r="G10" s="52">
        <v>0</v>
      </c>
      <c r="H10" s="52">
        <v>0</v>
      </c>
      <c r="I10" s="52">
        <v>0</v>
      </c>
      <c r="J10" s="52">
        <v>0</v>
      </c>
      <c r="K10" s="52">
        <v>0</v>
      </c>
      <c r="L10" s="52">
        <v>0</v>
      </c>
      <c r="M10" s="52">
        <v>0</v>
      </c>
      <c r="N10" s="52">
        <v>0</v>
      </c>
      <c r="O10" s="52">
        <v>0</v>
      </c>
      <c r="P10" s="53">
        <f t="shared" si="0"/>
        <v>0</v>
      </c>
    </row>
    <row r="11" spans="1:17" ht="18" customHeight="1" x14ac:dyDescent="0.35">
      <c r="A11" s="33">
        <v>7</v>
      </c>
      <c r="B11" s="48" t="str">
        <f>'Initiative Register'!B11</f>
        <v>INI-007</v>
      </c>
      <c r="C11" s="48" t="str">
        <f>'Initiative Register'!C11</f>
        <v>Digital Patient Acquisition Funnel</v>
      </c>
      <c r="D11" s="49">
        <v>0</v>
      </c>
      <c r="E11" s="49">
        <v>0</v>
      </c>
      <c r="F11" s="49">
        <v>0</v>
      </c>
      <c r="G11" s="49">
        <v>0</v>
      </c>
      <c r="H11" s="49">
        <v>0</v>
      </c>
      <c r="I11" s="49">
        <v>0</v>
      </c>
      <c r="J11" s="49">
        <v>0</v>
      </c>
      <c r="K11" s="49">
        <v>0</v>
      </c>
      <c r="L11" s="49">
        <v>0</v>
      </c>
      <c r="M11" s="49">
        <v>0</v>
      </c>
      <c r="N11" s="49">
        <v>0</v>
      </c>
      <c r="O11" s="49">
        <v>0</v>
      </c>
      <c r="P11" s="50">
        <f t="shared" si="0"/>
        <v>0</v>
      </c>
    </row>
    <row r="12" spans="1:17" ht="18" customHeight="1" x14ac:dyDescent="0.35">
      <c r="A12" s="29">
        <v>8</v>
      </c>
      <c r="B12" s="51" t="str">
        <f>'Initiative Register'!B12</f>
        <v>INI-008</v>
      </c>
      <c r="C12" s="51" t="str">
        <f>'Initiative Register'!C12</f>
        <v>Development of KPI for Doctors</v>
      </c>
      <c r="D12" s="52">
        <v>0</v>
      </c>
      <c r="E12" s="52">
        <v>0</v>
      </c>
      <c r="F12" s="52">
        <v>0</v>
      </c>
      <c r="G12" s="52">
        <v>0</v>
      </c>
      <c r="H12" s="52">
        <v>0</v>
      </c>
      <c r="I12" s="52">
        <v>0</v>
      </c>
      <c r="J12" s="52">
        <v>0</v>
      </c>
      <c r="K12" s="52">
        <v>0</v>
      </c>
      <c r="L12" s="52">
        <v>0</v>
      </c>
      <c r="M12" s="52">
        <v>0</v>
      </c>
      <c r="N12" s="52">
        <v>0</v>
      </c>
      <c r="O12" s="52">
        <v>0</v>
      </c>
      <c r="P12" s="53">
        <f t="shared" si="0"/>
        <v>0</v>
      </c>
    </row>
    <row r="13" spans="1:17" ht="18" customHeight="1" x14ac:dyDescent="0.35">
      <c r="A13" s="33">
        <v>9</v>
      </c>
      <c r="B13" s="48" t="str">
        <f>'Initiative Register'!B13</f>
        <v>INI-009</v>
      </c>
      <c r="C13" s="48" t="str">
        <f>'Initiative Register'!C13</f>
        <v>Daycare and Minimaly Invasive Shift</v>
      </c>
      <c r="D13" s="49">
        <v>0</v>
      </c>
      <c r="E13" s="49">
        <v>0</v>
      </c>
      <c r="F13" s="49">
        <v>0</v>
      </c>
      <c r="G13" s="49">
        <v>0</v>
      </c>
      <c r="H13" s="49">
        <v>0</v>
      </c>
      <c r="I13" s="49">
        <v>0</v>
      </c>
      <c r="J13" s="49">
        <v>0</v>
      </c>
      <c r="K13" s="49">
        <v>0</v>
      </c>
      <c r="L13" s="49">
        <v>0</v>
      </c>
      <c r="M13" s="49">
        <v>0</v>
      </c>
      <c r="N13" s="49">
        <v>0</v>
      </c>
      <c r="O13" s="49">
        <v>0</v>
      </c>
      <c r="P13" s="50">
        <f t="shared" si="0"/>
        <v>0</v>
      </c>
    </row>
    <row r="14" spans="1:17" ht="18" customHeight="1" x14ac:dyDescent="0.35">
      <c r="A14" s="29">
        <v>10</v>
      </c>
      <c r="B14" s="51" t="str">
        <f>'Initiative Register'!B14</f>
        <v>INI-010</v>
      </c>
      <c r="C14" s="51" t="str">
        <f>'Initiative Register'!C14</f>
        <v>Consumables standardization model</v>
      </c>
      <c r="D14" s="52">
        <v>0</v>
      </c>
      <c r="E14" s="52">
        <v>0</v>
      </c>
      <c r="F14" s="52">
        <v>0</v>
      </c>
      <c r="G14" s="52">
        <v>0</v>
      </c>
      <c r="H14" s="52">
        <v>0</v>
      </c>
      <c r="I14" s="52">
        <v>0</v>
      </c>
      <c r="J14" s="52">
        <v>0</v>
      </c>
      <c r="K14" s="52">
        <v>0</v>
      </c>
      <c r="L14" s="52">
        <v>0</v>
      </c>
      <c r="M14" s="52">
        <v>0</v>
      </c>
      <c r="N14" s="52">
        <v>0</v>
      </c>
      <c r="O14" s="52">
        <v>0</v>
      </c>
      <c r="P14" s="53">
        <f t="shared" si="0"/>
        <v>0</v>
      </c>
    </row>
    <row r="15" spans="1:17" ht="18" customHeight="1" x14ac:dyDescent="0.35">
      <c r="A15" s="33">
        <v>11</v>
      </c>
      <c r="B15" s="48" t="str">
        <f>'Initiative Register'!B15</f>
        <v>INI-011</v>
      </c>
      <c r="C15" s="48" t="str">
        <f>'Initiative Register'!C15</f>
        <v>Collaboration with other Hospitals</v>
      </c>
      <c r="D15" s="49">
        <v>0</v>
      </c>
      <c r="E15" s="49">
        <v>0</v>
      </c>
      <c r="F15" s="49">
        <v>0</v>
      </c>
      <c r="G15" s="49">
        <v>0</v>
      </c>
      <c r="H15" s="49">
        <v>0</v>
      </c>
      <c r="I15" s="49">
        <v>0</v>
      </c>
      <c r="J15" s="49">
        <v>0</v>
      </c>
      <c r="K15" s="49">
        <v>0</v>
      </c>
      <c r="L15" s="49">
        <v>0</v>
      </c>
      <c r="M15" s="49">
        <v>0</v>
      </c>
      <c r="N15" s="49">
        <v>0</v>
      </c>
      <c r="O15" s="49">
        <v>0</v>
      </c>
      <c r="P15" s="50">
        <f t="shared" si="0"/>
        <v>0</v>
      </c>
    </row>
    <row r="16" spans="1:17" ht="18" customHeight="1" x14ac:dyDescent="0.35">
      <c r="A16" s="29">
        <v>12</v>
      </c>
      <c r="B16" s="51" t="str">
        <f>'Initiative Register'!B16</f>
        <v>INI-012</v>
      </c>
      <c r="C16" s="51" t="str">
        <f>'Initiative Register'!C16</f>
        <v>ANNUAL RATE REVISION POLICY</v>
      </c>
      <c r="D16" s="52">
        <v>0</v>
      </c>
      <c r="E16" s="52">
        <v>0</v>
      </c>
      <c r="F16" s="52">
        <v>0</v>
      </c>
      <c r="G16" s="52">
        <v>0</v>
      </c>
      <c r="H16" s="52">
        <v>0</v>
      </c>
      <c r="I16" s="52">
        <v>0</v>
      </c>
      <c r="J16" s="52">
        <v>0</v>
      </c>
      <c r="K16" s="52">
        <v>0</v>
      </c>
      <c r="L16" s="52">
        <v>0</v>
      </c>
      <c r="M16" s="52">
        <v>0</v>
      </c>
      <c r="N16" s="52">
        <v>0</v>
      </c>
      <c r="O16" s="52">
        <v>0</v>
      </c>
      <c r="P16" s="53">
        <f t="shared" si="0"/>
        <v>0</v>
      </c>
    </row>
    <row r="17" spans="1:16" ht="18" customHeight="1" x14ac:dyDescent="0.35">
      <c r="A17" s="33">
        <v>13</v>
      </c>
      <c r="B17" s="48" t="str">
        <f>'Initiative Register'!B17</f>
        <v>INI-013</v>
      </c>
      <c r="C17" s="48" t="str">
        <f>'Initiative Register'!C17</f>
        <v>PROCEDURE CONTRIBUTION AUDIT AND REPRICING</v>
      </c>
      <c r="D17" s="49">
        <v>0</v>
      </c>
      <c r="E17" s="49">
        <v>0</v>
      </c>
      <c r="F17" s="49">
        <v>0</v>
      </c>
      <c r="G17" s="49">
        <v>0</v>
      </c>
      <c r="H17" s="49">
        <v>0</v>
      </c>
      <c r="I17" s="49">
        <v>0</v>
      </c>
      <c r="J17" s="49">
        <v>0</v>
      </c>
      <c r="K17" s="49">
        <v>0</v>
      </c>
      <c r="L17" s="49">
        <v>0</v>
      </c>
      <c r="M17" s="49">
        <v>0</v>
      </c>
      <c r="N17" s="49">
        <v>0</v>
      </c>
      <c r="O17" s="49">
        <v>0</v>
      </c>
      <c r="P17" s="50">
        <f t="shared" si="0"/>
        <v>0</v>
      </c>
    </row>
    <row r="18" spans="1:16" ht="18" customHeight="1" x14ac:dyDescent="0.35">
      <c r="A18" s="29">
        <v>14</v>
      </c>
      <c r="B18" s="51" t="str">
        <f>'Initiative Register'!B18</f>
        <v>INI-014</v>
      </c>
      <c r="C18" s="51" t="str">
        <f>'Initiative Register'!C18</f>
        <v>INSURANCE CHARGE CAPTURE — BILL WHAT IS COVERED</v>
      </c>
      <c r="D18" s="52">
        <v>0</v>
      </c>
      <c r="E18" s="52">
        <v>0</v>
      </c>
      <c r="F18" s="52">
        <v>0</v>
      </c>
      <c r="G18" s="52">
        <v>0</v>
      </c>
      <c r="H18" s="52">
        <v>0</v>
      </c>
      <c r="I18" s="52">
        <v>0</v>
      </c>
      <c r="J18" s="52">
        <v>0</v>
      </c>
      <c r="K18" s="52">
        <v>0</v>
      </c>
      <c r="L18" s="52">
        <v>0</v>
      </c>
      <c r="M18" s="52">
        <v>0</v>
      </c>
      <c r="N18" s="52">
        <v>0</v>
      </c>
      <c r="O18" s="52">
        <v>0</v>
      </c>
      <c r="P18" s="53">
        <f t="shared" si="0"/>
        <v>0</v>
      </c>
    </row>
    <row r="19" spans="1:16" ht="18" customHeight="1" x14ac:dyDescent="0.35">
      <c r="A19" s="33">
        <v>15</v>
      </c>
      <c r="B19" s="48" t="str">
        <f>'Initiative Register'!B19</f>
        <v>INI-015</v>
      </c>
      <c r="C19" s="48" t="str">
        <f>'Initiative Register'!C19</f>
        <v>SATELLITE CLINIC NETWORK — SURGEON-LED OFF-CAMPUS OPDs</v>
      </c>
      <c r="D19" s="49">
        <v>0</v>
      </c>
      <c r="E19" s="49">
        <v>0</v>
      </c>
      <c r="F19" s="49">
        <v>0</v>
      </c>
      <c r="G19" s="49">
        <v>0</v>
      </c>
      <c r="H19" s="49">
        <v>0</v>
      </c>
      <c r="I19" s="49">
        <v>0</v>
      </c>
      <c r="J19" s="49">
        <v>0</v>
      </c>
      <c r="K19" s="49">
        <v>0</v>
      </c>
      <c r="L19" s="49">
        <v>0</v>
      </c>
      <c r="M19" s="49">
        <v>0</v>
      </c>
      <c r="N19" s="49">
        <v>0</v>
      </c>
      <c r="O19" s="49">
        <v>0</v>
      </c>
      <c r="P19" s="50">
        <f t="shared" si="0"/>
        <v>0</v>
      </c>
    </row>
    <row r="20" spans="1:16" ht="18" customHeight="1" x14ac:dyDescent="0.35">
      <c r="A20" s="29">
        <v>16</v>
      </c>
      <c r="B20" s="51" t="str">
        <f>'Initiative Register'!B20</f>
        <v>INI-016</v>
      </c>
      <c r="C20" s="51" t="str">
        <f>'Initiative Register'!C20</f>
        <v>CORPORATE HEALTH PROGRAMME</v>
      </c>
      <c r="D20" s="52">
        <v>0</v>
      </c>
      <c r="E20" s="52">
        <v>0</v>
      </c>
      <c r="F20" s="52">
        <v>0</v>
      </c>
      <c r="G20" s="52">
        <v>0</v>
      </c>
      <c r="H20" s="52">
        <v>0</v>
      </c>
      <c r="I20" s="52">
        <v>0</v>
      </c>
      <c r="J20" s="52">
        <v>0</v>
      </c>
      <c r="K20" s="52">
        <v>0</v>
      </c>
      <c r="L20" s="52">
        <v>0</v>
      </c>
      <c r="M20" s="52">
        <v>0</v>
      </c>
      <c r="N20" s="52">
        <v>0</v>
      </c>
      <c r="O20" s="52">
        <v>0</v>
      </c>
      <c r="P20" s="53">
        <f t="shared" si="0"/>
        <v>0</v>
      </c>
    </row>
    <row r="21" spans="1:16" ht="18" customHeight="1" x14ac:dyDescent="0.35">
      <c r="A21" s="33">
        <v>17</v>
      </c>
      <c r="B21" s="48" t="str">
        <f>'Initiative Register'!B21</f>
        <v>INI-017</v>
      </c>
      <c r="C21" s="48" t="str">
        <f>'Initiative Register'!C21</f>
        <v>RESIDENTIAL COLONY AND COMMUNITY HEALTH PROGRAMMES</v>
      </c>
      <c r="D21" s="49">
        <v>0</v>
      </c>
      <c r="E21" s="49">
        <v>0</v>
      </c>
      <c r="F21" s="49">
        <v>0</v>
      </c>
      <c r="G21" s="49">
        <v>0</v>
      </c>
      <c r="H21" s="49">
        <v>0</v>
      </c>
      <c r="I21" s="49">
        <v>0</v>
      </c>
      <c r="J21" s="49">
        <v>0</v>
      </c>
      <c r="K21" s="49">
        <v>0</v>
      </c>
      <c r="L21" s="49">
        <v>0</v>
      </c>
      <c r="M21" s="49">
        <v>0</v>
      </c>
      <c r="N21" s="49">
        <v>0</v>
      </c>
      <c r="O21" s="49">
        <v>0</v>
      </c>
      <c r="P21" s="50">
        <f t="shared" si="0"/>
        <v>0</v>
      </c>
    </row>
    <row r="22" spans="1:16" ht="18" customHeight="1" x14ac:dyDescent="0.35">
      <c r="A22" s="29">
        <v>18</v>
      </c>
      <c r="B22" s="51" t="str">
        <f>'Initiative Register'!B22</f>
        <v>INI-018</v>
      </c>
      <c r="C22" s="51" t="str">
        <f>'Initiative Register'!C22</f>
        <v>INTERNATIONAL MEDICAL VALUE TOURISM — GULF, MALDIVES, BANGLADESH</v>
      </c>
      <c r="D22" s="52">
        <v>0</v>
      </c>
      <c r="E22" s="52">
        <v>0</v>
      </c>
      <c r="F22" s="52">
        <v>0</v>
      </c>
      <c r="G22" s="52">
        <v>0</v>
      </c>
      <c r="H22" s="52">
        <v>0</v>
      </c>
      <c r="I22" s="52">
        <v>0</v>
      </c>
      <c r="J22" s="52">
        <v>0</v>
      </c>
      <c r="K22" s="52">
        <v>0</v>
      </c>
      <c r="L22" s="52">
        <v>0</v>
      </c>
      <c r="M22" s="52">
        <v>0</v>
      </c>
      <c r="N22" s="52">
        <v>0</v>
      </c>
      <c r="O22" s="52">
        <v>0</v>
      </c>
      <c r="P22" s="53">
        <f t="shared" si="0"/>
        <v>0</v>
      </c>
    </row>
    <row r="23" spans="1:16" ht="18" customHeight="1" x14ac:dyDescent="0.35">
      <c r="A23" s="33">
        <v>19</v>
      </c>
      <c r="B23" s="48" t="str">
        <f>'Initiative Register'!B23</f>
        <v>INI-019</v>
      </c>
      <c r="C23" s="48" t="str">
        <f>'Initiative Register'!C23</f>
        <v>STRUCTURED REFERRAL DOCTOR PROGRAMME</v>
      </c>
      <c r="D23" s="49">
        <v>0</v>
      </c>
      <c r="E23" s="49">
        <v>0</v>
      </c>
      <c r="F23" s="49">
        <v>0</v>
      </c>
      <c r="G23" s="49">
        <v>0</v>
      </c>
      <c r="H23" s="49">
        <v>0</v>
      </c>
      <c r="I23" s="49">
        <v>0</v>
      </c>
      <c r="J23" s="49">
        <v>0</v>
      </c>
      <c r="K23" s="49">
        <v>0</v>
      </c>
      <c r="L23" s="49">
        <v>0</v>
      </c>
      <c r="M23" s="49">
        <v>0</v>
      </c>
      <c r="N23" s="49">
        <v>0</v>
      </c>
      <c r="O23" s="49">
        <v>0</v>
      </c>
      <c r="P23" s="50">
        <f t="shared" si="0"/>
        <v>0</v>
      </c>
    </row>
    <row r="24" spans="1:16" ht="18" customHeight="1" x14ac:dyDescent="0.35">
      <c r="A24" s="29">
        <v>20</v>
      </c>
      <c r="B24" s="51" t="str">
        <f>'Initiative Register'!B24</f>
        <v>INI-020</v>
      </c>
      <c r="C24" s="51" t="str">
        <f>'Initiative Register'!C24</f>
        <v>CME AND CLINICAL CONNECT PROGRAMME</v>
      </c>
      <c r="D24" s="52">
        <v>0</v>
      </c>
      <c r="E24" s="52">
        <v>0</v>
      </c>
      <c r="F24" s="52">
        <v>0</v>
      </c>
      <c r="G24" s="52">
        <v>0</v>
      </c>
      <c r="H24" s="52">
        <v>0</v>
      </c>
      <c r="I24" s="52">
        <v>0</v>
      </c>
      <c r="J24" s="52">
        <v>0</v>
      </c>
      <c r="K24" s="52">
        <v>0</v>
      </c>
      <c r="L24" s="52">
        <v>0</v>
      </c>
      <c r="M24" s="52">
        <v>0</v>
      </c>
      <c r="N24" s="52">
        <v>0</v>
      </c>
      <c r="O24" s="52">
        <v>0</v>
      </c>
      <c r="P24" s="53">
        <f t="shared" si="0"/>
        <v>0</v>
      </c>
    </row>
    <row r="25" spans="1:16" ht="18" customHeight="1" x14ac:dyDescent="0.35">
      <c r="A25" s="33">
        <v>21</v>
      </c>
      <c r="B25" s="48" t="str">
        <f>'Initiative Register'!B25</f>
        <v>INI-021</v>
      </c>
      <c r="C25" s="48" t="str">
        <f>'Initiative Register'!C25</f>
        <v>GOVERNMENT SCHEME EMPANELMENT OPTIMISATION</v>
      </c>
      <c r="D25" s="49">
        <v>0</v>
      </c>
      <c r="E25" s="49">
        <v>0</v>
      </c>
      <c r="F25" s="49">
        <v>0</v>
      </c>
      <c r="G25" s="49">
        <v>0</v>
      </c>
      <c r="H25" s="49">
        <v>0</v>
      </c>
      <c r="I25" s="49">
        <v>0</v>
      </c>
      <c r="J25" s="49">
        <v>0</v>
      </c>
      <c r="K25" s="49">
        <v>0</v>
      </c>
      <c r="L25" s="49">
        <v>0</v>
      </c>
      <c r="M25" s="49">
        <v>0</v>
      </c>
      <c r="N25" s="49">
        <v>0</v>
      </c>
      <c r="O25" s="49">
        <v>0</v>
      </c>
      <c r="P25" s="50">
        <f t="shared" si="0"/>
        <v>0</v>
      </c>
    </row>
    <row r="26" spans="1:16" ht="18" customHeight="1" x14ac:dyDescent="0.35">
      <c r="A26" s="29">
        <v>22</v>
      </c>
      <c r="B26" s="51" t="str">
        <f>'Initiative Register'!B26</f>
        <v>INI-022</v>
      </c>
      <c r="C26" s="51" t="str">
        <f>'Initiative Register'!C26</f>
        <v>TRANSPLANT CENTRE — VOLUME GROWTH AND DONOR PROGRAMME ACTIVATION</v>
      </c>
      <c r="D26" s="52">
        <v>0</v>
      </c>
      <c r="E26" s="52">
        <v>0</v>
      </c>
      <c r="F26" s="52">
        <v>0</v>
      </c>
      <c r="G26" s="52">
        <v>0</v>
      </c>
      <c r="H26" s="52">
        <v>0</v>
      </c>
      <c r="I26" s="52">
        <v>0</v>
      </c>
      <c r="J26" s="52">
        <v>0</v>
      </c>
      <c r="K26" s="52">
        <v>0</v>
      </c>
      <c r="L26" s="52">
        <v>0</v>
      </c>
      <c r="M26" s="52">
        <v>0</v>
      </c>
      <c r="N26" s="52">
        <v>0</v>
      </c>
      <c r="O26" s="52">
        <v>0</v>
      </c>
      <c r="P26" s="53">
        <f t="shared" si="0"/>
        <v>0</v>
      </c>
    </row>
    <row r="27" spans="1:16" ht="18" customHeight="1" x14ac:dyDescent="0.35">
      <c r="A27" s="33">
        <v>23</v>
      </c>
      <c r="B27" s="48" t="str">
        <f>'Initiative Register'!B27</f>
        <v>INI-023</v>
      </c>
      <c r="C27" s="48" t="str">
        <f>'Initiative Register'!C27</f>
        <v>CARDIAC SCIENCES — STRUCTURAL HEART AND ELECTROPHYSIOLOGY VOLUME BUILD</v>
      </c>
      <c r="D27" s="49">
        <v>0</v>
      </c>
      <c r="E27" s="49">
        <v>0</v>
      </c>
      <c r="F27" s="49">
        <v>0</v>
      </c>
      <c r="G27" s="49">
        <v>0</v>
      </c>
      <c r="H27" s="49">
        <v>0</v>
      </c>
      <c r="I27" s="49">
        <v>0</v>
      </c>
      <c r="J27" s="49">
        <v>0</v>
      </c>
      <c r="K27" s="49">
        <v>0</v>
      </c>
      <c r="L27" s="49">
        <v>0</v>
      </c>
      <c r="M27" s="49">
        <v>0</v>
      </c>
      <c r="N27" s="49">
        <v>0</v>
      </c>
      <c r="O27" s="49">
        <v>0</v>
      </c>
      <c r="P27" s="50">
        <f t="shared" si="0"/>
        <v>0</v>
      </c>
    </row>
    <row r="28" spans="1:16" ht="18" customHeight="1" x14ac:dyDescent="0.35">
      <c r="A28" s="29">
        <v>24</v>
      </c>
      <c r="B28" s="51" t="str">
        <f>'Initiative Register'!B28</f>
        <v>INI-024</v>
      </c>
      <c r="C28" s="51" t="str">
        <f>'Initiative Register'!C28</f>
        <v>ONCOLOGY — EARLY DETECTION, SATELLITE CLINICS AND SURGICAL VOLUME GROWTH</v>
      </c>
      <c r="D28" s="52">
        <v>0</v>
      </c>
      <c r="E28" s="52">
        <v>0</v>
      </c>
      <c r="F28" s="52">
        <v>0</v>
      </c>
      <c r="G28" s="52">
        <v>0</v>
      </c>
      <c r="H28" s="52">
        <v>0</v>
      </c>
      <c r="I28" s="52">
        <v>0</v>
      </c>
      <c r="J28" s="52">
        <v>0</v>
      </c>
      <c r="K28" s="52">
        <v>0</v>
      </c>
      <c r="L28" s="52">
        <v>0</v>
      </c>
      <c r="M28" s="52">
        <v>0</v>
      </c>
      <c r="N28" s="52">
        <v>0</v>
      </c>
      <c r="O28" s="52">
        <v>0</v>
      </c>
      <c r="P28" s="53">
        <f t="shared" si="0"/>
        <v>0</v>
      </c>
    </row>
    <row r="29" spans="1:16" ht="18" customHeight="1" x14ac:dyDescent="0.35">
      <c r="A29" s="33">
        <v>25</v>
      </c>
      <c r="B29" s="48" t="str">
        <f>'Initiative Register'!B29</f>
        <v>INI-025</v>
      </c>
      <c r="C29" s="48" t="str">
        <f>'Initiative Register'!C29</f>
        <v>ORTHOPAEDICS AND JOINT REPLACEMENT — VOLUME AND PACKAGE PROGRAMME</v>
      </c>
      <c r="D29" s="49">
        <v>0</v>
      </c>
      <c r="E29" s="49">
        <v>0</v>
      </c>
      <c r="F29" s="49">
        <v>0</v>
      </c>
      <c r="G29" s="49">
        <v>0</v>
      </c>
      <c r="H29" s="49">
        <v>0</v>
      </c>
      <c r="I29" s="49">
        <v>0</v>
      </c>
      <c r="J29" s="49">
        <v>0</v>
      </c>
      <c r="K29" s="49">
        <v>0</v>
      </c>
      <c r="L29" s="49">
        <v>0</v>
      </c>
      <c r="M29" s="49">
        <v>0</v>
      </c>
      <c r="N29" s="49">
        <v>0</v>
      </c>
      <c r="O29" s="49">
        <v>0</v>
      </c>
      <c r="P29" s="50">
        <f t="shared" si="0"/>
        <v>0</v>
      </c>
    </row>
    <row r="30" spans="1:16" ht="18" customHeight="1" x14ac:dyDescent="0.35">
      <c r="A30" s="29">
        <v>26</v>
      </c>
      <c r="B30" s="51" t="str">
        <f>'Initiative Register'!B30</f>
        <v>INI-026</v>
      </c>
      <c r="C30" s="51" t="str">
        <f>'Initiative Register'!C30</f>
        <v>LAKESHORE HEART RUN — ANNUAL CARDIAC HEALTH EVENT</v>
      </c>
      <c r="D30" s="52">
        <v>0</v>
      </c>
      <c r="E30" s="52">
        <v>0</v>
      </c>
      <c r="F30" s="52">
        <v>0</v>
      </c>
      <c r="G30" s="52">
        <v>0</v>
      </c>
      <c r="H30" s="52">
        <v>0</v>
      </c>
      <c r="I30" s="52">
        <v>0</v>
      </c>
      <c r="J30" s="52">
        <v>0</v>
      </c>
      <c r="K30" s="52">
        <v>0</v>
      </c>
      <c r="L30" s="52">
        <v>0</v>
      </c>
      <c r="M30" s="52">
        <v>0</v>
      </c>
      <c r="N30" s="52">
        <v>0</v>
      </c>
      <c r="O30" s="52">
        <v>0</v>
      </c>
      <c r="P30" s="53">
        <f t="shared" si="0"/>
        <v>0</v>
      </c>
    </row>
    <row r="31" spans="1:16" ht="18" customHeight="1" x14ac:dyDescent="0.35">
      <c r="A31" s="33">
        <v>27</v>
      </c>
      <c r="B31" s="48" t="str">
        <f>'Initiative Register'!B32</f>
        <v>INI-028</v>
      </c>
      <c r="C31" s="48" t="str">
        <f>'Initiative Register'!C32</f>
        <v>DIGITAL CONTENT PLATFORM — MALAYALAM AND ENGLISH</v>
      </c>
      <c r="D31" s="49">
        <v>0</v>
      </c>
      <c r="E31" s="49">
        <v>0</v>
      </c>
      <c r="F31" s="49">
        <v>0</v>
      </c>
      <c r="G31" s="49">
        <v>0</v>
      </c>
      <c r="H31" s="49">
        <v>0</v>
      </c>
      <c r="I31" s="49">
        <v>0</v>
      </c>
      <c r="J31" s="49">
        <v>0</v>
      </c>
      <c r="K31" s="49">
        <v>0</v>
      </c>
      <c r="L31" s="49">
        <v>0</v>
      </c>
      <c r="M31" s="49">
        <v>0</v>
      </c>
      <c r="N31" s="49">
        <v>0</v>
      </c>
      <c r="O31" s="49">
        <v>0</v>
      </c>
      <c r="P31" s="50">
        <f t="shared" si="0"/>
        <v>0</v>
      </c>
    </row>
    <row r="32" spans="1:16" ht="18" customHeight="1" x14ac:dyDescent="0.35">
      <c r="A32" s="29">
        <v>28</v>
      </c>
      <c r="B32" s="51" t="str">
        <f>'Initiative Register'!B33</f>
        <v>INI-029</v>
      </c>
      <c r="C32" s="51" t="str">
        <f>'Initiative Register'!C33</f>
        <v>COMMUNITY HEALTH CAMPS — SCHOOLS, PLACES OF WORSHIP, RESIDENTIAL AREAS</v>
      </c>
      <c r="D32" s="52">
        <v>0</v>
      </c>
      <c r="E32" s="52">
        <v>0</v>
      </c>
      <c r="F32" s="52">
        <v>0</v>
      </c>
      <c r="G32" s="52">
        <v>0</v>
      </c>
      <c r="H32" s="52">
        <v>0</v>
      </c>
      <c r="I32" s="52">
        <v>0</v>
      </c>
      <c r="J32" s="52">
        <v>0</v>
      </c>
      <c r="K32" s="52">
        <v>0</v>
      </c>
      <c r="L32" s="52">
        <v>0</v>
      </c>
      <c r="M32" s="52">
        <v>0</v>
      </c>
      <c r="N32" s="52">
        <v>0</v>
      </c>
      <c r="O32" s="52">
        <v>0</v>
      </c>
      <c r="P32" s="53">
        <f t="shared" si="0"/>
        <v>0</v>
      </c>
    </row>
    <row r="33" spans="1:16" ht="18" customHeight="1" x14ac:dyDescent="0.35">
      <c r="A33" s="33">
        <v>29</v>
      </c>
      <c r="B33" s="48" t="str">
        <f>'Initiative Register'!B34</f>
        <v>INI-030</v>
      </c>
      <c r="C33" s="48" t="str">
        <f>'Initiative Register'!C34</f>
        <v>DOCTOR ONLINE REPUTATION AND DIGITAL DISCOVERABILITY</v>
      </c>
      <c r="D33" s="49">
        <v>0</v>
      </c>
      <c r="E33" s="49">
        <v>0</v>
      </c>
      <c r="F33" s="49">
        <v>0</v>
      </c>
      <c r="G33" s="49">
        <v>0</v>
      </c>
      <c r="H33" s="49">
        <v>0</v>
      </c>
      <c r="I33" s="49">
        <v>0</v>
      </c>
      <c r="J33" s="49">
        <v>0</v>
      </c>
      <c r="K33" s="49">
        <v>0</v>
      </c>
      <c r="L33" s="49">
        <v>0</v>
      </c>
      <c r="M33" s="49">
        <v>0</v>
      </c>
      <c r="N33" s="49">
        <v>0</v>
      </c>
      <c r="O33" s="49">
        <v>0</v>
      </c>
      <c r="P33" s="50">
        <f t="shared" si="0"/>
        <v>0</v>
      </c>
    </row>
    <row r="34" spans="1:16" ht="18" customHeight="1" x14ac:dyDescent="0.35">
      <c r="A34" s="29">
        <v>30</v>
      </c>
      <c r="B34" s="51" t="str">
        <f>'Initiative Register'!B35</f>
        <v>INI-031</v>
      </c>
      <c r="C34" s="51" t="str">
        <f>'Initiative Register'!C35</f>
        <v>TPA AND INSURER TARIFF RENEGOTIATION</v>
      </c>
      <c r="D34" s="52">
        <v>0</v>
      </c>
      <c r="E34" s="52">
        <v>0</v>
      </c>
      <c r="F34" s="52">
        <v>0</v>
      </c>
      <c r="G34" s="52">
        <v>0</v>
      </c>
      <c r="H34" s="52">
        <v>0</v>
      </c>
      <c r="I34" s="52">
        <v>0</v>
      </c>
      <c r="J34" s="52">
        <v>0</v>
      </c>
      <c r="K34" s="52">
        <v>0</v>
      </c>
      <c r="L34" s="52">
        <v>0</v>
      </c>
      <c r="M34" s="52">
        <v>0</v>
      </c>
      <c r="N34" s="52">
        <v>0</v>
      </c>
      <c r="O34" s="52">
        <v>0</v>
      </c>
      <c r="P34" s="53">
        <f t="shared" si="0"/>
        <v>0</v>
      </c>
    </row>
    <row r="35" spans="1:16" ht="18" customHeight="1" x14ac:dyDescent="0.35">
      <c r="A35" s="33">
        <v>31</v>
      </c>
      <c r="B35" s="48" t="str">
        <f>'Initiative Register'!B36</f>
        <v>INI-032</v>
      </c>
      <c r="C35" s="48" t="str">
        <f>'Initiative Register'!C36</f>
        <v>FINANCIAL COUNSELLING AND PRE-AUTHORISATION AT SURGICAL OPD</v>
      </c>
      <c r="D35" s="49">
        <v>0</v>
      </c>
      <c r="E35" s="49">
        <v>0</v>
      </c>
      <c r="F35" s="49">
        <v>0</v>
      </c>
      <c r="G35" s="49">
        <v>0</v>
      </c>
      <c r="H35" s="49">
        <v>0</v>
      </c>
      <c r="I35" s="49">
        <v>0</v>
      </c>
      <c r="J35" s="49">
        <v>0</v>
      </c>
      <c r="K35" s="49">
        <v>0</v>
      </c>
      <c r="L35" s="49">
        <v>0</v>
      </c>
      <c r="M35" s="49">
        <v>0</v>
      </c>
      <c r="N35" s="49">
        <v>0</v>
      </c>
      <c r="O35" s="49">
        <v>0</v>
      </c>
      <c r="P35" s="50">
        <f t="shared" si="0"/>
        <v>0</v>
      </c>
    </row>
    <row r="36" spans="1:16" ht="18" customHeight="1" x14ac:dyDescent="0.35">
      <c r="A36" s="29">
        <v>32</v>
      </c>
      <c r="B36" s="51" t="str">
        <f>'Initiative Register'!B37</f>
        <v>INI-033</v>
      </c>
      <c r="C36" s="51" t="str">
        <f>'Initiative Register'!C37</f>
        <v>BUILD A SCALED BD ORGANISATION</v>
      </c>
      <c r="D36" s="52">
        <v>0</v>
      </c>
      <c r="E36" s="52">
        <v>0</v>
      </c>
      <c r="F36" s="52">
        <v>0</v>
      </c>
      <c r="G36" s="52">
        <v>0</v>
      </c>
      <c r="H36" s="52">
        <v>0</v>
      </c>
      <c r="I36" s="52">
        <v>0</v>
      </c>
      <c r="J36" s="52">
        <v>0</v>
      </c>
      <c r="K36" s="52">
        <v>0</v>
      </c>
      <c r="L36" s="52">
        <v>0</v>
      </c>
      <c r="M36" s="52">
        <v>0</v>
      </c>
      <c r="N36" s="52">
        <v>0</v>
      </c>
      <c r="O36" s="52">
        <v>0</v>
      </c>
      <c r="P36" s="53">
        <f t="shared" si="0"/>
        <v>0</v>
      </c>
    </row>
    <row r="37" spans="1:16" ht="18" customHeight="1" x14ac:dyDescent="0.35">
      <c r="A37" s="33">
        <v>33</v>
      </c>
      <c r="B37" s="48" t="str">
        <f>'Initiative Register'!B38</f>
        <v>INI-034</v>
      </c>
      <c r="C37" s="48" t="str">
        <f>'Initiative Register'!C38</f>
        <v>MATERIALS / DRUG COST &amp; CONSUMABLES</v>
      </c>
      <c r="D37" s="49">
        <v>0</v>
      </c>
      <c r="E37" s="49">
        <v>0</v>
      </c>
      <c r="F37" s="49">
        <v>0</v>
      </c>
      <c r="G37" s="49">
        <v>0</v>
      </c>
      <c r="H37" s="49">
        <v>0</v>
      </c>
      <c r="I37" s="49">
        <v>0</v>
      </c>
      <c r="J37" s="49">
        <v>0</v>
      </c>
      <c r="K37" s="49">
        <v>0</v>
      </c>
      <c r="L37" s="49">
        <v>0</v>
      </c>
      <c r="M37" s="49">
        <v>0</v>
      </c>
      <c r="N37" s="49">
        <v>0</v>
      </c>
      <c r="O37" s="49">
        <v>0</v>
      </c>
      <c r="P37" s="50">
        <f t="shared" si="0"/>
        <v>0</v>
      </c>
    </row>
    <row r="38" spans="1:16" ht="18" customHeight="1" x14ac:dyDescent="0.35">
      <c r="A38" s="29">
        <v>34</v>
      </c>
      <c r="B38" s="51" t="str">
        <f>'Initiative Register'!B39</f>
        <v>INI-035</v>
      </c>
      <c r="C38" s="51" t="str">
        <f>'Initiative Register'!C39</f>
        <v>MATERIALS / DRUG COST &amp; CONSUMABLES</v>
      </c>
      <c r="D38" s="52">
        <v>0</v>
      </c>
      <c r="E38" s="52">
        <v>0</v>
      </c>
      <c r="F38" s="52">
        <v>0</v>
      </c>
      <c r="G38" s="52">
        <v>0</v>
      </c>
      <c r="H38" s="52">
        <v>0</v>
      </c>
      <c r="I38" s="52">
        <v>0</v>
      </c>
      <c r="J38" s="52">
        <v>0</v>
      </c>
      <c r="K38" s="52">
        <v>0</v>
      </c>
      <c r="L38" s="52">
        <v>0</v>
      </c>
      <c r="M38" s="52">
        <v>0</v>
      </c>
      <c r="N38" s="52">
        <v>0</v>
      </c>
      <c r="O38" s="52">
        <v>0</v>
      </c>
      <c r="P38" s="53">
        <f t="shared" si="0"/>
        <v>0</v>
      </c>
    </row>
    <row r="39" spans="1:16" ht="18" customHeight="1" x14ac:dyDescent="0.35">
      <c r="A39" s="33">
        <v>35</v>
      </c>
      <c r="B39" s="48" t="str">
        <f>'Initiative Register'!B40</f>
        <v>INI-036</v>
      </c>
      <c r="C39" s="48" t="str">
        <f>'Initiative Register'!C40</f>
        <v>MATERIALS / DRUG COST &amp; CONSUMABLES</v>
      </c>
      <c r="D39" s="49">
        <v>0</v>
      </c>
      <c r="E39" s="49">
        <v>0</v>
      </c>
      <c r="F39" s="49">
        <v>0</v>
      </c>
      <c r="G39" s="49">
        <v>0</v>
      </c>
      <c r="H39" s="49">
        <v>0</v>
      </c>
      <c r="I39" s="49">
        <v>0</v>
      </c>
      <c r="J39" s="49">
        <v>0</v>
      </c>
      <c r="K39" s="49">
        <v>0</v>
      </c>
      <c r="L39" s="49">
        <v>0</v>
      </c>
      <c r="M39" s="49">
        <v>0</v>
      </c>
      <c r="N39" s="49">
        <v>0</v>
      </c>
      <c r="O39" s="49">
        <v>0</v>
      </c>
      <c r="P39" s="50">
        <f t="shared" si="0"/>
        <v>0</v>
      </c>
    </row>
    <row r="40" spans="1:16" ht="18" customHeight="1" x14ac:dyDescent="0.35">
      <c r="A40" s="29">
        <v>36</v>
      </c>
      <c r="B40" s="51" t="str">
        <f>'Initiative Register'!B41</f>
        <v>INI-037</v>
      </c>
      <c r="C40" s="51" t="str">
        <f>'Initiative Register'!C41</f>
        <v>MATERIALS / DRUG COST &amp; CONSUMABLES</v>
      </c>
      <c r="D40" s="52">
        <v>0</v>
      </c>
      <c r="E40" s="52">
        <v>0</v>
      </c>
      <c r="F40" s="52">
        <v>0</v>
      </c>
      <c r="G40" s="52">
        <v>0</v>
      </c>
      <c r="H40" s="52">
        <v>0</v>
      </c>
      <c r="I40" s="52">
        <v>0</v>
      </c>
      <c r="J40" s="52">
        <v>0</v>
      </c>
      <c r="K40" s="52">
        <v>0</v>
      </c>
      <c r="L40" s="52">
        <v>0</v>
      </c>
      <c r="M40" s="52">
        <v>0</v>
      </c>
      <c r="N40" s="52">
        <v>0</v>
      </c>
      <c r="O40" s="52">
        <v>0</v>
      </c>
      <c r="P40" s="53">
        <f t="shared" si="0"/>
        <v>0</v>
      </c>
    </row>
    <row r="41" spans="1:16" ht="18" customHeight="1" x14ac:dyDescent="0.35">
      <c r="A41" s="33">
        <v>37</v>
      </c>
      <c r="B41" s="48" t="str">
        <f>'Initiative Register'!B42</f>
        <v>INI-038</v>
      </c>
      <c r="C41" s="48" t="str">
        <f>'Initiative Register'!C42</f>
        <v>MATERIALS / DRUG COST &amp; CONSUMABLES</v>
      </c>
      <c r="D41" s="49">
        <v>0</v>
      </c>
      <c r="E41" s="49">
        <v>0</v>
      </c>
      <c r="F41" s="49">
        <v>0</v>
      </c>
      <c r="G41" s="49">
        <v>0</v>
      </c>
      <c r="H41" s="49">
        <v>0</v>
      </c>
      <c r="I41" s="49">
        <v>0</v>
      </c>
      <c r="J41" s="49">
        <v>0</v>
      </c>
      <c r="K41" s="49">
        <v>0</v>
      </c>
      <c r="L41" s="49">
        <v>0</v>
      </c>
      <c r="M41" s="49">
        <v>0</v>
      </c>
      <c r="N41" s="49">
        <v>0</v>
      </c>
      <c r="O41" s="49">
        <v>0</v>
      </c>
      <c r="P41" s="50">
        <f t="shared" si="0"/>
        <v>0</v>
      </c>
    </row>
    <row r="42" spans="1:16" ht="18" customHeight="1" x14ac:dyDescent="0.35">
      <c r="A42" s="29">
        <v>38</v>
      </c>
      <c r="B42" s="51" t="str">
        <f>'Initiative Register'!B43</f>
        <v>INI-039</v>
      </c>
      <c r="C42" s="51" t="str">
        <f>'Initiative Register'!C43</f>
        <v>MATERIALS / DRUG COST &amp; CONSUMABLES</v>
      </c>
      <c r="D42" s="52">
        <v>0</v>
      </c>
      <c r="E42" s="52">
        <v>0</v>
      </c>
      <c r="F42" s="52">
        <v>0</v>
      </c>
      <c r="G42" s="52">
        <v>0</v>
      </c>
      <c r="H42" s="52">
        <v>0</v>
      </c>
      <c r="I42" s="52">
        <v>0</v>
      </c>
      <c r="J42" s="52">
        <v>0</v>
      </c>
      <c r="K42" s="52">
        <v>0</v>
      </c>
      <c r="L42" s="52">
        <v>0</v>
      </c>
      <c r="M42" s="52">
        <v>0</v>
      </c>
      <c r="N42" s="52">
        <v>0</v>
      </c>
      <c r="O42" s="52">
        <v>0</v>
      </c>
      <c r="P42" s="53">
        <f t="shared" si="0"/>
        <v>0</v>
      </c>
    </row>
    <row r="43" spans="1:16" ht="18" customHeight="1" x14ac:dyDescent="0.35">
      <c r="A43" s="33">
        <v>39</v>
      </c>
      <c r="B43" s="48" t="str">
        <f>'Initiative Register'!B44</f>
        <v>INI-040</v>
      </c>
      <c r="C43" s="48" t="str">
        <f>'Initiative Register'!C44</f>
        <v>MATERIALS / DRUG COST &amp; CONSUMABLES</v>
      </c>
      <c r="D43" s="49">
        <v>0</v>
      </c>
      <c r="E43" s="49">
        <v>0</v>
      </c>
      <c r="F43" s="49">
        <v>0</v>
      </c>
      <c r="G43" s="49">
        <v>0</v>
      </c>
      <c r="H43" s="49">
        <v>0</v>
      </c>
      <c r="I43" s="49">
        <v>0</v>
      </c>
      <c r="J43" s="49">
        <v>0</v>
      </c>
      <c r="K43" s="49">
        <v>0</v>
      </c>
      <c r="L43" s="49">
        <v>0</v>
      </c>
      <c r="M43" s="49">
        <v>0</v>
      </c>
      <c r="N43" s="49">
        <v>0</v>
      </c>
      <c r="O43" s="49">
        <v>0</v>
      </c>
      <c r="P43" s="50">
        <f t="shared" si="0"/>
        <v>0</v>
      </c>
    </row>
    <row r="44" spans="1:16" ht="18" customHeight="1" x14ac:dyDescent="0.35">
      <c r="A44" s="29">
        <v>40</v>
      </c>
      <c r="B44" s="51" t="str">
        <f>'Initiative Register'!B45</f>
        <v>INI-041</v>
      </c>
      <c r="C44" s="51" t="str">
        <f>'Initiative Register'!C45</f>
        <v>MATERIALS / DRUG COST &amp; CONSUMABLES</v>
      </c>
      <c r="D44" s="52">
        <v>0</v>
      </c>
      <c r="E44" s="52">
        <v>0</v>
      </c>
      <c r="F44" s="52">
        <v>0</v>
      </c>
      <c r="G44" s="52">
        <v>0</v>
      </c>
      <c r="H44" s="52">
        <v>0</v>
      </c>
      <c r="I44" s="52">
        <v>0</v>
      </c>
      <c r="J44" s="52">
        <v>0</v>
      </c>
      <c r="K44" s="52">
        <v>0</v>
      </c>
      <c r="L44" s="52">
        <v>0</v>
      </c>
      <c r="M44" s="52">
        <v>0</v>
      </c>
      <c r="N44" s="52">
        <v>0</v>
      </c>
      <c r="O44" s="52">
        <v>0</v>
      </c>
      <c r="P44" s="53">
        <f t="shared" si="0"/>
        <v>0</v>
      </c>
    </row>
    <row r="45" spans="1:16" ht="18" customHeight="1" x14ac:dyDescent="0.35">
      <c r="A45" s="33">
        <v>41</v>
      </c>
      <c r="B45" s="48" t="str">
        <f>'Initiative Register'!B46</f>
        <v>INI-042</v>
      </c>
      <c r="C45" s="48" t="str">
        <f>'Initiative Register'!C46</f>
        <v>PAYROLL – NURSING OPTIMISATION</v>
      </c>
      <c r="D45" s="49">
        <v>0</v>
      </c>
      <c r="E45" s="49">
        <v>0</v>
      </c>
      <c r="F45" s="49">
        <v>0</v>
      </c>
      <c r="G45" s="49">
        <v>0</v>
      </c>
      <c r="H45" s="49">
        <v>0</v>
      </c>
      <c r="I45" s="49">
        <v>0</v>
      </c>
      <c r="J45" s="49">
        <v>0</v>
      </c>
      <c r="K45" s="49">
        <v>0</v>
      </c>
      <c r="L45" s="49">
        <v>0</v>
      </c>
      <c r="M45" s="49">
        <v>0</v>
      </c>
      <c r="N45" s="49">
        <v>0</v>
      </c>
      <c r="O45" s="49">
        <v>0</v>
      </c>
      <c r="P45" s="50">
        <f t="shared" si="0"/>
        <v>0</v>
      </c>
    </row>
    <row r="46" spans="1:16" ht="18" customHeight="1" x14ac:dyDescent="0.35">
      <c r="A46" s="29">
        <v>42</v>
      </c>
      <c r="B46" s="51" t="str">
        <f>'Initiative Register'!B47</f>
        <v>INI-043</v>
      </c>
      <c r="C46" s="51" t="str">
        <f>'Initiative Register'!C47</f>
        <v>PAYROLL – PHARMACY OPTIMISATION</v>
      </c>
      <c r="D46" s="52">
        <v>0</v>
      </c>
      <c r="E46" s="52">
        <v>0</v>
      </c>
      <c r="F46" s="52">
        <v>0</v>
      </c>
      <c r="G46" s="52">
        <v>0</v>
      </c>
      <c r="H46" s="52">
        <v>0</v>
      </c>
      <c r="I46" s="52">
        <v>0</v>
      </c>
      <c r="J46" s="52">
        <v>0</v>
      </c>
      <c r="K46" s="52">
        <v>0</v>
      </c>
      <c r="L46" s="52">
        <v>0</v>
      </c>
      <c r="M46" s="52">
        <v>0</v>
      </c>
      <c r="N46" s="52">
        <v>0</v>
      </c>
      <c r="O46" s="52">
        <v>0</v>
      </c>
      <c r="P46" s="53">
        <f t="shared" si="0"/>
        <v>0</v>
      </c>
    </row>
    <row r="47" spans="1:16" ht="18" customHeight="1" x14ac:dyDescent="0.35">
      <c r="A47" s="33">
        <v>43</v>
      </c>
      <c r="B47" s="48" t="str">
        <f>'Initiative Register'!B48</f>
        <v>INI-044</v>
      </c>
      <c r="C47" s="48" t="str">
        <f>'Initiative Register'!C48</f>
        <v>PAYROLL – ADMIN (PCS) OPTIMISATION</v>
      </c>
      <c r="D47" s="49">
        <v>0</v>
      </c>
      <c r="E47" s="49">
        <v>0</v>
      </c>
      <c r="F47" s="49">
        <v>0</v>
      </c>
      <c r="G47" s="49">
        <v>0</v>
      </c>
      <c r="H47" s="49">
        <v>0</v>
      </c>
      <c r="I47" s="49">
        <v>0</v>
      </c>
      <c r="J47" s="49">
        <v>0</v>
      </c>
      <c r="K47" s="49">
        <v>0</v>
      </c>
      <c r="L47" s="49">
        <v>0</v>
      </c>
      <c r="M47" s="49">
        <v>0</v>
      </c>
      <c r="N47" s="49">
        <v>0</v>
      </c>
      <c r="O47" s="49">
        <v>0</v>
      </c>
      <c r="P47" s="50">
        <f t="shared" si="0"/>
        <v>0</v>
      </c>
    </row>
    <row r="48" spans="1:16" ht="18" customHeight="1" x14ac:dyDescent="0.35">
      <c r="A48" s="29">
        <v>44</v>
      </c>
      <c r="B48" s="51" t="str">
        <f>'Initiative Register'!B49</f>
        <v>INI-045</v>
      </c>
      <c r="C48" s="51" t="str">
        <f>'Initiative Register'!C49</f>
        <v>PAYROLL – LAB OPTIMISATION</v>
      </c>
      <c r="D48" s="52">
        <v>0</v>
      </c>
      <c r="E48" s="52">
        <v>0</v>
      </c>
      <c r="F48" s="52">
        <v>0</v>
      </c>
      <c r="G48" s="52">
        <v>0</v>
      </c>
      <c r="H48" s="52">
        <v>0</v>
      </c>
      <c r="I48" s="52">
        <v>0</v>
      </c>
      <c r="J48" s="52">
        <v>0</v>
      </c>
      <c r="K48" s="52">
        <v>0</v>
      </c>
      <c r="L48" s="52">
        <v>0</v>
      </c>
      <c r="M48" s="52">
        <v>0</v>
      </c>
      <c r="N48" s="52">
        <v>0</v>
      </c>
      <c r="O48" s="52">
        <v>0</v>
      </c>
      <c r="P48" s="53">
        <f t="shared" si="0"/>
        <v>0</v>
      </c>
    </row>
    <row r="49" spans="1:16" ht="18" customHeight="1" x14ac:dyDescent="0.35">
      <c r="A49" s="33">
        <v>45</v>
      </c>
      <c r="B49" s="48" t="str">
        <f>'Initiative Register'!B50</f>
        <v>INI-046</v>
      </c>
      <c r="C49" s="48" t="str">
        <f>'Initiative Register'!C50</f>
        <v>PAYROLL – OT COST CONTROL</v>
      </c>
      <c r="D49" s="49">
        <v>0</v>
      </c>
      <c r="E49" s="49">
        <v>0</v>
      </c>
      <c r="F49" s="49">
        <v>0</v>
      </c>
      <c r="G49" s="49">
        <v>0</v>
      </c>
      <c r="H49" s="49">
        <v>0</v>
      </c>
      <c r="I49" s="49">
        <v>0</v>
      </c>
      <c r="J49" s="49">
        <v>0</v>
      </c>
      <c r="K49" s="49">
        <v>0</v>
      </c>
      <c r="L49" s="49">
        <v>0</v>
      </c>
      <c r="M49" s="49">
        <v>0</v>
      </c>
      <c r="N49" s="49">
        <v>0</v>
      </c>
      <c r="O49" s="49">
        <v>0</v>
      </c>
      <c r="P49" s="50">
        <f t="shared" si="0"/>
        <v>0</v>
      </c>
    </row>
    <row r="50" spans="1:16" ht="18" customHeight="1" x14ac:dyDescent="0.35">
      <c r="A50" s="29">
        <v>46</v>
      </c>
      <c r="B50" s="51" t="str">
        <f>'Initiative Register'!B51</f>
        <v>INI-047</v>
      </c>
      <c r="C50" s="51" t="str">
        <f>'Initiative Register'!C51</f>
        <v>PAYROLL – OUTSOURCED CONTRACT OPTIMISATION</v>
      </c>
      <c r="D50" s="52">
        <v>0</v>
      </c>
      <c r="E50" s="52">
        <v>0</v>
      </c>
      <c r="F50" s="52">
        <v>0</v>
      </c>
      <c r="G50" s="52">
        <v>0</v>
      </c>
      <c r="H50" s="52">
        <v>0</v>
      </c>
      <c r="I50" s="52">
        <v>0</v>
      </c>
      <c r="J50" s="52">
        <v>0</v>
      </c>
      <c r="K50" s="52">
        <v>0</v>
      </c>
      <c r="L50" s="52">
        <v>0</v>
      </c>
      <c r="M50" s="52">
        <v>0</v>
      </c>
      <c r="N50" s="52">
        <v>0</v>
      </c>
      <c r="O50" s="52">
        <v>0</v>
      </c>
      <c r="P50" s="53">
        <f t="shared" si="0"/>
        <v>0</v>
      </c>
    </row>
    <row r="51" spans="1:16" ht="18" customHeight="1" x14ac:dyDescent="0.35">
      <c r="A51" s="33">
        <v>47</v>
      </c>
      <c r="B51" s="48" t="str">
        <f>'Initiative Register'!B52</f>
        <v>INI-048</v>
      </c>
      <c r="C51" s="48" t="str">
        <f>'Initiative Register'!C52</f>
        <v>OVERHEAD – ENERGY COST OPTIMISATION</v>
      </c>
      <c r="D51" s="49">
        <v>0</v>
      </c>
      <c r="E51" s="49">
        <v>0</v>
      </c>
      <c r="F51" s="49">
        <v>0</v>
      </c>
      <c r="G51" s="49">
        <v>0</v>
      </c>
      <c r="H51" s="49">
        <v>0</v>
      </c>
      <c r="I51" s="49">
        <v>0</v>
      </c>
      <c r="J51" s="49">
        <v>0</v>
      </c>
      <c r="K51" s="49">
        <v>0</v>
      </c>
      <c r="L51" s="49">
        <v>0</v>
      </c>
      <c r="M51" s="49">
        <v>0</v>
      </c>
      <c r="N51" s="49">
        <v>0</v>
      </c>
      <c r="O51" s="49">
        <v>0</v>
      </c>
      <c r="P51" s="50">
        <f t="shared" si="0"/>
        <v>0</v>
      </c>
    </row>
    <row r="52" spans="1:16" ht="18" customHeight="1" x14ac:dyDescent="0.35">
      <c r="A52" s="29">
        <v>48</v>
      </c>
      <c r="B52" s="51" t="str">
        <f>'Initiative Register'!B53</f>
        <v>INI-049</v>
      </c>
      <c r="C52" s="51" t="str">
        <f>'Initiative Register'!C53</f>
        <v>OVERHEAD – F&amp;B COST OPTIMISATION</v>
      </c>
      <c r="D52" s="52">
        <v>0</v>
      </c>
      <c r="E52" s="52">
        <v>0</v>
      </c>
      <c r="F52" s="52">
        <v>0</v>
      </c>
      <c r="G52" s="52">
        <v>0</v>
      </c>
      <c r="H52" s="52">
        <v>0</v>
      </c>
      <c r="I52" s="52">
        <v>0</v>
      </c>
      <c r="J52" s="52">
        <v>0</v>
      </c>
      <c r="K52" s="52">
        <v>0</v>
      </c>
      <c r="L52" s="52">
        <v>0</v>
      </c>
      <c r="M52" s="52">
        <v>0</v>
      </c>
      <c r="N52" s="52">
        <v>0</v>
      </c>
      <c r="O52" s="52">
        <v>0</v>
      </c>
      <c r="P52" s="53">
        <f t="shared" si="0"/>
        <v>0</v>
      </c>
    </row>
    <row r="53" spans="1:16" ht="18" customHeight="1" x14ac:dyDescent="0.35">
      <c r="A53" s="33">
        <v>49</v>
      </c>
      <c r="B53" s="48" t="str">
        <f>'Initiative Register'!B54</f>
        <v>INI-050</v>
      </c>
      <c r="C53" s="48" t="str">
        <f>'Initiative Register'!C54</f>
        <v>OVERHEAD – CLAIM DENIAL REDUCTION</v>
      </c>
      <c r="D53" s="49">
        <v>0</v>
      </c>
      <c r="E53" s="49">
        <v>0</v>
      </c>
      <c r="F53" s="49">
        <v>0</v>
      </c>
      <c r="G53" s="49">
        <v>0</v>
      </c>
      <c r="H53" s="49">
        <v>0</v>
      </c>
      <c r="I53" s="49">
        <v>0</v>
      </c>
      <c r="J53" s="49">
        <v>0</v>
      </c>
      <c r="K53" s="49">
        <v>0</v>
      </c>
      <c r="L53" s="49">
        <v>0</v>
      </c>
      <c r="M53" s="49">
        <v>0</v>
      </c>
      <c r="N53" s="49">
        <v>0</v>
      </c>
      <c r="O53" s="49">
        <v>0</v>
      </c>
      <c r="P53" s="50">
        <f t="shared" si="0"/>
        <v>0</v>
      </c>
    </row>
    <row r="54" spans="1:16" ht="18" customHeight="1" x14ac:dyDescent="0.35">
      <c r="A54" s="29">
        <v>50</v>
      </c>
      <c r="B54" s="51" t="str">
        <f>'Initiative Register'!B55</f>
        <v>INI-051</v>
      </c>
      <c r="C54" s="51" t="str">
        <f>'Initiative Register'!C55</f>
        <v>OVERHEAD – REVENUE LEAKAGE RECOVERY</v>
      </c>
      <c r="D54" s="52">
        <v>0</v>
      </c>
      <c r="E54" s="52">
        <v>0</v>
      </c>
      <c r="F54" s="52">
        <v>0</v>
      </c>
      <c r="G54" s="52">
        <v>0</v>
      </c>
      <c r="H54" s="52">
        <v>0</v>
      </c>
      <c r="I54" s="52">
        <v>0</v>
      </c>
      <c r="J54" s="52">
        <v>0</v>
      </c>
      <c r="K54" s="52">
        <v>0</v>
      </c>
      <c r="L54" s="52">
        <v>0</v>
      </c>
      <c r="M54" s="52">
        <v>0</v>
      </c>
      <c r="N54" s="52">
        <v>0</v>
      </c>
      <c r="O54" s="52">
        <v>0</v>
      </c>
      <c r="P54" s="53">
        <f t="shared" si="0"/>
        <v>0</v>
      </c>
    </row>
    <row r="55" spans="1:16" ht="14.25" customHeight="1" x14ac:dyDescent="0.35"/>
    <row r="56" spans="1:16" ht="14.25" customHeight="1" x14ac:dyDescent="0.35"/>
    <row r="57" spans="1:16" ht="14.25" customHeight="1" x14ac:dyDescent="0.35"/>
    <row r="58" spans="1:16" ht="14.25" customHeight="1" x14ac:dyDescent="0.35"/>
    <row r="59" spans="1:16" ht="14.25" customHeight="1" x14ac:dyDescent="0.35"/>
    <row r="60" spans="1:16" ht="14.25" customHeight="1" x14ac:dyDescent="0.35"/>
    <row r="61" spans="1:16" ht="14.25" customHeight="1" x14ac:dyDescent="0.35"/>
    <row r="62" spans="1:16" ht="14.25" customHeight="1" x14ac:dyDescent="0.35"/>
    <row r="63" spans="1:16" ht="14.25" customHeight="1" x14ac:dyDescent="0.35"/>
    <row r="64" spans="1:16"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2">
    <mergeCell ref="A1:Q1"/>
    <mergeCell ref="A2:Q2"/>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A1:Q1000"/>
  <sheetViews>
    <sheetView showGridLines="0" workbookViewId="0">
      <pane xSplit="3" ySplit="4" topLeftCell="D5" activePane="bottomRight" state="frozen"/>
      <selection pane="topRight" activeCell="D1" sqref="D1"/>
      <selection pane="bottomLeft" activeCell="A5" sqref="A5"/>
      <selection pane="bottomRight" activeCell="D12" sqref="D12"/>
    </sheetView>
  </sheetViews>
  <sheetFormatPr defaultColWidth="14.453125" defaultRowHeight="15" customHeight="1" x14ac:dyDescent="0.35"/>
  <cols>
    <col min="1" max="1" width="4" customWidth="1"/>
    <col min="2" max="2" width="14" customWidth="1"/>
    <col min="3" max="3" width="35" customWidth="1"/>
    <col min="4" max="15" width="9" customWidth="1"/>
    <col min="16" max="16" width="14" customWidth="1"/>
    <col min="17" max="26" width="8.54296875" customWidth="1"/>
  </cols>
  <sheetData>
    <row r="1" spans="1:17" ht="39.75" customHeight="1" x14ac:dyDescent="0.35">
      <c r="A1" s="165" t="s">
        <v>288</v>
      </c>
      <c r="B1" s="126"/>
      <c r="C1" s="126"/>
      <c r="D1" s="126"/>
      <c r="E1" s="126"/>
      <c r="F1" s="126"/>
      <c r="G1" s="126"/>
      <c r="H1" s="126"/>
      <c r="I1" s="126"/>
      <c r="J1" s="126"/>
      <c r="K1" s="126"/>
      <c r="L1" s="126"/>
      <c r="M1" s="126"/>
      <c r="N1" s="126"/>
      <c r="O1" s="126"/>
      <c r="P1" s="126"/>
      <c r="Q1" s="123"/>
    </row>
    <row r="2" spans="1:17" ht="14.25" customHeight="1" x14ac:dyDescent="0.35"/>
    <row r="3" spans="1:17" ht="14.25" customHeight="1" x14ac:dyDescent="0.35"/>
    <row r="4" spans="1:17" ht="39.75" customHeight="1" x14ac:dyDescent="0.35">
      <c r="A4" s="47" t="s">
        <v>41</v>
      </c>
      <c r="B4" s="47" t="s">
        <v>42</v>
      </c>
      <c r="C4" s="47" t="s">
        <v>43</v>
      </c>
      <c r="D4" s="23" t="s">
        <v>28</v>
      </c>
      <c r="E4" s="23" t="s">
        <v>29</v>
      </c>
      <c r="F4" s="23" t="s">
        <v>30</v>
      </c>
      <c r="G4" s="23" t="s">
        <v>31</v>
      </c>
      <c r="H4" s="23" t="s">
        <v>32</v>
      </c>
      <c r="I4" s="23" t="s">
        <v>33</v>
      </c>
      <c r="J4" s="23" t="s">
        <v>34</v>
      </c>
      <c r="K4" s="23" t="s">
        <v>35</v>
      </c>
      <c r="L4" s="23" t="s">
        <v>36</v>
      </c>
      <c r="M4" s="23" t="s">
        <v>37</v>
      </c>
      <c r="N4" s="23" t="s">
        <v>38</v>
      </c>
      <c r="O4" s="23" t="s">
        <v>39</v>
      </c>
      <c r="P4" s="1" t="s">
        <v>289</v>
      </c>
    </row>
    <row r="5" spans="1:17" ht="18" customHeight="1" x14ac:dyDescent="0.35">
      <c r="A5" s="33">
        <v>1</v>
      </c>
      <c r="B5" s="48" t="str">
        <f>'Initiative Register'!B5</f>
        <v>INI-001</v>
      </c>
      <c r="C5" s="48" t="str">
        <f>'Initiative Register'!C5</f>
        <v>Campaign- Patient experience improvement</v>
      </c>
      <c r="D5" s="54">
        <v>0</v>
      </c>
      <c r="E5" s="54">
        <v>0</v>
      </c>
      <c r="F5" s="54">
        <v>0</v>
      </c>
      <c r="G5" s="54">
        <v>0</v>
      </c>
      <c r="H5" s="54">
        <v>0</v>
      </c>
      <c r="I5" s="54">
        <v>0</v>
      </c>
      <c r="J5" s="54">
        <v>0</v>
      </c>
      <c r="K5" s="54">
        <v>0</v>
      </c>
      <c r="L5" s="54">
        <v>0</v>
      </c>
      <c r="M5" s="54">
        <v>0</v>
      </c>
      <c r="N5" s="54">
        <v>0</v>
      </c>
      <c r="O5" s="54">
        <v>0</v>
      </c>
      <c r="P5" s="55">
        <f t="shared" ref="P5:P54" si="0">SUM(D5:O5)</f>
        <v>0</v>
      </c>
    </row>
    <row r="6" spans="1:17" ht="18" customHeight="1" x14ac:dyDescent="0.35">
      <c r="A6" s="29">
        <v>2</v>
      </c>
      <c r="B6" s="51" t="str">
        <f>'Initiative Register'!B6</f>
        <v/>
      </c>
      <c r="C6" s="51">
        <f>'Initiative Register'!C6</f>
        <v>0</v>
      </c>
      <c r="D6" s="56">
        <v>0</v>
      </c>
      <c r="E6" s="56">
        <v>0</v>
      </c>
      <c r="F6" s="56">
        <v>0</v>
      </c>
      <c r="G6" s="56">
        <v>0</v>
      </c>
      <c r="H6" s="56">
        <v>0</v>
      </c>
      <c r="I6" s="56">
        <v>0</v>
      </c>
      <c r="J6" s="56">
        <v>0</v>
      </c>
      <c r="K6" s="56">
        <v>0</v>
      </c>
      <c r="L6" s="56">
        <v>0</v>
      </c>
      <c r="M6" s="56">
        <v>0</v>
      </c>
      <c r="N6" s="56">
        <v>0</v>
      </c>
      <c r="O6" s="56">
        <v>0</v>
      </c>
      <c r="P6" s="57">
        <f t="shared" si="0"/>
        <v>0</v>
      </c>
    </row>
    <row r="7" spans="1:17" ht="18" customHeight="1" x14ac:dyDescent="0.35">
      <c r="A7" s="33">
        <v>3</v>
      </c>
      <c r="B7" s="48" t="str">
        <f>'Initiative Register'!B7</f>
        <v>INI-003</v>
      </c>
      <c r="C7" s="48" t="str">
        <f>'Initiative Register'!C7</f>
        <v>Geriatric ward</v>
      </c>
      <c r="D7" s="54">
        <v>0</v>
      </c>
      <c r="E7" s="54">
        <v>0</v>
      </c>
      <c r="F7" s="54">
        <v>0</v>
      </c>
      <c r="G7" s="54">
        <v>0</v>
      </c>
      <c r="H7" s="54">
        <v>0</v>
      </c>
      <c r="I7" s="54">
        <v>0</v>
      </c>
      <c r="J7" s="54">
        <v>0</v>
      </c>
      <c r="K7" s="54">
        <v>0</v>
      </c>
      <c r="L7" s="54">
        <v>0</v>
      </c>
      <c r="M7" s="54">
        <v>0</v>
      </c>
      <c r="N7" s="54">
        <v>0</v>
      </c>
      <c r="O7" s="54">
        <v>0</v>
      </c>
      <c r="P7" s="55">
        <f t="shared" si="0"/>
        <v>0</v>
      </c>
    </row>
    <row r="8" spans="1:17" ht="18" customHeight="1" x14ac:dyDescent="0.35">
      <c r="A8" s="29">
        <v>4</v>
      </c>
      <c r="B8" s="51" t="str">
        <f>'Initiative Register'!B8</f>
        <v>INI-004</v>
      </c>
      <c r="C8" s="51" t="str">
        <f>'Initiative Register'!C8</f>
        <v>Appointment of Specialized Doctors and development of existing department</v>
      </c>
      <c r="D8" s="56">
        <v>0</v>
      </c>
      <c r="E8" s="56">
        <v>0</v>
      </c>
      <c r="F8" s="56">
        <v>0</v>
      </c>
      <c r="G8" s="56">
        <v>0</v>
      </c>
      <c r="H8" s="56">
        <v>0</v>
      </c>
      <c r="I8" s="56">
        <v>0</v>
      </c>
      <c r="J8" s="56">
        <v>0</v>
      </c>
      <c r="K8" s="56">
        <v>0</v>
      </c>
      <c r="L8" s="56">
        <v>0</v>
      </c>
      <c r="M8" s="56">
        <v>0</v>
      </c>
      <c r="N8" s="56">
        <v>0</v>
      </c>
      <c r="O8" s="56">
        <v>0</v>
      </c>
      <c r="P8" s="57">
        <f t="shared" si="0"/>
        <v>0</v>
      </c>
    </row>
    <row r="9" spans="1:17" ht="18" customHeight="1" x14ac:dyDescent="0.35">
      <c r="A9" s="33">
        <v>5</v>
      </c>
      <c r="B9" s="48" t="str">
        <f>'Initiative Register'!B9</f>
        <v>INI-005</v>
      </c>
      <c r="C9" s="48" t="str">
        <f>'Initiative Register'!C9</f>
        <v>Patient companion</v>
      </c>
      <c r="D9" s="54">
        <v>0</v>
      </c>
      <c r="E9" s="54">
        <v>0</v>
      </c>
      <c r="F9" s="54">
        <v>0</v>
      </c>
      <c r="G9" s="54">
        <v>0</v>
      </c>
      <c r="H9" s="54">
        <v>0</v>
      </c>
      <c r="I9" s="54">
        <v>0</v>
      </c>
      <c r="J9" s="54">
        <v>0</v>
      </c>
      <c r="K9" s="54">
        <v>0</v>
      </c>
      <c r="L9" s="54">
        <v>0</v>
      </c>
      <c r="M9" s="54">
        <v>0</v>
      </c>
      <c r="N9" s="54">
        <v>0</v>
      </c>
      <c r="O9" s="54">
        <v>0</v>
      </c>
      <c r="P9" s="55">
        <f t="shared" si="0"/>
        <v>0</v>
      </c>
    </row>
    <row r="10" spans="1:17" ht="18" customHeight="1" x14ac:dyDescent="0.35">
      <c r="A10" s="29">
        <v>6</v>
      </c>
      <c r="B10" s="51" t="str">
        <f>'Initiative Register'!B10</f>
        <v>INI-006</v>
      </c>
      <c r="C10" s="51" t="str">
        <f>'Initiative Register'!C10</f>
        <v xml:space="preserve">Newborn Care Enhancement </v>
      </c>
      <c r="D10" s="56">
        <v>0</v>
      </c>
      <c r="E10" s="56">
        <v>0</v>
      </c>
      <c r="F10" s="56">
        <v>0</v>
      </c>
      <c r="G10" s="56">
        <v>0</v>
      </c>
      <c r="H10" s="56">
        <v>0</v>
      </c>
      <c r="I10" s="56">
        <v>0</v>
      </c>
      <c r="J10" s="56">
        <v>0</v>
      </c>
      <c r="K10" s="56">
        <v>0</v>
      </c>
      <c r="L10" s="56">
        <v>0</v>
      </c>
      <c r="M10" s="56">
        <v>0</v>
      </c>
      <c r="N10" s="56">
        <v>0</v>
      </c>
      <c r="O10" s="56">
        <v>0</v>
      </c>
      <c r="P10" s="57">
        <f t="shared" si="0"/>
        <v>0</v>
      </c>
    </row>
    <row r="11" spans="1:17" ht="18" customHeight="1" x14ac:dyDescent="0.35">
      <c r="A11" s="33">
        <v>7</v>
      </c>
      <c r="B11" s="48" t="str">
        <f>'Initiative Register'!B11</f>
        <v>INI-007</v>
      </c>
      <c r="C11" s="48" t="str">
        <f>'Initiative Register'!C11</f>
        <v>Digital Patient Acquisition Funnel</v>
      </c>
      <c r="D11" s="54">
        <v>0</v>
      </c>
      <c r="E11" s="54">
        <v>0</v>
      </c>
      <c r="F11" s="54">
        <v>0</v>
      </c>
      <c r="G11" s="54">
        <v>0</v>
      </c>
      <c r="H11" s="54">
        <v>0</v>
      </c>
      <c r="I11" s="54">
        <v>0</v>
      </c>
      <c r="J11" s="54">
        <v>0</v>
      </c>
      <c r="K11" s="54">
        <v>0</v>
      </c>
      <c r="L11" s="54">
        <v>0</v>
      </c>
      <c r="M11" s="54">
        <v>0</v>
      </c>
      <c r="N11" s="54">
        <v>0</v>
      </c>
      <c r="O11" s="54">
        <v>0</v>
      </c>
      <c r="P11" s="55">
        <f t="shared" si="0"/>
        <v>0</v>
      </c>
    </row>
    <row r="12" spans="1:17" ht="18" customHeight="1" x14ac:dyDescent="0.35">
      <c r="A12" s="29">
        <v>8</v>
      </c>
      <c r="B12" s="51" t="str">
        <f>'Initiative Register'!B12</f>
        <v>INI-008</v>
      </c>
      <c r="C12" s="51" t="str">
        <f>'Initiative Register'!C12</f>
        <v>Development of KPI for Doctors</v>
      </c>
      <c r="D12" s="56">
        <v>0</v>
      </c>
      <c r="E12" s="56">
        <v>0</v>
      </c>
      <c r="F12" s="56">
        <v>0</v>
      </c>
      <c r="G12" s="56">
        <v>0</v>
      </c>
      <c r="H12" s="56">
        <v>0</v>
      </c>
      <c r="I12" s="56">
        <v>0</v>
      </c>
      <c r="J12" s="56">
        <v>0</v>
      </c>
      <c r="K12" s="56">
        <v>0</v>
      </c>
      <c r="L12" s="56">
        <v>0</v>
      </c>
      <c r="M12" s="56">
        <v>0</v>
      </c>
      <c r="N12" s="56">
        <v>0</v>
      </c>
      <c r="O12" s="56">
        <v>0</v>
      </c>
      <c r="P12" s="57">
        <f t="shared" si="0"/>
        <v>0</v>
      </c>
    </row>
    <row r="13" spans="1:17" ht="18" customHeight="1" x14ac:dyDescent="0.35">
      <c r="A13" s="33">
        <v>9</v>
      </c>
      <c r="B13" s="48" t="str">
        <f>'Initiative Register'!B13</f>
        <v>INI-009</v>
      </c>
      <c r="C13" s="48" t="str">
        <f>'Initiative Register'!C13</f>
        <v>Daycare and Minimaly Invasive Shift</v>
      </c>
      <c r="D13" s="54">
        <v>0</v>
      </c>
      <c r="E13" s="54">
        <v>0</v>
      </c>
      <c r="F13" s="54">
        <v>0</v>
      </c>
      <c r="G13" s="54">
        <v>0</v>
      </c>
      <c r="H13" s="54">
        <v>0</v>
      </c>
      <c r="I13" s="54">
        <v>0</v>
      </c>
      <c r="J13" s="54">
        <v>0</v>
      </c>
      <c r="K13" s="54">
        <v>0</v>
      </c>
      <c r="L13" s="54">
        <v>0</v>
      </c>
      <c r="M13" s="54">
        <v>0</v>
      </c>
      <c r="N13" s="54">
        <v>0</v>
      </c>
      <c r="O13" s="54">
        <v>0</v>
      </c>
      <c r="P13" s="55">
        <f t="shared" si="0"/>
        <v>0</v>
      </c>
    </row>
    <row r="14" spans="1:17" ht="18" customHeight="1" x14ac:dyDescent="0.35">
      <c r="A14" s="29">
        <v>10</v>
      </c>
      <c r="B14" s="51" t="str">
        <f>'Initiative Register'!B14</f>
        <v>INI-010</v>
      </c>
      <c r="C14" s="51" t="str">
        <f>'Initiative Register'!C14</f>
        <v>Consumables standardization model</v>
      </c>
      <c r="D14" s="56">
        <v>0</v>
      </c>
      <c r="E14" s="56">
        <v>0</v>
      </c>
      <c r="F14" s="56">
        <v>0</v>
      </c>
      <c r="G14" s="56">
        <v>0</v>
      </c>
      <c r="H14" s="56">
        <v>0</v>
      </c>
      <c r="I14" s="56">
        <v>0</v>
      </c>
      <c r="J14" s="56">
        <v>0</v>
      </c>
      <c r="K14" s="56">
        <v>0</v>
      </c>
      <c r="L14" s="56">
        <v>0</v>
      </c>
      <c r="M14" s="56">
        <v>0</v>
      </c>
      <c r="N14" s="56">
        <v>0</v>
      </c>
      <c r="O14" s="56">
        <v>0</v>
      </c>
      <c r="P14" s="57">
        <f t="shared" si="0"/>
        <v>0</v>
      </c>
    </row>
    <row r="15" spans="1:17" ht="18" customHeight="1" x14ac:dyDescent="0.35">
      <c r="A15" s="33">
        <v>11</v>
      </c>
      <c r="B15" s="48" t="str">
        <f>'Initiative Register'!B15</f>
        <v>INI-011</v>
      </c>
      <c r="C15" s="48" t="str">
        <f>'Initiative Register'!C15</f>
        <v>Collaboration with other Hospitals</v>
      </c>
      <c r="D15" s="54">
        <v>0</v>
      </c>
      <c r="E15" s="54">
        <v>0</v>
      </c>
      <c r="F15" s="54">
        <v>0</v>
      </c>
      <c r="G15" s="54">
        <v>0</v>
      </c>
      <c r="H15" s="54">
        <v>0</v>
      </c>
      <c r="I15" s="54">
        <v>0</v>
      </c>
      <c r="J15" s="54">
        <v>0</v>
      </c>
      <c r="K15" s="54">
        <v>0</v>
      </c>
      <c r="L15" s="54">
        <v>0</v>
      </c>
      <c r="M15" s="54">
        <v>0</v>
      </c>
      <c r="N15" s="54">
        <v>0</v>
      </c>
      <c r="O15" s="54">
        <v>0</v>
      </c>
      <c r="P15" s="55">
        <f t="shared" si="0"/>
        <v>0</v>
      </c>
    </row>
    <row r="16" spans="1:17" ht="18" customHeight="1" x14ac:dyDescent="0.35">
      <c r="A16" s="29">
        <v>12</v>
      </c>
      <c r="B16" s="51" t="str">
        <f>'Initiative Register'!B16</f>
        <v>INI-012</v>
      </c>
      <c r="C16" s="51" t="str">
        <f>'Initiative Register'!C16</f>
        <v>ANNUAL RATE REVISION POLICY</v>
      </c>
      <c r="D16" s="56">
        <v>0</v>
      </c>
      <c r="E16" s="56">
        <v>0</v>
      </c>
      <c r="F16" s="56">
        <v>0</v>
      </c>
      <c r="G16" s="56">
        <v>0</v>
      </c>
      <c r="H16" s="56">
        <v>0</v>
      </c>
      <c r="I16" s="56">
        <v>0</v>
      </c>
      <c r="J16" s="56">
        <v>0</v>
      </c>
      <c r="K16" s="56">
        <v>0</v>
      </c>
      <c r="L16" s="56">
        <v>0</v>
      </c>
      <c r="M16" s="56">
        <v>0</v>
      </c>
      <c r="N16" s="56">
        <v>0</v>
      </c>
      <c r="O16" s="56">
        <v>0</v>
      </c>
      <c r="P16" s="57">
        <f t="shared" si="0"/>
        <v>0</v>
      </c>
    </row>
    <row r="17" spans="1:16" ht="18" customHeight="1" x14ac:dyDescent="0.35">
      <c r="A17" s="33">
        <v>13</v>
      </c>
      <c r="B17" s="48" t="str">
        <f>'Initiative Register'!B17</f>
        <v>INI-013</v>
      </c>
      <c r="C17" s="48" t="str">
        <f>'Initiative Register'!C17</f>
        <v>PROCEDURE CONTRIBUTION AUDIT AND REPRICING</v>
      </c>
      <c r="D17" s="54">
        <v>0</v>
      </c>
      <c r="E17" s="54">
        <v>0</v>
      </c>
      <c r="F17" s="54">
        <v>0</v>
      </c>
      <c r="G17" s="54">
        <v>0</v>
      </c>
      <c r="H17" s="54">
        <v>0</v>
      </c>
      <c r="I17" s="54">
        <v>0</v>
      </c>
      <c r="J17" s="54">
        <v>0</v>
      </c>
      <c r="K17" s="54">
        <v>0</v>
      </c>
      <c r="L17" s="54">
        <v>0</v>
      </c>
      <c r="M17" s="54">
        <v>0</v>
      </c>
      <c r="N17" s="54">
        <v>0</v>
      </c>
      <c r="O17" s="54">
        <v>0</v>
      </c>
      <c r="P17" s="55">
        <f t="shared" si="0"/>
        <v>0</v>
      </c>
    </row>
    <row r="18" spans="1:16" ht="18" customHeight="1" x14ac:dyDescent="0.35">
      <c r="A18" s="29">
        <v>14</v>
      </c>
      <c r="B18" s="51" t="str">
        <f>'Initiative Register'!B18</f>
        <v>INI-014</v>
      </c>
      <c r="C18" s="51" t="str">
        <f>'Initiative Register'!C18</f>
        <v>INSURANCE CHARGE CAPTURE — BILL WHAT IS COVERED</v>
      </c>
      <c r="D18" s="56">
        <v>0</v>
      </c>
      <c r="E18" s="56">
        <v>0</v>
      </c>
      <c r="F18" s="56">
        <v>0</v>
      </c>
      <c r="G18" s="56">
        <v>0</v>
      </c>
      <c r="H18" s="56">
        <v>0</v>
      </c>
      <c r="I18" s="56">
        <v>0</v>
      </c>
      <c r="J18" s="56">
        <v>0</v>
      </c>
      <c r="K18" s="56">
        <v>0</v>
      </c>
      <c r="L18" s="56">
        <v>0</v>
      </c>
      <c r="M18" s="56">
        <v>0</v>
      </c>
      <c r="N18" s="56">
        <v>0</v>
      </c>
      <c r="O18" s="56">
        <v>0</v>
      </c>
      <c r="P18" s="57">
        <f t="shared" si="0"/>
        <v>0</v>
      </c>
    </row>
    <row r="19" spans="1:16" ht="18" customHeight="1" x14ac:dyDescent="0.35">
      <c r="A19" s="33">
        <v>15</v>
      </c>
      <c r="B19" s="48" t="str">
        <f>'Initiative Register'!B19</f>
        <v>INI-015</v>
      </c>
      <c r="C19" s="48" t="str">
        <f>'Initiative Register'!C19</f>
        <v>SATELLITE CLINIC NETWORK — SURGEON-LED OFF-CAMPUS OPDs</v>
      </c>
      <c r="D19" s="54">
        <v>0</v>
      </c>
      <c r="E19" s="54">
        <v>0</v>
      </c>
      <c r="F19" s="54">
        <v>0</v>
      </c>
      <c r="G19" s="54">
        <v>0</v>
      </c>
      <c r="H19" s="54">
        <v>0</v>
      </c>
      <c r="I19" s="54">
        <v>0</v>
      </c>
      <c r="J19" s="54">
        <v>0</v>
      </c>
      <c r="K19" s="54">
        <v>0</v>
      </c>
      <c r="L19" s="54">
        <v>0</v>
      </c>
      <c r="M19" s="54">
        <v>0</v>
      </c>
      <c r="N19" s="54">
        <v>0</v>
      </c>
      <c r="O19" s="54">
        <v>0</v>
      </c>
      <c r="P19" s="55">
        <f t="shared" si="0"/>
        <v>0</v>
      </c>
    </row>
    <row r="20" spans="1:16" ht="18" customHeight="1" x14ac:dyDescent="0.35">
      <c r="A20" s="29">
        <v>16</v>
      </c>
      <c r="B20" s="51" t="str">
        <f>'Initiative Register'!B20</f>
        <v>INI-016</v>
      </c>
      <c r="C20" s="51" t="str">
        <f>'Initiative Register'!C20</f>
        <v>CORPORATE HEALTH PROGRAMME</v>
      </c>
      <c r="D20" s="56">
        <v>0</v>
      </c>
      <c r="E20" s="56">
        <v>0</v>
      </c>
      <c r="F20" s="56">
        <v>0</v>
      </c>
      <c r="G20" s="56">
        <v>0</v>
      </c>
      <c r="H20" s="56">
        <v>0</v>
      </c>
      <c r="I20" s="56">
        <v>0</v>
      </c>
      <c r="J20" s="56">
        <v>0</v>
      </c>
      <c r="K20" s="56">
        <v>0</v>
      </c>
      <c r="L20" s="56">
        <v>0</v>
      </c>
      <c r="M20" s="56">
        <v>0</v>
      </c>
      <c r="N20" s="56">
        <v>0</v>
      </c>
      <c r="O20" s="56">
        <v>0</v>
      </c>
      <c r="P20" s="57">
        <f t="shared" si="0"/>
        <v>0</v>
      </c>
    </row>
    <row r="21" spans="1:16" ht="18" customHeight="1" x14ac:dyDescent="0.35">
      <c r="A21" s="33">
        <v>17</v>
      </c>
      <c r="B21" s="48" t="str">
        <f>'Initiative Register'!B21</f>
        <v>INI-017</v>
      </c>
      <c r="C21" s="48" t="str">
        <f>'Initiative Register'!C21</f>
        <v>RESIDENTIAL COLONY AND COMMUNITY HEALTH PROGRAMMES</v>
      </c>
      <c r="D21" s="54">
        <v>0</v>
      </c>
      <c r="E21" s="54">
        <v>0</v>
      </c>
      <c r="F21" s="54">
        <v>0</v>
      </c>
      <c r="G21" s="54">
        <v>0</v>
      </c>
      <c r="H21" s="54">
        <v>0</v>
      </c>
      <c r="I21" s="54">
        <v>0</v>
      </c>
      <c r="J21" s="54">
        <v>0</v>
      </c>
      <c r="K21" s="54">
        <v>0</v>
      </c>
      <c r="L21" s="54">
        <v>0</v>
      </c>
      <c r="M21" s="54">
        <v>0</v>
      </c>
      <c r="N21" s="54">
        <v>0</v>
      </c>
      <c r="O21" s="54">
        <v>0</v>
      </c>
      <c r="P21" s="55">
        <f t="shared" si="0"/>
        <v>0</v>
      </c>
    </row>
    <row r="22" spans="1:16" ht="18" customHeight="1" x14ac:dyDescent="0.35">
      <c r="A22" s="29">
        <v>18</v>
      </c>
      <c r="B22" s="51" t="str">
        <f>'Initiative Register'!B22</f>
        <v>INI-018</v>
      </c>
      <c r="C22" s="51" t="str">
        <f>'Initiative Register'!C22</f>
        <v>INTERNATIONAL MEDICAL VALUE TOURISM — GULF, MALDIVES, BANGLADESH</v>
      </c>
      <c r="D22" s="56">
        <v>0</v>
      </c>
      <c r="E22" s="56">
        <v>0</v>
      </c>
      <c r="F22" s="56">
        <v>0</v>
      </c>
      <c r="G22" s="56">
        <v>0</v>
      </c>
      <c r="H22" s="56">
        <v>0</v>
      </c>
      <c r="I22" s="56">
        <v>0</v>
      </c>
      <c r="J22" s="56">
        <v>0</v>
      </c>
      <c r="K22" s="56">
        <v>0</v>
      </c>
      <c r="L22" s="56">
        <v>0</v>
      </c>
      <c r="M22" s="56">
        <v>0</v>
      </c>
      <c r="N22" s="56">
        <v>0</v>
      </c>
      <c r="O22" s="56">
        <v>0</v>
      </c>
      <c r="P22" s="57">
        <f t="shared" si="0"/>
        <v>0</v>
      </c>
    </row>
    <row r="23" spans="1:16" ht="18" customHeight="1" x14ac:dyDescent="0.35">
      <c r="A23" s="33">
        <v>19</v>
      </c>
      <c r="B23" s="48" t="str">
        <f>'Initiative Register'!B23</f>
        <v>INI-019</v>
      </c>
      <c r="C23" s="48" t="str">
        <f>'Initiative Register'!C23</f>
        <v>STRUCTURED REFERRAL DOCTOR PROGRAMME</v>
      </c>
      <c r="D23" s="54">
        <v>0</v>
      </c>
      <c r="E23" s="54">
        <v>0</v>
      </c>
      <c r="F23" s="54">
        <v>0</v>
      </c>
      <c r="G23" s="54">
        <v>0</v>
      </c>
      <c r="H23" s="54">
        <v>0</v>
      </c>
      <c r="I23" s="54">
        <v>0</v>
      </c>
      <c r="J23" s="54">
        <v>0</v>
      </c>
      <c r="K23" s="54">
        <v>0</v>
      </c>
      <c r="L23" s="54">
        <v>0</v>
      </c>
      <c r="M23" s="54">
        <v>0</v>
      </c>
      <c r="N23" s="54">
        <v>0</v>
      </c>
      <c r="O23" s="54">
        <v>0</v>
      </c>
      <c r="P23" s="55">
        <f t="shared" si="0"/>
        <v>0</v>
      </c>
    </row>
    <row r="24" spans="1:16" ht="18" customHeight="1" x14ac:dyDescent="0.35">
      <c r="A24" s="29">
        <v>20</v>
      </c>
      <c r="B24" s="51" t="str">
        <f>'Initiative Register'!B24</f>
        <v>INI-020</v>
      </c>
      <c r="C24" s="51" t="str">
        <f>'Initiative Register'!C24</f>
        <v>CME AND CLINICAL CONNECT PROGRAMME</v>
      </c>
      <c r="D24" s="56">
        <v>0</v>
      </c>
      <c r="E24" s="56">
        <v>0</v>
      </c>
      <c r="F24" s="56">
        <v>0</v>
      </c>
      <c r="G24" s="56">
        <v>0</v>
      </c>
      <c r="H24" s="56">
        <v>0</v>
      </c>
      <c r="I24" s="56">
        <v>0</v>
      </c>
      <c r="J24" s="56">
        <v>0</v>
      </c>
      <c r="K24" s="56">
        <v>0</v>
      </c>
      <c r="L24" s="56">
        <v>0</v>
      </c>
      <c r="M24" s="56">
        <v>0</v>
      </c>
      <c r="N24" s="56">
        <v>0</v>
      </c>
      <c r="O24" s="56">
        <v>0</v>
      </c>
      <c r="P24" s="57">
        <f t="shared" si="0"/>
        <v>0</v>
      </c>
    </row>
    <row r="25" spans="1:16" ht="18" customHeight="1" x14ac:dyDescent="0.35">
      <c r="A25" s="33">
        <v>21</v>
      </c>
      <c r="B25" s="48" t="str">
        <f>'Initiative Register'!B25</f>
        <v>INI-021</v>
      </c>
      <c r="C25" s="48" t="str">
        <f>'Initiative Register'!C25</f>
        <v>GOVERNMENT SCHEME EMPANELMENT OPTIMISATION</v>
      </c>
      <c r="D25" s="54">
        <v>0</v>
      </c>
      <c r="E25" s="54">
        <v>0</v>
      </c>
      <c r="F25" s="54">
        <v>0</v>
      </c>
      <c r="G25" s="54">
        <v>0</v>
      </c>
      <c r="H25" s="54">
        <v>0</v>
      </c>
      <c r="I25" s="54">
        <v>0</v>
      </c>
      <c r="J25" s="54">
        <v>0</v>
      </c>
      <c r="K25" s="54">
        <v>0</v>
      </c>
      <c r="L25" s="54">
        <v>0</v>
      </c>
      <c r="M25" s="54">
        <v>0</v>
      </c>
      <c r="N25" s="54">
        <v>0</v>
      </c>
      <c r="O25" s="54">
        <v>0</v>
      </c>
      <c r="P25" s="55">
        <f t="shared" si="0"/>
        <v>0</v>
      </c>
    </row>
    <row r="26" spans="1:16" ht="18" customHeight="1" x14ac:dyDescent="0.35">
      <c r="A26" s="29">
        <v>22</v>
      </c>
      <c r="B26" s="51" t="str">
        <f>'Initiative Register'!B26</f>
        <v>INI-022</v>
      </c>
      <c r="C26" s="51" t="str">
        <f>'Initiative Register'!C26</f>
        <v>TRANSPLANT CENTRE — VOLUME GROWTH AND DONOR PROGRAMME ACTIVATION</v>
      </c>
      <c r="D26" s="56">
        <v>0</v>
      </c>
      <c r="E26" s="56">
        <v>0</v>
      </c>
      <c r="F26" s="56">
        <v>0</v>
      </c>
      <c r="G26" s="56">
        <v>0</v>
      </c>
      <c r="H26" s="56">
        <v>0</v>
      </c>
      <c r="I26" s="56">
        <v>0</v>
      </c>
      <c r="J26" s="56">
        <v>0</v>
      </c>
      <c r="K26" s="56">
        <v>0</v>
      </c>
      <c r="L26" s="56">
        <v>0</v>
      </c>
      <c r="M26" s="56">
        <v>0</v>
      </c>
      <c r="N26" s="56">
        <v>0</v>
      </c>
      <c r="O26" s="56">
        <v>0</v>
      </c>
      <c r="P26" s="57">
        <f t="shared" si="0"/>
        <v>0</v>
      </c>
    </row>
    <row r="27" spans="1:16" ht="18" customHeight="1" x14ac:dyDescent="0.35">
      <c r="A27" s="33">
        <v>23</v>
      </c>
      <c r="B27" s="48" t="str">
        <f>'Initiative Register'!B27</f>
        <v>INI-023</v>
      </c>
      <c r="C27" s="48" t="str">
        <f>'Initiative Register'!C27</f>
        <v>CARDIAC SCIENCES — STRUCTURAL HEART AND ELECTROPHYSIOLOGY VOLUME BUILD</v>
      </c>
      <c r="D27" s="54">
        <v>0</v>
      </c>
      <c r="E27" s="54">
        <v>0</v>
      </c>
      <c r="F27" s="54">
        <v>0</v>
      </c>
      <c r="G27" s="54">
        <v>0</v>
      </c>
      <c r="H27" s="54">
        <v>0</v>
      </c>
      <c r="I27" s="54">
        <v>0</v>
      </c>
      <c r="J27" s="54">
        <v>0</v>
      </c>
      <c r="K27" s="54">
        <v>0</v>
      </c>
      <c r="L27" s="54">
        <v>0</v>
      </c>
      <c r="M27" s="54">
        <v>0</v>
      </c>
      <c r="N27" s="54">
        <v>0</v>
      </c>
      <c r="O27" s="54">
        <v>0</v>
      </c>
      <c r="P27" s="55">
        <f t="shared" si="0"/>
        <v>0</v>
      </c>
    </row>
    <row r="28" spans="1:16" ht="18" customHeight="1" x14ac:dyDescent="0.35">
      <c r="A28" s="29">
        <v>24</v>
      </c>
      <c r="B28" s="51" t="str">
        <f>'Initiative Register'!B28</f>
        <v>INI-024</v>
      </c>
      <c r="C28" s="51" t="str">
        <f>'Initiative Register'!C28</f>
        <v>ONCOLOGY — EARLY DETECTION, SATELLITE CLINICS AND SURGICAL VOLUME GROWTH</v>
      </c>
      <c r="D28" s="56">
        <v>0</v>
      </c>
      <c r="E28" s="56">
        <v>0</v>
      </c>
      <c r="F28" s="56">
        <v>0</v>
      </c>
      <c r="G28" s="56">
        <v>0</v>
      </c>
      <c r="H28" s="56">
        <v>0</v>
      </c>
      <c r="I28" s="56">
        <v>0</v>
      </c>
      <c r="J28" s="56">
        <v>0</v>
      </c>
      <c r="K28" s="56">
        <v>0</v>
      </c>
      <c r="L28" s="56">
        <v>0</v>
      </c>
      <c r="M28" s="56">
        <v>0</v>
      </c>
      <c r="N28" s="56">
        <v>0</v>
      </c>
      <c r="O28" s="56">
        <v>0</v>
      </c>
      <c r="P28" s="57">
        <f t="shared" si="0"/>
        <v>0</v>
      </c>
    </row>
    <row r="29" spans="1:16" ht="18" customHeight="1" x14ac:dyDescent="0.35">
      <c r="A29" s="33">
        <v>25</v>
      </c>
      <c r="B29" s="48" t="str">
        <f>'Initiative Register'!B29</f>
        <v>INI-025</v>
      </c>
      <c r="C29" s="48" t="str">
        <f>'Initiative Register'!C29</f>
        <v>ORTHOPAEDICS AND JOINT REPLACEMENT — VOLUME AND PACKAGE PROGRAMME</v>
      </c>
      <c r="D29" s="54">
        <v>0</v>
      </c>
      <c r="E29" s="54">
        <v>0</v>
      </c>
      <c r="F29" s="54">
        <v>0</v>
      </c>
      <c r="G29" s="54">
        <v>0</v>
      </c>
      <c r="H29" s="54">
        <v>0</v>
      </c>
      <c r="I29" s="54">
        <v>0</v>
      </c>
      <c r="J29" s="54">
        <v>0</v>
      </c>
      <c r="K29" s="54">
        <v>0</v>
      </c>
      <c r="L29" s="54">
        <v>0</v>
      </c>
      <c r="M29" s="54">
        <v>0</v>
      </c>
      <c r="N29" s="54">
        <v>0</v>
      </c>
      <c r="O29" s="54">
        <v>0</v>
      </c>
      <c r="P29" s="55">
        <f t="shared" si="0"/>
        <v>0</v>
      </c>
    </row>
    <row r="30" spans="1:16" ht="18" customHeight="1" x14ac:dyDescent="0.35">
      <c r="A30" s="29">
        <v>26</v>
      </c>
      <c r="B30" s="51" t="str">
        <f>'Initiative Register'!B30</f>
        <v>INI-026</v>
      </c>
      <c r="C30" s="51" t="str">
        <f>'Initiative Register'!C30</f>
        <v>LAKESHORE HEART RUN — ANNUAL CARDIAC HEALTH EVENT</v>
      </c>
      <c r="D30" s="56">
        <v>0</v>
      </c>
      <c r="E30" s="56">
        <v>0</v>
      </c>
      <c r="F30" s="56">
        <v>0</v>
      </c>
      <c r="G30" s="56">
        <v>0</v>
      </c>
      <c r="H30" s="56">
        <v>0</v>
      </c>
      <c r="I30" s="56">
        <v>0</v>
      </c>
      <c r="J30" s="56">
        <v>0</v>
      </c>
      <c r="K30" s="56">
        <v>0</v>
      </c>
      <c r="L30" s="56">
        <v>0</v>
      </c>
      <c r="M30" s="56">
        <v>0</v>
      </c>
      <c r="N30" s="56">
        <v>0</v>
      </c>
      <c r="O30" s="56">
        <v>0</v>
      </c>
      <c r="P30" s="57">
        <f t="shared" si="0"/>
        <v>0</v>
      </c>
    </row>
    <row r="31" spans="1:16" ht="18" customHeight="1" x14ac:dyDescent="0.35">
      <c r="A31" s="33">
        <v>27</v>
      </c>
      <c r="B31" s="48" t="str">
        <f>'Initiative Register'!B32</f>
        <v>INI-028</v>
      </c>
      <c r="C31" s="48" t="str">
        <f>'Initiative Register'!C32</f>
        <v>DIGITAL CONTENT PLATFORM — MALAYALAM AND ENGLISH</v>
      </c>
      <c r="D31" s="54">
        <v>0</v>
      </c>
      <c r="E31" s="54">
        <v>0</v>
      </c>
      <c r="F31" s="54">
        <v>0</v>
      </c>
      <c r="G31" s="54">
        <v>0</v>
      </c>
      <c r="H31" s="54">
        <v>0</v>
      </c>
      <c r="I31" s="54">
        <v>0</v>
      </c>
      <c r="J31" s="54">
        <v>0</v>
      </c>
      <c r="K31" s="54">
        <v>0</v>
      </c>
      <c r="L31" s="54">
        <v>0</v>
      </c>
      <c r="M31" s="54">
        <v>0</v>
      </c>
      <c r="N31" s="54">
        <v>0</v>
      </c>
      <c r="O31" s="54">
        <v>0</v>
      </c>
      <c r="P31" s="55">
        <f t="shared" si="0"/>
        <v>0</v>
      </c>
    </row>
    <row r="32" spans="1:16" ht="18" customHeight="1" x14ac:dyDescent="0.35">
      <c r="A32" s="29">
        <v>28</v>
      </c>
      <c r="B32" s="51" t="str">
        <f>'Initiative Register'!B33</f>
        <v>INI-029</v>
      </c>
      <c r="C32" s="51" t="str">
        <f>'Initiative Register'!C33</f>
        <v>COMMUNITY HEALTH CAMPS — SCHOOLS, PLACES OF WORSHIP, RESIDENTIAL AREAS</v>
      </c>
      <c r="D32" s="56">
        <v>0</v>
      </c>
      <c r="E32" s="56">
        <v>0</v>
      </c>
      <c r="F32" s="56">
        <v>0</v>
      </c>
      <c r="G32" s="56">
        <v>0</v>
      </c>
      <c r="H32" s="56">
        <v>0</v>
      </c>
      <c r="I32" s="56">
        <v>0</v>
      </c>
      <c r="J32" s="56">
        <v>0</v>
      </c>
      <c r="K32" s="56">
        <v>0</v>
      </c>
      <c r="L32" s="56">
        <v>0</v>
      </c>
      <c r="M32" s="56">
        <v>0</v>
      </c>
      <c r="N32" s="56">
        <v>0</v>
      </c>
      <c r="O32" s="56">
        <v>0</v>
      </c>
      <c r="P32" s="57">
        <f t="shared" si="0"/>
        <v>0</v>
      </c>
    </row>
    <row r="33" spans="1:16" ht="18" customHeight="1" x14ac:dyDescent="0.35">
      <c r="A33" s="33">
        <v>29</v>
      </c>
      <c r="B33" s="48" t="str">
        <f>'Initiative Register'!B34</f>
        <v>INI-030</v>
      </c>
      <c r="C33" s="48" t="str">
        <f>'Initiative Register'!C34</f>
        <v>DOCTOR ONLINE REPUTATION AND DIGITAL DISCOVERABILITY</v>
      </c>
      <c r="D33" s="54">
        <v>0</v>
      </c>
      <c r="E33" s="54">
        <v>0</v>
      </c>
      <c r="F33" s="54">
        <v>0</v>
      </c>
      <c r="G33" s="54">
        <v>0</v>
      </c>
      <c r="H33" s="54">
        <v>0</v>
      </c>
      <c r="I33" s="54">
        <v>0</v>
      </c>
      <c r="J33" s="54">
        <v>0</v>
      </c>
      <c r="K33" s="54">
        <v>0</v>
      </c>
      <c r="L33" s="54">
        <v>0</v>
      </c>
      <c r="M33" s="54">
        <v>0</v>
      </c>
      <c r="N33" s="54">
        <v>0</v>
      </c>
      <c r="O33" s="54">
        <v>0</v>
      </c>
      <c r="P33" s="55">
        <f t="shared" si="0"/>
        <v>0</v>
      </c>
    </row>
    <row r="34" spans="1:16" ht="18" customHeight="1" x14ac:dyDescent="0.35">
      <c r="A34" s="29">
        <v>30</v>
      </c>
      <c r="B34" s="51" t="str">
        <f>'Initiative Register'!B35</f>
        <v>INI-031</v>
      </c>
      <c r="C34" s="51" t="str">
        <f>'Initiative Register'!C35</f>
        <v>TPA AND INSURER TARIFF RENEGOTIATION</v>
      </c>
      <c r="D34" s="56">
        <v>0</v>
      </c>
      <c r="E34" s="56">
        <v>0</v>
      </c>
      <c r="F34" s="56">
        <v>0</v>
      </c>
      <c r="G34" s="56">
        <v>0</v>
      </c>
      <c r="H34" s="56">
        <v>0</v>
      </c>
      <c r="I34" s="56">
        <v>0</v>
      </c>
      <c r="J34" s="56">
        <v>0</v>
      </c>
      <c r="K34" s="56">
        <v>0</v>
      </c>
      <c r="L34" s="56">
        <v>0</v>
      </c>
      <c r="M34" s="56">
        <v>0</v>
      </c>
      <c r="N34" s="56">
        <v>0</v>
      </c>
      <c r="O34" s="56">
        <v>0</v>
      </c>
      <c r="P34" s="57">
        <f t="shared" si="0"/>
        <v>0</v>
      </c>
    </row>
    <row r="35" spans="1:16" ht="18" customHeight="1" x14ac:dyDescent="0.35">
      <c r="A35" s="33">
        <v>31</v>
      </c>
      <c r="B35" s="48" t="str">
        <f>'Initiative Register'!B36</f>
        <v>INI-032</v>
      </c>
      <c r="C35" s="48" t="str">
        <f>'Initiative Register'!C36</f>
        <v>FINANCIAL COUNSELLING AND PRE-AUTHORISATION AT SURGICAL OPD</v>
      </c>
      <c r="D35" s="54">
        <v>0</v>
      </c>
      <c r="E35" s="54">
        <v>0</v>
      </c>
      <c r="F35" s="54">
        <v>0</v>
      </c>
      <c r="G35" s="54">
        <v>0</v>
      </c>
      <c r="H35" s="54">
        <v>0</v>
      </c>
      <c r="I35" s="54">
        <v>0</v>
      </c>
      <c r="J35" s="54">
        <v>0</v>
      </c>
      <c r="K35" s="54">
        <v>0</v>
      </c>
      <c r="L35" s="54">
        <v>0</v>
      </c>
      <c r="M35" s="54">
        <v>0</v>
      </c>
      <c r="N35" s="54">
        <v>0</v>
      </c>
      <c r="O35" s="54">
        <v>0</v>
      </c>
      <c r="P35" s="55">
        <f t="shared" si="0"/>
        <v>0</v>
      </c>
    </row>
    <row r="36" spans="1:16" ht="18" customHeight="1" x14ac:dyDescent="0.35">
      <c r="A36" s="29">
        <v>32</v>
      </c>
      <c r="B36" s="51" t="str">
        <f>'Initiative Register'!B37</f>
        <v>INI-033</v>
      </c>
      <c r="C36" s="51" t="str">
        <f>'Initiative Register'!C37</f>
        <v>BUILD A SCALED BD ORGANISATION</v>
      </c>
      <c r="D36" s="56">
        <v>0</v>
      </c>
      <c r="E36" s="56">
        <v>0</v>
      </c>
      <c r="F36" s="56">
        <v>0</v>
      </c>
      <c r="G36" s="56">
        <v>0</v>
      </c>
      <c r="H36" s="56">
        <v>0</v>
      </c>
      <c r="I36" s="56">
        <v>0</v>
      </c>
      <c r="J36" s="56">
        <v>0</v>
      </c>
      <c r="K36" s="56">
        <v>0</v>
      </c>
      <c r="L36" s="56">
        <v>0</v>
      </c>
      <c r="M36" s="56">
        <v>0</v>
      </c>
      <c r="N36" s="56">
        <v>0</v>
      </c>
      <c r="O36" s="56">
        <v>0</v>
      </c>
      <c r="P36" s="57">
        <f t="shared" si="0"/>
        <v>0</v>
      </c>
    </row>
    <row r="37" spans="1:16" ht="18" customHeight="1" x14ac:dyDescent="0.35">
      <c r="A37" s="33">
        <v>33</v>
      </c>
      <c r="B37" s="48" t="str">
        <f>'Initiative Register'!B38</f>
        <v>INI-034</v>
      </c>
      <c r="C37" s="48" t="str">
        <f>'Initiative Register'!C38</f>
        <v>MATERIALS / DRUG COST &amp; CONSUMABLES</v>
      </c>
      <c r="D37" s="54">
        <v>0</v>
      </c>
      <c r="E37" s="54">
        <v>0</v>
      </c>
      <c r="F37" s="54">
        <v>0</v>
      </c>
      <c r="G37" s="54">
        <v>0</v>
      </c>
      <c r="H37" s="54">
        <v>0</v>
      </c>
      <c r="I37" s="54">
        <v>0</v>
      </c>
      <c r="J37" s="54">
        <v>0</v>
      </c>
      <c r="K37" s="54">
        <v>0</v>
      </c>
      <c r="L37" s="54">
        <v>0</v>
      </c>
      <c r="M37" s="54">
        <v>0</v>
      </c>
      <c r="N37" s="54">
        <v>0</v>
      </c>
      <c r="O37" s="54">
        <v>0</v>
      </c>
      <c r="P37" s="55">
        <f t="shared" si="0"/>
        <v>0</v>
      </c>
    </row>
    <row r="38" spans="1:16" ht="18" customHeight="1" x14ac:dyDescent="0.35">
      <c r="A38" s="29">
        <v>34</v>
      </c>
      <c r="B38" s="51" t="str">
        <f>'Initiative Register'!B39</f>
        <v>INI-035</v>
      </c>
      <c r="C38" s="51" t="str">
        <f>'Initiative Register'!C39</f>
        <v>MATERIALS / DRUG COST &amp; CONSUMABLES</v>
      </c>
      <c r="D38" s="56">
        <v>0</v>
      </c>
      <c r="E38" s="56">
        <v>0</v>
      </c>
      <c r="F38" s="56">
        <v>0</v>
      </c>
      <c r="G38" s="56">
        <v>0</v>
      </c>
      <c r="H38" s="56">
        <v>0</v>
      </c>
      <c r="I38" s="56">
        <v>0</v>
      </c>
      <c r="J38" s="56">
        <v>0</v>
      </c>
      <c r="K38" s="56">
        <v>0</v>
      </c>
      <c r="L38" s="56">
        <v>0</v>
      </c>
      <c r="M38" s="56">
        <v>0</v>
      </c>
      <c r="N38" s="56">
        <v>0</v>
      </c>
      <c r="O38" s="56">
        <v>0</v>
      </c>
      <c r="P38" s="57">
        <f t="shared" si="0"/>
        <v>0</v>
      </c>
    </row>
    <row r="39" spans="1:16" ht="18" customHeight="1" x14ac:dyDescent="0.35">
      <c r="A39" s="33">
        <v>35</v>
      </c>
      <c r="B39" s="48" t="str">
        <f>'Initiative Register'!B40</f>
        <v>INI-036</v>
      </c>
      <c r="C39" s="48" t="str">
        <f>'Initiative Register'!C40</f>
        <v>MATERIALS / DRUG COST &amp; CONSUMABLES</v>
      </c>
      <c r="D39" s="54">
        <v>0</v>
      </c>
      <c r="E39" s="54">
        <v>0</v>
      </c>
      <c r="F39" s="54">
        <v>0</v>
      </c>
      <c r="G39" s="54">
        <v>0</v>
      </c>
      <c r="H39" s="54">
        <v>0</v>
      </c>
      <c r="I39" s="54">
        <v>0</v>
      </c>
      <c r="J39" s="54">
        <v>0</v>
      </c>
      <c r="K39" s="54">
        <v>0</v>
      </c>
      <c r="L39" s="54">
        <v>0</v>
      </c>
      <c r="M39" s="54">
        <v>0</v>
      </c>
      <c r="N39" s="54">
        <v>0</v>
      </c>
      <c r="O39" s="54">
        <v>0</v>
      </c>
      <c r="P39" s="55">
        <f t="shared" si="0"/>
        <v>0</v>
      </c>
    </row>
    <row r="40" spans="1:16" ht="18" customHeight="1" x14ac:dyDescent="0.35">
      <c r="A40" s="29">
        <v>36</v>
      </c>
      <c r="B40" s="51" t="str">
        <f>'Initiative Register'!B41</f>
        <v>INI-037</v>
      </c>
      <c r="C40" s="51" t="str">
        <f>'Initiative Register'!C41</f>
        <v>MATERIALS / DRUG COST &amp; CONSUMABLES</v>
      </c>
      <c r="D40" s="56">
        <v>0</v>
      </c>
      <c r="E40" s="56">
        <v>0</v>
      </c>
      <c r="F40" s="56">
        <v>0</v>
      </c>
      <c r="G40" s="56">
        <v>0</v>
      </c>
      <c r="H40" s="56">
        <v>0</v>
      </c>
      <c r="I40" s="56">
        <v>0</v>
      </c>
      <c r="J40" s="56">
        <v>0</v>
      </c>
      <c r="K40" s="56">
        <v>0</v>
      </c>
      <c r="L40" s="56">
        <v>0</v>
      </c>
      <c r="M40" s="56">
        <v>0</v>
      </c>
      <c r="N40" s="56">
        <v>0</v>
      </c>
      <c r="O40" s="56">
        <v>0</v>
      </c>
      <c r="P40" s="57">
        <f t="shared" si="0"/>
        <v>0</v>
      </c>
    </row>
    <row r="41" spans="1:16" ht="18" customHeight="1" x14ac:dyDescent="0.35">
      <c r="A41" s="33">
        <v>37</v>
      </c>
      <c r="B41" s="48" t="str">
        <f>'Initiative Register'!B42</f>
        <v>INI-038</v>
      </c>
      <c r="C41" s="48" t="str">
        <f>'Initiative Register'!C42</f>
        <v>MATERIALS / DRUG COST &amp; CONSUMABLES</v>
      </c>
      <c r="D41" s="54">
        <v>0</v>
      </c>
      <c r="E41" s="54">
        <v>0</v>
      </c>
      <c r="F41" s="54">
        <v>0</v>
      </c>
      <c r="G41" s="54">
        <v>0</v>
      </c>
      <c r="H41" s="54">
        <v>0</v>
      </c>
      <c r="I41" s="54">
        <v>0</v>
      </c>
      <c r="J41" s="54">
        <v>0</v>
      </c>
      <c r="K41" s="54">
        <v>0</v>
      </c>
      <c r="L41" s="54">
        <v>0</v>
      </c>
      <c r="M41" s="54">
        <v>0</v>
      </c>
      <c r="N41" s="54">
        <v>0</v>
      </c>
      <c r="O41" s="54">
        <v>0</v>
      </c>
      <c r="P41" s="55">
        <f t="shared" si="0"/>
        <v>0</v>
      </c>
    </row>
    <row r="42" spans="1:16" ht="18" customHeight="1" x14ac:dyDescent="0.35">
      <c r="A42" s="29">
        <v>38</v>
      </c>
      <c r="B42" s="51" t="str">
        <f>'Initiative Register'!B43</f>
        <v>INI-039</v>
      </c>
      <c r="C42" s="51" t="str">
        <f>'Initiative Register'!C43</f>
        <v>MATERIALS / DRUG COST &amp; CONSUMABLES</v>
      </c>
      <c r="D42" s="56">
        <v>0</v>
      </c>
      <c r="E42" s="56">
        <v>0</v>
      </c>
      <c r="F42" s="56">
        <v>0</v>
      </c>
      <c r="G42" s="56">
        <v>0</v>
      </c>
      <c r="H42" s="56">
        <v>0</v>
      </c>
      <c r="I42" s="56">
        <v>0</v>
      </c>
      <c r="J42" s="56">
        <v>0</v>
      </c>
      <c r="K42" s="56">
        <v>0</v>
      </c>
      <c r="L42" s="56">
        <v>0</v>
      </c>
      <c r="M42" s="56">
        <v>0</v>
      </c>
      <c r="N42" s="56">
        <v>0</v>
      </c>
      <c r="O42" s="56">
        <v>0</v>
      </c>
      <c r="P42" s="57">
        <f t="shared" si="0"/>
        <v>0</v>
      </c>
    </row>
    <row r="43" spans="1:16" ht="18" customHeight="1" x14ac:dyDescent="0.35">
      <c r="A43" s="33">
        <v>39</v>
      </c>
      <c r="B43" s="48" t="str">
        <f>'Initiative Register'!B44</f>
        <v>INI-040</v>
      </c>
      <c r="C43" s="48" t="str">
        <f>'Initiative Register'!C44</f>
        <v>MATERIALS / DRUG COST &amp; CONSUMABLES</v>
      </c>
      <c r="D43" s="54">
        <v>0</v>
      </c>
      <c r="E43" s="54">
        <v>0</v>
      </c>
      <c r="F43" s="54">
        <v>0</v>
      </c>
      <c r="G43" s="54">
        <v>0</v>
      </c>
      <c r="H43" s="54">
        <v>0</v>
      </c>
      <c r="I43" s="54">
        <v>0</v>
      </c>
      <c r="J43" s="54">
        <v>0</v>
      </c>
      <c r="K43" s="54">
        <v>0</v>
      </c>
      <c r="L43" s="54">
        <v>0</v>
      </c>
      <c r="M43" s="54">
        <v>0</v>
      </c>
      <c r="N43" s="54">
        <v>0</v>
      </c>
      <c r="O43" s="54">
        <v>0</v>
      </c>
      <c r="P43" s="55">
        <f t="shared" si="0"/>
        <v>0</v>
      </c>
    </row>
    <row r="44" spans="1:16" ht="18" customHeight="1" x14ac:dyDescent="0.35">
      <c r="A44" s="29">
        <v>40</v>
      </c>
      <c r="B44" s="51" t="str">
        <f>'Initiative Register'!B45</f>
        <v>INI-041</v>
      </c>
      <c r="C44" s="51" t="str">
        <f>'Initiative Register'!C45</f>
        <v>MATERIALS / DRUG COST &amp; CONSUMABLES</v>
      </c>
      <c r="D44" s="56">
        <v>0</v>
      </c>
      <c r="E44" s="56">
        <v>0</v>
      </c>
      <c r="F44" s="56">
        <v>0</v>
      </c>
      <c r="G44" s="56">
        <v>0</v>
      </c>
      <c r="H44" s="56">
        <v>0</v>
      </c>
      <c r="I44" s="56">
        <v>0</v>
      </c>
      <c r="J44" s="56">
        <v>0</v>
      </c>
      <c r="K44" s="56">
        <v>0</v>
      </c>
      <c r="L44" s="56">
        <v>0</v>
      </c>
      <c r="M44" s="56">
        <v>0</v>
      </c>
      <c r="N44" s="56">
        <v>0</v>
      </c>
      <c r="O44" s="56">
        <v>0</v>
      </c>
      <c r="P44" s="57">
        <f t="shared" si="0"/>
        <v>0</v>
      </c>
    </row>
    <row r="45" spans="1:16" ht="18" customHeight="1" x14ac:dyDescent="0.35">
      <c r="A45" s="33">
        <v>41</v>
      </c>
      <c r="B45" s="48" t="str">
        <f>'Initiative Register'!B46</f>
        <v>INI-042</v>
      </c>
      <c r="C45" s="48" t="str">
        <f>'Initiative Register'!C46</f>
        <v>PAYROLL – NURSING OPTIMISATION</v>
      </c>
      <c r="D45" s="54">
        <v>0</v>
      </c>
      <c r="E45" s="54">
        <v>0</v>
      </c>
      <c r="F45" s="54">
        <v>0</v>
      </c>
      <c r="G45" s="54">
        <v>0</v>
      </c>
      <c r="H45" s="54">
        <v>0</v>
      </c>
      <c r="I45" s="54">
        <v>0</v>
      </c>
      <c r="J45" s="54">
        <v>0</v>
      </c>
      <c r="K45" s="54">
        <v>0</v>
      </c>
      <c r="L45" s="54">
        <v>0</v>
      </c>
      <c r="M45" s="54">
        <v>0</v>
      </c>
      <c r="N45" s="54">
        <v>0</v>
      </c>
      <c r="O45" s="54">
        <v>0</v>
      </c>
      <c r="P45" s="55">
        <f t="shared" si="0"/>
        <v>0</v>
      </c>
    </row>
    <row r="46" spans="1:16" ht="18" customHeight="1" x14ac:dyDescent="0.35">
      <c r="A46" s="29">
        <v>42</v>
      </c>
      <c r="B46" s="51" t="str">
        <f>'Initiative Register'!B47</f>
        <v>INI-043</v>
      </c>
      <c r="C46" s="51" t="str">
        <f>'Initiative Register'!C47</f>
        <v>PAYROLL – PHARMACY OPTIMISATION</v>
      </c>
      <c r="D46" s="56">
        <v>0</v>
      </c>
      <c r="E46" s="56">
        <v>0</v>
      </c>
      <c r="F46" s="56">
        <v>0</v>
      </c>
      <c r="G46" s="56">
        <v>0</v>
      </c>
      <c r="H46" s="56">
        <v>0</v>
      </c>
      <c r="I46" s="56">
        <v>0</v>
      </c>
      <c r="J46" s="56">
        <v>0</v>
      </c>
      <c r="K46" s="56">
        <v>0</v>
      </c>
      <c r="L46" s="56">
        <v>0</v>
      </c>
      <c r="M46" s="56">
        <v>0</v>
      </c>
      <c r="N46" s="56">
        <v>0</v>
      </c>
      <c r="O46" s="56">
        <v>0</v>
      </c>
      <c r="P46" s="57">
        <f t="shared" si="0"/>
        <v>0</v>
      </c>
    </row>
    <row r="47" spans="1:16" ht="18" customHeight="1" x14ac:dyDescent="0.35">
      <c r="A47" s="33">
        <v>43</v>
      </c>
      <c r="B47" s="48" t="str">
        <f>'Initiative Register'!B48</f>
        <v>INI-044</v>
      </c>
      <c r="C47" s="48" t="str">
        <f>'Initiative Register'!C48</f>
        <v>PAYROLL – ADMIN (PCS) OPTIMISATION</v>
      </c>
      <c r="D47" s="54">
        <v>0</v>
      </c>
      <c r="E47" s="54">
        <v>0</v>
      </c>
      <c r="F47" s="54">
        <v>0</v>
      </c>
      <c r="G47" s="54">
        <v>0</v>
      </c>
      <c r="H47" s="54">
        <v>0</v>
      </c>
      <c r="I47" s="54">
        <v>0</v>
      </c>
      <c r="J47" s="54">
        <v>0</v>
      </c>
      <c r="K47" s="54">
        <v>0</v>
      </c>
      <c r="L47" s="54">
        <v>0</v>
      </c>
      <c r="M47" s="54">
        <v>0</v>
      </c>
      <c r="N47" s="54">
        <v>0</v>
      </c>
      <c r="O47" s="54">
        <v>0</v>
      </c>
      <c r="P47" s="55">
        <f t="shared" si="0"/>
        <v>0</v>
      </c>
    </row>
    <row r="48" spans="1:16" ht="18" customHeight="1" x14ac:dyDescent="0.35">
      <c r="A48" s="29">
        <v>44</v>
      </c>
      <c r="B48" s="51" t="str">
        <f>'Initiative Register'!B49</f>
        <v>INI-045</v>
      </c>
      <c r="C48" s="51" t="str">
        <f>'Initiative Register'!C49</f>
        <v>PAYROLL – LAB OPTIMISATION</v>
      </c>
      <c r="D48" s="56">
        <v>0</v>
      </c>
      <c r="E48" s="56">
        <v>0</v>
      </c>
      <c r="F48" s="56">
        <v>0</v>
      </c>
      <c r="G48" s="56">
        <v>0</v>
      </c>
      <c r="H48" s="56">
        <v>0</v>
      </c>
      <c r="I48" s="56">
        <v>0</v>
      </c>
      <c r="J48" s="56">
        <v>0</v>
      </c>
      <c r="K48" s="56">
        <v>0</v>
      </c>
      <c r="L48" s="56">
        <v>0</v>
      </c>
      <c r="M48" s="56">
        <v>0</v>
      </c>
      <c r="N48" s="56">
        <v>0</v>
      </c>
      <c r="O48" s="56">
        <v>0</v>
      </c>
      <c r="P48" s="57">
        <f t="shared" si="0"/>
        <v>0</v>
      </c>
    </row>
    <row r="49" spans="1:16" ht="18" customHeight="1" x14ac:dyDescent="0.35">
      <c r="A49" s="33">
        <v>45</v>
      </c>
      <c r="B49" s="48" t="str">
        <f>'Initiative Register'!B50</f>
        <v>INI-046</v>
      </c>
      <c r="C49" s="48" t="str">
        <f>'Initiative Register'!C50</f>
        <v>PAYROLL – OT COST CONTROL</v>
      </c>
      <c r="D49" s="54">
        <v>0</v>
      </c>
      <c r="E49" s="54">
        <v>0</v>
      </c>
      <c r="F49" s="54">
        <v>0</v>
      </c>
      <c r="G49" s="54">
        <v>0</v>
      </c>
      <c r="H49" s="54">
        <v>0</v>
      </c>
      <c r="I49" s="54">
        <v>0</v>
      </c>
      <c r="J49" s="54">
        <v>0</v>
      </c>
      <c r="K49" s="54">
        <v>0</v>
      </c>
      <c r="L49" s="54">
        <v>0</v>
      </c>
      <c r="M49" s="54">
        <v>0</v>
      </c>
      <c r="N49" s="54">
        <v>0</v>
      </c>
      <c r="O49" s="54">
        <v>0</v>
      </c>
      <c r="P49" s="55">
        <f t="shared" si="0"/>
        <v>0</v>
      </c>
    </row>
    <row r="50" spans="1:16" ht="18" customHeight="1" x14ac:dyDescent="0.35">
      <c r="A50" s="29">
        <v>46</v>
      </c>
      <c r="B50" s="51" t="str">
        <f>'Initiative Register'!B51</f>
        <v>INI-047</v>
      </c>
      <c r="C50" s="51" t="str">
        <f>'Initiative Register'!C51</f>
        <v>PAYROLL – OUTSOURCED CONTRACT OPTIMISATION</v>
      </c>
      <c r="D50" s="56">
        <v>0</v>
      </c>
      <c r="E50" s="56">
        <v>0</v>
      </c>
      <c r="F50" s="56">
        <v>0</v>
      </c>
      <c r="G50" s="56">
        <v>0</v>
      </c>
      <c r="H50" s="56">
        <v>0</v>
      </c>
      <c r="I50" s="56">
        <v>0</v>
      </c>
      <c r="J50" s="56">
        <v>0</v>
      </c>
      <c r="K50" s="56">
        <v>0</v>
      </c>
      <c r="L50" s="56">
        <v>0</v>
      </c>
      <c r="M50" s="56">
        <v>0</v>
      </c>
      <c r="N50" s="56">
        <v>0</v>
      </c>
      <c r="O50" s="56">
        <v>0</v>
      </c>
      <c r="P50" s="57">
        <f t="shared" si="0"/>
        <v>0</v>
      </c>
    </row>
    <row r="51" spans="1:16" ht="18" customHeight="1" x14ac:dyDescent="0.35">
      <c r="A51" s="33">
        <v>47</v>
      </c>
      <c r="B51" s="48" t="str">
        <f>'Initiative Register'!B52</f>
        <v>INI-048</v>
      </c>
      <c r="C51" s="48" t="str">
        <f>'Initiative Register'!C52</f>
        <v>OVERHEAD – ENERGY COST OPTIMISATION</v>
      </c>
      <c r="D51" s="54">
        <v>0</v>
      </c>
      <c r="E51" s="54">
        <v>0</v>
      </c>
      <c r="F51" s="54">
        <v>0</v>
      </c>
      <c r="G51" s="54">
        <v>0</v>
      </c>
      <c r="H51" s="54">
        <v>0</v>
      </c>
      <c r="I51" s="54">
        <v>0</v>
      </c>
      <c r="J51" s="54">
        <v>0</v>
      </c>
      <c r="K51" s="54">
        <v>0</v>
      </c>
      <c r="L51" s="54">
        <v>0</v>
      </c>
      <c r="M51" s="54">
        <v>0</v>
      </c>
      <c r="N51" s="54">
        <v>0</v>
      </c>
      <c r="O51" s="54">
        <v>0</v>
      </c>
      <c r="P51" s="55">
        <f t="shared" si="0"/>
        <v>0</v>
      </c>
    </row>
    <row r="52" spans="1:16" ht="18" customHeight="1" x14ac:dyDescent="0.35">
      <c r="A52" s="29">
        <v>48</v>
      </c>
      <c r="B52" s="51" t="str">
        <f>'Initiative Register'!B53</f>
        <v>INI-049</v>
      </c>
      <c r="C52" s="51" t="str">
        <f>'Initiative Register'!C53</f>
        <v>OVERHEAD – F&amp;B COST OPTIMISATION</v>
      </c>
      <c r="D52" s="56">
        <v>0</v>
      </c>
      <c r="E52" s="56">
        <v>0</v>
      </c>
      <c r="F52" s="56">
        <v>0</v>
      </c>
      <c r="G52" s="56">
        <v>0</v>
      </c>
      <c r="H52" s="56">
        <v>0</v>
      </c>
      <c r="I52" s="56">
        <v>0</v>
      </c>
      <c r="J52" s="56">
        <v>0</v>
      </c>
      <c r="K52" s="56">
        <v>0</v>
      </c>
      <c r="L52" s="56">
        <v>0</v>
      </c>
      <c r="M52" s="56">
        <v>0</v>
      </c>
      <c r="N52" s="56">
        <v>0</v>
      </c>
      <c r="O52" s="56">
        <v>0</v>
      </c>
      <c r="P52" s="57">
        <f t="shared" si="0"/>
        <v>0</v>
      </c>
    </row>
    <row r="53" spans="1:16" ht="18" customHeight="1" x14ac:dyDescent="0.35">
      <c r="A53" s="33">
        <v>49</v>
      </c>
      <c r="B53" s="48" t="str">
        <f>'Initiative Register'!B54</f>
        <v>INI-050</v>
      </c>
      <c r="C53" s="48" t="str">
        <f>'Initiative Register'!C54</f>
        <v>OVERHEAD – CLAIM DENIAL REDUCTION</v>
      </c>
      <c r="D53" s="54">
        <v>0</v>
      </c>
      <c r="E53" s="54">
        <v>0</v>
      </c>
      <c r="F53" s="54">
        <v>0</v>
      </c>
      <c r="G53" s="54">
        <v>0</v>
      </c>
      <c r="H53" s="54">
        <v>0</v>
      </c>
      <c r="I53" s="54">
        <v>0</v>
      </c>
      <c r="J53" s="54">
        <v>0</v>
      </c>
      <c r="K53" s="54">
        <v>0</v>
      </c>
      <c r="L53" s="54">
        <v>0</v>
      </c>
      <c r="M53" s="54">
        <v>0</v>
      </c>
      <c r="N53" s="54">
        <v>0</v>
      </c>
      <c r="O53" s="54">
        <v>0</v>
      </c>
      <c r="P53" s="55">
        <f t="shared" si="0"/>
        <v>0</v>
      </c>
    </row>
    <row r="54" spans="1:16" ht="18" customHeight="1" x14ac:dyDescent="0.35">
      <c r="A54" s="29">
        <v>50</v>
      </c>
      <c r="B54" s="51" t="str">
        <f>'Initiative Register'!B55</f>
        <v>INI-051</v>
      </c>
      <c r="C54" s="51" t="str">
        <f>'Initiative Register'!C55</f>
        <v>OVERHEAD – REVENUE LEAKAGE RECOVERY</v>
      </c>
      <c r="D54" s="56">
        <v>0</v>
      </c>
      <c r="E54" s="56">
        <v>0</v>
      </c>
      <c r="F54" s="56">
        <v>0</v>
      </c>
      <c r="G54" s="56">
        <v>0</v>
      </c>
      <c r="H54" s="56">
        <v>0</v>
      </c>
      <c r="I54" s="56">
        <v>0</v>
      </c>
      <c r="J54" s="56">
        <v>0</v>
      </c>
      <c r="K54" s="56">
        <v>0</v>
      </c>
      <c r="L54" s="56">
        <v>0</v>
      </c>
      <c r="M54" s="56">
        <v>0</v>
      </c>
      <c r="N54" s="56">
        <v>0</v>
      </c>
      <c r="O54" s="56">
        <v>0</v>
      </c>
      <c r="P54" s="57">
        <f t="shared" si="0"/>
        <v>0</v>
      </c>
    </row>
    <row r="55" spans="1:16" ht="21.75" customHeight="1" x14ac:dyDescent="0.35">
      <c r="A55" s="167" t="s">
        <v>290</v>
      </c>
      <c r="B55" s="126"/>
      <c r="C55" s="123"/>
      <c r="D55" s="58">
        <f t="shared" ref="D55:P55" si="1">SUM(D5:D54)</f>
        <v>0</v>
      </c>
      <c r="E55" s="58">
        <f t="shared" si="1"/>
        <v>0</v>
      </c>
      <c r="F55" s="58">
        <f t="shared" si="1"/>
        <v>0</v>
      </c>
      <c r="G55" s="58">
        <f t="shared" si="1"/>
        <v>0</v>
      </c>
      <c r="H55" s="58">
        <f t="shared" si="1"/>
        <v>0</v>
      </c>
      <c r="I55" s="58">
        <f t="shared" si="1"/>
        <v>0</v>
      </c>
      <c r="J55" s="58">
        <f t="shared" si="1"/>
        <v>0</v>
      </c>
      <c r="K55" s="58">
        <f t="shared" si="1"/>
        <v>0</v>
      </c>
      <c r="L55" s="58">
        <f t="shared" si="1"/>
        <v>0</v>
      </c>
      <c r="M55" s="58">
        <f t="shared" si="1"/>
        <v>0</v>
      </c>
      <c r="N55" s="58">
        <f t="shared" si="1"/>
        <v>0</v>
      </c>
      <c r="O55" s="58">
        <f t="shared" si="1"/>
        <v>0</v>
      </c>
      <c r="P55" s="58">
        <f t="shared" si="1"/>
        <v>0</v>
      </c>
    </row>
    <row r="56" spans="1:16" ht="14.25" customHeight="1" x14ac:dyDescent="0.35"/>
    <row r="57" spans="1:16" ht="14.25" customHeight="1" x14ac:dyDescent="0.35"/>
    <row r="58" spans="1:16" ht="14.25" customHeight="1" x14ac:dyDescent="0.35"/>
    <row r="59" spans="1:16" ht="14.25" customHeight="1" x14ac:dyDescent="0.35"/>
    <row r="60" spans="1:16" ht="14.25" customHeight="1" x14ac:dyDescent="0.35"/>
    <row r="61" spans="1:16" ht="14.25" customHeight="1" x14ac:dyDescent="0.35"/>
    <row r="62" spans="1:16" ht="14.25" customHeight="1" x14ac:dyDescent="0.35"/>
    <row r="63" spans="1:16" ht="14.25" customHeight="1" x14ac:dyDescent="0.35"/>
    <row r="64" spans="1:16"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2">
    <mergeCell ref="A1:Q1"/>
    <mergeCell ref="A55:C55"/>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AD47"/>
  </sheetPr>
  <dimension ref="A1:Q1016"/>
  <sheetViews>
    <sheetView showGridLines="0" workbookViewId="0">
      <pane xSplit="3" ySplit="4" topLeftCell="D18" activePane="bottomRight" state="frozen"/>
      <selection pane="topRight" activeCell="D1" sqref="D1"/>
      <selection pane="bottomLeft" activeCell="A5" sqref="A5"/>
      <selection pane="bottomRight" activeCell="B60" sqref="B60"/>
    </sheetView>
  </sheetViews>
  <sheetFormatPr defaultColWidth="14.453125" defaultRowHeight="15" customHeight="1" x14ac:dyDescent="0.35"/>
  <cols>
    <col min="1" max="1" width="4" customWidth="1"/>
    <col min="2" max="2" width="14" customWidth="1"/>
    <col min="3" max="3" width="35" customWidth="1"/>
    <col min="4" max="15" width="9" customWidth="1"/>
    <col min="16" max="16" width="14" customWidth="1"/>
    <col min="17" max="26" width="8.54296875" customWidth="1"/>
  </cols>
  <sheetData>
    <row r="1" spans="1:17" ht="39.75" customHeight="1" x14ac:dyDescent="0.35">
      <c r="A1" s="165" t="s">
        <v>291</v>
      </c>
      <c r="B1" s="126"/>
      <c r="C1" s="126"/>
      <c r="D1" s="126"/>
      <c r="E1" s="126"/>
      <c r="F1" s="126"/>
      <c r="G1" s="126"/>
      <c r="H1" s="126"/>
      <c r="I1" s="126"/>
      <c r="J1" s="126"/>
      <c r="K1" s="126"/>
      <c r="L1" s="126"/>
      <c r="M1" s="126"/>
      <c r="N1" s="126"/>
      <c r="O1" s="126"/>
      <c r="P1" s="126"/>
      <c r="Q1" s="123"/>
    </row>
    <row r="2" spans="1:17" ht="14.25" customHeight="1" x14ac:dyDescent="0.35"/>
    <row r="3" spans="1:17" ht="14.25" customHeight="1" x14ac:dyDescent="0.35"/>
    <row r="4" spans="1:17" ht="39.75" customHeight="1" x14ac:dyDescent="0.35">
      <c r="A4" s="47" t="s">
        <v>41</v>
      </c>
      <c r="B4" s="47" t="s">
        <v>42</v>
      </c>
      <c r="C4" s="47" t="s">
        <v>43</v>
      </c>
      <c r="D4" s="17" t="s">
        <v>28</v>
      </c>
      <c r="E4" s="17" t="s">
        <v>29</v>
      </c>
      <c r="F4" s="17" t="s">
        <v>30</v>
      </c>
      <c r="G4" s="17" t="s">
        <v>31</v>
      </c>
      <c r="H4" s="17" t="s">
        <v>32</v>
      </c>
      <c r="I4" s="17" t="s">
        <v>33</v>
      </c>
      <c r="J4" s="17" t="s">
        <v>34</v>
      </c>
      <c r="K4" s="17" t="s">
        <v>35</v>
      </c>
      <c r="L4" s="17" t="s">
        <v>36</v>
      </c>
      <c r="M4" s="17" t="s">
        <v>37</v>
      </c>
      <c r="N4" s="17" t="s">
        <v>38</v>
      </c>
      <c r="O4" s="17" t="s">
        <v>39</v>
      </c>
      <c r="P4" s="1" t="s">
        <v>289</v>
      </c>
    </row>
    <row r="5" spans="1:17" ht="18" customHeight="1" x14ac:dyDescent="0.35">
      <c r="A5" s="33">
        <v>1</v>
      </c>
      <c r="B5" s="48" t="str">
        <f>'Initiative Register'!B5</f>
        <v>INI-001</v>
      </c>
      <c r="C5" s="48" t="str">
        <f>'Initiative Register'!C5</f>
        <v>Campaign- Patient experience improvement</v>
      </c>
      <c r="D5" s="54">
        <v>0</v>
      </c>
      <c r="E5" s="54">
        <v>0</v>
      </c>
      <c r="F5" s="54">
        <v>0</v>
      </c>
      <c r="G5" s="54">
        <v>0</v>
      </c>
      <c r="H5" s="54">
        <v>0</v>
      </c>
      <c r="I5" s="54">
        <v>0</v>
      </c>
      <c r="J5" s="54">
        <v>0</v>
      </c>
      <c r="K5" s="54">
        <v>0</v>
      </c>
      <c r="L5" s="54">
        <v>0</v>
      </c>
      <c r="M5" s="54">
        <v>0</v>
      </c>
      <c r="N5" s="54">
        <v>0</v>
      </c>
      <c r="O5" s="54">
        <v>0</v>
      </c>
      <c r="P5" s="55">
        <f t="shared" ref="P5:P55" si="0">SUM(D5:O5)</f>
        <v>0</v>
      </c>
    </row>
    <row r="6" spans="1:17" ht="18" customHeight="1" x14ac:dyDescent="0.35">
      <c r="A6" s="29">
        <v>2</v>
      </c>
      <c r="B6" s="51" t="str">
        <f>'Initiative Register'!B6</f>
        <v/>
      </c>
      <c r="C6" s="51">
        <f>'Initiative Register'!C6</f>
        <v>0</v>
      </c>
      <c r="D6" s="56">
        <v>0</v>
      </c>
      <c r="E6" s="56">
        <v>0</v>
      </c>
      <c r="F6" s="56">
        <v>0</v>
      </c>
      <c r="G6" s="56">
        <v>0</v>
      </c>
      <c r="H6" s="56">
        <v>0</v>
      </c>
      <c r="I6" s="56">
        <v>0</v>
      </c>
      <c r="J6" s="56">
        <v>0</v>
      </c>
      <c r="K6" s="56">
        <v>0</v>
      </c>
      <c r="L6" s="56">
        <v>0</v>
      </c>
      <c r="M6" s="56">
        <v>0</v>
      </c>
      <c r="N6" s="56">
        <v>0</v>
      </c>
      <c r="O6" s="56">
        <v>0</v>
      </c>
      <c r="P6" s="57">
        <f t="shared" si="0"/>
        <v>0</v>
      </c>
    </row>
    <row r="7" spans="1:17" ht="18" customHeight="1" x14ac:dyDescent="0.35">
      <c r="A7" s="33">
        <v>3</v>
      </c>
      <c r="B7" s="48" t="str">
        <f>'Initiative Register'!B7</f>
        <v>INI-003</v>
      </c>
      <c r="C7" s="48" t="str">
        <f>'Initiative Register'!C7</f>
        <v>Geriatric ward</v>
      </c>
      <c r="D7" s="54">
        <v>0</v>
      </c>
      <c r="E7" s="54">
        <v>0</v>
      </c>
      <c r="F7" s="54">
        <v>0</v>
      </c>
      <c r="G7" s="54">
        <v>0</v>
      </c>
      <c r="H7" s="54">
        <v>0</v>
      </c>
      <c r="I7" s="54">
        <v>0</v>
      </c>
      <c r="J7" s="54">
        <v>0</v>
      </c>
      <c r="K7" s="54">
        <v>0</v>
      </c>
      <c r="L7" s="54">
        <v>0</v>
      </c>
      <c r="M7" s="54">
        <v>0</v>
      </c>
      <c r="N7" s="54">
        <v>0</v>
      </c>
      <c r="O7" s="54">
        <v>0</v>
      </c>
      <c r="P7" s="55">
        <f t="shared" si="0"/>
        <v>0</v>
      </c>
    </row>
    <row r="8" spans="1:17" ht="18" customHeight="1" x14ac:dyDescent="0.35">
      <c r="A8" s="29">
        <v>4</v>
      </c>
      <c r="B8" s="51" t="str">
        <f>'Initiative Register'!B8</f>
        <v>INI-004</v>
      </c>
      <c r="C8" s="51" t="str">
        <f>'Initiative Register'!C8</f>
        <v>Appointment of Specialized Doctors and development of existing department</v>
      </c>
      <c r="D8" s="56">
        <v>0</v>
      </c>
      <c r="E8" s="56">
        <v>0</v>
      </c>
      <c r="F8" s="56">
        <v>0</v>
      </c>
      <c r="G8" s="56">
        <v>0</v>
      </c>
      <c r="H8" s="56">
        <v>0</v>
      </c>
      <c r="I8" s="56">
        <v>0</v>
      </c>
      <c r="J8" s="56">
        <v>0</v>
      </c>
      <c r="K8" s="56">
        <v>0</v>
      </c>
      <c r="L8" s="56">
        <v>0</v>
      </c>
      <c r="M8" s="56">
        <v>0</v>
      </c>
      <c r="N8" s="56">
        <v>0</v>
      </c>
      <c r="O8" s="56">
        <v>0</v>
      </c>
      <c r="P8" s="57">
        <f t="shared" si="0"/>
        <v>0</v>
      </c>
    </row>
    <row r="9" spans="1:17" ht="18" customHeight="1" x14ac:dyDescent="0.35">
      <c r="A9" s="33">
        <v>5</v>
      </c>
      <c r="B9" s="48" t="str">
        <f>'Initiative Register'!B9</f>
        <v>INI-005</v>
      </c>
      <c r="C9" s="48" t="str">
        <f>'Initiative Register'!C9</f>
        <v>Patient companion</v>
      </c>
      <c r="D9" s="54">
        <v>0</v>
      </c>
      <c r="E9" s="54">
        <v>0</v>
      </c>
      <c r="F9" s="54">
        <v>0</v>
      </c>
      <c r="G9" s="54">
        <v>0</v>
      </c>
      <c r="H9" s="54">
        <v>0</v>
      </c>
      <c r="I9" s="54">
        <v>0</v>
      </c>
      <c r="J9" s="54">
        <v>0</v>
      </c>
      <c r="K9" s="54">
        <v>0</v>
      </c>
      <c r="L9" s="54">
        <v>0</v>
      </c>
      <c r="M9" s="54">
        <v>0</v>
      </c>
      <c r="N9" s="54">
        <v>0</v>
      </c>
      <c r="O9" s="54">
        <v>0</v>
      </c>
      <c r="P9" s="55">
        <f t="shared" si="0"/>
        <v>0</v>
      </c>
    </row>
    <row r="10" spans="1:17" ht="18" customHeight="1" x14ac:dyDescent="0.35">
      <c r="A10" s="29">
        <v>6</v>
      </c>
      <c r="B10" s="51" t="str">
        <f>'Initiative Register'!B10</f>
        <v>INI-006</v>
      </c>
      <c r="C10" s="51" t="str">
        <f>'Initiative Register'!C10</f>
        <v xml:space="preserve">Newborn Care Enhancement </v>
      </c>
      <c r="D10" s="56">
        <v>0</v>
      </c>
      <c r="E10" s="56">
        <v>0</v>
      </c>
      <c r="F10" s="56">
        <v>0</v>
      </c>
      <c r="G10" s="56">
        <v>0</v>
      </c>
      <c r="H10" s="56">
        <v>0</v>
      </c>
      <c r="I10" s="56">
        <v>0</v>
      </c>
      <c r="J10" s="56">
        <v>0</v>
      </c>
      <c r="K10" s="56">
        <v>0</v>
      </c>
      <c r="L10" s="56">
        <v>0</v>
      </c>
      <c r="M10" s="56">
        <v>0</v>
      </c>
      <c r="N10" s="56">
        <v>0</v>
      </c>
      <c r="O10" s="56">
        <v>0</v>
      </c>
      <c r="P10" s="57">
        <f t="shared" si="0"/>
        <v>0</v>
      </c>
    </row>
    <row r="11" spans="1:17" ht="18" customHeight="1" x14ac:dyDescent="0.35">
      <c r="A11" s="33">
        <v>7</v>
      </c>
      <c r="B11" s="48" t="str">
        <f>'Initiative Register'!B11</f>
        <v>INI-007</v>
      </c>
      <c r="C11" s="48" t="str">
        <f>'Initiative Register'!C11</f>
        <v>Digital Patient Acquisition Funnel</v>
      </c>
      <c r="D11" s="54">
        <v>0</v>
      </c>
      <c r="E11" s="54">
        <v>0</v>
      </c>
      <c r="F11" s="54">
        <v>0</v>
      </c>
      <c r="G11" s="54">
        <v>0</v>
      </c>
      <c r="H11" s="54">
        <v>0</v>
      </c>
      <c r="I11" s="54">
        <v>0</v>
      </c>
      <c r="J11" s="54">
        <v>0</v>
      </c>
      <c r="K11" s="54">
        <v>0</v>
      </c>
      <c r="L11" s="54">
        <v>0</v>
      </c>
      <c r="M11" s="54">
        <v>0</v>
      </c>
      <c r="N11" s="54">
        <v>0</v>
      </c>
      <c r="O11" s="54">
        <v>0</v>
      </c>
      <c r="P11" s="55">
        <f t="shared" si="0"/>
        <v>0</v>
      </c>
    </row>
    <row r="12" spans="1:17" ht="18" customHeight="1" x14ac:dyDescent="0.35">
      <c r="A12" s="29">
        <v>8</v>
      </c>
      <c r="B12" s="51" t="str">
        <f>'Initiative Register'!B12</f>
        <v>INI-008</v>
      </c>
      <c r="C12" s="51" t="str">
        <f>'Initiative Register'!C12</f>
        <v>Development of KPI for Doctors</v>
      </c>
      <c r="D12" s="56">
        <v>0</v>
      </c>
      <c r="E12" s="56">
        <v>0</v>
      </c>
      <c r="F12" s="56">
        <v>0</v>
      </c>
      <c r="G12" s="56">
        <v>0</v>
      </c>
      <c r="H12" s="56">
        <v>0</v>
      </c>
      <c r="I12" s="56">
        <v>0</v>
      </c>
      <c r="J12" s="56">
        <v>0</v>
      </c>
      <c r="K12" s="56">
        <v>0</v>
      </c>
      <c r="L12" s="56">
        <v>0</v>
      </c>
      <c r="M12" s="56">
        <v>0</v>
      </c>
      <c r="N12" s="56">
        <v>0</v>
      </c>
      <c r="O12" s="56">
        <v>0</v>
      </c>
      <c r="P12" s="57">
        <f t="shared" si="0"/>
        <v>0</v>
      </c>
    </row>
    <row r="13" spans="1:17" ht="18" customHeight="1" x14ac:dyDescent="0.35">
      <c r="A13" s="33">
        <v>9</v>
      </c>
      <c r="B13" s="48" t="str">
        <f>'Initiative Register'!B13</f>
        <v>INI-009</v>
      </c>
      <c r="C13" s="48" t="str">
        <f>'Initiative Register'!C13</f>
        <v>Daycare and Minimaly Invasive Shift</v>
      </c>
      <c r="D13" s="54">
        <v>0</v>
      </c>
      <c r="E13" s="54">
        <v>0</v>
      </c>
      <c r="F13" s="54">
        <v>0</v>
      </c>
      <c r="G13" s="54">
        <v>0</v>
      </c>
      <c r="H13" s="54">
        <v>0</v>
      </c>
      <c r="I13" s="54">
        <v>0</v>
      </c>
      <c r="J13" s="54">
        <v>0</v>
      </c>
      <c r="K13" s="54">
        <v>0</v>
      </c>
      <c r="L13" s="54">
        <v>0</v>
      </c>
      <c r="M13" s="54">
        <v>0</v>
      </c>
      <c r="N13" s="54">
        <v>0</v>
      </c>
      <c r="O13" s="54">
        <v>0</v>
      </c>
      <c r="P13" s="55">
        <f t="shared" si="0"/>
        <v>0</v>
      </c>
    </row>
    <row r="14" spans="1:17" ht="18" customHeight="1" x14ac:dyDescent="0.35">
      <c r="A14" s="29">
        <v>10</v>
      </c>
      <c r="B14" s="51" t="str">
        <f>'Initiative Register'!B14</f>
        <v>INI-010</v>
      </c>
      <c r="C14" s="51" t="str">
        <f>'Initiative Register'!C14</f>
        <v>Consumables standardization model</v>
      </c>
      <c r="D14" s="56">
        <v>0</v>
      </c>
      <c r="E14" s="56">
        <v>0</v>
      </c>
      <c r="F14" s="56">
        <v>0</v>
      </c>
      <c r="G14" s="56">
        <v>0</v>
      </c>
      <c r="H14" s="56">
        <v>0</v>
      </c>
      <c r="I14" s="56">
        <v>0</v>
      </c>
      <c r="J14" s="56">
        <v>0</v>
      </c>
      <c r="K14" s="56">
        <v>0</v>
      </c>
      <c r="L14" s="56">
        <v>0</v>
      </c>
      <c r="M14" s="56">
        <v>0</v>
      </c>
      <c r="N14" s="56">
        <v>0</v>
      </c>
      <c r="O14" s="56">
        <v>0</v>
      </c>
      <c r="P14" s="57">
        <f t="shared" si="0"/>
        <v>0</v>
      </c>
    </row>
    <row r="15" spans="1:17" ht="18" customHeight="1" x14ac:dyDescent="0.35">
      <c r="A15" s="33">
        <v>11</v>
      </c>
      <c r="B15" s="48" t="str">
        <f>'Initiative Register'!B15</f>
        <v>INI-011</v>
      </c>
      <c r="C15" s="48" t="str">
        <f>'Initiative Register'!C15</f>
        <v>Collaboration with other Hospitals</v>
      </c>
      <c r="D15" s="54">
        <v>0</v>
      </c>
      <c r="E15" s="54">
        <v>0</v>
      </c>
      <c r="F15" s="54">
        <v>0</v>
      </c>
      <c r="G15" s="54">
        <v>0</v>
      </c>
      <c r="H15" s="54">
        <v>0</v>
      </c>
      <c r="I15" s="54">
        <v>0</v>
      </c>
      <c r="J15" s="54">
        <v>0</v>
      </c>
      <c r="K15" s="54">
        <v>0</v>
      </c>
      <c r="L15" s="54">
        <v>0</v>
      </c>
      <c r="M15" s="54">
        <v>0</v>
      </c>
      <c r="N15" s="54">
        <v>0</v>
      </c>
      <c r="O15" s="54">
        <v>0</v>
      </c>
      <c r="P15" s="55">
        <f t="shared" si="0"/>
        <v>0</v>
      </c>
    </row>
    <row r="16" spans="1:17" ht="18" customHeight="1" x14ac:dyDescent="0.35">
      <c r="A16" s="29">
        <v>12</v>
      </c>
      <c r="B16" s="51" t="str">
        <f>'Initiative Register'!B16</f>
        <v>INI-012</v>
      </c>
      <c r="C16" s="51" t="str">
        <f>'Initiative Register'!C16</f>
        <v>ANNUAL RATE REVISION POLICY</v>
      </c>
      <c r="D16" s="56">
        <v>0</v>
      </c>
      <c r="E16" s="56">
        <v>0</v>
      </c>
      <c r="F16" s="56">
        <v>0</v>
      </c>
      <c r="G16" s="56">
        <v>0</v>
      </c>
      <c r="H16" s="56">
        <v>0</v>
      </c>
      <c r="I16" s="56">
        <v>0</v>
      </c>
      <c r="J16" s="56">
        <v>0</v>
      </c>
      <c r="K16" s="56">
        <v>0</v>
      </c>
      <c r="L16" s="56">
        <v>0</v>
      </c>
      <c r="M16" s="56">
        <v>0</v>
      </c>
      <c r="N16" s="56">
        <v>0</v>
      </c>
      <c r="O16" s="56">
        <v>0</v>
      </c>
      <c r="P16" s="57">
        <f t="shared" si="0"/>
        <v>0</v>
      </c>
    </row>
    <row r="17" spans="1:16" ht="18" customHeight="1" x14ac:dyDescent="0.35">
      <c r="A17" s="33">
        <v>13</v>
      </c>
      <c r="B17" s="48" t="str">
        <f>'Initiative Register'!B17</f>
        <v>INI-013</v>
      </c>
      <c r="C17" s="48" t="str">
        <f>'Initiative Register'!C17</f>
        <v>PROCEDURE CONTRIBUTION AUDIT AND REPRICING</v>
      </c>
      <c r="D17" s="54">
        <v>0</v>
      </c>
      <c r="E17" s="54">
        <v>0</v>
      </c>
      <c r="F17" s="54">
        <v>0</v>
      </c>
      <c r="G17" s="54">
        <v>0</v>
      </c>
      <c r="H17" s="54">
        <v>0</v>
      </c>
      <c r="I17" s="54">
        <v>0</v>
      </c>
      <c r="J17" s="54">
        <v>0</v>
      </c>
      <c r="K17" s="54">
        <v>0</v>
      </c>
      <c r="L17" s="54">
        <v>0</v>
      </c>
      <c r="M17" s="54">
        <v>0</v>
      </c>
      <c r="N17" s="54">
        <v>0</v>
      </c>
      <c r="O17" s="54">
        <v>0</v>
      </c>
      <c r="P17" s="55">
        <f t="shared" si="0"/>
        <v>0</v>
      </c>
    </row>
    <row r="18" spans="1:16" ht="18" customHeight="1" x14ac:dyDescent="0.35">
      <c r="A18" s="29">
        <v>14</v>
      </c>
      <c r="B18" s="51" t="str">
        <f>'Initiative Register'!B18</f>
        <v>INI-014</v>
      </c>
      <c r="C18" s="51" t="str">
        <f>'Initiative Register'!C18</f>
        <v>INSURANCE CHARGE CAPTURE — BILL WHAT IS COVERED</v>
      </c>
      <c r="D18" s="56">
        <v>0</v>
      </c>
      <c r="E18" s="56">
        <v>0</v>
      </c>
      <c r="F18" s="56">
        <v>0</v>
      </c>
      <c r="G18" s="56">
        <v>0</v>
      </c>
      <c r="H18" s="56">
        <v>0</v>
      </c>
      <c r="I18" s="56">
        <v>0</v>
      </c>
      <c r="J18" s="56">
        <v>0</v>
      </c>
      <c r="K18" s="56">
        <v>0</v>
      </c>
      <c r="L18" s="56">
        <v>0</v>
      </c>
      <c r="M18" s="56">
        <v>0</v>
      </c>
      <c r="N18" s="56">
        <v>0</v>
      </c>
      <c r="O18" s="56">
        <v>0</v>
      </c>
      <c r="P18" s="57">
        <f t="shared" si="0"/>
        <v>0</v>
      </c>
    </row>
    <row r="19" spans="1:16" ht="18" customHeight="1" x14ac:dyDescent="0.35">
      <c r="A19" s="33">
        <v>15</v>
      </c>
      <c r="B19" s="48" t="str">
        <f>'Initiative Register'!B19</f>
        <v>INI-015</v>
      </c>
      <c r="C19" s="48" t="str">
        <f>'Initiative Register'!C19</f>
        <v>SATELLITE CLINIC NETWORK — SURGEON-LED OFF-CAMPUS OPDs</v>
      </c>
      <c r="D19" s="54">
        <v>0</v>
      </c>
      <c r="E19" s="54">
        <v>0</v>
      </c>
      <c r="F19" s="54">
        <v>0</v>
      </c>
      <c r="G19" s="54">
        <v>0</v>
      </c>
      <c r="H19" s="54">
        <v>0</v>
      </c>
      <c r="I19" s="54">
        <v>0</v>
      </c>
      <c r="J19" s="54">
        <v>0</v>
      </c>
      <c r="K19" s="54">
        <v>0</v>
      </c>
      <c r="L19" s="54">
        <v>0</v>
      </c>
      <c r="M19" s="54">
        <v>0</v>
      </c>
      <c r="N19" s="54">
        <v>0</v>
      </c>
      <c r="O19" s="54">
        <v>0</v>
      </c>
      <c r="P19" s="55">
        <f t="shared" si="0"/>
        <v>0</v>
      </c>
    </row>
    <row r="20" spans="1:16" ht="18" customHeight="1" x14ac:dyDescent="0.35">
      <c r="A20" s="29">
        <v>16</v>
      </c>
      <c r="B20" s="51" t="str">
        <f>'Initiative Register'!B20</f>
        <v>INI-016</v>
      </c>
      <c r="C20" s="51" t="str">
        <f>'Initiative Register'!C20</f>
        <v>CORPORATE HEALTH PROGRAMME</v>
      </c>
      <c r="D20" s="56">
        <v>0</v>
      </c>
      <c r="E20" s="56">
        <v>0</v>
      </c>
      <c r="F20" s="56">
        <v>0</v>
      </c>
      <c r="G20" s="56">
        <v>0</v>
      </c>
      <c r="H20" s="56">
        <v>0</v>
      </c>
      <c r="I20" s="56">
        <v>0</v>
      </c>
      <c r="J20" s="56">
        <v>0</v>
      </c>
      <c r="K20" s="56">
        <v>0</v>
      </c>
      <c r="L20" s="56">
        <v>0</v>
      </c>
      <c r="M20" s="56">
        <v>0</v>
      </c>
      <c r="N20" s="56">
        <v>0</v>
      </c>
      <c r="O20" s="56">
        <v>0</v>
      </c>
      <c r="P20" s="57">
        <f t="shared" si="0"/>
        <v>0</v>
      </c>
    </row>
    <row r="21" spans="1:16" ht="18" customHeight="1" x14ac:dyDescent="0.35">
      <c r="A21" s="33">
        <v>17</v>
      </c>
      <c r="B21" s="48" t="str">
        <f>'Initiative Register'!B21</f>
        <v>INI-017</v>
      </c>
      <c r="C21" s="48" t="str">
        <f>'Initiative Register'!C21</f>
        <v>RESIDENTIAL COLONY AND COMMUNITY HEALTH PROGRAMMES</v>
      </c>
      <c r="D21" s="54">
        <v>0</v>
      </c>
      <c r="E21" s="54">
        <v>0</v>
      </c>
      <c r="F21" s="54">
        <v>0</v>
      </c>
      <c r="G21" s="54">
        <v>0</v>
      </c>
      <c r="H21" s="54">
        <v>0</v>
      </c>
      <c r="I21" s="54">
        <v>0</v>
      </c>
      <c r="J21" s="54">
        <v>0</v>
      </c>
      <c r="K21" s="54">
        <v>0</v>
      </c>
      <c r="L21" s="54">
        <v>0</v>
      </c>
      <c r="M21" s="54">
        <v>0</v>
      </c>
      <c r="N21" s="54">
        <v>0</v>
      </c>
      <c r="O21" s="54">
        <v>0</v>
      </c>
      <c r="P21" s="55">
        <f t="shared" si="0"/>
        <v>0</v>
      </c>
    </row>
    <row r="22" spans="1:16" ht="18" customHeight="1" x14ac:dyDescent="0.35">
      <c r="A22" s="29">
        <v>18</v>
      </c>
      <c r="B22" s="51" t="str">
        <f>'Initiative Register'!B22</f>
        <v>INI-018</v>
      </c>
      <c r="C22" s="51" t="str">
        <f>'Initiative Register'!C22</f>
        <v>INTERNATIONAL MEDICAL VALUE TOURISM — GULF, MALDIVES, BANGLADESH</v>
      </c>
      <c r="D22" s="56">
        <v>0</v>
      </c>
      <c r="E22" s="56">
        <v>0</v>
      </c>
      <c r="F22" s="56">
        <v>0</v>
      </c>
      <c r="G22" s="56">
        <v>0</v>
      </c>
      <c r="H22" s="56">
        <v>0</v>
      </c>
      <c r="I22" s="56">
        <v>0</v>
      </c>
      <c r="J22" s="56">
        <v>0</v>
      </c>
      <c r="K22" s="56">
        <v>0</v>
      </c>
      <c r="L22" s="56">
        <v>0</v>
      </c>
      <c r="M22" s="56">
        <v>0</v>
      </c>
      <c r="N22" s="56">
        <v>0</v>
      </c>
      <c r="O22" s="56">
        <v>0</v>
      </c>
      <c r="P22" s="57">
        <f t="shared" si="0"/>
        <v>0</v>
      </c>
    </row>
    <row r="23" spans="1:16" ht="18" customHeight="1" x14ac:dyDescent="0.35">
      <c r="A23" s="33">
        <v>19</v>
      </c>
      <c r="B23" s="48" t="str">
        <f>'Initiative Register'!B23</f>
        <v>INI-019</v>
      </c>
      <c r="C23" s="48" t="str">
        <f>'Initiative Register'!C23</f>
        <v>STRUCTURED REFERRAL DOCTOR PROGRAMME</v>
      </c>
      <c r="D23" s="54">
        <v>0</v>
      </c>
      <c r="E23" s="54">
        <v>0</v>
      </c>
      <c r="F23" s="54">
        <v>0</v>
      </c>
      <c r="G23" s="54">
        <v>0</v>
      </c>
      <c r="H23" s="54">
        <v>0</v>
      </c>
      <c r="I23" s="54">
        <v>0</v>
      </c>
      <c r="J23" s="54">
        <v>0</v>
      </c>
      <c r="K23" s="54">
        <v>0</v>
      </c>
      <c r="L23" s="54">
        <v>0</v>
      </c>
      <c r="M23" s="54">
        <v>0</v>
      </c>
      <c r="N23" s="54">
        <v>0</v>
      </c>
      <c r="O23" s="54">
        <v>0</v>
      </c>
      <c r="P23" s="55">
        <f t="shared" si="0"/>
        <v>0</v>
      </c>
    </row>
    <row r="24" spans="1:16" ht="18" customHeight="1" x14ac:dyDescent="0.35">
      <c r="A24" s="29">
        <v>20</v>
      </c>
      <c r="B24" s="51" t="str">
        <f>'Initiative Register'!B24</f>
        <v>INI-020</v>
      </c>
      <c r="C24" s="51" t="str">
        <f>'Initiative Register'!C24</f>
        <v>CME AND CLINICAL CONNECT PROGRAMME</v>
      </c>
      <c r="D24" s="56">
        <v>0</v>
      </c>
      <c r="E24" s="56">
        <v>0</v>
      </c>
      <c r="F24" s="56">
        <v>0</v>
      </c>
      <c r="G24" s="56">
        <v>0</v>
      </c>
      <c r="H24" s="56">
        <v>0</v>
      </c>
      <c r="I24" s="56">
        <v>0</v>
      </c>
      <c r="J24" s="56">
        <v>0</v>
      </c>
      <c r="K24" s="56">
        <v>0</v>
      </c>
      <c r="L24" s="56">
        <v>0</v>
      </c>
      <c r="M24" s="56">
        <v>0</v>
      </c>
      <c r="N24" s="56">
        <v>0</v>
      </c>
      <c r="O24" s="56">
        <v>0</v>
      </c>
      <c r="P24" s="57">
        <f t="shared" si="0"/>
        <v>0</v>
      </c>
    </row>
    <row r="25" spans="1:16" ht="18" customHeight="1" x14ac:dyDescent="0.35">
      <c r="A25" s="33">
        <v>21</v>
      </c>
      <c r="B25" s="48" t="str">
        <f>'Initiative Register'!B25</f>
        <v>INI-021</v>
      </c>
      <c r="C25" s="48" t="str">
        <f>'Initiative Register'!C25</f>
        <v>GOVERNMENT SCHEME EMPANELMENT OPTIMISATION</v>
      </c>
      <c r="D25" s="54">
        <v>0</v>
      </c>
      <c r="E25" s="54">
        <v>0</v>
      </c>
      <c r="F25" s="54">
        <v>0</v>
      </c>
      <c r="G25" s="54">
        <v>0</v>
      </c>
      <c r="H25" s="54">
        <v>0</v>
      </c>
      <c r="I25" s="54">
        <v>0</v>
      </c>
      <c r="J25" s="54">
        <v>0</v>
      </c>
      <c r="K25" s="54">
        <v>0</v>
      </c>
      <c r="L25" s="54">
        <v>0</v>
      </c>
      <c r="M25" s="54">
        <v>0</v>
      </c>
      <c r="N25" s="54">
        <v>0</v>
      </c>
      <c r="O25" s="54">
        <v>0</v>
      </c>
      <c r="P25" s="55">
        <f t="shared" si="0"/>
        <v>0</v>
      </c>
    </row>
    <row r="26" spans="1:16" ht="18" customHeight="1" x14ac:dyDescent="0.35">
      <c r="A26" s="29">
        <v>22</v>
      </c>
      <c r="B26" s="51" t="str">
        <f>'Initiative Register'!B26</f>
        <v>INI-022</v>
      </c>
      <c r="C26" s="51" t="str">
        <f>'Initiative Register'!C26</f>
        <v>TRANSPLANT CENTRE — VOLUME GROWTH AND DONOR PROGRAMME ACTIVATION</v>
      </c>
      <c r="D26" s="56">
        <v>0</v>
      </c>
      <c r="E26" s="56">
        <v>0</v>
      </c>
      <c r="F26" s="56">
        <v>0</v>
      </c>
      <c r="G26" s="56">
        <v>0</v>
      </c>
      <c r="H26" s="56">
        <v>0</v>
      </c>
      <c r="I26" s="56">
        <v>0</v>
      </c>
      <c r="J26" s="56">
        <v>0</v>
      </c>
      <c r="K26" s="56">
        <v>0</v>
      </c>
      <c r="L26" s="56">
        <v>0</v>
      </c>
      <c r="M26" s="56">
        <v>0</v>
      </c>
      <c r="N26" s="56">
        <v>0</v>
      </c>
      <c r="O26" s="56">
        <v>0</v>
      </c>
      <c r="P26" s="57">
        <f t="shared" si="0"/>
        <v>0</v>
      </c>
    </row>
    <row r="27" spans="1:16" ht="18" customHeight="1" x14ac:dyDescent="0.35">
      <c r="A27" s="33">
        <v>23</v>
      </c>
      <c r="B27" s="48" t="str">
        <f>'Initiative Register'!B27</f>
        <v>INI-023</v>
      </c>
      <c r="C27" s="48" t="str">
        <f>'Initiative Register'!C27</f>
        <v>CARDIAC SCIENCES — STRUCTURAL HEART AND ELECTROPHYSIOLOGY VOLUME BUILD</v>
      </c>
      <c r="D27" s="54">
        <v>0</v>
      </c>
      <c r="E27" s="54">
        <v>0</v>
      </c>
      <c r="F27" s="54">
        <v>0</v>
      </c>
      <c r="G27" s="54">
        <v>0</v>
      </c>
      <c r="H27" s="54">
        <v>0</v>
      </c>
      <c r="I27" s="54">
        <v>0</v>
      </c>
      <c r="J27" s="54">
        <v>0</v>
      </c>
      <c r="K27" s="54">
        <v>0</v>
      </c>
      <c r="L27" s="54">
        <v>0</v>
      </c>
      <c r="M27" s="54">
        <v>0</v>
      </c>
      <c r="N27" s="54">
        <v>0</v>
      </c>
      <c r="O27" s="54">
        <v>0</v>
      </c>
      <c r="P27" s="55">
        <f t="shared" si="0"/>
        <v>0</v>
      </c>
    </row>
    <row r="28" spans="1:16" ht="18" customHeight="1" x14ac:dyDescent="0.35">
      <c r="A28" s="29">
        <v>24</v>
      </c>
      <c r="B28" s="51" t="str">
        <f>'Initiative Register'!B28</f>
        <v>INI-024</v>
      </c>
      <c r="C28" s="51" t="str">
        <f>'Initiative Register'!C28</f>
        <v>ONCOLOGY — EARLY DETECTION, SATELLITE CLINICS AND SURGICAL VOLUME GROWTH</v>
      </c>
      <c r="D28" s="56">
        <v>0</v>
      </c>
      <c r="E28" s="56">
        <v>0</v>
      </c>
      <c r="F28" s="56">
        <v>0</v>
      </c>
      <c r="G28" s="56">
        <v>0</v>
      </c>
      <c r="H28" s="56">
        <v>0</v>
      </c>
      <c r="I28" s="56">
        <v>0</v>
      </c>
      <c r="J28" s="56">
        <v>0</v>
      </c>
      <c r="K28" s="56">
        <v>0</v>
      </c>
      <c r="L28" s="56">
        <v>0</v>
      </c>
      <c r="M28" s="56">
        <v>0</v>
      </c>
      <c r="N28" s="56">
        <v>0</v>
      </c>
      <c r="O28" s="56">
        <v>0</v>
      </c>
      <c r="P28" s="57">
        <f t="shared" si="0"/>
        <v>0</v>
      </c>
    </row>
    <row r="29" spans="1:16" ht="18" customHeight="1" x14ac:dyDescent="0.35">
      <c r="A29" s="33">
        <v>25</v>
      </c>
      <c r="B29" s="48" t="str">
        <f>'Initiative Register'!B29</f>
        <v>INI-025</v>
      </c>
      <c r="C29" s="48" t="str">
        <f>'Initiative Register'!C29</f>
        <v>ORTHOPAEDICS AND JOINT REPLACEMENT — VOLUME AND PACKAGE PROGRAMME</v>
      </c>
      <c r="D29" s="54">
        <v>0</v>
      </c>
      <c r="E29" s="54">
        <v>0</v>
      </c>
      <c r="F29" s="54">
        <v>0</v>
      </c>
      <c r="G29" s="54">
        <v>0</v>
      </c>
      <c r="H29" s="54">
        <v>0</v>
      </c>
      <c r="I29" s="54">
        <v>0</v>
      </c>
      <c r="J29" s="54">
        <v>0</v>
      </c>
      <c r="K29" s="54">
        <v>0</v>
      </c>
      <c r="L29" s="54">
        <v>0</v>
      </c>
      <c r="M29" s="54">
        <v>0</v>
      </c>
      <c r="N29" s="54">
        <v>0</v>
      </c>
      <c r="O29" s="54">
        <v>0</v>
      </c>
      <c r="P29" s="55">
        <f t="shared" si="0"/>
        <v>0</v>
      </c>
    </row>
    <row r="30" spans="1:16" ht="18" customHeight="1" x14ac:dyDescent="0.35">
      <c r="A30" s="33">
        <v>26</v>
      </c>
      <c r="B30" s="48" t="str">
        <f>'Initiative Register'!B30</f>
        <v>INI-026</v>
      </c>
      <c r="C30" s="48" t="str">
        <f>'Initiative Register'!C30</f>
        <v>LAKESHORE HEART RUN — ANNUAL CARDIAC HEALTH EVENT</v>
      </c>
      <c r="D30" s="56">
        <v>0</v>
      </c>
      <c r="E30" s="56">
        <v>0</v>
      </c>
      <c r="F30" s="56">
        <v>0</v>
      </c>
      <c r="G30" s="56">
        <v>0</v>
      </c>
      <c r="H30" s="56">
        <v>0</v>
      </c>
      <c r="I30" s="56">
        <v>0</v>
      </c>
      <c r="J30" s="56">
        <v>0</v>
      </c>
      <c r="K30" s="56">
        <v>0</v>
      </c>
      <c r="L30" s="56">
        <v>0</v>
      </c>
      <c r="M30" s="56">
        <v>0</v>
      </c>
      <c r="N30" s="56">
        <v>0</v>
      </c>
      <c r="O30" s="56">
        <v>0</v>
      </c>
      <c r="P30" s="57">
        <f t="shared" ref="P30" si="1">SUM(D30:O30)</f>
        <v>0</v>
      </c>
    </row>
    <row r="31" spans="1:16" ht="18" customHeight="1" x14ac:dyDescent="0.35">
      <c r="A31" s="29">
        <v>27</v>
      </c>
      <c r="B31" s="48" t="str">
        <f>'Initiative Register'!B31</f>
        <v>INI-027</v>
      </c>
      <c r="C31" s="48" t="str">
        <f>'Initiative Register'!C31</f>
        <v>PREVENTIVE HEALTH + LIVER SCREENING CAMPAIGN</v>
      </c>
      <c r="D31" s="56">
        <v>0</v>
      </c>
      <c r="E31" s="56">
        <v>0</v>
      </c>
      <c r="F31" s="56">
        <v>0</v>
      </c>
      <c r="G31" s="56">
        <v>0</v>
      </c>
      <c r="H31" s="56">
        <v>0</v>
      </c>
      <c r="I31" s="56">
        <v>0</v>
      </c>
      <c r="J31" s="56">
        <v>0</v>
      </c>
      <c r="K31" s="56">
        <v>0</v>
      </c>
      <c r="L31" s="56">
        <v>0</v>
      </c>
      <c r="M31" s="56">
        <v>0</v>
      </c>
      <c r="N31" s="56">
        <v>0</v>
      </c>
      <c r="O31" s="56">
        <v>0</v>
      </c>
      <c r="P31" s="57">
        <f t="shared" si="0"/>
        <v>0</v>
      </c>
    </row>
    <row r="32" spans="1:16" ht="18" customHeight="1" x14ac:dyDescent="0.35">
      <c r="A32" s="33">
        <v>28</v>
      </c>
      <c r="B32" s="48" t="str">
        <f>'Initiative Register'!B32</f>
        <v>INI-028</v>
      </c>
      <c r="C32" s="48" t="str">
        <f>'Initiative Register'!C32</f>
        <v>DIGITAL CONTENT PLATFORM — MALAYALAM AND ENGLISH</v>
      </c>
      <c r="D32" s="54">
        <v>0</v>
      </c>
      <c r="E32" s="54">
        <v>0</v>
      </c>
      <c r="F32" s="54">
        <v>0</v>
      </c>
      <c r="G32" s="54">
        <v>0</v>
      </c>
      <c r="H32" s="54">
        <v>0</v>
      </c>
      <c r="I32" s="54">
        <v>0</v>
      </c>
      <c r="J32" s="54">
        <v>0</v>
      </c>
      <c r="K32" s="54">
        <v>0</v>
      </c>
      <c r="L32" s="54">
        <v>0</v>
      </c>
      <c r="M32" s="54">
        <v>0</v>
      </c>
      <c r="N32" s="54">
        <v>0</v>
      </c>
      <c r="O32" s="54">
        <v>0</v>
      </c>
      <c r="P32" s="55">
        <f t="shared" si="0"/>
        <v>0</v>
      </c>
    </row>
    <row r="33" spans="1:16" ht="18" customHeight="1" x14ac:dyDescent="0.35">
      <c r="A33" s="29">
        <v>29</v>
      </c>
      <c r="B33" s="51" t="str">
        <f>'Initiative Register'!B33</f>
        <v>INI-029</v>
      </c>
      <c r="C33" s="51" t="str">
        <f>'Initiative Register'!C33</f>
        <v>COMMUNITY HEALTH CAMPS — SCHOOLS, PLACES OF WORSHIP, RESIDENTIAL AREAS</v>
      </c>
      <c r="D33" s="56">
        <v>0</v>
      </c>
      <c r="E33" s="56">
        <v>0</v>
      </c>
      <c r="F33" s="56">
        <v>0</v>
      </c>
      <c r="G33" s="56">
        <v>0</v>
      </c>
      <c r="H33" s="56">
        <v>0</v>
      </c>
      <c r="I33" s="56">
        <v>0</v>
      </c>
      <c r="J33" s="56">
        <v>0</v>
      </c>
      <c r="K33" s="56">
        <v>0</v>
      </c>
      <c r="L33" s="56">
        <v>0</v>
      </c>
      <c r="M33" s="56">
        <v>0</v>
      </c>
      <c r="N33" s="56">
        <v>0</v>
      </c>
      <c r="O33" s="56">
        <v>0</v>
      </c>
      <c r="P33" s="57">
        <f t="shared" si="0"/>
        <v>0</v>
      </c>
    </row>
    <row r="34" spans="1:16" ht="18" customHeight="1" x14ac:dyDescent="0.35">
      <c r="A34" s="33">
        <v>30</v>
      </c>
      <c r="B34" s="48" t="str">
        <f>'Initiative Register'!B34</f>
        <v>INI-030</v>
      </c>
      <c r="C34" s="48" t="str">
        <f>'Initiative Register'!C34</f>
        <v>DOCTOR ONLINE REPUTATION AND DIGITAL DISCOVERABILITY</v>
      </c>
      <c r="D34" s="54">
        <v>0</v>
      </c>
      <c r="E34" s="54">
        <v>0</v>
      </c>
      <c r="F34" s="54">
        <v>0</v>
      </c>
      <c r="G34" s="54">
        <v>0</v>
      </c>
      <c r="H34" s="54">
        <v>0</v>
      </c>
      <c r="I34" s="54">
        <v>0</v>
      </c>
      <c r="J34" s="54">
        <v>0</v>
      </c>
      <c r="K34" s="54">
        <v>0</v>
      </c>
      <c r="L34" s="54">
        <v>0</v>
      </c>
      <c r="M34" s="54">
        <v>0</v>
      </c>
      <c r="N34" s="54">
        <v>0</v>
      </c>
      <c r="O34" s="54">
        <v>0</v>
      </c>
      <c r="P34" s="55">
        <f t="shared" si="0"/>
        <v>0</v>
      </c>
    </row>
    <row r="35" spans="1:16" ht="18" customHeight="1" x14ac:dyDescent="0.35">
      <c r="A35" s="33">
        <v>31</v>
      </c>
      <c r="B35" s="51" t="str">
        <f>'Initiative Register'!B35</f>
        <v>INI-031</v>
      </c>
      <c r="C35" s="51" t="str">
        <f>'Initiative Register'!C35</f>
        <v>TPA AND INSURER TARIFF RENEGOTIATION</v>
      </c>
      <c r="D35" s="56">
        <v>0</v>
      </c>
      <c r="E35" s="56">
        <v>0</v>
      </c>
      <c r="F35" s="56">
        <v>0</v>
      </c>
      <c r="G35" s="56">
        <v>0</v>
      </c>
      <c r="H35" s="56">
        <v>0</v>
      </c>
      <c r="I35" s="56">
        <v>0</v>
      </c>
      <c r="J35" s="56">
        <v>0</v>
      </c>
      <c r="K35" s="56">
        <v>0</v>
      </c>
      <c r="L35" s="56">
        <v>0</v>
      </c>
      <c r="M35" s="56">
        <v>0</v>
      </c>
      <c r="N35" s="56">
        <v>0</v>
      </c>
      <c r="O35" s="56">
        <v>0</v>
      </c>
      <c r="P35" s="57">
        <f t="shared" si="0"/>
        <v>0</v>
      </c>
    </row>
    <row r="36" spans="1:16" ht="18" customHeight="1" x14ac:dyDescent="0.35">
      <c r="A36" s="29">
        <v>32</v>
      </c>
      <c r="B36" s="48" t="str">
        <f>'Initiative Register'!B36</f>
        <v>INI-032</v>
      </c>
      <c r="C36" s="48" t="str">
        <f>'Initiative Register'!C36</f>
        <v>FINANCIAL COUNSELLING AND PRE-AUTHORISATION AT SURGICAL OPD</v>
      </c>
      <c r="D36" s="54">
        <v>0</v>
      </c>
      <c r="E36" s="54">
        <v>0</v>
      </c>
      <c r="F36" s="54">
        <v>0</v>
      </c>
      <c r="G36" s="54">
        <v>0</v>
      </c>
      <c r="H36" s="54">
        <v>0</v>
      </c>
      <c r="I36" s="54">
        <v>0</v>
      </c>
      <c r="J36" s="54">
        <v>0</v>
      </c>
      <c r="K36" s="54">
        <v>0</v>
      </c>
      <c r="L36" s="54">
        <v>0</v>
      </c>
      <c r="M36" s="54">
        <v>0</v>
      </c>
      <c r="N36" s="54">
        <v>0</v>
      </c>
      <c r="O36" s="54">
        <v>0</v>
      </c>
      <c r="P36" s="55">
        <f t="shared" si="0"/>
        <v>0</v>
      </c>
    </row>
    <row r="37" spans="1:16" ht="18" customHeight="1" x14ac:dyDescent="0.35">
      <c r="A37" s="33">
        <v>33</v>
      </c>
      <c r="B37" s="51" t="str">
        <f>'Initiative Register'!B37</f>
        <v>INI-033</v>
      </c>
      <c r="C37" s="51" t="str">
        <f>'Initiative Register'!C37</f>
        <v>BUILD A SCALED BD ORGANISATION</v>
      </c>
      <c r="D37" s="56">
        <v>0</v>
      </c>
      <c r="E37" s="56">
        <v>0</v>
      </c>
      <c r="F37" s="56">
        <v>0</v>
      </c>
      <c r="G37" s="56">
        <v>0</v>
      </c>
      <c r="H37" s="56">
        <v>0</v>
      </c>
      <c r="I37" s="56">
        <v>0</v>
      </c>
      <c r="J37" s="56">
        <v>0</v>
      </c>
      <c r="K37" s="56">
        <v>0</v>
      </c>
      <c r="L37" s="56">
        <v>0</v>
      </c>
      <c r="M37" s="56">
        <v>0</v>
      </c>
      <c r="N37" s="56">
        <v>0</v>
      </c>
      <c r="O37" s="56">
        <v>0</v>
      </c>
      <c r="P37" s="57">
        <f t="shared" si="0"/>
        <v>0</v>
      </c>
    </row>
    <row r="38" spans="1:16" ht="18" customHeight="1" x14ac:dyDescent="0.35">
      <c r="A38" s="29">
        <v>34</v>
      </c>
      <c r="B38" s="48" t="str">
        <f>'Initiative Register'!B38</f>
        <v>INI-034</v>
      </c>
      <c r="C38" s="48" t="str">
        <f>'Initiative Register'!C38</f>
        <v>MATERIALS / DRUG COST &amp; CONSUMABLES</v>
      </c>
      <c r="D38" s="54">
        <v>0</v>
      </c>
      <c r="E38" s="54">
        <v>0</v>
      </c>
      <c r="F38" s="54">
        <v>0</v>
      </c>
      <c r="G38" s="54">
        <v>0</v>
      </c>
      <c r="H38" s="54">
        <v>0</v>
      </c>
      <c r="I38" s="54">
        <v>0</v>
      </c>
      <c r="J38" s="54">
        <v>0</v>
      </c>
      <c r="K38" s="54">
        <v>0</v>
      </c>
      <c r="L38" s="54">
        <v>0</v>
      </c>
      <c r="M38" s="54">
        <v>0</v>
      </c>
      <c r="N38" s="54">
        <v>0</v>
      </c>
      <c r="O38" s="54">
        <v>0</v>
      </c>
      <c r="P38" s="55">
        <f t="shared" si="0"/>
        <v>0</v>
      </c>
    </row>
    <row r="39" spans="1:16" ht="18" customHeight="1" x14ac:dyDescent="0.35">
      <c r="A39" s="33">
        <v>35</v>
      </c>
      <c r="B39" s="51" t="str">
        <f>'Initiative Register'!B39</f>
        <v>INI-035</v>
      </c>
      <c r="C39" s="51" t="str">
        <f>'Initiative Register'!C39</f>
        <v>MATERIALS / DRUG COST &amp; CONSUMABLES</v>
      </c>
      <c r="D39" s="56">
        <v>0</v>
      </c>
      <c r="E39" s="56">
        <v>0</v>
      </c>
      <c r="F39" s="56">
        <v>0</v>
      </c>
      <c r="G39" s="56">
        <v>0</v>
      </c>
      <c r="H39" s="56">
        <v>0</v>
      </c>
      <c r="I39" s="56">
        <v>0</v>
      </c>
      <c r="J39" s="56">
        <v>0</v>
      </c>
      <c r="K39" s="56">
        <v>0</v>
      </c>
      <c r="L39" s="56">
        <v>0</v>
      </c>
      <c r="M39" s="56">
        <v>0</v>
      </c>
      <c r="N39" s="56">
        <v>0</v>
      </c>
      <c r="O39" s="56">
        <v>0</v>
      </c>
      <c r="P39" s="57">
        <f t="shared" si="0"/>
        <v>0</v>
      </c>
    </row>
    <row r="40" spans="1:16" ht="18" customHeight="1" x14ac:dyDescent="0.35">
      <c r="A40" s="33">
        <v>36</v>
      </c>
      <c r="B40" s="48" t="str">
        <f>'Initiative Register'!B40</f>
        <v>INI-036</v>
      </c>
      <c r="C40" s="48" t="str">
        <f>'Initiative Register'!C40</f>
        <v>MATERIALS / DRUG COST &amp; CONSUMABLES</v>
      </c>
      <c r="D40" s="54">
        <v>0</v>
      </c>
      <c r="E40" s="54">
        <v>0</v>
      </c>
      <c r="F40" s="54">
        <v>0</v>
      </c>
      <c r="G40" s="54">
        <v>0</v>
      </c>
      <c r="H40" s="54">
        <v>0</v>
      </c>
      <c r="I40" s="54">
        <v>0</v>
      </c>
      <c r="J40" s="54">
        <v>0</v>
      </c>
      <c r="K40" s="54">
        <v>0</v>
      </c>
      <c r="L40" s="54">
        <v>0</v>
      </c>
      <c r="M40" s="54">
        <v>0</v>
      </c>
      <c r="N40" s="54">
        <v>0</v>
      </c>
      <c r="O40" s="54">
        <v>0</v>
      </c>
      <c r="P40" s="55">
        <f t="shared" si="0"/>
        <v>0</v>
      </c>
    </row>
    <row r="41" spans="1:16" ht="18" customHeight="1" x14ac:dyDescent="0.35">
      <c r="A41" s="29">
        <v>37</v>
      </c>
      <c r="B41" s="51" t="str">
        <f>'Initiative Register'!B41</f>
        <v>INI-037</v>
      </c>
      <c r="C41" s="51" t="str">
        <f>'Initiative Register'!C41</f>
        <v>MATERIALS / DRUG COST &amp; CONSUMABLES</v>
      </c>
      <c r="D41" s="56">
        <v>0</v>
      </c>
      <c r="E41" s="56">
        <v>0</v>
      </c>
      <c r="F41" s="56">
        <v>0</v>
      </c>
      <c r="G41" s="56">
        <v>0</v>
      </c>
      <c r="H41" s="56">
        <v>0</v>
      </c>
      <c r="I41" s="56">
        <v>0</v>
      </c>
      <c r="J41" s="56">
        <v>0</v>
      </c>
      <c r="K41" s="56">
        <v>0</v>
      </c>
      <c r="L41" s="56">
        <v>0</v>
      </c>
      <c r="M41" s="56">
        <v>0</v>
      </c>
      <c r="N41" s="56">
        <v>0</v>
      </c>
      <c r="O41" s="56">
        <v>0</v>
      </c>
      <c r="P41" s="57">
        <f t="shared" si="0"/>
        <v>0</v>
      </c>
    </row>
    <row r="42" spans="1:16" ht="18" customHeight="1" x14ac:dyDescent="0.35">
      <c r="A42" s="33">
        <v>38</v>
      </c>
      <c r="B42" s="48" t="str">
        <f>'Initiative Register'!B42</f>
        <v>INI-038</v>
      </c>
      <c r="C42" s="48" t="str">
        <f>'Initiative Register'!C42</f>
        <v>MATERIALS / DRUG COST &amp; CONSUMABLES</v>
      </c>
      <c r="D42" s="54">
        <v>0</v>
      </c>
      <c r="E42" s="54">
        <v>0</v>
      </c>
      <c r="F42" s="54">
        <v>0</v>
      </c>
      <c r="G42" s="54">
        <v>0</v>
      </c>
      <c r="H42" s="54">
        <v>0</v>
      </c>
      <c r="I42" s="54">
        <v>0</v>
      </c>
      <c r="J42" s="54">
        <v>0</v>
      </c>
      <c r="K42" s="54">
        <v>0</v>
      </c>
      <c r="L42" s="54">
        <v>0</v>
      </c>
      <c r="M42" s="54">
        <v>0</v>
      </c>
      <c r="N42" s="54">
        <v>0</v>
      </c>
      <c r="O42" s="54">
        <v>0</v>
      </c>
      <c r="P42" s="55">
        <f t="shared" si="0"/>
        <v>0</v>
      </c>
    </row>
    <row r="43" spans="1:16" ht="18" customHeight="1" x14ac:dyDescent="0.35">
      <c r="A43" s="29">
        <v>39</v>
      </c>
      <c r="B43" s="51" t="str">
        <f>'Initiative Register'!B43</f>
        <v>INI-039</v>
      </c>
      <c r="C43" s="51" t="str">
        <f>'Initiative Register'!C43</f>
        <v>MATERIALS / DRUG COST &amp; CONSUMABLES</v>
      </c>
      <c r="D43" s="56">
        <v>0</v>
      </c>
      <c r="E43" s="56">
        <v>0</v>
      </c>
      <c r="F43" s="56">
        <v>0</v>
      </c>
      <c r="G43" s="56">
        <v>0</v>
      </c>
      <c r="H43" s="56">
        <v>0</v>
      </c>
      <c r="I43" s="56">
        <v>0</v>
      </c>
      <c r="J43" s="56">
        <v>0</v>
      </c>
      <c r="K43" s="56">
        <v>0</v>
      </c>
      <c r="L43" s="56">
        <v>0</v>
      </c>
      <c r="M43" s="56">
        <v>0</v>
      </c>
      <c r="N43" s="56">
        <v>0</v>
      </c>
      <c r="O43" s="56">
        <v>0</v>
      </c>
      <c r="P43" s="57">
        <f t="shared" si="0"/>
        <v>0</v>
      </c>
    </row>
    <row r="44" spans="1:16" ht="18" customHeight="1" x14ac:dyDescent="0.35">
      <c r="A44" s="33">
        <v>40</v>
      </c>
      <c r="B44" s="48" t="str">
        <f>'Initiative Register'!B44</f>
        <v>INI-040</v>
      </c>
      <c r="C44" s="48" t="str">
        <f>'Initiative Register'!C44</f>
        <v>MATERIALS / DRUG COST &amp; CONSUMABLES</v>
      </c>
      <c r="D44" s="54">
        <v>0</v>
      </c>
      <c r="E44" s="54">
        <v>0</v>
      </c>
      <c r="F44" s="54">
        <v>0</v>
      </c>
      <c r="G44" s="54">
        <v>0</v>
      </c>
      <c r="H44" s="54">
        <v>0</v>
      </c>
      <c r="I44" s="54">
        <v>0</v>
      </c>
      <c r="J44" s="54">
        <v>0</v>
      </c>
      <c r="K44" s="54">
        <v>0</v>
      </c>
      <c r="L44" s="54">
        <v>0</v>
      </c>
      <c r="M44" s="54">
        <v>0</v>
      </c>
      <c r="N44" s="54">
        <v>0</v>
      </c>
      <c r="O44" s="54">
        <v>0</v>
      </c>
      <c r="P44" s="55">
        <f t="shared" si="0"/>
        <v>0</v>
      </c>
    </row>
    <row r="45" spans="1:16" ht="18" customHeight="1" x14ac:dyDescent="0.35">
      <c r="A45" s="33">
        <v>41</v>
      </c>
      <c r="B45" s="51" t="str">
        <f>'Initiative Register'!B45</f>
        <v>INI-041</v>
      </c>
      <c r="C45" s="51" t="str">
        <f>'Initiative Register'!C45</f>
        <v>MATERIALS / DRUG COST &amp; CONSUMABLES</v>
      </c>
      <c r="D45" s="56">
        <v>0</v>
      </c>
      <c r="E45" s="56">
        <v>0</v>
      </c>
      <c r="F45" s="56">
        <v>0</v>
      </c>
      <c r="G45" s="56">
        <v>0</v>
      </c>
      <c r="H45" s="56">
        <v>0</v>
      </c>
      <c r="I45" s="56">
        <v>0</v>
      </c>
      <c r="J45" s="56">
        <v>0</v>
      </c>
      <c r="K45" s="56">
        <v>0</v>
      </c>
      <c r="L45" s="56">
        <v>0</v>
      </c>
      <c r="M45" s="56">
        <v>0</v>
      </c>
      <c r="N45" s="56">
        <v>0</v>
      </c>
      <c r="O45" s="56">
        <v>0</v>
      </c>
      <c r="P45" s="57">
        <f t="shared" si="0"/>
        <v>0</v>
      </c>
    </row>
    <row r="46" spans="1:16" ht="18" customHeight="1" x14ac:dyDescent="0.35">
      <c r="A46" s="29">
        <v>42</v>
      </c>
      <c r="B46" s="48" t="str">
        <f>'Initiative Register'!B46</f>
        <v>INI-042</v>
      </c>
      <c r="C46" s="48" t="str">
        <f>'Initiative Register'!C46</f>
        <v>PAYROLL – NURSING OPTIMISATION</v>
      </c>
      <c r="D46" s="54">
        <v>0</v>
      </c>
      <c r="E46" s="54">
        <v>0</v>
      </c>
      <c r="F46" s="54">
        <v>0</v>
      </c>
      <c r="G46" s="54">
        <v>0</v>
      </c>
      <c r="H46" s="54">
        <v>0</v>
      </c>
      <c r="I46" s="54">
        <v>0</v>
      </c>
      <c r="J46" s="54">
        <v>0</v>
      </c>
      <c r="K46" s="54">
        <v>0</v>
      </c>
      <c r="L46" s="54">
        <v>0</v>
      </c>
      <c r="M46" s="54">
        <v>0</v>
      </c>
      <c r="N46" s="54">
        <v>0</v>
      </c>
      <c r="O46" s="54">
        <v>0</v>
      </c>
      <c r="P46" s="55">
        <f t="shared" si="0"/>
        <v>0</v>
      </c>
    </row>
    <row r="47" spans="1:16" ht="18" customHeight="1" x14ac:dyDescent="0.35">
      <c r="A47" s="33">
        <v>43</v>
      </c>
      <c r="B47" s="51" t="str">
        <f>'Initiative Register'!B47</f>
        <v>INI-043</v>
      </c>
      <c r="C47" s="51" t="str">
        <f>'Initiative Register'!C47</f>
        <v>PAYROLL – PHARMACY OPTIMISATION</v>
      </c>
      <c r="D47" s="56">
        <v>0</v>
      </c>
      <c r="E47" s="56">
        <v>0</v>
      </c>
      <c r="F47" s="56">
        <v>0</v>
      </c>
      <c r="G47" s="56">
        <v>0</v>
      </c>
      <c r="H47" s="56">
        <v>0</v>
      </c>
      <c r="I47" s="56">
        <v>0</v>
      </c>
      <c r="J47" s="56">
        <v>0</v>
      </c>
      <c r="K47" s="56">
        <v>0</v>
      </c>
      <c r="L47" s="56">
        <v>0</v>
      </c>
      <c r="M47" s="56">
        <v>0</v>
      </c>
      <c r="N47" s="56">
        <v>0</v>
      </c>
      <c r="O47" s="56">
        <v>0</v>
      </c>
      <c r="P47" s="57">
        <f t="shared" si="0"/>
        <v>0</v>
      </c>
    </row>
    <row r="48" spans="1:16" ht="18" customHeight="1" x14ac:dyDescent="0.35">
      <c r="A48" s="29">
        <v>44</v>
      </c>
      <c r="B48" s="48" t="str">
        <f>'Initiative Register'!B48</f>
        <v>INI-044</v>
      </c>
      <c r="C48" s="48" t="str">
        <f>'Initiative Register'!C48</f>
        <v>PAYROLL – ADMIN (PCS) OPTIMISATION</v>
      </c>
      <c r="D48" s="54">
        <v>0</v>
      </c>
      <c r="E48" s="54">
        <v>0</v>
      </c>
      <c r="F48" s="54">
        <v>0</v>
      </c>
      <c r="G48" s="54">
        <v>0</v>
      </c>
      <c r="H48" s="54">
        <v>0</v>
      </c>
      <c r="I48" s="54">
        <v>0</v>
      </c>
      <c r="J48" s="54">
        <v>0</v>
      </c>
      <c r="K48" s="54">
        <v>0</v>
      </c>
      <c r="L48" s="54">
        <v>0</v>
      </c>
      <c r="M48" s="54">
        <v>0</v>
      </c>
      <c r="N48" s="54">
        <v>0</v>
      </c>
      <c r="O48" s="54">
        <v>0</v>
      </c>
      <c r="P48" s="55">
        <f t="shared" si="0"/>
        <v>0</v>
      </c>
    </row>
    <row r="49" spans="1:16" ht="18" customHeight="1" x14ac:dyDescent="0.35">
      <c r="A49" s="33">
        <v>45</v>
      </c>
      <c r="B49" s="51" t="str">
        <f>'Initiative Register'!B49</f>
        <v>INI-045</v>
      </c>
      <c r="C49" s="51" t="str">
        <f>'Initiative Register'!C49</f>
        <v>PAYROLL – LAB OPTIMISATION</v>
      </c>
      <c r="D49" s="56">
        <v>0</v>
      </c>
      <c r="E49" s="56">
        <v>0</v>
      </c>
      <c r="F49" s="56">
        <v>0</v>
      </c>
      <c r="G49" s="56">
        <v>0</v>
      </c>
      <c r="H49" s="56">
        <v>0</v>
      </c>
      <c r="I49" s="56">
        <v>0</v>
      </c>
      <c r="J49" s="56">
        <v>0</v>
      </c>
      <c r="K49" s="56">
        <v>0</v>
      </c>
      <c r="L49" s="56">
        <v>0</v>
      </c>
      <c r="M49" s="56">
        <v>0</v>
      </c>
      <c r="N49" s="56">
        <v>0</v>
      </c>
      <c r="O49" s="56">
        <v>0</v>
      </c>
      <c r="P49" s="57">
        <f t="shared" si="0"/>
        <v>0</v>
      </c>
    </row>
    <row r="50" spans="1:16" ht="18" customHeight="1" x14ac:dyDescent="0.35">
      <c r="A50" s="33">
        <v>46</v>
      </c>
      <c r="B50" s="48" t="str">
        <f>'Initiative Register'!B50</f>
        <v>INI-046</v>
      </c>
      <c r="C50" s="48" t="str">
        <f>'Initiative Register'!C50</f>
        <v>PAYROLL – OT COST CONTROL</v>
      </c>
      <c r="D50" s="54">
        <v>0</v>
      </c>
      <c r="E50" s="54">
        <v>0</v>
      </c>
      <c r="F50" s="54">
        <v>0</v>
      </c>
      <c r="G50" s="54">
        <v>0</v>
      </c>
      <c r="H50" s="54">
        <v>0</v>
      </c>
      <c r="I50" s="54">
        <v>0</v>
      </c>
      <c r="J50" s="54">
        <v>0</v>
      </c>
      <c r="K50" s="54">
        <v>0</v>
      </c>
      <c r="L50" s="54">
        <v>0</v>
      </c>
      <c r="M50" s="54">
        <v>0</v>
      </c>
      <c r="N50" s="54">
        <v>0</v>
      </c>
      <c r="O50" s="54">
        <v>0</v>
      </c>
      <c r="P50" s="55">
        <f t="shared" si="0"/>
        <v>0</v>
      </c>
    </row>
    <row r="51" spans="1:16" ht="18" customHeight="1" x14ac:dyDescent="0.35">
      <c r="A51" s="29">
        <v>47</v>
      </c>
      <c r="B51" s="51" t="str">
        <f>'Initiative Register'!B51</f>
        <v>INI-047</v>
      </c>
      <c r="C51" s="51" t="str">
        <f>'Initiative Register'!C51</f>
        <v>PAYROLL – OUTSOURCED CONTRACT OPTIMISATION</v>
      </c>
      <c r="D51" s="56">
        <v>0</v>
      </c>
      <c r="E51" s="56">
        <v>0</v>
      </c>
      <c r="F51" s="56">
        <v>0</v>
      </c>
      <c r="G51" s="56">
        <v>0</v>
      </c>
      <c r="H51" s="56">
        <v>0</v>
      </c>
      <c r="I51" s="56">
        <v>0</v>
      </c>
      <c r="J51" s="56">
        <v>0</v>
      </c>
      <c r="K51" s="56">
        <v>0</v>
      </c>
      <c r="L51" s="56">
        <v>0</v>
      </c>
      <c r="M51" s="56">
        <v>0</v>
      </c>
      <c r="N51" s="56">
        <v>0</v>
      </c>
      <c r="O51" s="56">
        <v>0</v>
      </c>
      <c r="P51" s="57">
        <f t="shared" si="0"/>
        <v>0</v>
      </c>
    </row>
    <row r="52" spans="1:16" ht="18" customHeight="1" x14ac:dyDescent="0.35">
      <c r="A52" s="33">
        <v>48</v>
      </c>
      <c r="B52" s="48" t="str">
        <f>'Initiative Register'!B52</f>
        <v>INI-048</v>
      </c>
      <c r="C52" s="48" t="str">
        <f>'Initiative Register'!C52</f>
        <v>OVERHEAD – ENERGY COST OPTIMISATION</v>
      </c>
      <c r="D52" s="54">
        <v>0</v>
      </c>
      <c r="E52" s="54">
        <v>0</v>
      </c>
      <c r="F52" s="54">
        <v>0</v>
      </c>
      <c r="G52" s="54">
        <v>0</v>
      </c>
      <c r="H52" s="54">
        <v>0</v>
      </c>
      <c r="I52" s="54">
        <v>0</v>
      </c>
      <c r="J52" s="54">
        <v>0</v>
      </c>
      <c r="K52" s="54">
        <v>0</v>
      </c>
      <c r="L52" s="54">
        <v>0</v>
      </c>
      <c r="M52" s="54">
        <v>0</v>
      </c>
      <c r="N52" s="54">
        <v>0</v>
      </c>
      <c r="O52" s="54">
        <v>0</v>
      </c>
      <c r="P52" s="55">
        <f t="shared" si="0"/>
        <v>0</v>
      </c>
    </row>
    <row r="53" spans="1:16" ht="18" customHeight="1" x14ac:dyDescent="0.35">
      <c r="A53" s="29">
        <v>49</v>
      </c>
      <c r="B53" s="51" t="str">
        <f>'Initiative Register'!B53</f>
        <v>INI-049</v>
      </c>
      <c r="C53" s="51" t="str">
        <f>'Initiative Register'!C53</f>
        <v>OVERHEAD – F&amp;B COST OPTIMISATION</v>
      </c>
      <c r="D53" s="56">
        <v>0</v>
      </c>
      <c r="E53" s="56">
        <v>0</v>
      </c>
      <c r="F53" s="56">
        <v>0</v>
      </c>
      <c r="G53" s="56">
        <v>0</v>
      </c>
      <c r="H53" s="56">
        <v>0</v>
      </c>
      <c r="I53" s="56">
        <v>0</v>
      </c>
      <c r="J53" s="56">
        <v>0</v>
      </c>
      <c r="K53" s="56">
        <v>0</v>
      </c>
      <c r="L53" s="56">
        <v>0</v>
      </c>
      <c r="M53" s="56">
        <v>0</v>
      </c>
      <c r="N53" s="56">
        <v>0</v>
      </c>
      <c r="O53" s="56">
        <v>0</v>
      </c>
      <c r="P53" s="57">
        <f t="shared" si="0"/>
        <v>0</v>
      </c>
    </row>
    <row r="54" spans="1:16" ht="18" customHeight="1" x14ac:dyDescent="0.35">
      <c r="A54" s="33">
        <v>50</v>
      </c>
      <c r="B54" s="48" t="str">
        <f>'Initiative Register'!B54</f>
        <v>INI-050</v>
      </c>
      <c r="C54" s="48" t="str">
        <f>'Initiative Register'!C54</f>
        <v>OVERHEAD – CLAIM DENIAL REDUCTION</v>
      </c>
      <c r="D54" s="54">
        <v>0</v>
      </c>
      <c r="E54" s="54">
        <v>0</v>
      </c>
      <c r="F54" s="54">
        <v>0</v>
      </c>
      <c r="G54" s="54">
        <v>0</v>
      </c>
      <c r="H54" s="54">
        <v>0</v>
      </c>
      <c r="I54" s="54">
        <v>0</v>
      </c>
      <c r="J54" s="54">
        <v>0</v>
      </c>
      <c r="K54" s="54">
        <v>0</v>
      </c>
      <c r="L54" s="54">
        <v>0</v>
      </c>
      <c r="M54" s="54">
        <v>0</v>
      </c>
      <c r="N54" s="54">
        <v>0</v>
      </c>
      <c r="O54" s="54">
        <v>0</v>
      </c>
      <c r="P54" s="55">
        <f t="shared" si="0"/>
        <v>0</v>
      </c>
    </row>
    <row r="55" spans="1:16" ht="18" customHeight="1" x14ac:dyDescent="0.35">
      <c r="A55" s="33">
        <v>51</v>
      </c>
      <c r="B55" s="51" t="str">
        <f>'Initiative Register'!B55</f>
        <v>INI-051</v>
      </c>
      <c r="C55" s="51" t="str">
        <f>'Initiative Register'!C55</f>
        <v>OVERHEAD – REVENUE LEAKAGE RECOVERY</v>
      </c>
      <c r="D55" s="56">
        <v>0</v>
      </c>
      <c r="E55" s="56">
        <v>0</v>
      </c>
      <c r="F55" s="56">
        <v>0</v>
      </c>
      <c r="G55" s="56">
        <v>0</v>
      </c>
      <c r="H55" s="56">
        <v>0</v>
      </c>
      <c r="I55" s="56">
        <v>0</v>
      </c>
      <c r="J55" s="56">
        <v>0</v>
      </c>
      <c r="K55" s="56">
        <v>0</v>
      </c>
      <c r="L55" s="56">
        <v>0</v>
      </c>
      <c r="M55" s="56">
        <v>0</v>
      </c>
      <c r="N55" s="56">
        <v>0</v>
      </c>
      <c r="O55" s="56">
        <v>0</v>
      </c>
      <c r="P55" s="57">
        <f t="shared" si="0"/>
        <v>0</v>
      </c>
    </row>
    <row r="56" spans="1:16" ht="18" customHeight="1" x14ac:dyDescent="0.35">
      <c r="A56" s="29">
        <v>52</v>
      </c>
      <c r="B56" s="51" t="str">
        <f>'Initiative Register'!B56</f>
        <v>INI-052</v>
      </c>
      <c r="C56" s="51" t="str">
        <f>'Initiative Register'!C56</f>
        <v>WORKING CAPITAL – CREDITOR DAYS OPTIMISATION</v>
      </c>
      <c r="D56" s="56">
        <v>0</v>
      </c>
      <c r="E56" s="56">
        <v>0</v>
      </c>
      <c r="F56" s="56">
        <v>0</v>
      </c>
      <c r="G56" s="56">
        <v>0</v>
      </c>
      <c r="H56" s="56">
        <v>0</v>
      </c>
      <c r="I56" s="56">
        <v>0</v>
      </c>
      <c r="J56" s="56">
        <v>0</v>
      </c>
      <c r="K56" s="56">
        <v>0</v>
      </c>
      <c r="L56" s="56">
        <v>0</v>
      </c>
      <c r="M56" s="56">
        <v>0</v>
      </c>
      <c r="N56" s="56">
        <v>0</v>
      </c>
      <c r="O56" s="56">
        <v>0</v>
      </c>
      <c r="P56" s="57">
        <f t="shared" ref="P56:P70" si="2">SUM(D56:O56)</f>
        <v>0</v>
      </c>
    </row>
    <row r="57" spans="1:16" ht="18" customHeight="1" x14ac:dyDescent="0.35">
      <c r="A57" s="33">
        <v>53</v>
      </c>
      <c r="B57" s="51" t="str">
        <f>'Initiative Register'!B57</f>
        <v>INI-053</v>
      </c>
      <c r="C57" s="51" t="str">
        <f>'Initiative Register'!C57</f>
        <v>PROFESSIONAL FEE RATIONALISATION</v>
      </c>
      <c r="D57" s="56">
        <v>0</v>
      </c>
      <c r="E57" s="56">
        <v>0</v>
      </c>
      <c r="F57" s="56">
        <v>0</v>
      </c>
      <c r="G57" s="56">
        <v>0</v>
      </c>
      <c r="H57" s="56">
        <v>0</v>
      </c>
      <c r="I57" s="56">
        <v>0</v>
      </c>
      <c r="J57" s="56">
        <v>0</v>
      </c>
      <c r="K57" s="56">
        <v>0</v>
      </c>
      <c r="L57" s="56">
        <v>0</v>
      </c>
      <c r="M57" s="56">
        <v>0</v>
      </c>
      <c r="N57" s="56">
        <v>0</v>
      </c>
      <c r="O57" s="56">
        <v>0</v>
      </c>
      <c r="P57" s="57">
        <f t="shared" si="2"/>
        <v>0</v>
      </c>
    </row>
    <row r="58" spans="1:16" ht="18" customHeight="1" x14ac:dyDescent="0.35">
      <c r="A58" s="29">
        <v>54</v>
      </c>
      <c r="B58" s="51" t="str">
        <f>'Initiative Register'!B58</f>
        <v/>
      </c>
      <c r="C58" s="51">
        <f>'Initiative Register'!C58</f>
        <v>0</v>
      </c>
      <c r="D58" s="56">
        <v>0</v>
      </c>
      <c r="E58" s="56">
        <v>0</v>
      </c>
      <c r="F58" s="56">
        <v>0</v>
      </c>
      <c r="G58" s="56">
        <v>0</v>
      </c>
      <c r="H58" s="56">
        <v>0</v>
      </c>
      <c r="I58" s="56">
        <v>0</v>
      </c>
      <c r="J58" s="56">
        <v>0</v>
      </c>
      <c r="K58" s="56">
        <v>0</v>
      </c>
      <c r="L58" s="56">
        <v>0</v>
      </c>
      <c r="M58" s="56">
        <v>0</v>
      </c>
      <c r="N58" s="56">
        <v>0</v>
      </c>
      <c r="O58" s="56">
        <v>0</v>
      </c>
      <c r="P58" s="57">
        <f t="shared" si="2"/>
        <v>0</v>
      </c>
    </row>
    <row r="59" spans="1:16" ht="18" customHeight="1" x14ac:dyDescent="0.35">
      <c r="A59" s="33">
        <v>55</v>
      </c>
      <c r="B59" s="51" t="str">
        <f>'Initiative Register'!B59</f>
        <v/>
      </c>
      <c r="C59" s="51">
        <f>'Initiative Register'!C59</f>
        <v>0</v>
      </c>
      <c r="D59" s="56">
        <v>0</v>
      </c>
      <c r="E59" s="56">
        <v>0</v>
      </c>
      <c r="F59" s="56">
        <v>0</v>
      </c>
      <c r="G59" s="56">
        <v>0</v>
      </c>
      <c r="H59" s="56">
        <v>0</v>
      </c>
      <c r="I59" s="56">
        <v>0</v>
      </c>
      <c r="J59" s="56">
        <v>0</v>
      </c>
      <c r="K59" s="56">
        <v>0</v>
      </c>
      <c r="L59" s="56">
        <v>0</v>
      </c>
      <c r="M59" s="56">
        <v>0</v>
      </c>
      <c r="N59" s="56">
        <v>0</v>
      </c>
      <c r="O59" s="56">
        <v>0</v>
      </c>
      <c r="P59" s="57">
        <f t="shared" si="2"/>
        <v>0</v>
      </c>
    </row>
    <row r="60" spans="1:16" ht="18" customHeight="1" x14ac:dyDescent="0.35">
      <c r="A60" s="33">
        <v>56</v>
      </c>
      <c r="B60" s="51">
        <f>'Initiative Register'!B60</f>
        <v>0</v>
      </c>
      <c r="C60" s="51">
        <f>'Initiative Register'!C60</f>
        <v>0</v>
      </c>
      <c r="D60" s="56">
        <v>0</v>
      </c>
      <c r="E60" s="56">
        <v>0</v>
      </c>
      <c r="F60" s="56">
        <v>0</v>
      </c>
      <c r="G60" s="56">
        <v>0</v>
      </c>
      <c r="H60" s="56">
        <v>0</v>
      </c>
      <c r="I60" s="56">
        <v>0</v>
      </c>
      <c r="J60" s="56">
        <v>0</v>
      </c>
      <c r="K60" s="56">
        <v>0</v>
      </c>
      <c r="L60" s="56">
        <v>0</v>
      </c>
      <c r="M60" s="56">
        <v>0</v>
      </c>
      <c r="N60" s="56">
        <v>0</v>
      </c>
      <c r="O60" s="56">
        <v>0</v>
      </c>
      <c r="P60" s="57">
        <f t="shared" si="2"/>
        <v>0</v>
      </c>
    </row>
    <row r="61" spans="1:16" ht="18" customHeight="1" x14ac:dyDescent="0.35">
      <c r="A61" s="29">
        <v>57</v>
      </c>
      <c r="B61" s="51">
        <f>'Initiative Register'!B61</f>
        <v>0</v>
      </c>
      <c r="C61" s="51">
        <f>'Initiative Register'!C61</f>
        <v>0</v>
      </c>
      <c r="D61" s="56">
        <v>0</v>
      </c>
      <c r="E61" s="56">
        <v>0</v>
      </c>
      <c r="F61" s="56">
        <v>0</v>
      </c>
      <c r="G61" s="56">
        <v>0</v>
      </c>
      <c r="H61" s="56">
        <v>0</v>
      </c>
      <c r="I61" s="56">
        <v>0</v>
      </c>
      <c r="J61" s="56">
        <v>0</v>
      </c>
      <c r="K61" s="56">
        <v>0</v>
      </c>
      <c r="L61" s="56">
        <v>0</v>
      </c>
      <c r="M61" s="56">
        <v>0</v>
      </c>
      <c r="N61" s="56">
        <v>0</v>
      </c>
      <c r="O61" s="56">
        <v>0</v>
      </c>
      <c r="P61" s="57">
        <f t="shared" si="2"/>
        <v>0</v>
      </c>
    </row>
    <row r="62" spans="1:16" ht="18" customHeight="1" x14ac:dyDescent="0.35">
      <c r="A62" s="33">
        <v>58</v>
      </c>
      <c r="B62" s="51">
        <f>'Initiative Register'!B62</f>
        <v>0</v>
      </c>
      <c r="C62" s="51">
        <f>'Initiative Register'!C62</f>
        <v>0</v>
      </c>
      <c r="D62" s="56">
        <v>0</v>
      </c>
      <c r="E62" s="56">
        <v>0</v>
      </c>
      <c r="F62" s="56">
        <v>0</v>
      </c>
      <c r="G62" s="56">
        <v>0</v>
      </c>
      <c r="H62" s="56">
        <v>0</v>
      </c>
      <c r="I62" s="56">
        <v>0</v>
      </c>
      <c r="J62" s="56">
        <v>0</v>
      </c>
      <c r="K62" s="56">
        <v>0</v>
      </c>
      <c r="L62" s="56">
        <v>0</v>
      </c>
      <c r="M62" s="56">
        <v>0</v>
      </c>
      <c r="N62" s="56">
        <v>0</v>
      </c>
      <c r="O62" s="56">
        <v>0</v>
      </c>
      <c r="P62" s="57">
        <f t="shared" si="2"/>
        <v>0</v>
      </c>
    </row>
    <row r="63" spans="1:16" ht="18" customHeight="1" x14ac:dyDescent="0.35">
      <c r="A63" s="29">
        <v>59</v>
      </c>
      <c r="B63" s="51">
        <f>'Initiative Register'!B63</f>
        <v>0</v>
      </c>
      <c r="C63" s="51">
        <f>'Initiative Register'!C63</f>
        <v>0</v>
      </c>
      <c r="D63" s="56">
        <v>0</v>
      </c>
      <c r="E63" s="56">
        <v>0</v>
      </c>
      <c r="F63" s="56">
        <v>0</v>
      </c>
      <c r="G63" s="56">
        <v>0</v>
      </c>
      <c r="H63" s="56">
        <v>0</v>
      </c>
      <c r="I63" s="56">
        <v>0</v>
      </c>
      <c r="J63" s="56">
        <v>0</v>
      </c>
      <c r="K63" s="56">
        <v>0</v>
      </c>
      <c r="L63" s="56">
        <v>0</v>
      </c>
      <c r="M63" s="56">
        <v>0</v>
      </c>
      <c r="N63" s="56">
        <v>0</v>
      </c>
      <c r="O63" s="56">
        <v>0</v>
      </c>
      <c r="P63" s="57">
        <f t="shared" si="2"/>
        <v>0</v>
      </c>
    </row>
    <row r="64" spans="1:16" ht="18" customHeight="1" x14ac:dyDescent="0.35">
      <c r="A64" s="33">
        <v>60</v>
      </c>
      <c r="B64" s="51">
        <f>'Initiative Register'!B64</f>
        <v>0</v>
      </c>
      <c r="C64" s="51">
        <f>'Initiative Register'!C64</f>
        <v>0</v>
      </c>
      <c r="D64" s="56">
        <v>0</v>
      </c>
      <c r="E64" s="56">
        <v>0</v>
      </c>
      <c r="F64" s="56">
        <v>0</v>
      </c>
      <c r="G64" s="56">
        <v>0</v>
      </c>
      <c r="H64" s="56">
        <v>0</v>
      </c>
      <c r="I64" s="56">
        <v>0</v>
      </c>
      <c r="J64" s="56">
        <v>0</v>
      </c>
      <c r="K64" s="56">
        <v>0</v>
      </c>
      <c r="L64" s="56">
        <v>0</v>
      </c>
      <c r="M64" s="56">
        <v>0</v>
      </c>
      <c r="N64" s="56">
        <v>0</v>
      </c>
      <c r="O64" s="56">
        <v>0</v>
      </c>
      <c r="P64" s="57">
        <f t="shared" si="2"/>
        <v>0</v>
      </c>
    </row>
    <row r="65" spans="1:16" ht="18" customHeight="1" x14ac:dyDescent="0.35">
      <c r="A65" s="33">
        <v>61</v>
      </c>
      <c r="B65" s="51">
        <f>'Initiative Register'!B65</f>
        <v>0</v>
      </c>
      <c r="C65" s="51">
        <f>'Initiative Register'!C65</f>
        <v>0</v>
      </c>
      <c r="D65" s="56">
        <v>0</v>
      </c>
      <c r="E65" s="56">
        <v>0</v>
      </c>
      <c r="F65" s="56">
        <v>0</v>
      </c>
      <c r="G65" s="56">
        <v>0</v>
      </c>
      <c r="H65" s="56">
        <v>0</v>
      </c>
      <c r="I65" s="56">
        <v>0</v>
      </c>
      <c r="J65" s="56">
        <v>0</v>
      </c>
      <c r="K65" s="56">
        <v>0</v>
      </c>
      <c r="L65" s="56">
        <v>0</v>
      </c>
      <c r="M65" s="56">
        <v>0</v>
      </c>
      <c r="N65" s="56">
        <v>0</v>
      </c>
      <c r="O65" s="56">
        <v>0</v>
      </c>
      <c r="P65" s="57">
        <f t="shared" si="2"/>
        <v>0</v>
      </c>
    </row>
    <row r="66" spans="1:16" ht="18" customHeight="1" x14ac:dyDescent="0.35">
      <c r="A66" s="29">
        <v>62</v>
      </c>
      <c r="B66" s="51">
        <f>'Initiative Register'!B66</f>
        <v>0</v>
      </c>
      <c r="C66" s="51">
        <f>'Initiative Register'!C66</f>
        <v>0</v>
      </c>
      <c r="D66" s="56">
        <v>0</v>
      </c>
      <c r="E66" s="56">
        <v>0</v>
      </c>
      <c r="F66" s="56">
        <v>0</v>
      </c>
      <c r="G66" s="56">
        <v>0</v>
      </c>
      <c r="H66" s="56">
        <v>0</v>
      </c>
      <c r="I66" s="56">
        <v>0</v>
      </c>
      <c r="J66" s="56">
        <v>0</v>
      </c>
      <c r="K66" s="56">
        <v>0</v>
      </c>
      <c r="L66" s="56">
        <v>0</v>
      </c>
      <c r="M66" s="56">
        <v>0</v>
      </c>
      <c r="N66" s="56">
        <v>0</v>
      </c>
      <c r="O66" s="56">
        <v>0</v>
      </c>
      <c r="P66" s="57">
        <f t="shared" si="2"/>
        <v>0</v>
      </c>
    </row>
    <row r="67" spans="1:16" ht="18" customHeight="1" x14ac:dyDescent="0.35">
      <c r="A67" s="33">
        <v>63</v>
      </c>
      <c r="B67" s="51">
        <f>'Initiative Register'!B67</f>
        <v>0</v>
      </c>
      <c r="C67" s="51">
        <f>'Initiative Register'!C67</f>
        <v>0</v>
      </c>
      <c r="D67" s="56">
        <v>0</v>
      </c>
      <c r="E67" s="56">
        <v>0</v>
      </c>
      <c r="F67" s="56">
        <v>0</v>
      </c>
      <c r="G67" s="56">
        <v>0</v>
      </c>
      <c r="H67" s="56">
        <v>0</v>
      </c>
      <c r="I67" s="56">
        <v>0</v>
      </c>
      <c r="J67" s="56">
        <v>0</v>
      </c>
      <c r="K67" s="56">
        <v>0</v>
      </c>
      <c r="L67" s="56">
        <v>0</v>
      </c>
      <c r="M67" s="56">
        <v>0</v>
      </c>
      <c r="N67" s="56">
        <v>0</v>
      </c>
      <c r="O67" s="56">
        <v>0</v>
      </c>
      <c r="P67" s="57">
        <f t="shared" si="2"/>
        <v>0</v>
      </c>
    </row>
    <row r="68" spans="1:16" ht="18" customHeight="1" x14ac:dyDescent="0.35">
      <c r="A68" s="29">
        <v>64</v>
      </c>
      <c r="B68" s="51">
        <f>'Initiative Register'!B68</f>
        <v>0</v>
      </c>
      <c r="C68" s="51">
        <f>'Initiative Register'!C68</f>
        <v>0</v>
      </c>
      <c r="D68" s="56">
        <v>0</v>
      </c>
      <c r="E68" s="56">
        <v>0</v>
      </c>
      <c r="F68" s="56">
        <v>0</v>
      </c>
      <c r="G68" s="56">
        <v>0</v>
      </c>
      <c r="H68" s="56">
        <v>0</v>
      </c>
      <c r="I68" s="56">
        <v>0</v>
      </c>
      <c r="J68" s="56">
        <v>0</v>
      </c>
      <c r="K68" s="56">
        <v>0</v>
      </c>
      <c r="L68" s="56">
        <v>0</v>
      </c>
      <c r="M68" s="56">
        <v>0</v>
      </c>
      <c r="N68" s="56">
        <v>0</v>
      </c>
      <c r="O68" s="56">
        <v>0</v>
      </c>
      <c r="P68" s="57">
        <f t="shared" si="2"/>
        <v>0</v>
      </c>
    </row>
    <row r="69" spans="1:16" ht="18" customHeight="1" x14ac:dyDescent="0.35">
      <c r="A69" s="33">
        <v>65</v>
      </c>
      <c r="B69" s="51">
        <f>'Initiative Register'!B69</f>
        <v>0</v>
      </c>
      <c r="C69" s="51">
        <f>'Initiative Register'!C69</f>
        <v>0</v>
      </c>
      <c r="D69" s="56">
        <v>0</v>
      </c>
      <c r="E69" s="56">
        <v>0</v>
      </c>
      <c r="F69" s="56">
        <v>0</v>
      </c>
      <c r="G69" s="56">
        <v>0</v>
      </c>
      <c r="H69" s="56">
        <v>0</v>
      </c>
      <c r="I69" s="56">
        <v>0</v>
      </c>
      <c r="J69" s="56">
        <v>0</v>
      </c>
      <c r="K69" s="56">
        <v>0</v>
      </c>
      <c r="L69" s="56">
        <v>0</v>
      </c>
      <c r="M69" s="56">
        <v>0</v>
      </c>
      <c r="N69" s="56">
        <v>0</v>
      </c>
      <c r="O69" s="56">
        <v>0</v>
      </c>
      <c r="P69" s="57">
        <f t="shared" si="2"/>
        <v>0</v>
      </c>
    </row>
    <row r="70" spans="1:16" ht="18" customHeight="1" x14ac:dyDescent="0.35">
      <c r="A70" s="33">
        <v>66</v>
      </c>
      <c r="B70" s="51">
        <f>'Initiative Register'!B70</f>
        <v>0</v>
      </c>
      <c r="C70" s="51">
        <f>'Initiative Register'!C70</f>
        <v>0</v>
      </c>
      <c r="D70" s="56">
        <v>0</v>
      </c>
      <c r="E70" s="56">
        <v>0</v>
      </c>
      <c r="F70" s="56">
        <v>0</v>
      </c>
      <c r="G70" s="56">
        <v>0</v>
      </c>
      <c r="H70" s="56">
        <v>0</v>
      </c>
      <c r="I70" s="56">
        <v>0</v>
      </c>
      <c r="J70" s="56">
        <v>0</v>
      </c>
      <c r="K70" s="56">
        <v>0</v>
      </c>
      <c r="L70" s="56">
        <v>0</v>
      </c>
      <c r="M70" s="56">
        <v>0</v>
      </c>
      <c r="N70" s="56">
        <v>0</v>
      </c>
      <c r="O70" s="56">
        <v>0</v>
      </c>
      <c r="P70" s="57">
        <f t="shared" si="2"/>
        <v>0</v>
      </c>
    </row>
    <row r="71" spans="1:16" ht="21.75" customHeight="1" x14ac:dyDescent="0.35">
      <c r="A71" s="167" t="s">
        <v>290</v>
      </c>
      <c r="B71" s="126"/>
      <c r="C71" s="123"/>
      <c r="D71" s="58">
        <f t="shared" ref="D71:P71" si="3">SUM(D5:D55)</f>
        <v>0</v>
      </c>
      <c r="E71" s="58">
        <f t="shared" si="3"/>
        <v>0</v>
      </c>
      <c r="F71" s="58">
        <f t="shared" si="3"/>
        <v>0</v>
      </c>
      <c r="G71" s="58">
        <f t="shared" si="3"/>
        <v>0</v>
      </c>
      <c r="H71" s="58">
        <f t="shared" si="3"/>
        <v>0</v>
      </c>
      <c r="I71" s="58">
        <f t="shared" si="3"/>
        <v>0</v>
      </c>
      <c r="J71" s="58">
        <f t="shared" si="3"/>
        <v>0</v>
      </c>
      <c r="K71" s="58">
        <f t="shared" si="3"/>
        <v>0</v>
      </c>
      <c r="L71" s="58">
        <f t="shared" si="3"/>
        <v>0</v>
      </c>
      <c r="M71" s="58">
        <f t="shared" si="3"/>
        <v>0</v>
      </c>
      <c r="N71" s="58">
        <f t="shared" si="3"/>
        <v>0</v>
      </c>
      <c r="O71" s="58">
        <f t="shared" si="3"/>
        <v>0</v>
      </c>
      <c r="P71" s="58">
        <f t="shared" si="3"/>
        <v>0</v>
      </c>
    </row>
    <row r="72" spans="1:16" ht="14.25" customHeight="1" x14ac:dyDescent="0.35"/>
    <row r="73" spans="1:16" ht="14.25" customHeight="1" x14ac:dyDescent="0.35"/>
    <row r="74" spans="1:16" ht="14.25" customHeight="1" x14ac:dyDescent="0.35"/>
    <row r="75" spans="1:16" ht="14.25" customHeight="1" x14ac:dyDescent="0.35"/>
    <row r="76" spans="1:16" ht="14.25" customHeight="1" x14ac:dyDescent="0.35"/>
    <row r="77" spans="1:16" ht="14.25" customHeight="1" x14ac:dyDescent="0.35"/>
    <row r="78" spans="1:16" ht="14.25" customHeight="1" x14ac:dyDescent="0.35"/>
    <row r="79" spans="1:16" ht="14.25" customHeight="1" x14ac:dyDescent="0.35"/>
    <row r="80" spans="1:16"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row r="1007" ht="14.25" customHeight="1" x14ac:dyDescent="0.35"/>
    <row r="1008" ht="14.25" customHeight="1" x14ac:dyDescent="0.35"/>
    <row r="1009" ht="14.25" customHeight="1" x14ac:dyDescent="0.35"/>
    <row r="1010" ht="14.25" customHeight="1" x14ac:dyDescent="0.35"/>
    <row r="1011" ht="14.25" customHeight="1" x14ac:dyDescent="0.35"/>
    <row r="1012" ht="14.25" customHeight="1" x14ac:dyDescent="0.35"/>
    <row r="1013" ht="14.25" customHeight="1" x14ac:dyDescent="0.35"/>
    <row r="1014" ht="14.25" customHeight="1" x14ac:dyDescent="0.35"/>
    <row r="1015" ht="14.25" customHeight="1" x14ac:dyDescent="0.35"/>
    <row r="1016" ht="14.25" customHeight="1" x14ac:dyDescent="0.35"/>
  </sheetData>
  <mergeCells count="2">
    <mergeCell ref="A1:Q1"/>
    <mergeCell ref="A71:C71"/>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Q1018"/>
  <sheetViews>
    <sheetView showGridLines="0" workbookViewId="0">
      <pane xSplit="3" ySplit="4" topLeftCell="G72" activePane="bottomRight" state="frozen"/>
      <selection pane="topRight" activeCell="D1" sqref="D1"/>
      <selection pane="bottomLeft" activeCell="A5" sqref="A5"/>
      <selection pane="bottomRight" activeCell="A75" sqref="A75:Q75"/>
    </sheetView>
  </sheetViews>
  <sheetFormatPr defaultColWidth="14.453125" defaultRowHeight="15" customHeight="1" x14ac:dyDescent="0.35"/>
  <cols>
    <col min="1" max="1" width="4" customWidth="1"/>
    <col min="2" max="2" width="14" customWidth="1"/>
    <col min="3" max="3" width="35" customWidth="1"/>
    <col min="4" max="15" width="9" customWidth="1"/>
    <col min="16" max="16" width="14" customWidth="1"/>
    <col min="17" max="26" width="8.54296875" customWidth="1"/>
  </cols>
  <sheetData>
    <row r="1" spans="1:17" ht="39.75" customHeight="1" x14ac:dyDescent="0.35">
      <c r="A1" s="165" t="s">
        <v>292</v>
      </c>
      <c r="B1" s="126"/>
      <c r="C1" s="126"/>
      <c r="D1" s="126"/>
      <c r="E1" s="126"/>
      <c r="F1" s="126"/>
      <c r="G1" s="126"/>
      <c r="H1" s="126"/>
      <c r="I1" s="126"/>
      <c r="J1" s="126"/>
      <c r="K1" s="126"/>
      <c r="L1" s="126"/>
      <c r="M1" s="126"/>
      <c r="N1" s="126"/>
      <c r="O1" s="126"/>
      <c r="P1" s="126"/>
      <c r="Q1" s="123"/>
    </row>
    <row r="2" spans="1:17" ht="21.75" customHeight="1" x14ac:dyDescent="0.35">
      <c r="A2" s="166" t="s">
        <v>293</v>
      </c>
      <c r="B2" s="126"/>
      <c r="C2" s="126"/>
      <c r="D2" s="126"/>
      <c r="E2" s="126"/>
      <c r="F2" s="126"/>
      <c r="G2" s="126"/>
      <c r="H2" s="126"/>
      <c r="I2" s="126"/>
      <c r="J2" s="126"/>
      <c r="K2" s="126"/>
      <c r="L2" s="126"/>
      <c r="M2" s="126"/>
      <c r="N2" s="126"/>
      <c r="O2" s="126"/>
      <c r="P2" s="126"/>
      <c r="Q2" s="123"/>
    </row>
    <row r="3" spans="1:17" ht="24" customHeight="1" x14ac:dyDescent="0.35">
      <c r="A3" s="168" t="s">
        <v>294</v>
      </c>
      <c r="B3" s="126"/>
      <c r="C3" s="126"/>
      <c r="D3" s="126"/>
      <c r="E3" s="126"/>
      <c r="F3" s="126"/>
      <c r="G3" s="126"/>
      <c r="H3" s="126"/>
      <c r="I3" s="126"/>
      <c r="J3" s="126"/>
      <c r="K3" s="126"/>
      <c r="L3" s="126"/>
      <c r="M3" s="126"/>
      <c r="N3" s="126"/>
      <c r="O3" s="126"/>
      <c r="P3" s="126"/>
      <c r="Q3" s="123"/>
    </row>
    <row r="4" spans="1:17" ht="39.75" customHeight="1" x14ac:dyDescent="0.35">
      <c r="A4" s="47" t="s">
        <v>41</v>
      </c>
      <c r="B4" s="47" t="s">
        <v>42</v>
      </c>
      <c r="C4" s="47" t="s">
        <v>43</v>
      </c>
      <c r="D4" s="17" t="s">
        <v>28</v>
      </c>
      <c r="E4" s="17" t="s">
        <v>29</v>
      </c>
      <c r="F4" s="17" t="s">
        <v>30</v>
      </c>
      <c r="G4" s="17" t="s">
        <v>31</v>
      </c>
      <c r="H4" s="17" t="s">
        <v>32</v>
      </c>
      <c r="I4" s="17" t="s">
        <v>33</v>
      </c>
      <c r="J4" s="17" t="s">
        <v>34</v>
      </c>
      <c r="K4" s="17" t="s">
        <v>35</v>
      </c>
      <c r="L4" s="17" t="s">
        <v>36</v>
      </c>
      <c r="M4" s="17" t="s">
        <v>37</v>
      </c>
      <c r="N4" s="17" t="s">
        <v>38</v>
      </c>
      <c r="O4" s="17" t="s">
        <v>39</v>
      </c>
      <c r="P4" s="17" t="s">
        <v>295</v>
      </c>
    </row>
    <row r="5" spans="1:17" ht="18" customHeight="1" x14ac:dyDescent="0.35">
      <c r="A5" s="33">
        <v>1</v>
      </c>
      <c r="B5" s="48" t="str">
        <f>'Initiative Register'!B5</f>
        <v>INI-001</v>
      </c>
      <c r="C5" s="48" t="str">
        <f>'Initiative Register'!C5</f>
        <v>Campaign- Patient experience improvement</v>
      </c>
      <c r="D5" s="54">
        <v>0</v>
      </c>
      <c r="E5" s="54">
        <v>0</v>
      </c>
      <c r="F5" s="54">
        <v>0</v>
      </c>
      <c r="G5" s="54">
        <v>0</v>
      </c>
      <c r="H5" s="54">
        <v>0</v>
      </c>
      <c r="I5" s="54">
        <v>0</v>
      </c>
      <c r="J5" s="54">
        <v>0</v>
      </c>
      <c r="K5" s="54">
        <v>0</v>
      </c>
      <c r="L5" s="54">
        <v>0</v>
      </c>
      <c r="M5" s="54">
        <v>0</v>
      </c>
      <c r="N5" s="54">
        <v>0</v>
      </c>
      <c r="O5" s="54">
        <v>0</v>
      </c>
      <c r="P5" s="55">
        <f t="shared" ref="P5:P54" si="0">SUM(D5:O5)</f>
        <v>0</v>
      </c>
    </row>
    <row r="6" spans="1:17" ht="18" customHeight="1" x14ac:dyDescent="0.35">
      <c r="A6" s="29">
        <v>2</v>
      </c>
      <c r="B6" s="51" t="str">
        <f>'Initiative Register'!B6</f>
        <v/>
      </c>
      <c r="C6" s="51">
        <f>'Initiative Register'!C6</f>
        <v>0</v>
      </c>
      <c r="D6" s="56">
        <v>0</v>
      </c>
      <c r="E6" s="56">
        <v>0</v>
      </c>
      <c r="F6" s="56">
        <v>0</v>
      </c>
      <c r="G6" s="56">
        <v>0</v>
      </c>
      <c r="H6" s="56">
        <v>0</v>
      </c>
      <c r="I6" s="56">
        <v>0</v>
      </c>
      <c r="J6" s="56">
        <v>0</v>
      </c>
      <c r="K6" s="56">
        <v>0</v>
      </c>
      <c r="L6" s="56">
        <v>0</v>
      </c>
      <c r="M6" s="56">
        <v>0</v>
      </c>
      <c r="N6" s="56">
        <v>0</v>
      </c>
      <c r="O6" s="56">
        <v>0</v>
      </c>
      <c r="P6" s="57">
        <f t="shared" si="0"/>
        <v>0</v>
      </c>
    </row>
    <row r="7" spans="1:17" ht="18" customHeight="1" x14ac:dyDescent="0.35">
      <c r="A7" s="33">
        <v>3</v>
      </c>
      <c r="B7" s="48" t="str">
        <f>'Initiative Register'!B7</f>
        <v>INI-003</v>
      </c>
      <c r="C7" s="48" t="str">
        <f>'Initiative Register'!C7</f>
        <v>Geriatric ward</v>
      </c>
      <c r="D7" s="54">
        <v>0</v>
      </c>
      <c r="E7" s="54">
        <v>0</v>
      </c>
      <c r="F7" s="54">
        <v>0</v>
      </c>
      <c r="G7" s="54">
        <v>0</v>
      </c>
      <c r="H7" s="54">
        <v>0</v>
      </c>
      <c r="I7" s="54">
        <v>0</v>
      </c>
      <c r="J7" s="54">
        <v>0</v>
      </c>
      <c r="K7" s="54">
        <v>0</v>
      </c>
      <c r="L7" s="54">
        <v>0</v>
      </c>
      <c r="M7" s="54">
        <v>0</v>
      </c>
      <c r="N7" s="54">
        <v>0</v>
      </c>
      <c r="O7" s="54">
        <v>0</v>
      </c>
      <c r="P7" s="55">
        <f t="shared" si="0"/>
        <v>0</v>
      </c>
    </row>
    <row r="8" spans="1:17" ht="18" customHeight="1" x14ac:dyDescent="0.35">
      <c r="A8" s="29">
        <v>4</v>
      </c>
      <c r="B8" s="51" t="str">
        <f>'Initiative Register'!B8</f>
        <v>INI-004</v>
      </c>
      <c r="C8" s="51" t="str">
        <f>'Initiative Register'!C8</f>
        <v>Appointment of Specialized Doctors and development of existing department</v>
      </c>
      <c r="D8" s="56">
        <v>0</v>
      </c>
      <c r="E8" s="56">
        <v>0</v>
      </c>
      <c r="F8" s="56">
        <v>0</v>
      </c>
      <c r="G8" s="56">
        <v>0</v>
      </c>
      <c r="H8" s="56">
        <v>0</v>
      </c>
      <c r="I8" s="56">
        <v>0</v>
      </c>
      <c r="J8" s="56">
        <v>0</v>
      </c>
      <c r="K8" s="56">
        <v>0</v>
      </c>
      <c r="L8" s="56">
        <v>0</v>
      </c>
      <c r="M8" s="56">
        <v>0</v>
      </c>
      <c r="N8" s="56">
        <v>0</v>
      </c>
      <c r="O8" s="56">
        <v>0</v>
      </c>
      <c r="P8" s="57">
        <f t="shared" si="0"/>
        <v>0</v>
      </c>
    </row>
    <row r="9" spans="1:17" ht="18" customHeight="1" x14ac:dyDescent="0.35">
      <c r="A9" s="33">
        <v>5</v>
      </c>
      <c r="B9" s="48" t="str">
        <f>'Initiative Register'!B9</f>
        <v>INI-005</v>
      </c>
      <c r="C9" s="48" t="str">
        <f>'Initiative Register'!C9</f>
        <v>Patient companion</v>
      </c>
      <c r="D9" s="54">
        <v>0</v>
      </c>
      <c r="E9" s="54">
        <v>0</v>
      </c>
      <c r="F9" s="54">
        <v>0</v>
      </c>
      <c r="G9" s="54">
        <v>0</v>
      </c>
      <c r="H9" s="54">
        <v>0</v>
      </c>
      <c r="I9" s="54">
        <v>0</v>
      </c>
      <c r="J9" s="54">
        <v>0</v>
      </c>
      <c r="K9" s="54">
        <v>0</v>
      </c>
      <c r="L9" s="54">
        <v>0</v>
      </c>
      <c r="M9" s="54">
        <v>0</v>
      </c>
      <c r="N9" s="54">
        <v>0</v>
      </c>
      <c r="O9" s="54">
        <v>0</v>
      </c>
      <c r="P9" s="55">
        <f t="shared" si="0"/>
        <v>0</v>
      </c>
    </row>
    <row r="10" spans="1:17" ht="18" customHeight="1" x14ac:dyDescent="0.35">
      <c r="A10" s="29">
        <v>6</v>
      </c>
      <c r="B10" s="51" t="str">
        <f>'Initiative Register'!B10</f>
        <v>INI-006</v>
      </c>
      <c r="C10" s="51" t="str">
        <f>'Initiative Register'!C10</f>
        <v xml:space="preserve">Newborn Care Enhancement </v>
      </c>
      <c r="D10" s="56">
        <v>0</v>
      </c>
      <c r="E10" s="56">
        <v>0</v>
      </c>
      <c r="F10" s="56">
        <v>0</v>
      </c>
      <c r="G10" s="56">
        <v>0</v>
      </c>
      <c r="H10" s="56">
        <v>0</v>
      </c>
      <c r="I10" s="56">
        <v>0</v>
      </c>
      <c r="J10" s="56">
        <v>0</v>
      </c>
      <c r="K10" s="56">
        <v>0</v>
      </c>
      <c r="L10" s="56">
        <v>0</v>
      </c>
      <c r="M10" s="56">
        <v>0</v>
      </c>
      <c r="N10" s="56">
        <v>0</v>
      </c>
      <c r="O10" s="56">
        <v>0</v>
      </c>
      <c r="P10" s="57">
        <f t="shared" si="0"/>
        <v>0</v>
      </c>
    </row>
    <row r="11" spans="1:17" ht="18" customHeight="1" x14ac:dyDescent="0.35">
      <c r="A11" s="33">
        <v>7</v>
      </c>
      <c r="B11" s="48" t="str">
        <f>'Initiative Register'!B11</f>
        <v>INI-007</v>
      </c>
      <c r="C11" s="48" t="str">
        <f>'Initiative Register'!C11</f>
        <v>Digital Patient Acquisition Funnel</v>
      </c>
      <c r="D11" s="54">
        <v>0</v>
      </c>
      <c r="E11" s="54">
        <v>0</v>
      </c>
      <c r="F11" s="54">
        <v>0</v>
      </c>
      <c r="G11" s="54">
        <v>0</v>
      </c>
      <c r="H11" s="54">
        <v>0</v>
      </c>
      <c r="I11" s="54">
        <v>0</v>
      </c>
      <c r="J11" s="54">
        <v>0</v>
      </c>
      <c r="K11" s="54">
        <v>0</v>
      </c>
      <c r="L11" s="54">
        <v>0</v>
      </c>
      <c r="M11" s="54">
        <v>0</v>
      </c>
      <c r="N11" s="54">
        <v>0</v>
      </c>
      <c r="O11" s="54">
        <v>0</v>
      </c>
      <c r="P11" s="55">
        <f t="shared" si="0"/>
        <v>0</v>
      </c>
    </row>
    <row r="12" spans="1:17" ht="18" customHeight="1" x14ac:dyDescent="0.35">
      <c r="A12" s="29">
        <v>8</v>
      </c>
      <c r="B12" s="51" t="str">
        <f>'Initiative Register'!B12</f>
        <v>INI-008</v>
      </c>
      <c r="C12" s="51" t="str">
        <f>'Initiative Register'!C12</f>
        <v>Development of KPI for Doctors</v>
      </c>
      <c r="D12" s="56">
        <v>0</v>
      </c>
      <c r="E12" s="56">
        <v>0</v>
      </c>
      <c r="F12" s="56">
        <v>0</v>
      </c>
      <c r="G12" s="56">
        <v>0</v>
      </c>
      <c r="H12" s="56">
        <v>0</v>
      </c>
      <c r="I12" s="56">
        <v>0</v>
      </c>
      <c r="J12" s="56">
        <v>0</v>
      </c>
      <c r="K12" s="56">
        <v>0</v>
      </c>
      <c r="L12" s="56">
        <v>0</v>
      </c>
      <c r="M12" s="56">
        <v>0</v>
      </c>
      <c r="N12" s="56">
        <v>0</v>
      </c>
      <c r="O12" s="56">
        <v>0</v>
      </c>
      <c r="P12" s="57">
        <f t="shared" si="0"/>
        <v>0</v>
      </c>
    </row>
    <row r="13" spans="1:17" ht="18" customHeight="1" x14ac:dyDescent="0.35">
      <c r="A13" s="33">
        <v>9</v>
      </c>
      <c r="B13" s="48" t="str">
        <f>'Initiative Register'!B13</f>
        <v>INI-009</v>
      </c>
      <c r="C13" s="48" t="str">
        <f>'Initiative Register'!C13</f>
        <v>Daycare and Minimaly Invasive Shift</v>
      </c>
      <c r="D13" s="54">
        <v>0</v>
      </c>
      <c r="E13" s="54">
        <v>0</v>
      </c>
      <c r="F13" s="54">
        <v>0</v>
      </c>
      <c r="G13" s="54">
        <v>0</v>
      </c>
      <c r="H13" s="54">
        <v>0</v>
      </c>
      <c r="I13" s="54">
        <v>0</v>
      </c>
      <c r="J13" s="54">
        <v>0</v>
      </c>
      <c r="K13" s="54">
        <v>0</v>
      </c>
      <c r="L13" s="54">
        <v>0</v>
      </c>
      <c r="M13" s="54">
        <v>0</v>
      </c>
      <c r="N13" s="54">
        <v>0</v>
      </c>
      <c r="O13" s="54">
        <v>0</v>
      </c>
      <c r="P13" s="55">
        <f t="shared" si="0"/>
        <v>0</v>
      </c>
    </row>
    <row r="14" spans="1:17" ht="18" customHeight="1" x14ac:dyDescent="0.35">
      <c r="A14" s="29">
        <v>10</v>
      </c>
      <c r="B14" s="51" t="str">
        <f>'Initiative Register'!B14</f>
        <v>INI-010</v>
      </c>
      <c r="C14" s="51" t="str">
        <f>'Initiative Register'!C14</f>
        <v>Consumables standardization model</v>
      </c>
      <c r="D14" s="56">
        <v>0</v>
      </c>
      <c r="E14" s="56">
        <v>0</v>
      </c>
      <c r="F14" s="56">
        <v>0</v>
      </c>
      <c r="G14" s="56">
        <v>0</v>
      </c>
      <c r="H14" s="56">
        <v>0</v>
      </c>
      <c r="I14" s="56">
        <v>0</v>
      </c>
      <c r="J14" s="56">
        <v>0</v>
      </c>
      <c r="K14" s="56">
        <v>0</v>
      </c>
      <c r="L14" s="56">
        <v>0</v>
      </c>
      <c r="M14" s="56">
        <v>0</v>
      </c>
      <c r="N14" s="56">
        <v>0</v>
      </c>
      <c r="O14" s="56">
        <v>0</v>
      </c>
      <c r="P14" s="57">
        <f t="shared" si="0"/>
        <v>0</v>
      </c>
    </row>
    <row r="15" spans="1:17" ht="18" customHeight="1" x14ac:dyDescent="0.35">
      <c r="A15" s="33">
        <v>11</v>
      </c>
      <c r="B15" s="48" t="str">
        <f>'Initiative Register'!B15</f>
        <v>INI-011</v>
      </c>
      <c r="C15" s="48" t="str">
        <f>'Initiative Register'!C15</f>
        <v>Collaboration with other Hospitals</v>
      </c>
      <c r="D15" s="54">
        <v>0</v>
      </c>
      <c r="E15" s="54">
        <v>0</v>
      </c>
      <c r="F15" s="54">
        <v>0</v>
      </c>
      <c r="G15" s="54">
        <v>0</v>
      </c>
      <c r="H15" s="54">
        <v>0</v>
      </c>
      <c r="I15" s="54">
        <v>0</v>
      </c>
      <c r="J15" s="54">
        <v>0</v>
      </c>
      <c r="K15" s="54">
        <v>0</v>
      </c>
      <c r="L15" s="54">
        <v>0</v>
      </c>
      <c r="M15" s="54">
        <v>0</v>
      </c>
      <c r="N15" s="54">
        <v>0</v>
      </c>
      <c r="O15" s="54">
        <v>0</v>
      </c>
      <c r="P15" s="55">
        <f t="shared" si="0"/>
        <v>0</v>
      </c>
    </row>
    <row r="16" spans="1:17" ht="18" customHeight="1" x14ac:dyDescent="0.35">
      <c r="A16" s="29">
        <v>12</v>
      </c>
      <c r="B16" s="51" t="str">
        <f>'Initiative Register'!B16</f>
        <v>INI-012</v>
      </c>
      <c r="C16" s="51" t="str">
        <f>'Initiative Register'!C16</f>
        <v>ANNUAL RATE REVISION POLICY</v>
      </c>
      <c r="D16" s="56">
        <v>0</v>
      </c>
      <c r="E16" s="56">
        <v>0</v>
      </c>
      <c r="F16" s="56">
        <v>0</v>
      </c>
      <c r="G16" s="56">
        <v>0</v>
      </c>
      <c r="H16" s="56">
        <v>0</v>
      </c>
      <c r="I16" s="56">
        <v>0</v>
      </c>
      <c r="J16" s="56">
        <v>0</v>
      </c>
      <c r="K16" s="56">
        <v>0</v>
      </c>
      <c r="L16" s="56">
        <v>0</v>
      </c>
      <c r="M16" s="56">
        <v>0</v>
      </c>
      <c r="N16" s="56">
        <v>0</v>
      </c>
      <c r="O16" s="56">
        <v>0</v>
      </c>
      <c r="P16" s="57">
        <f t="shared" si="0"/>
        <v>0</v>
      </c>
    </row>
    <row r="17" spans="1:16" ht="18" customHeight="1" x14ac:dyDescent="0.35">
      <c r="A17" s="33">
        <v>13</v>
      </c>
      <c r="B17" s="48" t="str">
        <f>'Initiative Register'!B17</f>
        <v>INI-013</v>
      </c>
      <c r="C17" s="48" t="str">
        <f>'Initiative Register'!C17</f>
        <v>PROCEDURE CONTRIBUTION AUDIT AND REPRICING</v>
      </c>
      <c r="D17" s="54">
        <v>0</v>
      </c>
      <c r="E17" s="54">
        <v>0</v>
      </c>
      <c r="F17" s="54">
        <v>0</v>
      </c>
      <c r="G17" s="54">
        <v>0</v>
      </c>
      <c r="H17" s="54">
        <v>0</v>
      </c>
      <c r="I17" s="54">
        <v>0</v>
      </c>
      <c r="J17" s="54">
        <v>0</v>
      </c>
      <c r="K17" s="54">
        <v>0</v>
      </c>
      <c r="L17" s="54">
        <v>0</v>
      </c>
      <c r="M17" s="54">
        <v>0</v>
      </c>
      <c r="N17" s="54">
        <v>0</v>
      </c>
      <c r="O17" s="54">
        <v>0</v>
      </c>
      <c r="P17" s="55">
        <f t="shared" si="0"/>
        <v>0</v>
      </c>
    </row>
    <row r="18" spans="1:16" ht="18" customHeight="1" x14ac:dyDescent="0.35">
      <c r="A18" s="29">
        <v>14</v>
      </c>
      <c r="B18" s="51" t="str">
        <f>'Initiative Register'!B18</f>
        <v>INI-014</v>
      </c>
      <c r="C18" s="51" t="str">
        <f>'Initiative Register'!C18</f>
        <v>INSURANCE CHARGE CAPTURE — BILL WHAT IS COVERED</v>
      </c>
      <c r="D18" s="56">
        <v>0</v>
      </c>
      <c r="E18" s="56">
        <v>0</v>
      </c>
      <c r="F18" s="56">
        <v>0</v>
      </c>
      <c r="G18" s="56">
        <v>0</v>
      </c>
      <c r="H18" s="56">
        <v>0</v>
      </c>
      <c r="I18" s="56">
        <v>0</v>
      </c>
      <c r="J18" s="56">
        <v>0</v>
      </c>
      <c r="K18" s="56">
        <v>0</v>
      </c>
      <c r="L18" s="56">
        <v>0</v>
      </c>
      <c r="M18" s="56">
        <v>0</v>
      </c>
      <c r="N18" s="56">
        <v>0</v>
      </c>
      <c r="O18" s="56">
        <v>0</v>
      </c>
      <c r="P18" s="57">
        <f t="shared" si="0"/>
        <v>0</v>
      </c>
    </row>
    <row r="19" spans="1:16" ht="18" customHeight="1" x14ac:dyDescent="0.35">
      <c r="A19" s="33">
        <v>15</v>
      </c>
      <c r="B19" s="48" t="str">
        <f>'Initiative Register'!B19</f>
        <v>INI-015</v>
      </c>
      <c r="C19" s="48" t="str">
        <f>'Initiative Register'!C19</f>
        <v>SATELLITE CLINIC NETWORK — SURGEON-LED OFF-CAMPUS OPDs</v>
      </c>
      <c r="D19" s="54">
        <v>0</v>
      </c>
      <c r="E19" s="54">
        <v>0</v>
      </c>
      <c r="F19" s="54">
        <v>0</v>
      </c>
      <c r="G19" s="54">
        <v>0</v>
      </c>
      <c r="H19" s="54">
        <v>0</v>
      </c>
      <c r="I19" s="54">
        <v>0</v>
      </c>
      <c r="J19" s="54">
        <v>0</v>
      </c>
      <c r="K19" s="54">
        <v>0</v>
      </c>
      <c r="L19" s="54">
        <v>0</v>
      </c>
      <c r="M19" s="54">
        <v>0</v>
      </c>
      <c r="N19" s="54">
        <v>0</v>
      </c>
      <c r="O19" s="54">
        <v>0</v>
      </c>
      <c r="P19" s="55">
        <f t="shared" si="0"/>
        <v>0</v>
      </c>
    </row>
    <row r="20" spans="1:16" ht="18" customHeight="1" x14ac:dyDescent="0.35">
      <c r="A20" s="29">
        <v>16</v>
      </c>
      <c r="B20" s="51" t="str">
        <f>'Initiative Register'!B20</f>
        <v>INI-016</v>
      </c>
      <c r="C20" s="51" t="str">
        <f>'Initiative Register'!C20</f>
        <v>CORPORATE HEALTH PROGRAMME</v>
      </c>
      <c r="D20" s="56">
        <v>0</v>
      </c>
      <c r="E20" s="56">
        <v>0</v>
      </c>
      <c r="F20" s="56">
        <v>0</v>
      </c>
      <c r="G20" s="56">
        <v>0</v>
      </c>
      <c r="H20" s="56">
        <v>0</v>
      </c>
      <c r="I20" s="56">
        <v>0</v>
      </c>
      <c r="J20" s="56">
        <v>0</v>
      </c>
      <c r="K20" s="56">
        <v>0</v>
      </c>
      <c r="L20" s="56">
        <v>0</v>
      </c>
      <c r="M20" s="56">
        <v>0</v>
      </c>
      <c r="N20" s="56">
        <v>0</v>
      </c>
      <c r="O20" s="56">
        <v>0</v>
      </c>
      <c r="P20" s="57">
        <f t="shared" si="0"/>
        <v>0</v>
      </c>
    </row>
    <row r="21" spans="1:16" ht="18" customHeight="1" x14ac:dyDescent="0.35">
      <c r="A21" s="33">
        <v>17</v>
      </c>
      <c r="B21" s="48" t="str">
        <f>'Initiative Register'!B21</f>
        <v>INI-017</v>
      </c>
      <c r="C21" s="48" t="str">
        <f>'Initiative Register'!C21</f>
        <v>RESIDENTIAL COLONY AND COMMUNITY HEALTH PROGRAMMES</v>
      </c>
      <c r="D21" s="54">
        <v>0</v>
      </c>
      <c r="E21" s="54">
        <v>0</v>
      </c>
      <c r="F21" s="54">
        <v>0</v>
      </c>
      <c r="G21" s="54">
        <v>0</v>
      </c>
      <c r="H21" s="54">
        <v>0</v>
      </c>
      <c r="I21" s="54">
        <v>0</v>
      </c>
      <c r="J21" s="54">
        <v>0</v>
      </c>
      <c r="K21" s="54">
        <v>0</v>
      </c>
      <c r="L21" s="54">
        <v>0</v>
      </c>
      <c r="M21" s="54">
        <v>0</v>
      </c>
      <c r="N21" s="54">
        <v>0</v>
      </c>
      <c r="O21" s="54">
        <v>0</v>
      </c>
      <c r="P21" s="55">
        <f t="shared" si="0"/>
        <v>0</v>
      </c>
    </row>
    <row r="22" spans="1:16" ht="18" customHeight="1" x14ac:dyDescent="0.35">
      <c r="A22" s="29">
        <v>18</v>
      </c>
      <c r="B22" s="51" t="str">
        <f>'Initiative Register'!B22</f>
        <v>INI-018</v>
      </c>
      <c r="C22" s="51" t="str">
        <f>'Initiative Register'!C22</f>
        <v>INTERNATIONAL MEDICAL VALUE TOURISM — GULF, MALDIVES, BANGLADESH</v>
      </c>
      <c r="D22" s="56">
        <v>0</v>
      </c>
      <c r="E22" s="56">
        <v>0</v>
      </c>
      <c r="F22" s="56">
        <v>0</v>
      </c>
      <c r="G22" s="56">
        <v>0</v>
      </c>
      <c r="H22" s="56">
        <v>0</v>
      </c>
      <c r="I22" s="56">
        <v>0</v>
      </c>
      <c r="J22" s="56">
        <v>0</v>
      </c>
      <c r="K22" s="56">
        <v>0</v>
      </c>
      <c r="L22" s="56">
        <v>0</v>
      </c>
      <c r="M22" s="56">
        <v>0</v>
      </c>
      <c r="N22" s="56">
        <v>0</v>
      </c>
      <c r="O22" s="56">
        <v>0</v>
      </c>
      <c r="P22" s="57">
        <f t="shared" si="0"/>
        <v>0</v>
      </c>
    </row>
    <row r="23" spans="1:16" ht="18" customHeight="1" x14ac:dyDescent="0.35">
      <c r="A23" s="33">
        <v>19</v>
      </c>
      <c r="B23" s="48" t="str">
        <f>'Initiative Register'!B23</f>
        <v>INI-019</v>
      </c>
      <c r="C23" s="48" t="str">
        <f>'Initiative Register'!C23</f>
        <v>STRUCTURED REFERRAL DOCTOR PROGRAMME</v>
      </c>
      <c r="D23" s="54">
        <v>0</v>
      </c>
      <c r="E23" s="54">
        <v>0</v>
      </c>
      <c r="F23" s="54">
        <v>0</v>
      </c>
      <c r="G23" s="54">
        <v>0</v>
      </c>
      <c r="H23" s="54">
        <v>0</v>
      </c>
      <c r="I23" s="54">
        <v>0</v>
      </c>
      <c r="J23" s="54">
        <v>0</v>
      </c>
      <c r="K23" s="54">
        <v>0</v>
      </c>
      <c r="L23" s="54">
        <v>0</v>
      </c>
      <c r="M23" s="54">
        <v>0</v>
      </c>
      <c r="N23" s="54">
        <v>0</v>
      </c>
      <c r="O23" s="54">
        <v>0</v>
      </c>
      <c r="P23" s="55">
        <f t="shared" si="0"/>
        <v>0</v>
      </c>
    </row>
    <row r="24" spans="1:16" ht="18" customHeight="1" x14ac:dyDescent="0.35">
      <c r="A24" s="29">
        <v>20</v>
      </c>
      <c r="B24" s="51" t="str">
        <f>'Initiative Register'!B24</f>
        <v>INI-020</v>
      </c>
      <c r="C24" s="51" t="str">
        <f>'Initiative Register'!C24</f>
        <v>CME AND CLINICAL CONNECT PROGRAMME</v>
      </c>
      <c r="D24" s="56">
        <v>0</v>
      </c>
      <c r="E24" s="56">
        <v>0</v>
      </c>
      <c r="F24" s="56">
        <v>0</v>
      </c>
      <c r="G24" s="56">
        <v>0</v>
      </c>
      <c r="H24" s="56">
        <v>0</v>
      </c>
      <c r="I24" s="56">
        <v>0</v>
      </c>
      <c r="J24" s="56">
        <v>0</v>
      </c>
      <c r="K24" s="56">
        <v>0</v>
      </c>
      <c r="L24" s="56">
        <v>0</v>
      </c>
      <c r="M24" s="56">
        <v>0</v>
      </c>
      <c r="N24" s="56">
        <v>0</v>
      </c>
      <c r="O24" s="56">
        <v>0</v>
      </c>
      <c r="P24" s="57">
        <f t="shared" si="0"/>
        <v>0</v>
      </c>
    </row>
    <row r="25" spans="1:16" ht="18" customHeight="1" x14ac:dyDescent="0.35">
      <c r="A25" s="33">
        <v>21</v>
      </c>
      <c r="B25" s="48" t="str">
        <f>'Initiative Register'!B25</f>
        <v>INI-021</v>
      </c>
      <c r="C25" s="48" t="str">
        <f>'Initiative Register'!C25</f>
        <v>GOVERNMENT SCHEME EMPANELMENT OPTIMISATION</v>
      </c>
      <c r="D25" s="54">
        <v>0</v>
      </c>
      <c r="E25" s="54">
        <v>0</v>
      </c>
      <c r="F25" s="54">
        <v>0</v>
      </c>
      <c r="G25" s="54">
        <v>0</v>
      </c>
      <c r="H25" s="54">
        <v>0</v>
      </c>
      <c r="I25" s="54">
        <v>0</v>
      </c>
      <c r="J25" s="54">
        <v>0</v>
      </c>
      <c r="K25" s="54">
        <v>0</v>
      </c>
      <c r="L25" s="54">
        <v>0</v>
      </c>
      <c r="M25" s="54">
        <v>0</v>
      </c>
      <c r="N25" s="54">
        <v>0</v>
      </c>
      <c r="O25" s="54">
        <v>0</v>
      </c>
      <c r="P25" s="55">
        <f t="shared" si="0"/>
        <v>0</v>
      </c>
    </row>
    <row r="26" spans="1:16" ht="18" customHeight="1" x14ac:dyDescent="0.35">
      <c r="A26" s="29">
        <v>22</v>
      </c>
      <c r="B26" s="51" t="str">
        <f>'Initiative Register'!B26</f>
        <v>INI-022</v>
      </c>
      <c r="C26" s="51" t="str">
        <f>'Initiative Register'!C26</f>
        <v>TRANSPLANT CENTRE — VOLUME GROWTH AND DONOR PROGRAMME ACTIVATION</v>
      </c>
      <c r="D26" s="56">
        <v>0</v>
      </c>
      <c r="E26" s="56">
        <v>0</v>
      </c>
      <c r="F26" s="56">
        <v>0</v>
      </c>
      <c r="G26" s="56">
        <v>0</v>
      </c>
      <c r="H26" s="56">
        <v>0</v>
      </c>
      <c r="I26" s="56">
        <v>0</v>
      </c>
      <c r="J26" s="56">
        <v>0</v>
      </c>
      <c r="K26" s="56">
        <v>0</v>
      </c>
      <c r="L26" s="56">
        <v>0</v>
      </c>
      <c r="M26" s="56">
        <v>0</v>
      </c>
      <c r="N26" s="56">
        <v>0</v>
      </c>
      <c r="O26" s="56">
        <v>0</v>
      </c>
      <c r="P26" s="57">
        <f t="shared" si="0"/>
        <v>0</v>
      </c>
    </row>
    <row r="27" spans="1:16" ht="18" customHeight="1" x14ac:dyDescent="0.35">
      <c r="A27" s="33">
        <v>23</v>
      </c>
      <c r="B27" s="48" t="str">
        <f>'Initiative Register'!B27</f>
        <v>INI-023</v>
      </c>
      <c r="C27" s="48" t="str">
        <f>'Initiative Register'!C27</f>
        <v>CARDIAC SCIENCES — STRUCTURAL HEART AND ELECTROPHYSIOLOGY VOLUME BUILD</v>
      </c>
      <c r="D27" s="54">
        <v>0</v>
      </c>
      <c r="E27" s="54">
        <v>0</v>
      </c>
      <c r="F27" s="54">
        <v>0</v>
      </c>
      <c r="G27" s="54">
        <v>0</v>
      </c>
      <c r="H27" s="54">
        <v>0</v>
      </c>
      <c r="I27" s="54">
        <v>0</v>
      </c>
      <c r="J27" s="54">
        <v>0</v>
      </c>
      <c r="K27" s="54">
        <v>0</v>
      </c>
      <c r="L27" s="54">
        <v>0</v>
      </c>
      <c r="M27" s="54">
        <v>0</v>
      </c>
      <c r="N27" s="54">
        <v>0</v>
      </c>
      <c r="O27" s="54">
        <v>0</v>
      </c>
      <c r="P27" s="55">
        <f t="shared" si="0"/>
        <v>0</v>
      </c>
    </row>
    <row r="28" spans="1:16" ht="18" customHeight="1" x14ac:dyDescent="0.35">
      <c r="A28" s="29">
        <v>24</v>
      </c>
      <c r="B28" s="51" t="str">
        <f>'Initiative Register'!B28</f>
        <v>INI-024</v>
      </c>
      <c r="C28" s="51" t="str">
        <f>'Initiative Register'!C28</f>
        <v>ONCOLOGY — EARLY DETECTION, SATELLITE CLINICS AND SURGICAL VOLUME GROWTH</v>
      </c>
      <c r="D28" s="56">
        <v>0</v>
      </c>
      <c r="E28" s="56">
        <v>0</v>
      </c>
      <c r="F28" s="56">
        <v>0</v>
      </c>
      <c r="G28" s="56">
        <v>0</v>
      </c>
      <c r="H28" s="56">
        <v>0</v>
      </c>
      <c r="I28" s="56">
        <v>0</v>
      </c>
      <c r="J28" s="56">
        <v>0</v>
      </c>
      <c r="K28" s="56">
        <v>0</v>
      </c>
      <c r="L28" s="56">
        <v>0</v>
      </c>
      <c r="M28" s="56">
        <v>0</v>
      </c>
      <c r="N28" s="56">
        <v>0</v>
      </c>
      <c r="O28" s="56">
        <v>0</v>
      </c>
      <c r="P28" s="57">
        <f t="shared" si="0"/>
        <v>0</v>
      </c>
    </row>
    <row r="29" spans="1:16" ht="18" customHeight="1" x14ac:dyDescent="0.35">
      <c r="A29" s="33">
        <v>25</v>
      </c>
      <c r="B29" s="48" t="str">
        <f>'Initiative Register'!B29</f>
        <v>INI-025</v>
      </c>
      <c r="C29" s="48" t="str">
        <f>'Initiative Register'!C29</f>
        <v>ORTHOPAEDICS AND JOINT REPLACEMENT — VOLUME AND PACKAGE PROGRAMME</v>
      </c>
      <c r="D29" s="54">
        <v>0</v>
      </c>
      <c r="E29" s="54">
        <v>0</v>
      </c>
      <c r="F29" s="54">
        <v>0</v>
      </c>
      <c r="G29" s="54">
        <v>0</v>
      </c>
      <c r="H29" s="54">
        <v>0</v>
      </c>
      <c r="I29" s="54">
        <v>0</v>
      </c>
      <c r="J29" s="54">
        <v>0</v>
      </c>
      <c r="K29" s="54">
        <v>0</v>
      </c>
      <c r="L29" s="54">
        <v>0</v>
      </c>
      <c r="M29" s="54">
        <v>0</v>
      </c>
      <c r="N29" s="54">
        <v>0</v>
      </c>
      <c r="O29" s="54">
        <v>0</v>
      </c>
      <c r="P29" s="55">
        <f t="shared" si="0"/>
        <v>0</v>
      </c>
    </row>
    <row r="30" spans="1:16" ht="18" customHeight="1" x14ac:dyDescent="0.35">
      <c r="A30" s="29">
        <v>26</v>
      </c>
      <c r="B30" s="51" t="str">
        <f>'Initiative Register'!B30</f>
        <v>INI-026</v>
      </c>
      <c r="C30" s="51" t="str">
        <f>'Initiative Register'!C30</f>
        <v>LAKESHORE HEART RUN — ANNUAL CARDIAC HEALTH EVENT</v>
      </c>
      <c r="D30" s="56">
        <v>0</v>
      </c>
      <c r="E30" s="56">
        <v>0</v>
      </c>
      <c r="F30" s="56">
        <v>0</v>
      </c>
      <c r="G30" s="56">
        <v>0</v>
      </c>
      <c r="H30" s="56">
        <v>0</v>
      </c>
      <c r="I30" s="56">
        <v>0</v>
      </c>
      <c r="J30" s="56">
        <v>0</v>
      </c>
      <c r="K30" s="56">
        <v>0</v>
      </c>
      <c r="L30" s="56">
        <v>0</v>
      </c>
      <c r="M30" s="56">
        <v>0</v>
      </c>
      <c r="N30" s="56">
        <v>0</v>
      </c>
      <c r="O30" s="56">
        <v>0</v>
      </c>
      <c r="P30" s="57">
        <f t="shared" si="0"/>
        <v>0</v>
      </c>
    </row>
    <row r="31" spans="1:16" ht="18" customHeight="1" x14ac:dyDescent="0.35">
      <c r="A31" s="33">
        <v>27</v>
      </c>
      <c r="B31" s="51" t="str">
        <f>'Initiative Register'!B31</f>
        <v>INI-027</v>
      </c>
      <c r="C31" s="51" t="str">
        <f>'Initiative Register'!C31</f>
        <v>PREVENTIVE HEALTH + LIVER SCREENING CAMPAIGN</v>
      </c>
      <c r="D31" s="54">
        <v>0</v>
      </c>
      <c r="E31" s="54">
        <v>0</v>
      </c>
      <c r="F31" s="54">
        <v>0</v>
      </c>
      <c r="G31" s="54">
        <v>0</v>
      </c>
      <c r="H31" s="54">
        <v>0</v>
      </c>
      <c r="I31" s="54">
        <v>0</v>
      </c>
      <c r="J31" s="54">
        <v>0</v>
      </c>
      <c r="K31" s="54">
        <v>0</v>
      </c>
      <c r="L31" s="54">
        <v>0</v>
      </c>
      <c r="M31" s="54">
        <v>0</v>
      </c>
      <c r="N31" s="54">
        <v>0</v>
      </c>
      <c r="O31" s="54">
        <v>0</v>
      </c>
      <c r="P31" s="55">
        <f t="shared" si="0"/>
        <v>0</v>
      </c>
    </row>
    <row r="32" spans="1:16" ht="18" customHeight="1" x14ac:dyDescent="0.35">
      <c r="A32" s="29">
        <v>28</v>
      </c>
      <c r="B32" s="51" t="str">
        <f>'Initiative Register'!B32</f>
        <v>INI-028</v>
      </c>
      <c r="C32" s="51" t="str">
        <f>'Initiative Register'!C32</f>
        <v>DIGITAL CONTENT PLATFORM — MALAYALAM AND ENGLISH</v>
      </c>
      <c r="D32" s="56">
        <v>0</v>
      </c>
      <c r="E32" s="56">
        <v>0</v>
      </c>
      <c r="F32" s="56">
        <v>0</v>
      </c>
      <c r="G32" s="56">
        <v>0</v>
      </c>
      <c r="H32" s="56">
        <v>0</v>
      </c>
      <c r="I32" s="56">
        <v>0</v>
      </c>
      <c r="J32" s="56">
        <v>0</v>
      </c>
      <c r="K32" s="56">
        <v>0</v>
      </c>
      <c r="L32" s="56">
        <v>0</v>
      </c>
      <c r="M32" s="56">
        <v>0</v>
      </c>
      <c r="N32" s="56">
        <v>0</v>
      </c>
      <c r="O32" s="56">
        <v>0</v>
      </c>
      <c r="P32" s="57">
        <f t="shared" si="0"/>
        <v>0</v>
      </c>
    </row>
    <row r="33" spans="1:16" ht="18" customHeight="1" x14ac:dyDescent="0.35">
      <c r="A33" s="33">
        <v>29</v>
      </c>
      <c r="B33" s="51" t="str">
        <f>'Initiative Register'!B33</f>
        <v>INI-029</v>
      </c>
      <c r="C33" s="51" t="str">
        <f>'Initiative Register'!C33</f>
        <v>COMMUNITY HEALTH CAMPS — SCHOOLS, PLACES OF WORSHIP, RESIDENTIAL AREAS</v>
      </c>
      <c r="D33" s="54">
        <v>0</v>
      </c>
      <c r="E33" s="54">
        <v>0</v>
      </c>
      <c r="F33" s="54">
        <v>0</v>
      </c>
      <c r="G33" s="54">
        <v>0</v>
      </c>
      <c r="H33" s="54">
        <v>0</v>
      </c>
      <c r="I33" s="54">
        <v>0</v>
      </c>
      <c r="J33" s="54">
        <v>0</v>
      </c>
      <c r="K33" s="54">
        <v>0</v>
      </c>
      <c r="L33" s="54">
        <v>0</v>
      </c>
      <c r="M33" s="54">
        <v>0</v>
      </c>
      <c r="N33" s="54">
        <v>0</v>
      </c>
      <c r="O33" s="54">
        <v>0</v>
      </c>
      <c r="P33" s="55">
        <f t="shared" si="0"/>
        <v>0</v>
      </c>
    </row>
    <row r="34" spans="1:16" ht="18" customHeight="1" x14ac:dyDescent="0.35">
      <c r="A34" s="29">
        <v>30</v>
      </c>
      <c r="B34" s="51" t="str">
        <f>'Initiative Register'!B34</f>
        <v>INI-030</v>
      </c>
      <c r="C34" s="51" t="str">
        <f>'Initiative Register'!C34</f>
        <v>DOCTOR ONLINE REPUTATION AND DIGITAL DISCOVERABILITY</v>
      </c>
      <c r="D34" s="56">
        <v>0</v>
      </c>
      <c r="E34" s="56">
        <v>0</v>
      </c>
      <c r="F34" s="56">
        <v>0</v>
      </c>
      <c r="G34" s="56">
        <v>0</v>
      </c>
      <c r="H34" s="56">
        <v>0</v>
      </c>
      <c r="I34" s="56">
        <v>0</v>
      </c>
      <c r="J34" s="56">
        <v>0</v>
      </c>
      <c r="K34" s="56">
        <v>0</v>
      </c>
      <c r="L34" s="56">
        <v>0</v>
      </c>
      <c r="M34" s="56">
        <v>0</v>
      </c>
      <c r="N34" s="56">
        <v>0</v>
      </c>
      <c r="O34" s="56">
        <v>0</v>
      </c>
      <c r="P34" s="57">
        <f t="shared" si="0"/>
        <v>0</v>
      </c>
    </row>
    <row r="35" spans="1:16" ht="18" customHeight="1" x14ac:dyDescent="0.35">
      <c r="A35" s="33">
        <v>31</v>
      </c>
      <c r="B35" s="51" t="str">
        <f>'Initiative Register'!B35</f>
        <v>INI-031</v>
      </c>
      <c r="C35" s="51" t="str">
        <f>'Initiative Register'!C35</f>
        <v>TPA AND INSURER TARIFF RENEGOTIATION</v>
      </c>
      <c r="D35" s="54">
        <v>0</v>
      </c>
      <c r="E35" s="54">
        <v>0</v>
      </c>
      <c r="F35" s="54">
        <v>0</v>
      </c>
      <c r="G35" s="54">
        <v>0</v>
      </c>
      <c r="H35" s="54">
        <v>0</v>
      </c>
      <c r="I35" s="54">
        <v>0</v>
      </c>
      <c r="J35" s="54">
        <v>0</v>
      </c>
      <c r="K35" s="54">
        <v>0</v>
      </c>
      <c r="L35" s="54">
        <v>0</v>
      </c>
      <c r="M35" s="54">
        <v>0</v>
      </c>
      <c r="N35" s="54">
        <v>0</v>
      </c>
      <c r="O35" s="54">
        <v>0</v>
      </c>
      <c r="P35" s="55">
        <f t="shared" si="0"/>
        <v>0</v>
      </c>
    </row>
    <row r="36" spans="1:16" ht="18" customHeight="1" x14ac:dyDescent="0.35">
      <c r="A36" s="29">
        <v>32</v>
      </c>
      <c r="B36" s="51" t="str">
        <f>'Initiative Register'!B36</f>
        <v>INI-032</v>
      </c>
      <c r="C36" s="51" t="str">
        <f>'Initiative Register'!C36</f>
        <v>FINANCIAL COUNSELLING AND PRE-AUTHORISATION AT SURGICAL OPD</v>
      </c>
      <c r="D36" s="56">
        <v>0</v>
      </c>
      <c r="E36" s="56">
        <v>0</v>
      </c>
      <c r="F36" s="56">
        <v>0</v>
      </c>
      <c r="G36" s="56">
        <v>0</v>
      </c>
      <c r="H36" s="56">
        <v>0</v>
      </c>
      <c r="I36" s="56">
        <v>0</v>
      </c>
      <c r="J36" s="56">
        <v>0</v>
      </c>
      <c r="K36" s="56">
        <v>0</v>
      </c>
      <c r="L36" s="56">
        <v>0</v>
      </c>
      <c r="M36" s="56">
        <v>0</v>
      </c>
      <c r="N36" s="56">
        <v>0</v>
      </c>
      <c r="O36" s="56">
        <v>0</v>
      </c>
      <c r="P36" s="57">
        <f t="shared" si="0"/>
        <v>0</v>
      </c>
    </row>
    <row r="37" spans="1:16" ht="18" customHeight="1" x14ac:dyDescent="0.35">
      <c r="A37" s="33">
        <v>33</v>
      </c>
      <c r="B37" s="51" t="str">
        <f>'Initiative Register'!B37</f>
        <v>INI-033</v>
      </c>
      <c r="C37" s="51" t="str">
        <f>'Initiative Register'!C37</f>
        <v>BUILD A SCALED BD ORGANISATION</v>
      </c>
      <c r="D37" s="54">
        <v>0</v>
      </c>
      <c r="E37" s="54">
        <v>0</v>
      </c>
      <c r="F37" s="54">
        <v>0</v>
      </c>
      <c r="G37" s="54">
        <v>0</v>
      </c>
      <c r="H37" s="54">
        <v>0</v>
      </c>
      <c r="I37" s="54">
        <v>0</v>
      </c>
      <c r="J37" s="54">
        <v>0</v>
      </c>
      <c r="K37" s="54">
        <v>0</v>
      </c>
      <c r="L37" s="54">
        <v>0</v>
      </c>
      <c r="M37" s="54">
        <v>0</v>
      </c>
      <c r="N37" s="54">
        <v>0</v>
      </c>
      <c r="O37" s="54">
        <v>0</v>
      </c>
      <c r="P37" s="55">
        <f t="shared" si="0"/>
        <v>0</v>
      </c>
    </row>
    <row r="38" spans="1:16" ht="18" customHeight="1" x14ac:dyDescent="0.35">
      <c r="A38" s="29">
        <v>34</v>
      </c>
      <c r="B38" s="51" t="str">
        <f>'Initiative Register'!B38</f>
        <v>INI-034</v>
      </c>
      <c r="C38" s="51" t="str">
        <f>'Initiative Register'!C38</f>
        <v>MATERIALS / DRUG COST &amp; CONSUMABLES</v>
      </c>
      <c r="D38" s="56">
        <v>0</v>
      </c>
      <c r="E38" s="56">
        <v>0</v>
      </c>
      <c r="F38" s="56">
        <v>0</v>
      </c>
      <c r="G38" s="56">
        <v>0</v>
      </c>
      <c r="H38" s="56">
        <v>0</v>
      </c>
      <c r="I38" s="56">
        <v>0</v>
      </c>
      <c r="J38" s="56">
        <v>0</v>
      </c>
      <c r="K38" s="56">
        <v>0</v>
      </c>
      <c r="L38" s="56">
        <v>0</v>
      </c>
      <c r="M38" s="56">
        <v>0</v>
      </c>
      <c r="N38" s="56">
        <v>0</v>
      </c>
      <c r="O38" s="56">
        <v>0</v>
      </c>
      <c r="P38" s="57">
        <f t="shared" si="0"/>
        <v>0</v>
      </c>
    </row>
    <row r="39" spans="1:16" ht="18" customHeight="1" x14ac:dyDescent="0.35">
      <c r="A39" s="33">
        <v>35</v>
      </c>
      <c r="B39" s="51" t="str">
        <f>'Initiative Register'!B39</f>
        <v>INI-035</v>
      </c>
      <c r="C39" s="51" t="str">
        <f>'Initiative Register'!C39</f>
        <v>MATERIALS / DRUG COST &amp; CONSUMABLES</v>
      </c>
      <c r="D39" s="54">
        <v>0</v>
      </c>
      <c r="E39" s="54">
        <v>0</v>
      </c>
      <c r="F39" s="54">
        <v>0</v>
      </c>
      <c r="G39" s="54">
        <v>0</v>
      </c>
      <c r="H39" s="54">
        <v>0</v>
      </c>
      <c r="I39" s="54">
        <v>0</v>
      </c>
      <c r="J39" s="54">
        <v>0</v>
      </c>
      <c r="K39" s="54">
        <v>0</v>
      </c>
      <c r="L39" s="54">
        <v>0</v>
      </c>
      <c r="M39" s="54">
        <v>0</v>
      </c>
      <c r="N39" s="54">
        <v>0</v>
      </c>
      <c r="O39" s="54">
        <v>0</v>
      </c>
      <c r="P39" s="55">
        <f t="shared" si="0"/>
        <v>0</v>
      </c>
    </row>
    <row r="40" spans="1:16" ht="18" customHeight="1" x14ac:dyDescent="0.35">
      <c r="A40" s="29">
        <v>36</v>
      </c>
      <c r="B40" s="51" t="str">
        <f>'Initiative Register'!B40</f>
        <v>INI-036</v>
      </c>
      <c r="C40" s="51" t="str">
        <f>'Initiative Register'!C40</f>
        <v>MATERIALS / DRUG COST &amp; CONSUMABLES</v>
      </c>
      <c r="D40" s="56">
        <v>0</v>
      </c>
      <c r="E40" s="56">
        <v>0</v>
      </c>
      <c r="F40" s="56">
        <v>0</v>
      </c>
      <c r="G40" s="56">
        <v>0</v>
      </c>
      <c r="H40" s="56">
        <v>0</v>
      </c>
      <c r="I40" s="56">
        <v>0</v>
      </c>
      <c r="J40" s="56">
        <v>0</v>
      </c>
      <c r="K40" s="56">
        <v>0</v>
      </c>
      <c r="L40" s="56">
        <v>0</v>
      </c>
      <c r="M40" s="56">
        <v>0</v>
      </c>
      <c r="N40" s="56">
        <v>0</v>
      </c>
      <c r="O40" s="56">
        <v>0</v>
      </c>
      <c r="P40" s="57">
        <f t="shared" si="0"/>
        <v>0</v>
      </c>
    </row>
    <row r="41" spans="1:16" ht="18" customHeight="1" x14ac:dyDescent="0.35">
      <c r="A41" s="33">
        <v>37</v>
      </c>
      <c r="B41" s="51" t="str">
        <f>'Initiative Register'!B41</f>
        <v>INI-037</v>
      </c>
      <c r="C41" s="51" t="str">
        <f>'Initiative Register'!C41</f>
        <v>MATERIALS / DRUG COST &amp; CONSUMABLES</v>
      </c>
      <c r="D41" s="54">
        <v>0</v>
      </c>
      <c r="E41" s="54">
        <v>0</v>
      </c>
      <c r="F41" s="54">
        <v>0</v>
      </c>
      <c r="G41" s="54">
        <v>0</v>
      </c>
      <c r="H41" s="54">
        <v>0</v>
      </c>
      <c r="I41" s="54">
        <v>0</v>
      </c>
      <c r="J41" s="54">
        <v>0</v>
      </c>
      <c r="K41" s="54">
        <v>0</v>
      </c>
      <c r="L41" s="54">
        <v>0</v>
      </c>
      <c r="M41" s="54">
        <v>0</v>
      </c>
      <c r="N41" s="54">
        <v>0</v>
      </c>
      <c r="O41" s="54">
        <v>0</v>
      </c>
      <c r="P41" s="55">
        <f t="shared" si="0"/>
        <v>0</v>
      </c>
    </row>
    <row r="42" spans="1:16" ht="18" customHeight="1" x14ac:dyDescent="0.35">
      <c r="A42" s="29">
        <v>38</v>
      </c>
      <c r="B42" s="51" t="str">
        <f>'Initiative Register'!B42</f>
        <v>INI-038</v>
      </c>
      <c r="C42" s="51" t="str">
        <f>'Initiative Register'!C42</f>
        <v>MATERIALS / DRUG COST &amp; CONSUMABLES</v>
      </c>
      <c r="D42" s="56">
        <v>0</v>
      </c>
      <c r="E42" s="56">
        <v>0</v>
      </c>
      <c r="F42" s="56">
        <v>0</v>
      </c>
      <c r="G42" s="56">
        <v>0</v>
      </c>
      <c r="H42" s="56">
        <v>0</v>
      </c>
      <c r="I42" s="56">
        <v>0</v>
      </c>
      <c r="J42" s="56">
        <v>0</v>
      </c>
      <c r="K42" s="56">
        <v>0</v>
      </c>
      <c r="L42" s="56">
        <v>0</v>
      </c>
      <c r="M42" s="56">
        <v>0</v>
      </c>
      <c r="N42" s="56">
        <v>0</v>
      </c>
      <c r="O42" s="56">
        <v>0</v>
      </c>
      <c r="P42" s="57">
        <f t="shared" si="0"/>
        <v>0</v>
      </c>
    </row>
    <row r="43" spans="1:16" ht="18" customHeight="1" x14ac:dyDescent="0.35">
      <c r="A43" s="33">
        <v>39</v>
      </c>
      <c r="B43" s="51" t="str">
        <f>'Initiative Register'!B43</f>
        <v>INI-039</v>
      </c>
      <c r="C43" s="51" t="str">
        <f>'Initiative Register'!C43</f>
        <v>MATERIALS / DRUG COST &amp; CONSUMABLES</v>
      </c>
      <c r="D43" s="54">
        <v>0</v>
      </c>
      <c r="E43" s="54">
        <v>0</v>
      </c>
      <c r="F43" s="54">
        <v>0</v>
      </c>
      <c r="G43" s="54">
        <v>0</v>
      </c>
      <c r="H43" s="54">
        <v>0</v>
      </c>
      <c r="I43" s="54">
        <v>0</v>
      </c>
      <c r="J43" s="54">
        <v>0</v>
      </c>
      <c r="K43" s="54">
        <v>0</v>
      </c>
      <c r="L43" s="54">
        <v>0</v>
      </c>
      <c r="M43" s="54">
        <v>0</v>
      </c>
      <c r="N43" s="54">
        <v>0</v>
      </c>
      <c r="O43" s="54">
        <v>0</v>
      </c>
      <c r="P43" s="55">
        <f t="shared" si="0"/>
        <v>0</v>
      </c>
    </row>
    <row r="44" spans="1:16" ht="18" customHeight="1" x14ac:dyDescent="0.35">
      <c r="A44" s="29">
        <v>40</v>
      </c>
      <c r="B44" s="51" t="str">
        <f>'Initiative Register'!B44</f>
        <v>INI-040</v>
      </c>
      <c r="C44" s="51" t="str">
        <f>'Initiative Register'!C44</f>
        <v>MATERIALS / DRUG COST &amp; CONSUMABLES</v>
      </c>
      <c r="D44" s="56">
        <v>0</v>
      </c>
      <c r="E44" s="56">
        <v>0</v>
      </c>
      <c r="F44" s="56">
        <v>0</v>
      </c>
      <c r="G44" s="56">
        <v>0</v>
      </c>
      <c r="H44" s="56">
        <v>0</v>
      </c>
      <c r="I44" s="56">
        <v>0</v>
      </c>
      <c r="J44" s="56">
        <v>0</v>
      </c>
      <c r="K44" s="56">
        <v>0</v>
      </c>
      <c r="L44" s="56">
        <v>0</v>
      </c>
      <c r="M44" s="56">
        <v>0</v>
      </c>
      <c r="N44" s="56">
        <v>0</v>
      </c>
      <c r="O44" s="56">
        <v>0</v>
      </c>
      <c r="P44" s="57">
        <f t="shared" si="0"/>
        <v>0</v>
      </c>
    </row>
    <row r="45" spans="1:16" ht="18" customHeight="1" x14ac:dyDescent="0.35">
      <c r="A45" s="33">
        <v>41</v>
      </c>
      <c r="B45" s="51" t="str">
        <f>'Initiative Register'!B45</f>
        <v>INI-041</v>
      </c>
      <c r="C45" s="51" t="str">
        <f>'Initiative Register'!C45</f>
        <v>MATERIALS / DRUG COST &amp; CONSUMABLES</v>
      </c>
      <c r="D45" s="54">
        <v>0</v>
      </c>
      <c r="E45" s="54">
        <v>0</v>
      </c>
      <c r="F45" s="54">
        <v>0</v>
      </c>
      <c r="G45" s="54">
        <v>0</v>
      </c>
      <c r="H45" s="54">
        <v>0</v>
      </c>
      <c r="I45" s="54">
        <v>0</v>
      </c>
      <c r="J45" s="54">
        <v>0</v>
      </c>
      <c r="K45" s="54">
        <v>0</v>
      </c>
      <c r="L45" s="54">
        <v>0</v>
      </c>
      <c r="M45" s="54">
        <v>0</v>
      </c>
      <c r="N45" s="54">
        <v>0</v>
      </c>
      <c r="O45" s="54">
        <v>0</v>
      </c>
      <c r="P45" s="55">
        <f t="shared" si="0"/>
        <v>0</v>
      </c>
    </row>
    <row r="46" spans="1:16" ht="18" customHeight="1" x14ac:dyDescent="0.35">
      <c r="A46" s="29">
        <v>42</v>
      </c>
      <c r="B46" s="51" t="str">
        <f>'Initiative Register'!B46</f>
        <v>INI-042</v>
      </c>
      <c r="C46" s="51" t="str">
        <f>'Initiative Register'!C46</f>
        <v>PAYROLL – NURSING OPTIMISATION</v>
      </c>
      <c r="D46" s="56">
        <v>0</v>
      </c>
      <c r="E46" s="56">
        <v>0</v>
      </c>
      <c r="F46" s="56">
        <v>0</v>
      </c>
      <c r="G46" s="56">
        <v>0</v>
      </c>
      <c r="H46" s="56">
        <v>0</v>
      </c>
      <c r="I46" s="56">
        <v>0</v>
      </c>
      <c r="J46" s="56">
        <v>0</v>
      </c>
      <c r="K46" s="56">
        <v>0</v>
      </c>
      <c r="L46" s="56">
        <v>0</v>
      </c>
      <c r="M46" s="56">
        <v>0</v>
      </c>
      <c r="N46" s="56">
        <v>0</v>
      </c>
      <c r="O46" s="56">
        <v>0</v>
      </c>
      <c r="P46" s="57">
        <f t="shared" si="0"/>
        <v>0</v>
      </c>
    </row>
    <row r="47" spans="1:16" ht="18" customHeight="1" x14ac:dyDescent="0.35">
      <c r="A47" s="33">
        <v>43</v>
      </c>
      <c r="B47" s="51" t="str">
        <f>'Initiative Register'!B47</f>
        <v>INI-043</v>
      </c>
      <c r="C47" s="51" t="str">
        <f>'Initiative Register'!C47</f>
        <v>PAYROLL – PHARMACY OPTIMISATION</v>
      </c>
      <c r="D47" s="54">
        <v>0</v>
      </c>
      <c r="E47" s="54">
        <v>0</v>
      </c>
      <c r="F47" s="54">
        <v>0</v>
      </c>
      <c r="G47" s="54">
        <v>0</v>
      </c>
      <c r="H47" s="54">
        <v>0</v>
      </c>
      <c r="I47" s="54">
        <v>0</v>
      </c>
      <c r="J47" s="54">
        <v>0</v>
      </c>
      <c r="K47" s="54">
        <v>0</v>
      </c>
      <c r="L47" s="54">
        <v>0</v>
      </c>
      <c r="M47" s="54">
        <v>0</v>
      </c>
      <c r="N47" s="54">
        <v>0</v>
      </c>
      <c r="O47" s="54">
        <v>0</v>
      </c>
      <c r="P47" s="55">
        <f t="shared" si="0"/>
        <v>0</v>
      </c>
    </row>
    <row r="48" spans="1:16" ht="18" customHeight="1" x14ac:dyDescent="0.35">
      <c r="A48" s="29">
        <v>44</v>
      </c>
      <c r="B48" s="51" t="str">
        <f>'Initiative Register'!B48</f>
        <v>INI-044</v>
      </c>
      <c r="C48" s="51" t="str">
        <f>'Initiative Register'!C48</f>
        <v>PAYROLL – ADMIN (PCS) OPTIMISATION</v>
      </c>
      <c r="D48" s="56">
        <v>0</v>
      </c>
      <c r="E48" s="56">
        <v>0</v>
      </c>
      <c r="F48" s="56">
        <v>0</v>
      </c>
      <c r="G48" s="56">
        <v>0</v>
      </c>
      <c r="H48" s="56">
        <v>0</v>
      </c>
      <c r="I48" s="56">
        <v>0</v>
      </c>
      <c r="J48" s="56">
        <v>0</v>
      </c>
      <c r="K48" s="56">
        <v>0</v>
      </c>
      <c r="L48" s="56">
        <v>0</v>
      </c>
      <c r="M48" s="56">
        <v>0</v>
      </c>
      <c r="N48" s="56">
        <v>0</v>
      </c>
      <c r="O48" s="56">
        <v>0</v>
      </c>
      <c r="P48" s="57">
        <f t="shared" si="0"/>
        <v>0</v>
      </c>
    </row>
    <row r="49" spans="1:16" ht="18" customHeight="1" x14ac:dyDescent="0.35">
      <c r="A49" s="33">
        <v>45</v>
      </c>
      <c r="B49" s="51" t="str">
        <f>'Initiative Register'!B49</f>
        <v>INI-045</v>
      </c>
      <c r="C49" s="51" t="str">
        <f>'Initiative Register'!C49</f>
        <v>PAYROLL – LAB OPTIMISATION</v>
      </c>
      <c r="D49" s="54">
        <v>0</v>
      </c>
      <c r="E49" s="54">
        <v>0</v>
      </c>
      <c r="F49" s="54">
        <v>0</v>
      </c>
      <c r="G49" s="54">
        <v>0</v>
      </c>
      <c r="H49" s="54">
        <v>0</v>
      </c>
      <c r="I49" s="54">
        <v>0</v>
      </c>
      <c r="J49" s="54">
        <v>0</v>
      </c>
      <c r="K49" s="54">
        <v>0</v>
      </c>
      <c r="L49" s="54">
        <v>0</v>
      </c>
      <c r="M49" s="54">
        <v>0</v>
      </c>
      <c r="N49" s="54">
        <v>0</v>
      </c>
      <c r="O49" s="54">
        <v>0</v>
      </c>
      <c r="P49" s="55">
        <f t="shared" si="0"/>
        <v>0</v>
      </c>
    </row>
    <row r="50" spans="1:16" ht="18" customHeight="1" x14ac:dyDescent="0.35">
      <c r="A50" s="29">
        <v>46</v>
      </c>
      <c r="B50" s="51" t="str">
        <f>'Initiative Register'!B50</f>
        <v>INI-046</v>
      </c>
      <c r="C50" s="51" t="str">
        <f>'Initiative Register'!C50</f>
        <v>PAYROLL – OT COST CONTROL</v>
      </c>
      <c r="D50" s="56">
        <v>0</v>
      </c>
      <c r="E50" s="56">
        <v>0</v>
      </c>
      <c r="F50" s="56">
        <v>0</v>
      </c>
      <c r="G50" s="56">
        <v>0</v>
      </c>
      <c r="H50" s="56">
        <v>0</v>
      </c>
      <c r="I50" s="56">
        <v>0</v>
      </c>
      <c r="J50" s="56">
        <v>0</v>
      </c>
      <c r="K50" s="56">
        <v>0</v>
      </c>
      <c r="L50" s="56">
        <v>0</v>
      </c>
      <c r="M50" s="56">
        <v>0</v>
      </c>
      <c r="N50" s="56">
        <v>0</v>
      </c>
      <c r="O50" s="56">
        <v>0</v>
      </c>
      <c r="P50" s="57">
        <f t="shared" si="0"/>
        <v>0</v>
      </c>
    </row>
    <row r="51" spans="1:16" ht="18" customHeight="1" x14ac:dyDescent="0.35">
      <c r="A51" s="33">
        <v>47</v>
      </c>
      <c r="B51" s="51" t="str">
        <f>'Initiative Register'!B51</f>
        <v>INI-047</v>
      </c>
      <c r="C51" s="51" t="str">
        <f>'Initiative Register'!C51</f>
        <v>PAYROLL – OUTSOURCED CONTRACT OPTIMISATION</v>
      </c>
      <c r="D51" s="54">
        <v>0</v>
      </c>
      <c r="E51" s="54">
        <v>0</v>
      </c>
      <c r="F51" s="54">
        <v>0</v>
      </c>
      <c r="G51" s="54">
        <v>0</v>
      </c>
      <c r="H51" s="54">
        <v>0</v>
      </c>
      <c r="I51" s="54">
        <v>0</v>
      </c>
      <c r="J51" s="54">
        <v>0</v>
      </c>
      <c r="K51" s="54">
        <v>0</v>
      </c>
      <c r="L51" s="54">
        <v>0</v>
      </c>
      <c r="M51" s="54">
        <v>0</v>
      </c>
      <c r="N51" s="54">
        <v>0</v>
      </c>
      <c r="O51" s="54">
        <v>0</v>
      </c>
      <c r="P51" s="55">
        <f t="shared" si="0"/>
        <v>0</v>
      </c>
    </row>
    <row r="52" spans="1:16" ht="18" customHeight="1" x14ac:dyDescent="0.35">
      <c r="A52" s="29">
        <v>48</v>
      </c>
      <c r="B52" s="51" t="str">
        <f>'Initiative Register'!B52</f>
        <v>INI-048</v>
      </c>
      <c r="C52" s="51" t="str">
        <f>'Initiative Register'!C52</f>
        <v>OVERHEAD – ENERGY COST OPTIMISATION</v>
      </c>
      <c r="D52" s="56">
        <v>0</v>
      </c>
      <c r="E52" s="56">
        <v>0</v>
      </c>
      <c r="F52" s="56">
        <v>0</v>
      </c>
      <c r="G52" s="56">
        <v>0</v>
      </c>
      <c r="H52" s="56">
        <v>0</v>
      </c>
      <c r="I52" s="56">
        <v>0</v>
      </c>
      <c r="J52" s="56">
        <v>0</v>
      </c>
      <c r="K52" s="56">
        <v>0</v>
      </c>
      <c r="L52" s="56">
        <v>0</v>
      </c>
      <c r="M52" s="56">
        <v>0</v>
      </c>
      <c r="N52" s="56">
        <v>0</v>
      </c>
      <c r="O52" s="56">
        <v>0</v>
      </c>
      <c r="P52" s="57">
        <f t="shared" si="0"/>
        <v>0</v>
      </c>
    </row>
    <row r="53" spans="1:16" ht="18" customHeight="1" x14ac:dyDescent="0.35">
      <c r="A53" s="33">
        <v>49</v>
      </c>
      <c r="B53" s="51" t="str">
        <f>'Initiative Register'!B53</f>
        <v>INI-049</v>
      </c>
      <c r="C53" s="51" t="str">
        <f>'Initiative Register'!C53</f>
        <v>OVERHEAD – F&amp;B COST OPTIMISATION</v>
      </c>
      <c r="D53" s="54">
        <v>0</v>
      </c>
      <c r="E53" s="54">
        <v>0</v>
      </c>
      <c r="F53" s="54">
        <v>0</v>
      </c>
      <c r="G53" s="54">
        <v>0</v>
      </c>
      <c r="H53" s="54">
        <v>0</v>
      </c>
      <c r="I53" s="54">
        <v>0</v>
      </c>
      <c r="J53" s="54">
        <v>0</v>
      </c>
      <c r="K53" s="54">
        <v>0</v>
      </c>
      <c r="L53" s="54">
        <v>0</v>
      </c>
      <c r="M53" s="54">
        <v>0</v>
      </c>
      <c r="N53" s="54">
        <v>0</v>
      </c>
      <c r="O53" s="54">
        <v>0</v>
      </c>
      <c r="P53" s="55">
        <f t="shared" si="0"/>
        <v>0</v>
      </c>
    </row>
    <row r="54" spans="1:16" ht="18" customHeight="1" x14ac:dyDescent="0.35">
      <c r="A54" s="29">
        <v>50</v>
      </c>
      <c r="B54" s="51" t="str">
        <f>'Initiative Register'!B54</f>
        <v>INI-050</v>
      </c>
      <c r="C54" s="51" t="str">
        <f>'Initiative Register'!C54</f>
        <v>OVERHEAD – CLAIM DENIAL REDUCTION</v>
      </c>
      <c r="D54" s="56">
        <v>0</v>
      </c>
      <c r="E54" s="56">
        <v>0</v>
      </c>
      <c r="F54" s="56">
        <v>0</v>
      </c>
      <c r="G54" s="56">
        <v>0</v>
      </c>
      <c r="H54" s="56">
        <v>0</v>
      </c>
      <c r="I54" s="56">
        <v>0</v>
      </c>
      <c r="J54" s="56">
        <v>0</v>
      </c>
      <c r="K54" s="56">
        <v>0</v>
      </c>
      <c r="L54" s="56">
        <v>0</v>
      </c>
      <c r="M54" s="56">
        <v>0</v>
      </c>
      <c r="N54" s="56">
        <v>0</v>
      </c>
      <c r="O54" s="56">
        <v>0</v>
      </c>
      <c r="P54" s="57">
        <f t="shared" si="0"/>
        <v>0</v>
      </c>
    </row>
    <row r="55" spans="1:16" ht="18" customHeight="1" x14ac:dyDescent="0.35">
      <c r="A55" s="29">
        <v>51</v>
      </c>
      <c r="B55" s="51" t="str">
        <f>'Initiative Register'!B55</f>
        <v>INI-051</v>
      </c>
      <c r="C55" s="51" t="str">
        <f>'Initiative Register'!C55</f>
        <v>OVERHEAD – REVENUE LEAKAGE RECOVERY</v>
      </c>
      <c r="D55" s="56">
        <v>0</v>
      </c>
      <c r="E55" s="56">
        <v>0</v>
      </c>
      <c r="F55" s="56">
        <v>0</v>
      </c>
      <c r="G55" s="56">
        <v>0</v>
      </c>
      <c r="H55" s="56">
        <v>0</v>
      </c>
      <c r="I55" s="56">
        <v>0</v>
      </c>
      <c r="J55" s="56">
        <v>0</v>
      </c>
      <c r="K55" s="56">
        <v>0</v>
      </c>
      <c r="L55" s="56">
        <v>0</v>
      </c>
      <c r="M55" s="56">
        <v>0</v>
      </c>
      <c r="N55" s="56">
        <v>0</v>
      </c>
      <c r="O55" s="56">
        <v>0</v>
      </c>
      <c r="P55" s="57">
        <f t="shared" ref="P55:P72" si="1">SUM(D55:O55)</f>
        <v>0</v>
      </c>
    </row>
    <row r="56" spans="1:16" ht="18" customHeight="1" x14ac:dyDescent="0.35">
      <c r="A56" s="29">
        <v>52</v>
      </c>
      <c r="B56" s="51" t="str">
        <f>'Initiative Register'!B56</f>
        <v>INI-052</v>
      </c>
      <c r="C56" s="51" t="str">
        <f>'Initiative Register'!C56</f>
        <v>WORKING CAPITAL – CREDITOR DAYS OPTIMISATION</v>
      </c>
      <c r="D56" s="56">
        <v>0</v>
      </c>
      <c r="E56" s="56">
        <v>0</v>
      </c>
      <c r="F56" s="56">
        <v>0</v>
      </c>
      <c r="G56" s="56">
        <v>0</v>
      </c>
      <c r="H56" s="56">
        <v>0</v>
      </c>
      <c r="I56" s="56">
        <v>0</v>
      </c>
      <c r="J56" s="56">
        <v>0</v>
      </c>
      <c r="K56" s="56">
        <v>0</v>
      </c>
      <c r="L56" s="56">
        <v>0</v>
      </c>
      <c r="M56" s="56">
        <v>0</v>
      </c>
      <c r="N56" s="56">
        <v>0</v>
      </c>
      <c r="O56" s="56">
        <v>0</v>
      </c>
      <c r="P56" s="57">
        <f t="shared" si="1"/>
        <v>0</v>
      </c>
    </row>
    <row r="57" spans="1:16" ht="18" customHeight="1" x14ac:dyDescent="0.35">
      <c r="A57" s="29">
        <v>53</v>
      </c>
      <c r="B57" s="51" t="str">
        <f>'Initiative Register'!B57</f>
        <v>INI-053</v>
      </c>
      <c r="C57" s="51" t="str">
        <f>'Initiative Register'!C57</f>
        <v>PROFESSIONAL FEE RATIONALISATION</v>
      </c>
      <c r="D57" s="56">
        <v>0</v>
      </c>
      <c r="E57" s="56">
        <v>0</v>
      </c>
      <c r="F57" s="56">
        <v>0</v>
      </c>
      <c r="G57" s="56">
        <v>0</v>
      </c>
      <c r="H57" s="56">
        <v>0</v>
      </c>
      <c r="I57" s="56">
        <v>0</v>
      </c>
      <c r="J57" s="56">
        <v>0</v>
      </c>
      <c r="K57" s="56">
        <v>0</v>
      </c>
      <c r="L57" s="56">
        <v>0</v>
      </c>
      <c r="M57" s="56">
        <v>0</v>
      </c>
      <c r="N57" s="56">
        <v>0</v>
      </c>
      <c r="O57" s="56">
        <v>0</v>
      </c>
      <c r="P57" s="57">
        <f t="shared" si="1"/>
        <v>0</v>
      </c>
    </row>
    <row r="58" spans="1:16" ht="18" customHeight="1" x14ac:dyDescent="0.35">
      <c r="A58" s="29">
        <v>54</v>
      </c>
      <c r="B58" s="51" t="str">
        <f>'Initiative Register'!B58</f>
        <v/>
      </c>
      <c r="C58" s="51">
        <f>'Initiative Register'!C58</f>
        <v>0</v>
      </c>
      <c r="D58" s="56">
        <v>0</v>
      </c>
      <c r="E58" s="56">
        <v>0</v>
      </c>
      <c r="F58" s="56">
        <v>0</v>
      </c>
      <c r="G58" s="56">
        <v>0</v>
      </c>
      <c r="H58" s="56">
        <v>0</v>
      </c>
      <c r="I58" s="56">
        <v>0</v>
      </c>
      <c r="J58" s="56">
        <v>0</v>
      </c>
      <c r="K58" s="56">
        <v>0</v>
      </c>
      <c r="L58" s="56">
        <v>0</v>
      </c>
      <c r="M58" s="56">
        <v>0</v>
      </c>
      <c r="N58" s="56">
        <v>0</v>
      </c>
      <c r="O58" s="56">
        <v>0</v>
      </c>
      <c r="P58" s="57">
        <f t="shared" si="1"/>
        <v>0</v>
      </c>
    </row>
    <row r="59" spans="1:16" ht="18" customHeight="1" x14ac:dyDescent="0.35">
      <c r="A59" s="29">
        <v>55</v>
      </c>
      <c r="B59" s="51" t="str">
        <f>'Initiative Register'!B59</f>
        <v/>
      </c>
      <c r="C59" s="51">
        <f>'Initiative Register'!C59</f>
        <v>0</v>
      </c>
      <c r="D59" s="56">
        <v>0</v>
      </c>
      <c r="E59" s="56">
        <v>0</v>
      </c>
      <c r="F59" s="56">
        <v>0</v>
      </c>
      <c r="G59" s="56">
        <v>0</v>
      </c>
      <c r="H59" s="56">
        <v>0</v>
      </c>
      <c r="I59" s="56">
        <v>0</v>
      </c>
      <c r="J59" s="56">
        <v>0</v>
      </c>
      <c r="K59" s="56">
        <v>0</v>
      </c>
      <c r="L59" s="56">
        <v>0</v>
      </c>
      <c r="M59" s="56">
        <v>0</v>
      </c>
      <c r="N59" s="56">
        <v>0</v>
      </c>
      <c r="O59" s="56">
        <v>0</v>
      </c>
      <c r="P59" s="57">
        <f t="shared" si="1"/>
        <v>0</v>
      </c>
    </row>
    <row r="60" spans="1:16" ht="18" customHeight="1" x14ac:dyDescent="0.35">
      <c r="A60" s="29">
        <v>56</v>
      </c>
      <c r="B60" s="51">
        <f>'Initiative Register'!B60</f>
        <v>0</v>
      </c>
      <c r="C60" s="51">
        <f>'Initiative Register'!C60</f>
        <v>0</v>
      </c>
      <c r="D60" s="56">
        <v>0</v>
      </c>
      <c r="E60" s="56">
        <v>0</v>
      </c>
      <c r="F60" s="56">
        <v>0</v>
      </c>
      <c r="G60" s="56">
        <v>0</v>
      </c>
      <c r="H60" s="56">
        <v>0</v>
      </c>
      <c r="I60" s="56">
        <v>0</v>
      </c>
      <c r="J60" s="56">
        <v>0</v>
      </c>
      <c r="K60" s="56">
        <v>0</v>
      </c>
      <c r="L60" s="56">
        <v>0</v>
      </c>
      <c r="M60" s="56">
        <v>0</v>
      </c>
      <c r="N60" s="56">
        <v>0</v>
      </c>
      <c r="O60" s="56">
        <v>0</v>
      </c>
      <c r="P60" s="57">
        <f t="shared" si="1"/>
        <v>0</v>
      </c>
    </row>
    <row r="61" spans="1:16" ht="18" customHeight="1" x14ac:dyDescent="0.35">
      <c r="A61" s="29">
        <v>57</v>
      </c>
      <c r="B61" s="51">
        <f>'Initiative Register'!B61</f>
        <v>0</v>
      </c>
      <c r="C61" s="51">
        <f>'Initiative Register'!C61</f>
        <v>0</v>
      </c>
      <c r="D61" s="56">
        <v>0</v>
      </c>
      <c r="E61" s="56">
        <v>0</v>
      </c>
      <c r="F61" s="56">
        <v>0</v>
      </c>
      <c r="G61" s="56">
        <v>0</v>
      </c>
      <c r="H61" s="56">
        <v>0</v>
      </c>
      <c r="I61" s="56">
        <v>0</v>
      </c>
      <c r="J61" s="56">
        <v>0</v>
      </c>
      <c r="K61" s="56">
        <v>0</v>
      </c>
      <c r="L61" s="56">
        <v>0</v>
      </c>
      <c r="M61" s="56">
        <v>0</v>
      </c>
      <c r="N61" s="56">
        <v>0</v>
      </c>
      <c r="O61" s="56">
        <v>0</v>
      </c>
      <c r="P61" s="57">
        <f t="shared" si="1"/>
        <v>0</v>
      </c>
    </row>
    <row r="62" spans="1:16" ht="18" customHeight="1" x14ac:dyDescent="0.35">
      <c r="A62" s="29">
        <v>58</v>
      </c>
      <c r="B62" s="51">
        <f>'Initiative Register'!B62</f>
        <v>0</v>
      </c>
      <c r="C62" s="51">
        <f>'Initiative Register'!C62</f>
        <v>0</v>
      </c>
      <c r="D62" s="56">
        <v>0</v>
      </c>
      <c r="E62" s="56">
        <v>0</v>
      </c>
      <c r="F62" s="56">
        <v>0</v>
      </c>
      <c r="G62" s="56">
        <v>0</v>
      </c>
      <c r="H62" s="56">
        <v>0</v>
      </c>
      <c r="I62" s="56">
        <v>0</v>
      </c>
      <c r="J62" s="56">
        <v>0</v>
      </c>
      <c r="K62" s="56">
        <v>0</v>
      </c>
      <c r="L62" s="56">
        <v>0</v>
      </c>
      <c r="M62" s="56">
        <v>0</v>
      </c>
      <c r="N62" s="56">
        <v>0</v>
      </c>
      <c r="O62" s="56">
        <v>0</v>
      </c>
      <c r="P62" s="57">
        <f t="shared" si="1"/>
        <v>0</v>
      </c>
    </row>
    <row r="63" spans="1:16" ht="18" customHeight="1" x14ac:dyDescent="0.35">
      <c r="A63" s="29">
        <v>59</v>
      </c>
      <c r="B63" s="51">
        <f>'Initiative Register'!B63</f>
        <v>0</v>
      </c>
      <c r="C63" s="51">
        <f>'Initiative Register'!C63</f>
        <v>0</v>
      </c>
      <c r="D63" s="56">
        <v>0</v>
      </c>
      <c r="E63" s="56">
        <v>0</v>
      </c>
      <c r="F63" s="56">
        <v>0</v>
      </c>
      <c r="G63" s="56">
        <v>0</v>
      </c>
      <c r="H63" s="56">
        <v>0</v>
      </c>
      <c r="I63" s="56">
        <v>0</v>
      </c>
      <c r="J63" s="56">
        <v>0</v>
      </c>
      <c r="K63" s="56">
        <v>0</v>
      </c>
      <c r="L63" s="56">
        <v>0</v>
      </c>
      <c r="M63" s="56">
        <v>0</v>
      </c>
      <c r="N63" s="56">
        <v>0</v>
      </c>
      <c r="O63" s="56">
        <v>0</v>
      </c>
      <c r="P63" s="57">
        <f t="shared" si="1"/>
        <v>0</v>
      </c>
    </row>
    <row r="64" spans="1:16" ht="18" customHeight="1" x14ac:dyDescent="0.35">
      <c r="A64" s="29">
        <v>60</v>
      </c>
      <c r="B64" s="51">
        <f>'Initiative Register'!B64</f>
        <v>0</v>
      </c>
      <c r="C64" s="51">
        <f>'Initiative Register'!C64</f>
        <v>0</v>
      </c>
      <c r="D64" s="56">
        <v>0</v>
      </c>
      <c r="E64" s="56">
        <v>0</v>
      </c>
      <c r="F64" s="56">
        <v>0</v>
      </c>
      <c r="G64" s="56">
        <v>0</v>
      </c>
      <c r="H64" s="56">
        <v>0</v>
      </c>
      <c r="I64" s="56">
        <v>0</v>
      </c>
      <c r="J64" s="56">
        <v>0</v>
      </c>
      <c r="K64" s="56">
        <v>0</v>
      </c>
      <c r="L64" s="56">
        <v>0</v>
      </c>
      <c r="M64" s="56">
        <v>0</v>
      </c>
      <c r="N64" s="56">
        <v>0</v>
      </c>
      <c r="O64" s="56">
        <v>0</v>
      </c>
      <c r="P64" s="57">
        <f t="shared" si="1"/>
        <v>0</v>
      </c>
    </row>
    <row r="65" spans="1:17" ht="18" customHeight="1" x14ac:dyDescent="0.35">
      <c r="A65" s="29">
        <v>61</v>
      </c>
      <c r="B65" s="51">
        <f>'Initiative Register'!B65</f>
        <v>0</v>
      </c>
      <c r="C65" s="51">
        <f>'Initiative Register'!C65</f>
        <v>0</v>
      </c>
      <c r="D65" s="56">
        <v>0</v>
      </c>
      <c r="E65" s="56">
        <v>0</v>
      </c>
      <c r="F65" s="56">
        <v>0</v>
      </c>
      <c r="G65" s="56">
        <v>0</v>
      </c>
      <c r="H65" s="56">
        <v>0</v>
      </c>
      <c r="I65" s="56">
        <v>0</v>
      </c>
      <c r="J65" s="56">
        <v>0</v>
      </c>
      <c r="K65" s="56">
        <v>0</v>
      </c>
      <c r="L65" s="56">
        <v>0</v>
      </c>
      <c r="M65" s="56">
        <v>0</v>
      </c>
      <c r="N65" s="56">
        <v>0</v>
      </c>
      <c r="O65" s="56">
        <v>0</v>
      </c>
      <c r="P65" s="57">
        <f t="shared" si="1"/>
        <v>0</v>
      </c>
    </row>
    <row r="66" spans="1:17" ht="18" customHeight="1" x14ac:dyDescent="0.35">
      <c r="A66" s="29">
        <v>62</v>
      </c>
      <c r="B66" s="51">
        <f>'Initiative Register'!B66</f>
        <v>0</v>
      </c>
      <c r="C66" s="51">
        <f>'Initiative Register'!C66</f>
        <v>0</v>
      </c>
      <c r="D66" s="56">
        <v>0</v>
      </c>
      <c r="E66" s="56">
        <v>0</v>
      </c>
      <c r="F66" s="56">
        <v>0</v>
      </c>
      <c r="G66" s="56">
        <v>0</v>
      </c>
      <c r="H66" s="56">
        <v>0</v>
      </c>
      <c r="I66" s="56">
        <v>0</v>
      </c>
      <c r="J66" s="56">
        <v>0</v>
      </c>
      <c r="K66" s="56">
        <v>0</v>
      </c>
      <c r="L66" s="56">
        <v>0</v>
      </c>
      <c r="M66" s="56">
        <v>0</v>
      </c>
      <c r="N66" s="56">
        <v>0</v>
      </c>
      <c r="O66" s="56">
        <v>0</v>
      </c>
      <c r="P66" s="57">
        <f t="shared" si="1"/>
        <v>0</v>
      </c>
    </row>
    <row r="67" spans="1:17" ht="18" customHeight="1" x14ac:dyDescent="0.35">
      <c r="A67" s="29">
        <v>63</v>
      </c>
      <c r="B67" s="51">
        <f>'Initiative Register'!B67</f>
        <v>0</v>
      </c>
      <c r="C67" s="51">
        <f>'Initiative Register'!C67</f>
        <v>0</v>
      </c>
      <c r="D67" s="56">
        <v>0</v>
      </c>
      <c r="E67" s="56">
        <v>0</v>
      </c>
      <c r="F67" s="56">
        <v>0</v>
      </c>
      <c r="G67" s="56">
        <v>0</v>
      </c>
      <c r="H67" s="56">
        <v>0</v>
      </c>
      <c r="I67" s="56">
        <v>0</v>
      </c>
      <c r="J67" s="56">
        <v>0</v>
      </c>
      <c r="K67" s="56">
        <v>0</v>
      </c>
      <c r="L67" s="56">
        <v>0</v>
      </c>
      <c r="M67" s="56">
        <v>0</v>
      </c>
      <c r="N67" s="56">
        <v>0</v>
      </c>
      <c r="O67" s="56">
        <v>0</v>
      </c>
      <c r="P67" s="57">
        <f t="shared" si="1"/>
        <v>0</v>
      </c>
    </row>
    <row r="68" spans="1:17" ht="18" customHeight="1" x14ac:dyDescent="0.35">
      <c r="A68" s="29">
        <v>64</v>
      </c>
      <c r="B68" s="51">
        <f>'Initiative Register'!B68</f>
        <v>0</v>
      </c>
      <c r="C68" s="51">
        <f>'Initiative Register'!C68</f>
        <v>0</v>
      </c>
      <c r="D68" s="56">
        <v>0</v>
      </c>
      <c r="E68" s="56">
        <v>0</v>
      </c>
      <c r="F68" s="56">
        <v>0</v>
      </c>
      <c r="G68" s="56">
        <v>0</v>
      </c>
      <c r="H68" s="56">
        <v>0</v>
      </c>
      <c r="I68" s="56">
        <v>0</v>
      </c>
      <c r="J68" s="56">
        <v>0</v>
      </c>
      <c r="K68" s="56">
        <v>0</v>
      </c>
      <c r="L68" s="56">
        <v>0</v>
      </c>
      <c r="M68" s="56">
        <v>0</v>
      </c>
      <c r="N68" s="56">
        <v>0</v>
      </c>
      <c r="O68" s="56">
        <v>0</v>
      </c>
      <c r="P68" s="57">
        <f t="shared" si="1"/>
        <v>0</v>
      </c>
    </row>
    <row r="69" spans="1:17" ht="18" customHeight="1" x14ac:dyDescent="0.35">
      <c r="A69" s="29">
        <v>65</v>
      </c>
      <c r="B69" s="51">
        <f>'Initiative Register'!B69</f>
        <v>0</v>
      </c>
      <c r="C69" s="51">
        <f>'Initiative Register'!C69</f>
        <v>0</v>
      </c>
      <c r="D69" s="56">
        <v>0</v>
      </c>
      <c r="E69" s="56">
        <v>0</v>
      </c>
      <c r="F69" s="56">
        <v>0</v>
      </c>
      <c r="G69" s="56">
        <v>0</v>
      </c>
      <c r="H69" s="56">
        <v>0</v>
      </c>
      <c r="I69" s="56">
        <v>0</v>
      </c>
      <c r="J69" s="56">
        <v>0</v>
      </c>
      <c r="K69" s="56">
        <v>0</v>
      </c>
      <c r="L69" s="56">
        <v>0</v>
      </c>
      <c r="M69" s="56">
        <v>0</v>
      </c>
      <c r="N69" s="56">
        <v>0</v>
      </c>
      <c r="O69" s="56">
        <v>0</v>
      </c>
      <c r="P69" s="57">
        <f t="shared" si="1"/>
        <v>0</v>
      </c>
    </row>
    <row r="70" spans="1:17" ht="18" customHeight="1" x14ac:dyDescent="0.35">
      <c r="A70" s="29">
        <v>66</v>
      </c>
      <c r="B70" s="51">
        <f>'Initiative Register'!B70</f>
        <v>0</v>
      </c>
      <c r="C70" s="51">
        <f>'Initiative Register'!C70</f>
        <v>0</v>
      </c>
      <c r="D70" s="56">
        <v>0</v>
      </c>
      <c r="E70" s="56">
        <v>0</v>
      </c>
      <c r="F70" s="56">
        <v>0</v>
      </c>
      <c r="G70" s="56">
        <v>0</v>
      </c>
      <c r="H70" s="56">
        <v>0</v>
      </c>
      <c r="I70" s="56">
        <v>0</v>
      </c>
      <c r="J70" s="56">
        <v>0</v>
      </c>
      <c r="K70" s="56">
        <v>0</v>
      </c>
      <c r="L70" s="56">
        <v>0</v>
      </c>
      <c r="M70" s="56">
        <v>0</v>
      </c>
      <c r="N70" s="56">
        <v>0</v>
      </c>
      <c r="O70" s="56">
        <v>0</v>
      </c>
      <c r="P70" s="57">
        <f t="shared" si="1"/>
        <v>0</v>
      </c>
    </row>
    <row r="71" spans="1:17" ht="18" customHeight="1" x14ac:dyDescent="0.35">
      <c r="A71" s="29">
        <v>67</v>
      </c>
      <c r="B71" s="51">
        <f>'Initiative Register'!B71</f>
        <v>0</v>
      </c>
      <c r="C71" s="51">
        <f>'Initiative Register'!C71</f>
        <v>0</v>
      </c>
      <c r="D71" s="56">
        <v>0</v>
      </c>
      <c r="E71" s="56">
        <v>0</v>
      </c>
      <c r="F71" s="56">
        <v>0</v>
      </c>
      <c r="G71" s="56">
        <v>0</v>
      </c>
      <c r="H71" s="56">
        <v>0</v>
      </c>
      <c r="I71" s="56">
        <v>0</v>
      </c>
      <c r="J71" s="56">
        <v>0</v>
      </c>
      <c r="K71" s="56">
        <v>0</v>
      </c>
      <c r="L71" s="56">
        <v>0</v>
      </c>
      <c r="M71" s="56">
        <v>0</v>
      </c>
      <c r="N71" s="56">
        <v>0</v>
      </c>
      <c r="O71" s="56">
        <v>0</v>
      </c>
      <c r="P71" s="57">
        <f t="shared" si="1"/>
        <v>0</v>
      </c>
    </row>
    <row r="72" spans="1:17" ht="18" customHeight="1" x14ac:dyDescent="0.35">
      <c r="A72" s="29">
        <v>68</v>
      </c>
      <c r="B72" s="51">
        <f>'Initiative Register'!B72</f>
        <v>0</v>
      </c>
      <c r="C72" s="51">
        <f>'Initiative Register'!C72</f>
        <v>0</v>
      </c>
      <c r="D72" s="56">
        <v>0</v>
      </c>
      <c r="E72" s="56">
        <v>0</v>
      </c>
      <c r="F72" s="56">
        <v>0</v>
      </c>
      <c r="G72" s="56">
        <v>0</v>
      </c>
      <c r="H72" s="56">
        <v>0</v>
      </c>
      <c r="I72" s="56">
        <v>0</v>
      </c>
      <c r="J72" s="56">
        <v>0</v>
      </c>
      <c r="K72" s="56">
        <v>0</v>
      </c>
      <c r="L72" s="56">
        <v>0</v>
      </c>
      <c r="M72" s="56">
        <v>0</v>
      </c>
      <c r="N72" s="56">
        <v>0</v>
      </c>
      <c r="O72" s="56">
        <v>0</v>
      </c>
      <c r="P72" s="57">
        <f t="shared" si="1"/>
        <v>0</v>
      </c>
    </row>
    <row r="73" spans="1:17" ht="21.75" customHeight="1" x14ac:dyDescent="0.35">
      <c r="A73" s="167" t="s">
        <v>290</v>
      </c>
      <c r="B73" s="126"/>
      <c r="C73" s="123"/>
      <c r="D73" s="58">
        <f t="shared" ref="D73:P73" si="2">SUM(D5:D54)</f>
        <v>0</v>
      </c>
      <c r="E73" s="58">
        <f t="shared" si="2"/>
        <v>0</v>
      </c>
      <c r="F73" s="58">
        <f t="shared" si="2"/>
        <v>0</v>
      </c>
      <c r="G73" s="58">
        <f t="shared" si="2"/>
        <v>0</v>
      </c>
      <c r="H73" s="58">
        <f t="shared" si="2"/>
        <v>0</v>
      </c>
      <c r="I73" s="58">
        <f t="shared" si="2"/>
        <v>0</v>
      </c>
      <c r="J73" s="58">
        <f t="shared" si="2"/>
        <v>0</v>
      </c>
      <c r="K73" s="58">
        <f t="shared" si="2"/>
        <v>0</v>
      </c>
      <c r="L73" s="58">
        <f t="shared" si="2"/>
        <v>0</v>
      </c>
      <c r="M73" s="58">
        <f t="shared" si="2"/>
        <v>0</v>
      </c>
      <c r="N73" s="58">
        <f t="shared" si="2"/>
        <v>0</v>
      </c>
      <c r="O73" s="58">
        <f t="shared" si="2"/>
        <v>0</v>
      </c>
      <c r="P73" s="58">
        <f t="shared" si="2"/>
        <v>0</v>
      </c>
    </row>
    <row r="74" spans="1:17" ht="12" customHeight="1" x14ac:dyDescent="0.35"/>
    <row r="75" spans="1:17" ht="24" customHeight="1" x14ac:dyDescent="0.35">
      <c r="A75" s="169" t="s">
        <v>296</v>
      </c>
      <c r="B75" s="126"/>
      <c r="C75" s="126"/>
      <c r="D75" s="126"/>
      <c r="E75" s="126"/>
      <c r="F75" s="126"/>
      <c r="G75" s="126"/>
      <c r="H75" s="126"/>
      <c r="I75" s="126"/>
      <c r="J75" s="126"/>
      <c r="K75" s="126"/>
      <c r="L75" s="126"/>
      <c r="M75" s="126"/>
      <c r="N75" s="126"/>
      <c r="O75" s="126"/>
      <c r="P75" s="126"/>
      <c r="Q75" s="123"/>
    </row>
    <row r="76" spans="1:17" ht="39.75" customHeight="1" x14ac:dyDescent="0.35">
      <c r="A76" s="47" t="s">
        <v>41</v>
      </c>
      <c r="B76" s="47" t="s">
        <v>42</v>
      </c>
      <c r="C76" s="47" t="s">
        <v>43</v>
      </c>
      <c r="D76" s="1" t="s">
        <v>28</v>
      </c>
      <c r="E76" s="1" t="s">
        <v>29</v>
      </c>
      <c r="F76" s="1" t="s">
        <v>30</v>
      </c>
      <c r="G76" s="1" t="s">
        <v>31</v>
      </c>
      <c r="H76" s="1" t="s">
        <v>32</v>
      </c>
      <c r="I76" s="1" t="s">
        <v>33</v>
      </c>
      <c r="J76" s="1" t="s">
        <v>34</v>
      </c>
      <c r="K76" s="1" t="s">
        <v>35</v>
      </c>
      <c r="L76" s="1" t="s">
        <v>36</v>
      </c>
      <c r="M76" s="1" t="s">
        <v>37</v>
      </c>
      <c r="N76" s="1" t="s">
        <v>38</v>
      </c>
      <c r="O76" s="1" t="s">
        <v>39</v>
      </c>
      <c r="P76" s="1" t="s">
        <v>295</v>
      </c>
    </row>
    <row r="77" spans="1:17" ht="18" customHeight="1" x14ac:dyDescent="0.35">
      <c r="A77" s="33">
        <v>1</v>
      </c>
      <c r="B77" s="48" t="str">
        <f>'Initiative Register'!B5</f>
        <v>INI-001</v>
      </c>
      <c r="C77" s="48" t="str">
        <f>'Initiative Register'!C5</f>
        <v>Campaign- Patient experience improvement</v>
      </c>
      <c r="D77" s="54">
        <v>0</v>
      </c>
      <c r="E77" s="54">
        <v>0</v>
      </c>
      <c r="F77" s="54">
        <v>0</v>
      </c>
      <c r="G77" s="54">
        <v>0</v>
      </c>
      <c r="H77" s="54">
        <v>0</v>
      </c>
      <c r="I77" s="54">
        <v>0</v>
      </c>
      <c r="J77" s="54">
        <v>0</v>
      </c>
      <c r="K77" s="54">
        <v>0</v>
      </c>
      <c r="L77" s="54">
        <v>0</v>
      </c>
      <c r="M77" s="54">
        <v>0</v>
      </c>
      <c r="N77" s="54">
        <v>0</v>
      </c>
      <c r="O77" s="54">
        <v>0</v>
      </c>
      <c r="P77" s="55">
        <f t="shared" ref="P77:P126" si="3">SUM(D77:O77)</f>
        <v>0</v>
      </c>
    </row>
    <row r="78" spans="1:17" ht="18" customHeight="1" x14ac:dyDescent="0.35">
      <c r="A78" s="29">
        <v>2</v>
      </c>
      <c r="B78" s="51" t="str">
        <f>'Initiative Register'!B6</f>
        <v/>
      </c>
      <c r="C78" s="51">
        <f>'Initiative Register'!C6</f>
        <v>0</v>
      </c>
      <c r="D78" s="56">
        <v>0</v>
      </c>
      <c r="E78" s="56">
        <v>0</v>
      </c>
      <c r="F78" s="56">
        <v>0</v>
      </c>
      <c r="G78" s="56">
        <v>0</v>
      </c>
      <c r="H78" s="56">
        <v>0</v>
      </c>
      <c r="I78" s="56">
        <v>0</v>
      </c>
      <c r="J78" s="56">
        <v>0</v>
      </c>
      <c r="K78" s="56">
        <v>0</v>
      </c>
      <c r="L78" s="56">
        <v>0</v>
      </c>
      <c r="M78" s="56">
        <v>0</v>
      </c>
      <c r="N78" s="56">
        <v>0</v>
      </c>
      <c r="O78" s="56">
        <v>0</v>
      </c>
      <c r="P78" s="57">
        <f t="shared" si="3"/>
        <v>0</v>
      </c>
    </row>
    <row r="79" spans="1:17" ht="18" customHeight="1" x14ac:dyDescent="0.35">
      <c r="A79" s="33">
        <v>3</v>
      </c>
      <c r="B79" s="48" t="str">
        <f>'Initiative Register'!B7</f>
        <v>INI-003</v>
      </c>
      <c r="C79" s="48" t="str">
        <f>'Initiative Register'!C7</f>
        <v>Geriatric ward</v>
      </c>
      <c r="D79" s="54">
        <v>0</v>
      </c>
      <c r="E79" s="54">
        <v>0</v>
      </c>
      <c r="F79" s="54">
        <v>0</v>
      </c>
      <c r="G79" s="54">
        <v>0</v>
      </c>
      <c r="H79" s="54">
        <v>0</v>
      </c>
      <c r="I79" s="54">
        <v>0</v>
      </c>
      <c r="J79" s="54">
        <v>0</v>
      </c>
      <c r="K79" s="54">
        <v>0</v>
      </c>
      <c r="L79" s="54">
        <v>0</v>
      </c>
      <c r="M79" s="54">
        <v>0</v>
      </c>
      <c r="N79" s="54">
        <v>0</v>
      </c>
      <c r="O79" s="54">
        <v>0</v>
      </c>
      <c r="P79" s="55">
        <f t="shared" si="3"/>
        <v>0</v>
      </c>
    </row>
    <row r="80" spans="1:17" ht="18" customHeight="1" x14ac:dyDescent="0.35">
      <c r="A80" s="29">
        <v>4</v>
      </c>
      <c r="B80" s="51" t="str">
        <f>'Initiative Register'!B8</f>
        <v>INI-004</v>
      </c>
      <c r="C80" s="51" t="str">
        <f>'Initiative Register'!C8</f>
        <v>Appointment of Specialized Doctors and development of existing department</v>
      </c>
      <c r="D80" s="56">
        <v>0</v>
      </c>
      <c r="E80" s="56">
        <v>0</v>
      </c>
      <c r="F80" s="56">
        <v>0</v>
      </c>
      <c r="G80" s="56">
        <v>0</v>
      </c>
      <c r="H80" s="56">
        <v>0</v>
      </c>
      <c r="I80" s="56">
        <v>0</v>
      </c>
      <c r="J80" s="56">
        <v>0</v>
      </c>
      <c r="K80" s="56">
        <v>0</v>
      </c>
      <c r="L80" s="56">
        <v>0</v>
      </c>
      <c r="M80" s="56">
        <v>0</v>
      </c>
      <c r="N80" s="56">
        <v>0</v>
      </c>
      <c r="O80" s="56">
        <v>0</v>
      </c>
      <c r="P80" s="57">
        <f t="shared" si="3"/>
        <v>0</v>
      </c>
    </row>
    <row r="81" spans="1:16" ht="18" customHeight="1" x14ac:dyDescent="0.35">
      <c r="A81" s="33">
        <v>5</v>
      </c>
      <c r="B81" s="48" t="str">
        <f>'Initiative Register'!B9</f>
        <v>INI-005</v>
      </c>
      <c r="C81" s="48" t="str">
        <f>'Initiative Register'!C9</f>
        <v>Patient companion</v>
      </c>
      <c r="D81" s="54">
        <v>0</v>
      </c>
      <c r="E81" s="54">
        <v>0</v>
      </c>
      <c r="F81" s="54">
        <v>0</v>
      </c>
      <c r="G81" s="54">
        <v>0</v>
      </c>
      <c r="H81" s="54">
        <v>0</v>
      </c>
      <c r="I81" s="54">
        <v>0</v>
      </c>
      <c r="J81" s="54">
        <v>0</v>
      </c>
      <c r="K81" s="54">
        <v>0</v>
      </c>
      <c r="L81" s="54">
        <v>0</v>
      </c>
      <c r="M81" s="54">
        <v>0</v>
      </c>
      <c r="N81" s="54">
        <v>0</v>
      </c>
      <c r="O81" s="54">
        <v>0</v>
      </c>
      <c r="P81" s="55">
        <f t="shared" si="3"/>
        <v>0</v>
      </c>
    </row>
    <row r="82" spans="1:16" ht="18" customHeight="1" x14ac:dyDescent="0.35">
      <c r="A82" s="29">
        <v>6</v>
      </c>
      <c r="B82" s="51" t="str">
        <f>'Initiative Register'!B10</f>
        <v>INI-006</v>
      </c>
      <c r="C82" s="51" t="str">
        <f>'Initiative Register'!C10</f>
        <v xml:space="preserve">Newborn Care Enhancement </v>
      </c>
      <c r="D82" s="56">
        <v>0</v>
      </c>
      <c r="E82" s="56">
        <v>0</v>
      </c>
      <c r="F82" s="56">
        <v>0</v>
      </c>
      <c r="G82" s="56">
        <v>0</v>
      </c>
      <c r="H82" s="56">
        <v>0</v>
      </c>
      <c r="I82" s="56">
        <v>0</v>
      </c>
      <c r="J82" s="56">
        <v>0</v>
      </c>
      <c r="K82" s="56">
        <v>0</v>
      </c>
      <c r="L82" s="56">
        <v>0</v>
      </c>
      <c r="M82" s="56">
        <v>0</v>
      </c>
      <c r="N82" s="56">
        <v>0</v>
      </c>
      <c r="O82" s="56">
        <v>0</v>
      </c>
      <c r="P82" s="57">
        <f t="shared" si="3"/>
        <v>0</v>
      </c>
    </row>
    <row r="83" spans="1:16" ht="18" customHeight="1" x14ac:dyDescent="0.35">
      <c r="A83" s="33">
        <v>7</v>
      </c>
      <c r="B83" s="48" t="str">
        <f>'Initiative Register'!B11</f>
        <v>INI-007</v>
      </c>
      <c r="C83" s="48" t="str">
        <f>'Initiative Register'!C11</f>
        <v>Digital Patient Acquisition Funnel</v>
      </c>
      <c r="D83" s="54">
        <v>0</v>
      </c>
      <c r="E83" s="54">
        <v>0</v>
      </c>
      <c r="F83" s="54">
        <v>0</v>
      </c>
      <c r="G83" s="54">
        <v>0</v>
      </c>
      <c r="H83" s="54">
        <v>0</v>
      </c>
      <c r="I83" s="54">
        <v>0</v>
      </c>
      <c r="J83" s="54">
        <v>0</v>
      </c>
      <c r="K83" s="54">
        <v>0</v>
      </c>
      <c r="L83" s="54">
        <v>0</v>
      </c>
      <c r="M83" s="54">
        <v>0</v>
      </c>
      <c r="N83" s="54">
        <v>0</v>
      </c>
      <c r="O83" s="54">
        <v>0</v>
      </c>
      <c r="P83" s="55">
        <f t="shared" si="3"/>
        <v>0</v>
      </c>
    </row>
    <row r="84" spans="1:16" ht="18" customHeight="1" x14ac:dyDescent="0.35">
      <c r="A84" s="29">
        <v>8</v>
      </c>
      <c r="B84" s="51" t="str">
        <f>'Initiative Register'!B12</f>
        <v>INI-008</v>
      </c>
      <c r="C84" s="51" t="str">
        <f>'Initiative Register'!C12</f>
        <v>Development of KPI for Doctors</v>
      </c>
      <c r="D84" s="56">
        <v>0</v>
      </c>
      <c r="E84" s="56">
        <v>0</v>
      </c>
      <c r="F84" s="56">
        <v>0</v>
      </c>
      <c r="G84" s="56">
        <v>0</v>
      </c>
      <c r="H84" s="56">
        <v>0</v>
      </c>
      <c r="I84" s="56">
        <v>0</v>
      </c>
      <c r="J84" s="56">
        <v>0</v>
      </c>
      <c r="K84" s="56">
        <v>0</v>
      </c>
      <c r="L84" s="56">
        <v>0</v>
      </c>
      <c r="M84" s="56">
        <v>0</v>
      </c>
      <c r="N84" s="56">
        <v>0</v>
      </c>
      <c r="O84" s="56">
        <v>0</v>
      </c>
      <c r="P84" s="57">
        <f t="shared" si="3"/>
        <v>0</v>
      </c>
    </row>
    <row r="85" spans="1:16" ht="18" customHeight="1" x14ac:dyDescent="0.35">
      <c r="A85" s="33">
        <v>9</v>
      </c>
      <c r="B85" s="48" t="str">
        <f>'Initiative Register'!B13</f>
        <v>INI-009</v>
      </c>
      <c r="C85" s="48" t="str">
        <f>'Initiative Register'!C13</f>
        <v>Daycare and Minimaly Invasive Shift</v>
      </c>
      <c r="D85" s="54">
        <v>0</v>
      </c>
      <c r="E85" s="54">
        <v>0</v>
      </c>
      <c r="F85" s="54">
        <v>0</v>
      </c>
      <c r="G85" s="54">
        <v>0</v>
      </c>
      <c r="H85" s="54">
        <v>0</v>
      </c>
      <c r="I85" s="54">
        <v>0</v>
      </c>
      <c r="J85" s="54">
        <v>0</v>
      </c>
      <c r="K85" s="54">
        <v>0</v>
      </c>
      <c r="L85" s="54">
        <v>0</v>
      </c>
      <c r="M85" s="54">
        <v>0</v>
      </c>
      <c r="N85" s="54">
        <v>0</v>
      </c>
      <c r="O85" s="54">
        <v>0</v>
      </c>
      <c r="P85" s="55">
        <f t="shared" si="3"/>
        <v>0</v>
      </c>
    </row>
    <row r="86" spans="1:16" ht="18" customHeight="1" x14ac:dyDescent="0.35">
      <c r="A86" s="29">
        <v>10</v>
      </c>
      <c r="B86" s="51" t="str">
        <f>'Initiative Register'!B14</f>
        <v>INI-010</v>
      </c>
      <c r="C86" s="51" t="str">
        <f>'Initiative Register'!C14</f>
        <v>Consumables standardization model</v>
      </c>
      <c r="D86" s="56">
        <v>0</v>
      </c>
      <c r="E86" s="56">
        <v>0</v>
      </c>
      <c r="F86" s="56">
        <v>0</v>
      </c>
      <c r="G86" s="56">
        <v>0</v>
      </c>
      <c r="H86" s="56">
        <v>0</v>
      </c>
      <c r="I86" s="56">
        <v>0</v>
      </c>
      <c r="J86" s="56">
        <v>0</v>
      </c>
      <c r="K86" s="56">
        <v>0</v>
      </c>
      <c r="L86" s="56">
        <v>0</v>
      </c>
      <c r="M86" s="56">
        <v>0</v>
      </c>
      <c r="N86" s="56">
        <v>0</v>
      </c>
      <c r="O86" s="56">
        <v>0</v>
      </c>
      <c r="P86" s="57">
        <f t="shared" si="3"/>
        <v>0</v>
      </c>
    </row>
    <row r="87" spans="1:16" ht="18" customHeight="1" x14ac:dyDescent="0.35">
      <c r="A87" s="33">
        <v>11</v>
      </c>
      <c r="B87" s="48" t="str">
        <f>'Initiative Register'!B15</f>
        <v>INI-011</v>
      </c>
      <c r="C87" s="48" t="str">
        <f>'Initiative Register'!C15</f>
        <v>Collaboration with other Hospitals</v>
      </c>
      <c r="D87" s="54">
        <v>0</v>
      </c>
      <c r="E87" s="54">
        <v>0</v>
      </c>
      <c r="F87" s="54">
        <v>0</v>
      </c>
      <c r="G87" s="54">
        <v>0</v>
      </c>
      <c r="H87" s="54">
        <v>0</v>
      </c>
      <c r="I87" s="54">
        <v>0</v>
      </c>
      <c r="J87" s="54">
        <v>0</v>
      </c>
      <c r="K87" s="54">
        <v>0</v>
      </c>
      <c r="L87" s="54">
        <v>0</v>
      </c>
      <c r="M87" s="54">
        <v>0</v>
      </c>
      <c r="N87" s="54">
        <v>0</v>
      </c>
      <c r="O87" s="54">
        <v>0</v>
      </c>
      <c r="P87" s="55">
        <f t="shared" si="3"/>
        <v>0</v>
      </c>
    </row>
    <row r="88" spans="1:16" ht="18" customHeight="1" x14ac:dyDescent="0.35">
      <c r="A88" s="29">
        <v>12</v>
      </c>
      <c r="B88" s="51" t="str">
        <f>'Initiative Register'!B16</f>
        <v>INI-012</v>
      </c>
      <c r="C88" s="51" t="str">
        <f>'Initiative Register'!C16</f>
        <v>ANNUAL RATE REVISION POLICY</v>
      </c>
      <c r="D88" s="56">
        <v>0</v>
      </c>
      <c r="E88" s="56">
        <v>0</v>
      </c>
      <c r="F88" s="56">
        <v>0</v>
      </c>
      <c r="G88" s="56">
        <v>0</v>
      </c>
      <c r="H88" s="56">
        <v>0</v>
      </c>
      <c r="I88" s="56">
        <v>0</v>
      </c>
      <c r="J88" s="56">
        <v>0</v>
      </c>
      <c r="K88" s="56">
        <v>0</v>
      </c>
      <c r="L88" s="56">
        <v>0</v>
      </c>
      <c r="M88" s="56">
        <v>0</v>
      </c>
      <c r="N88" s="56">
        <v>0</v>
      </c>
      <c r="O88" s="56">
        <v>0</v>
      </c>
      <c r="P88" s="57">
        <f t="shared" si="3"/>
        <v>0</v>
      </c>
    </row>
    <row r="89" spans="1:16" ht="18" customHeight="1" x14ac:dyDescent="0.35">
      <c r="A89" s="33">
        <v>13</v>
      </c>
      <c r="B89" s="48" t="str">
        <f>'Initiative Register'!B17</f>
        <v>INI-013</v>
      </c>
      <c r="C89" s="48" t="str">
        <f>'Initiative Register'!C17</f>
        <v>PROCEDURE CONTRIBUTION AUDIT AND REPRICING</v>
      </c>
      <c r="D89" s="54">
        <v>0</v>
      </c>
      <c r="E89" s="54">
        <v>0</v>
      </c>
      <c r="F89" s="54">
        <v>0</v>
      </c>
      <c r="G89" s="54">
        <v>0</v>
      </c>
      <c r="H89" s="54">
        <v>0</v>
      </c>
      <c r="I89" s="54">
        <v>0</v>
      </c>
      <c r="J89" s="54">
        <v>0</v>
      </c>
      <c r="K89" s="54">
        <v>0</v>
      </c>
      <c r="L89" s="54">
        <v>0</v>
      </c>
      <c r="M89" s="54">
        <v>0</v>
      </c>
      <c r="N89" s="54">
        <v>0</v>
      </c>
      <c r="O89" s="54">
        <v>0</v>
      </c>
      <c r="P89" s="55">
        <f t="shared" si="3"/>
        <v>0</v>
      </c>
    </row>
    <row r="90" spans="1:16" ht="18" customHeight="1" x14ac:dyDescent="0.35">
      <c r="A90" s="29">
        <v>14</v>
      </c>
      <c r="B90" s="51" t="str">
        <f>'Initiative Register'!B18</f>
        <v>INI-014</v>
      </c>
      <c r="C90" s="51" t="str">
        <f>'Initiative Register'!C18</f>
        <v>INSURANCE CHARGE CAPTURE — BILL WHAT IS COVERED</v>
      </c>
      <c r="D90" s="56">
        <v>0</v>
      </c>
      <c r="E90" s="56">
        <v>0</v>
      </c>
      <c r="F90" s="56">
        <v>0</v>
      </c>
      <c r="G90" s="56">
        <v>0</v>
      </c>
      <c r="H90" s="56">
        <v>0</v>
      </c>
      <c r="I90" s="56">
        <v>0</v>
      </c>
      <c r="J90" s="56">
        <v>0</v>
      </c>
      <c r="K90" s="56">
        <v>0</v>
      </c>
      <c r="L90" s="56">
        <v>0</v>
      </c>
      <c r="M90" s="56">
        <v>0</v>
      </c>
      <c r="N90" s="56">
        <v>0</v>
      </c>
      <c r="O90" s="56">
        <v>0</v>
      </c>
      <c r="P90" s="57">
        <f t="shared" si="3"/>
        <v>0</v>
      </c>
    </row>
    <row r="91" spans="1:16" ht="18" customHeight="1" x14ac:dyDescent="0.35">
      <c r="A91" s="33">
        <v>15</v>
      </c>
      <c r="B91" s="48" t="str">
        <f>'Initiative Register'!B19</f>
        <v>INI-015</v>
      </c>
      <c r="C91" s="48" t="str">
        <f>'Initiative Register'!C19</f>
        <v>SATELLITE CLINIC NETWORK — SURGEON-LED OFF-CAMPUS OPDs</v>
      </c>
      <c r="D91" s="54">
        <v>0</v>
      </c>
      <c r="E91" s="54">
        <v>0</v>
      </c>
      <c r="F91" s="54">
        <v>0</v>
      </c>
      <c r="G91" s="54">
        <v>0</v>
      </c>
      <c r="H91" s="54">
        <v>0</v>
      </c>
      <c r="I91" s="54">
        <v>0</v>
      </c>
      <c r="J91" s="54">
        <v>0</v>
      </c>
      <c r="K91" s="54">
        <v>0</v>
      </c>
      <c r="L91" s="54">
        <v>0</v>
      </c>
      <c r="M91" s="54">
        <v>0</v>
      </c>
      <c r="N91" s="54">
        <v>0</v>
      </c>
      <c r="O91" s="54">
        <v>0</v>
      </c>
      <c r="P91" s="55">
        <f t="shared" si="3"/>
        <v>0</v>
      </c>
    </row>
    <row r="92" spans="1:16" ht="18" customHeight="1" x14ac:dyDescent="0.35">
      <c r="A92" s="29">
        <v>16</v>
      </c>
      <c r="B92" s="51" t="str">
        <f>'Initiative Register'!B20</f>
        <v>INI-016</v>
      </c>
      <c r="C92" s="51" t="str">
        <f>'Initiative Register'!C20</f>
        <v>CORPORATE HEALTH PROGRAMME</v>
      </c>
      <c r="D92" s="56">
        <v>0</v>
      </c>
      <c r="E92" s="56">
        <v>0</v>
      </c>
      <c r="F92" s="56">
        <v>0</v>
      </c>
      <c r="G92" s="56">
        <v>0</v>
      </c>
      <c r="H92" s="56">
        <v>0</v>
      </c>
      <c r="I92" s="56">
        <v>0</v>
      </c>
      <c r="J92" s="56">
        <v>0</v>
      </c>
      <c r="K92" s="56">
        <v>0</v>
      </c>
      <c r="L92" s="56">
        <v>0</v>
      </c>
      <c r="M92" s="56">
        <v>0</v>
      </c>
      <c r="N92" s="56">
        <v>0</v>
      </c>
      <c r="O92" s="56">
        <v>0</v>
      </c>
      <c r="P92" s="57">
        <f t="shared" si="3"/>
        <v>0</v>
      </c>
    </row>
    <row r="93" spans="1:16" ht="18" customHeight="1" x14ac:dyDescent="0.35">
      <c r="A93" s="33">
        <v>17</v>
      </c>
      <c r="B93" s="48" t="str">
        <f>'Initiative Register'!B21</f>
        <v>INI-017</v>
      </c>
      <c r="C93" s="48" t="str">
        <f>'Initiative Register'!C21</f>
        <v>RESIDENTIAL COLONY AND COMMUNITY HEALTH PROGRAMMES</v>
      </c>
      <c r="D93" s="54">
        <v>0</v>
      </c>
      <c r="E93" s="54">
        <v>0</v>
      </c>
      <c r="F93" s="54">
        <v>0</v>
      </c>
      <c r="G93" s="54">
        <v>0</v>
      </c>
      <c r="H93" s="54">
        <v>0</v>
      </c>
      <c r="I93" s="54">
        <v>0</v>
      </c>
      <c r="J93" s="54">
        <v>0</v>
      </c>
      <c r="K93" s="54">
        <v>0</v>
      </c>
      <c r="L93" s="54">
        <v>0</v>
      </c>
      <c r="M93" s="54">
        <v>0</v>
      </c>
      <c r="N93" s="54">
        <v>0</v>
      </c>
      <c r="O93" s="54">
        <v>0</v>
      </c>
      <c r="P93" s="55">
        <f t="shared" si="3"/>
        <v>0</v>
      </c>
    </row>
    <row r="94" spans="1:16" ht="18" customHeight="1" x14ac:dyDescent="0.35">
      <c r="A94" s="29">
        <v>18</v>
      </c>
      <c r="B94" s="51" t="str">
        <f>'Initiative Register'!B22</f>
        <v>INI-018</v>
      </c>
      <c r="C94" s="51" t="str">
        <f>'Initiative Register'!C22</f>
        <v>INTERNATIONAL MEDICAL VALUE TOURISM — GULF, MALDIVES, BANGLADESH</v>
      </c>
      <c r="D94" s="56">
        <v>0</v>
      </c>
      <c r="E94" s="56">
        <v>0</v>
      </c>
      <c r="F94" s="56">
        <v>0</v>
      </c>
      <c r="G94" s="56">
        <v>0</v>
      </c>
      <c r="H94" s="56">
        <v>0</v>
      </c>
      <c r="I94" s="56">
        <v>0</v>
      </c>
      <c r="J94" s="56">
        <v>0</v>
      </c>
      <c r="K94" s="56">
        <v>0</v>
      </c>
      <c r="L94" s="56">
        <v>0</v>
      </c>
      <c r="M94" s="56">
        <v>0</v>
      </c>
      <c r="N94" s="56">
        <v>0</v>
      </c>
      <c r="O94" s="56">
        <v>0</v>
      </c>
      <c r="P94" s="57">
        <f t="shared" si="3"/>
        <v>0</v>
      </c>
    </row>
    <row r="95" spans="1:16" ht="18" customHeight="1" x14ac:dyDescent="0.35">
      <c r="A95" s="33">
        <v>19</v>
      </c>
      <c r="B95" s="48" t="str">
        <f>'Initiative Register'!B23</f>
        <v>INI-019</v>
      </c>
      <c r="C95" s="48" t="str">
        <f>'Initiative Register'!C23</f>
        <v>STRUCTURED REFERRAL DOCTOR PROGRAMME</v>
      </c>
      <c r="D95" s="54">
        <v>0</v>
      </c>
      <c r="E95" s="54">
        <v>0</v>
      </c>
      <c r="F95" s="54">
        <v>0</v>
      </c>
      <c r="G95" s="54">
        <v>0</v>
      </c>
      <c r="H95" s="54">
        <v>0</v>
      </c>
      <c r="I95" s="54">
        <v>0</v>
      </c>
      <c r="J95" s="54">
        <v>0</v>
      </c>
      <c r="K95" s="54">
        <v>0</v>
      </c>
      <c r="L95" s="54">
        <v>0</v>
      </c>
      <c r="M95" s="54">
        <v>0</v>
      </c>
      <c r="N95" s="54">
        <v>0</v>
      </c>
      <c r="O95" s="54">
        <v>0</v>
      </c>
      <c r="P95" s="55">
        <f t="shared" si="3"/>
        <v>0</v>
      </c>
    </row>
    <row r="96" spans="1:16" ht="18" customHeight="1" x14ac:dyDescent="0.35">
      <c r="A96" s="29">
        <v>20</v>
      </c>
      <c r="B96" s="51" t="str">
        <f>'Initiative Register'!B24</f>
        <v>INI-020</v>
      </c>
      <c r="C96" s="51" t="str">
        <f>'Initiative Register'!C24</f>
        <v>CME AND CLINICAL CONNECT PROGRAMME</v>
      </c>
      <c r="D96" s="56">
        <v>0</v>
      </c>
      <c r="E96" s="56">
        <v>0</v>
      </c>
      <c r="F96" s="56">
        <v>0</v>
      </c>
      <c r="G96" s="56">
        <v>0</v>
      </c>
      <c r="H96" s="56">
        <v>0</v>
      </c>
      <c r="I96" s="56">
        <v>0</v>
      </c>
      <c r="J96" s="56">
        <v>0</v>
      </c>
      <c r="K96" s="56">
        <v>0</v>
      </c>
      <c r="L96" s="56">
        <v>0</v>
      </c>
      <c r="M96" s="56">
        <v>0</v>
      </c>
      <c r="N96" s="56">
        <v>0</v>
      </c>
      <c r="O96" s="56">
        <v>0</v>
      </c>
      <c r="P96" s="57">
        <f t="shared" si="3"/>
        <v>0</v>
      </c>
    </row>
    <row r="97" spans="1:16" ht="18" customHeight="1" x14ac:dyDescent="0.35">
      <c r="A97" s="33">
        <v>21</v>
      </c>
      <c r="B97" s="48" t="str">
        <f>'Initiative Register'!B25</f>
        <v>INI-021</v>
      </c>
      <c r="C97" s="48" t="str">
        <f>'Initiative Register'!C25</f>
        <v>GOVERNMENT SCHEME EMPANELMENT OPTIMISATION</v>
      </c>
      <c r="D97" s="54">
        <v>0</v>
      </c>
      <c r="E97" s="54">
        <v>0</v>
      </c>
      <c r="F97" s="54">
        <v>0</v>
      </c>
      <c r="G97" s="54">
        <v>0</v>
      </c>
      <c r="H97" s="54">
        <v>0</v>
      </c>
      <c r="I97" s="54">
        <v>0</v>
      </c>
      <c r="J97" s="54">
        <v>0</v>
      </c>
      <c r="K97" s="54">
        <v>0</v>
      </c>
      <c r="L97" s="54">
        <v>0</v>
      </c>
      <c r="M97" s="54">
        <v>0</v>
      </c>
      <c r="N97" s="54">
        <v>0</v>
      </c>
      <c r="O97" s="54">
        <v>0</v>
      </c>
      <c r="P97" s="55">
        <f t="shared" si="3"/>
        <v>0</v>
      </c>
    </row>
    <row r="98" spans="1:16" ht="18" customHeight="1" x14ac:dyDescent="0.35">
      <c r="A98" s="29">
        <v>22</v>
      </c>
      <c r="B98" s="51" t="str">
        <f>'Initiative Register'!B26</f>
        <v>INI-022</v>
      </c>
      <c r="C98" s="51" t="str">
        <f>'Initiative Register'!C26</f>
        <v>TRANSPLANT CENTRE — VOLUME GROWTH AND DONOR PROGRAMME ACTIVATION</v>
      </c>
      <c r="D98" s="56">
        <v>0</v>
      </c>
      <c r="E98" s="56">
        <v>0</v>
      </c>
      <c r="F98" s="56">
        <v>0</v>
      </c>
      <c r="G98" s="56">
        <v>0</v>
      </c>
      <c r="H98" s="56">
        <v>0</v>
      </c>
      <c r="I98" s="56">
        <v>0</v>
      </c>
      <c r="J98" s="56">
        <v>0</v>
      </c>
      <c r="K98" s="56">
        <v>0</v>
      </c>
      <c r="L98" s="56">
        <v>0</v>
      </c>
      <c r="M98" s="56">
        <v>0</v>
      </c>
      <c r="N98" s="56">
        <v>0</v>
      </c>
      <c r="O98" s="56">
        <v>0</v>
      </c>
      <c r="P98" s="57">
        <f t="shared" si="3"/>
        <v>0</v>
      </c>
    </row>
    <row r="99" spans="1:16" ht="18" customHeight="1" x14ac:dyDescent="0.35">
      <c r="A99" s="33">
        <v>23</v>
      </c>
      <c r="B99" s="48" t="str">
        <f>'Initiative Register'!B27</f>
        <v>INI-023</v>
      </c>
      <c r="C99" s="48" t="str">
        <f>'Initiative Register'!C27</f>
        <v>CARDIAC SCIENCES — STRUCTURAL HEART AND ELECTROPHYSIOLOGY VOLUME BUILD</v>
      </c>
      <c r="D99" s="54">
        <v>0</v>
      </c>
      <c r="E99" s="54">
        <v>0</v>
      </c>
      <c r="F99" s="54">
        <v>0</v>
      </c>
      <c r="G99" s="54">
        <v>0</v>
      </c>
      <c r="H99" s="54">
        <v>0</v>
      </c>
      <c r="I99" s="54">
        <v>0</v>
      </c>
      <c r="J99" s="54">
        <v>0</v>
      </c>
      <c r="K99" s="54">
        <v>0</v>
      </c>
      <c r="L99" s="54">
        <v>0</v>
      </c>
      <c r="M99" s="54">
        <v>0</v>
      </c>
      <c r="N99" s="54">
        <v>0</v>
      </c>
      <c r="O99" s="54">
        <v>0</v>
      </c>
      <c r="P99" s="55">
        <f t="shared" si="3"/>
        <v>0</v>
      </c>
    </row>
    <row r="100" spans="1:16" ht="18" customHeight="1" x14ac:dyDescent="0.35">
      <c r="A100" s="29">
        <v>24</v>
      </c>
      <c r="B100" s="51" t="str">
        <f>'Initiative Register'!B28</f>
        <v>INI-024</v>
      </c>
      <c r="C100" s="51" t="str">
        <f>'Initiative Register'!C28</f>
        <v>ONCOLOGY — EARLY DETECTION, SATELLITE CLINICS AND SURGICAL VOLUME GROWTH</v>
      </c>
      <c r="D100" s="56">
        <v>0</v>
      </c>
      <c r="E100" s="56">
        <v>0</v>
      </c>
      <c r="F100" s="56">
        <v>0</v>
      </c>
      <c r="G100" s="56">
        <v>0</v>
      </c>
      <c r="H100" s="56">
        <v>0</v>
      </c>
      <c r="I100" s="56">
        <v>0</v>
      </c>
      <c r="J100" s="56">
        <v>0</v>
      </c>
      <c r="K100" s="56">
        <v>0</v>
      </c>
      <c r="L100" s="56">
        <v>0</v>
      </c>
      <c r="M100" s="56">
        <v>0</v>
      </c>
      <c r="N100" s="56">
        <v>0</v>
      </c>
      <c r="O100" s="56">
        <v>0</v>
      </c>
      <c r="P100" s="57">
        <f t="shared" si="3"/>
        <v>0</v>
      </c>
    </row>
    <row r="101" spans="1:16" ht="18" customHeight="1" x14ac:dyDescent="0.35">
      <c r="A101" s="33">
        <v>25</v>
      </c>
      <c r="B101" s="48" t="str">
        <f>'Initiative Register'!B29</f>
        <v>INI-025</v>
      </c>
      <c r="C101" s="48" t="str">
        <f>'Initiative Register'!C29</f>
        <v>ORTHOPAEDICS AND JOINT REPLACEMENT — VOLUME AND PACKAGE PROGRAMME</v>
      </c>
      <c r="D101" s="54">
        <v>0</v>
      </c>
      <c r="E101" s="54">
        <v>0</v>
      </c>
      <c r="F101" s="54">
        <v>0</v>
      </c>
      <c r="G101" s="54">
        <v>0</v>
      </c>
      <c r="H101" s="54">
        <v>0</v>
      </c>
      <c r="I101" s="54">
        <v>0</v>
      </c>
      <c r="J101" s="54">
        <v>0</v>
      </c>
      <c r="K101" s="54">
        <v>0</v>
      </c>
      <c r="L101" s="54">
        <v>0</v>
      </c>
      <c r="M101" s="54">
        <v>0</v>
      </c>
      <c r="N101" s="54">
        <v>0</v>
      </c>
      <c r="O101" s="54">
        <v>0</v>
      </c>
      <c r="P101" s="55">
        <f t="shared" si="3"/>
        <v>0</v>
      </c>
    </row>
    <row r="102" spans="1:16" ht="18" customHeight="1" x14ac:dyDescent="0.35">
      <c r="A102" s="29">
        <v>26</v>
      </c>
      <c r="B102" s="51" t="str">
        <f>'Initiative Register'!B30</f>
        <v>INI-026</v>
      </c>
      <c r="C102" s="51" t="str">
        <f>'Initiative Register'!C30</f>
        <v>LAKESHORE HEART RUN — ANNUAL CARDIAC HEALTH EVENT</v>
      </c>
      <c r="D102" s="56">
        <v>0</v>
      </c>
      <c r="E102" s="56">
        <v>0</v>
      </c>
      <c r="F102" s="56">
        <v>0</v>
      </c>
      <c r="G102" s="56">
        <v>0</v>
      </c>
      <c r="H102" s="56">
        <v>0</v>
      </c>
      <c r="I102" s="56">
        <v>0</v>
      </c>
      <c r="J102" s="56">
        <v>0</v>
      </c>
      <c r="K102" s="56">
        <v>0</v>
      </c>
      <c r="L102" s="56">
        <v>0</v>
      </c>
      <c r="M102" s="56">
        <v>0</v>
      </c>
      <c r="N102" s="56">
        <v>0</v>
      </c>
      <c r="O102" s="56">
        <v>0</v>
      </c>
      <c r="P102" s="57">
        <f t="shared" si="3"/>
        <v>0</v>
      </c>
    </row>
    <row r="103" spans="1:16" ht="18" customHeight="1" x14ac:dyDescent="0.35">
      <c r="A103" s="33">
        <v>27</v>
      </c>
      <c r="B103" s="48" t="str">
        <f>'Initiative Register'!B32</f>
        <v>INI-028</v>
      </c>
      <c r="C103" s="48" t="str">
        <f>'Initiative Register'!C32</f>
        <v>DIGITAL CONTENT PLATFORM — MALAYALAM AND ENGLISH</v>
      </c>
      <c r="D103" s="54">
        <v>0</v>
      </c>
      <c r="E103" s="54">
        <v>0</v>
      </c>
      <c r="F103" s="54">
        <v>0</v>
      </c>
      <c r="G103" s="54">
        <v>0</v>
      </c>
      <c r="H103" s="54">
        <v>0</v>
      </c>
      <c r="I103" s="54">
        <v>0</v>
      </c>
      <c r="J103" s="54">
        <v>0</v>
      </c>
      <c r="K103" s="54">
        <v>0</v>
      </c>
      <c r="L103" s="54">
        <v>0</v>
      </c>
      <c r="M103" s="54">
        <v>0</v>
      </c>
      <c r="N103" s="54">
        <v>0</v>
      </c>
      <c r="O103" s="54">
        <v>0</v>
      </c>
      <c r="P103" s="55">
        <f t="shared" si="3"/>
        <v>0</v>
      </c>
    </row>
    <row r="104" spans="1:16" ht="18" customHeight="1" x14ac:dyDescent="0.35">
      <c r="A104" s="29">
        <v>28</v>
      </c>
      <c r="B104" s="51" t="str">
        <f>'Initiative Register'!B33</f>
        <v>INI-029</v>
      </c>
      <c r="C104" s="51" t="str">
        <f>'Initiative Register'!C33</f>
        <v>COMMUNITY HEALTH CAMPS — SCHOOLS, PLACES OF WORSHIP, RESIDENTIAL AREAS</v>
      </c>
      <c r="D104" s="56">
        <v>0</v>
      </c>
      <c r="E104" s="56">
        <v>0</v>
      </c>
      <c r="F104" s="56">
        <v>0</v>
      </c>
      <c r="G104" s="56">
        <v>0</v>
      </c>
      <c r="H104" s="56">
        <v>0</v>
      </c>
      <c r="I104" s="56">
        <v>0</v>
      </c>
      <c r="J104" s="56">
        <v>0</v>
      </c>
      <c r="K104" s="56">
        <v>0</v>
      </c>
      <c r="L104" s="56">
        <v>0</v>
      </c>
      <c r="M104" s="56">
        <v>0</v>
      </c>
      <c r="N104" s="56">
        <v>0</v>
      </c>
      <c r="O104" s="56">
        <v>0</v>
      </c>
      <c r="P104" s="57">
        <f t="shared" si="3"/>
        <v>0</v>
      </c>
    </row>
    <row r="105" spans="1:16" ht="18" customHeight="1" x14ac:dyDescent="0.35">
      <c r="A105" s="33">
        <v>29</v>
      </c>
      <c r="B105" s="48" t="str">
        <f>'Initiative Register'!B34</f>
        <v>INI-030</v>
      </c>
      <c r="C105" s="48" t="str">
        <f>'Initiative Register'!C34</f>
        <v>DOCTOR ONLINE REPUTATION AND DIGITAL DISCOVERABILITY</v>
      </c>
      <c r="D105" s="54">
        <v>0</v>
      </c>
      <c r="E105" s="54">
        <v>0</v>
      </c>
      <c r="F105" s="54">
        <v>0</v>
      </c>
      <c r="G105" s="54">
        <v>0</v>
      </c>
      <c r="H105" s="54">
        <v>0</v>
      </c>
      <c r="I105" s="54">
        <v>0</v>
      </c>
      <c r="J105" s="54">
        <v>0</v>
      </c>
      <c r="K105" s="54">
        <v>0</v>
      </c>
      <c r="L105" s="54">
        <v>0</v>
      </c>
      <c r="M105" s="54">
        <v>0</v>
      </c>
      <c r="N105" s="54">
        <v>0</v>
      </c>
      <c r="O105" s="54">
        <v>0</v>
      </c>
      <c r="P105" s="55">
        <f t="shared" si="3"/>
        <v>0</v>
      </c>
    </row>
    <row r="106" spans="1:16" ht="18" customHeight="1" x14ac:dyDescent="0.35">
      <c r="A106" s="29">
        <v>30</v>
      </c>
      <c r="B106" s="51" t="str">
        <f>'Initiative Register'!B35</f>
        <v>INI-031</v>
      </c>
      <c r="C106" s="51" t="str">
        <f>'Initiative Register'!C35</f>
        <v>TPA AND INSURER TARIFF RENEGOTIATION</v>
      </c>
      <c r="D106" s="56">
        <v>0</v>
      </c>
      <c r="E106" s="56">
        <v>0</v>
      </c>
      <c r="F106" s="56">
        <v>0</v>
      </c>
      <c r="G106" s="56">
        <v>0</v>
      </c>
      <c r="H106" s="56">
        <v>0</v>
      </c>
      <c r="I106" s="56">
        <v>0</v>
      </c>
      <c r="J106" s="56">
        <v>0</v>
      </c>
      <c r="K106" s="56">
        <v>0</v>
      </c>
      <c r="L106" s="56">
        <v>0</v>
      </c>
      <c r="M106" s="56">
        <v>0</v>
      </c>
      <c r="N106" s="56">
        <v>0</v>
      </c>
      <c r="O106" s="56">
        <v>0</v>
      </c>
      <c r="P106" s="57">
        <f t="shared" si="3"/>
        <v>0</v>
      </c>
    </row>
    <row r="107" spans="1:16" ht="18" customHeight="1" x14ac:dyDescent="0.35">
      <c r="A107" s="33">
        <v>31</v>
      </c>
      <c r="B107" s="48" t="str">
        <f>'Initiative Register'!B36</f>
        <v>INI-032</v>
      </c>
      <c r="C107" s="48" t="str">
        <f>'Initiative Register'!C36</f>
        <v>FINANCIAL COUNSELLING AND PRE-AUTHORISATION AT SURGICAL OPD</v>
      </c>
      <c r="D107" s="54">
        <v>0</v>
      </c>
      <c r="E107" s="54">
        <v>0</v>
      </c>
      <c r="F107" s="54">
        <v>0</v>
      </c>
      <c r="G107" s="54">
        <v>0</v>
      </c>
      <c r="H107" s="54">
        <v>0</v>
      </c>
      <c r="I107" s="54">
        <v>0</v>
      </c>
      <c r="J107" s="54">
        <v>0</v>
      </c>
      <c r="K107" s="54">
        <v>0</v>
      </c>
      <c r="L107" s="54">
        <v>0</v>
      </c>
      <c r="M107" s="54">
        <v>0</v>
      </c>
      <c r="N107" s="54">
        <v>0</v>
      </c>
      <c r="O107" s="54">
        <v>0</v>
      </c>
      <c r="P107" s="55">
        <f t="shared" si="3"/>
        <v>0</v>
      </c>
    </row>
    <row r="108" spans="1:16" ht="18" customHeight="1" x14ac:dyDescent="0.35">
      <c r="A108" s="29">
        <v>32</v>
      </c>
      <c r="B108" s="51" t="str">
        <f>'Initiative Register'!B37</f>
        <v>INI-033</v>
      </c>
      <c r="C108" s="51" t="str">
        <f>'Initiative Register'!C37</f>
        <v>BUILD A SCALED BD ORGANISATION</v>
      </c>
      <c r="D108" s="56">
        <v>0</v>
      </c>
      <c r="E108" s="56">
        <v>0</v>
      </c>
      <c r="F108" s="56">
        <v>0</v>
      </c>
      <c r="G108" s="56">
        <v>0</v>
      </c>
      <c r="H108" s="56">
        <v>0</v>
      </c>
      <c r="I108" s="56">
        <v>0</v>
      </c>
      <c r="J108" s="56">
        <v>0</v>
      </c>
      <c r="K108" s="56">
        <v>0</v>
      </c>
      <c r="L108" s="56">
        <v>0</v>
      </c>
      <c r="M108" s="56">
        <v>0</v>
      </c>
      <c r="N108" s="56">
        <v>0</v>
      </c>
      <c r="O108" s="56">
        <v>0</v>
      </c>
      <c r="P108" s="57">
        <f t="shared" si="3"/>
        <v>0</v>
      </c>
    </row>
    <row r="109" spans="1:16" ht="18" customHeight="1" x14ac:dyDescent="0.35">
      <c r="A109" s="33">
        <v>33</v>
      </c>
      <c r="B109" s="48" t="str">
        <f>'Initiative Register'!B38</f>
        <v>INI-034</v>
      </c>
      <c r="C109" s="48" t="str">
        <f>'Initiative Register'!C38</f>
        <v>MATERIALS / DRUG COST &amp; CONSUMABLES</v>
      </c>
      <c r="D109" s="54">
        <v>0</v>
      </c>
      <c r="E109" s="54">
        <v>0</v>
      </c>
      <c r="F109" s="54">
        <v>0</v>
      </c>
      <c r="G109" s="54">
        <v>0</v>
      </c>
      <c r="H109" s="54">
        <v>0</v>
      </c>
      <c r="I109" s="54">
        <v>0</v>
      </c>
      <c r="J109" s="54">
        <v>0</v>
      </c>
      <c r="K109" s="54">
        <v>0</v>
      </c>
      <c r="L109" s="54">
        <v>0</v>
      </c>
      <c r="M109" s="54">
        <v>0</v>
      </c>
      <c r="N109" s="54">
        <v>0</v>
      </c>
      <c r="O109" s="54">
        <v>0</v>
      </c>
      <c r="P109" s="55">
        <f t="shared" si="3"/>
        <v>0</v>
      </c>
    </row>
    <row r="110" spans="1:16" ht="18" customHeight="1" x14ac:dyDescent="0.35">
      <c r="A110" s="29">
        <v>34</v>
      </c>
      <c r="B110" s="51" t="str">
        <f>'Initiative Register'!B39</f>
        <v>INI-035</v>
      </c>
      <c r="C110" s="51" t="str">
        <f>'Initiative Register'!C39</f>
        <v>MATERIALS / DRUG COST &amp; CONSUMABLES</v>
      </c>
      <c r="D110" s="56">
        <v>0</v>
      </c>
      <c r="E110" s="56">
        <v>0</v>
      </c>
      <c r="F110" s="56">
        <v>0</v>
      </c>
      <c r="G110" s="56">
        <v>0</v>
      </c>
      <c r="H110" s="56">
        <v>0</v>
      </c>
      <c r="I110" s="56">
        <v>0</v>
      </c>
      <c r="J110" s="56">
        <v>0</v>
      </c>
      <c r="K110" s="56">
        <v>0</v>
      </c>
      <c r="L110" s="56">
        <v>0</v>
      </c>
      <c r="M110" s="56">
        <v>0</v>
      </c>
      <c r="N110" s="56">
        <v>0</v>
      </c>
      <c r="O110" s="56">
        <v>0</v>
      </c>
      <c r="P110" s="57">
        <f t="shared" si="3"/>
        <v>0</v>
      </c>
    </row>
    <row r="111" spans="1:16" ht="18" customHeight="1" x14ac:dyDescent="0.35">
      <c r="A111" s="33">
        <v>35</v>
      </c>
      <c r="B111" s="48" t="str">
        <f>'Initiative Register'!B40</f>
        <v>INI-036</v>
      </c>
      <c r="C111" s="48" t="str">
        <f>'Initiative Register'!C40</f>
        <v>MATERIALS / DRUG COST &amp; CONSUMABLES</v>
      </c>
      <c r="D111" s="54">
        <v>0</v>
      </c>
      <c r="E111" s="54">
        <v>0</v>
      </c>
      <c r="F111" s="54">
        <v>0</v>
      </c>
      <c r="G111" s="54">
        <v>0</v>
      </c>
      <c r="H111" s="54">
        <v>0</v>
      </c>
      <c r="I111" s="54">
        <v>0</v>
      </c>
      <c r="J111" s="54">
        <v>0</v>
      </c>
      <c r="K111" s="54">
        <v>0</v>
      </c>
      <c r="L111" s="54">
        <v>0</v>
      </c>
      <c r="M111" s="54">
        <v>0</v>
      </c>
      <c r="N111" s="54">
        <v>0</v>
      </c>
      <c r="O111" s="54">
        <v>0</v>
      </c>
      <c r="P111" s="55">
        <f t="shared" si="3"/>
        <v>0</v>
      </c>
    </row>
    <row r="112" spans="1:16" ht="18" customHeight="1" x14ac:dyDescent="0.35">
      <c r="A112" s="29">
        <v>36</v>
      </c>
      <c r="B112" s="51" t="str">
        <f>'Initiative Register'!B41</f>
        <v>INI-037</v>
      </c>
      <c r="C112" s="51" t="str">
        <f>'Initiative Register'!C41</f>
        <v>MATERIALS / DRUG COST &amp; CONSUMABLES</v>
      </c>
      <c r="D112" s="56">
        <v>0</v>
      </c>
      <c r="E112" s="56">
        <v>0</v>
      </c>
      <c r="F112" s="56">
        <v>0</v>
      </c>
      <c r="G112" s="56">
        <v>0</v>
      </c>
      <c r="H112" s="56">
        <v>0</v>
      </c>
      <c r="I112" s="56">
        <v>0</v>
      </c>
      <c r="J112" s="56">
        <v>0</v>
      </c>
      <c r="K112" s="56">
        <v>0</v>
      </c>
      <c r="L112" s="56">
        <v>0</v>
      </c>
      <c r="M112" s="56">
        <v>0</v>
      </c>
      <c r="N112" s="56">
        <v>0</v>
      </c>
      <c r="O112" s="56">
        <v>0</v>
      </c>
      <c r="P112" s="57">
        <f t="shared" si="3"/>
        <v>0</v>
      </c>
    </row>
    <row r="113" spans="1:16" ht="18" customHeight="1" x14ac:dyDescent="0.35">
      <c r="A113" s="33">
        <v>37</v>
      </c>
      <c r="B113" s="48" t="str">
        <f>'Initiative Register'!B42</f>
        <v>INI-038</v>
      </c>
      <c r="C113" s="48" t="str">
        <f>'Initiative Register'!C42</f>
        <v>MATERIALS / DRUG COST &amp; CONSUMABLES</v>
      </c>
      <c r="D113" s="54">
        <v>0</v>
      </c>
      <c r="E113" s="54">
        <v>0</v>
      </c>
      <c r="F113" s="54">
        <v>0</v>
      </c>
      <c r="G113" s="54">
        <v>0</v>
      </c>
      <c r="H113" s="54">
        <v>0</v>
      </c>
      <c r="I113" s="54">
        <v>0</v>
      </c>
      <c r="J113" s="54">
        <v>0</v>
      </c>
      <c r="K113" s="54">
        <v>0</v>
      </c>
      <c r="L113" s="54">
        <v>0</v>
      </c>
      <c r="M113" s="54">
        <v>0</v>
      </c>
      <c r="N113" s="54">
        <v>0</v>
      </c>
      <c r="O113" s="54">
        <v>0</v>
      </c>
      <c r="P113" s="55">
        <f t="shared" si="3"/>
        <v>0</v>
      </c>
    </row>
    <row r="114" spans="1:16" ht="18" customHeight="1" x14ac:dyDescent="0.35">
      <c r="A114" s="29">
        <v>38</v>
      </c>
      <c r="B114" s="51" t="str">
        <f>'Initiative Register'!B43</f>
        <v>INI-039</v>
      </c>
      <c r="C114" s="51" t="str">
        <f>'Initiative Register'!C43</f>
        <v>MATERIALS / DRUG COST &amp; CONSUMABLES</v>
      </c>
      <c r="D114" s="56">
        <v>0</v>
      </c>
      <c r="E114" s="56">
        <v>0</v>
      </c>
      <c r="F114" s="56">
        <v>0</v>
      </c>
      <c r="G114" s="56">
        <v>0</v>
      </c>
      <c r="H114" s="56">
        <v>0</v>
      </c>
      <c r="I114" s="56">
        <v>0</v>
      </c>
      <c r="J114" s="56">
        <v>0</v>
      </c>
      <c r="K114" s="56">
        <v>0</v>
      </c>
      <c r="L114" s="56">
        <v>0</v>
      </c>
      <c r="M114" s="56">
        <v>0</v>
      </c>
      <c r="N114" s="56">
        <v>0</v>
      </c>
      <c r="O114" s="56">
        <v>0</v>
      </c>
      <c r="P114" s="57">
        <f t="shared" si="3"/>
        <v>0</v>
      </c>
    </row>
    <row r="115" spans="1:16" ht="18" customHeight="1" x14ac:dyDescent="0.35">
      <c r="A115" s="33">
        <v>39</v>
      </c>
      <c r="B115" s="48" t="str">
        <f>'Initiative Register'!B44</f>
        <v>INI-040</v>
      </c>
      <c r="C115" s="48" t="str">
        <f>'Initiative Register'!C44</f>
        <v>MATERIALS / DRUG COST &amp; CONSUMABLES</v>
      </c>
      <c r="D115" s="54">
        <v>0</v>
      </c>
      <c r="E115" s="54">
        <v>0</v>
      </c>
      <c r="F115" s="54">
        <v>0</v>
      </c>
      <c r="G115" s="54">
        <v>0</v>
      </c>
      <c r="H115" s="54">
        <v>0</v>
      </c>
      <c r="I115" s="54">
        <v>0</v>
      </c>
      <c r="J115" s="54">
        <v>0</v>
      </c>
      <c r="K115" s="54">
        <v>0</v>
      </c>
      <c r="L115" s="54">
        <v>0</v>
      </c>
      <c r="M115" s="54">
        <v>0</v>
      </c>
      <c r="N115" s="54">
        <v>0</v>
      </c>
      <c r="O115" s="54">
        <v>0</v>
      </c>
      <c r="P115" s="55">
        <f t="shared" si="3"/>
        <v>0</v>
      </c>
    </row>
    <row r="116" spans="1:16" ht="18" customHeight="1" x14ac:dyDescent="0.35">
      <c r="A116" s="29">
        <v>40</v>
      </c>
      <c r="B116" s="51" t="str">
        <f>'Initiative Register'!B45</f>
        <v>INI-041</v>
      </c>
      <c r="C116" s="51" t="str">
        <f>'Initiative Register'!C45</f>
        <v>MATERIALS / DRUG COST &amp; CONSUMABLES</v>
      </c>
      <c r="D116" s="56">
        <v>0</v>
      </c>
      <c r="E116" s="56">
        <v>0</v>
      </c>
      <c r="F116" s="56">
        <v>0</v>
      </c>
      <c r="G116" s="56">
        <v>0</v>
      </c>
      <c r="H116" s="56">
        <v>0</v>
      </c>
      <c r="I116" s="56">
        <v>0</v>
      </c>
      <c r="J116" s="56">
        <v>0</v>
      </c>
      <c r="K116" s="56">
        <v>0</v>
      </c>
      <c r="L116" s="56">
        <v>0</v>
      </c>
      <c r="M116" s="56">
        <v>0</v>
      </c>
      <c r="N116" s="56">
        <v>0</v>
      </c>
      <c r="O116" s="56">
        <v>0</v>
      </c>
      <c r="P116" s="57">
        <f t="shared" si="3"/>
        <v>0</v>
      </c>
    </row>
    <row r="117" spans="1:16" ht="18" customHeight="1" x14ac:dyDescent="0.35">
      <c r="A117" s="33">
        <v>41</v>
      </c>
      <c r="B117" s="48" t="str">
        <f>'Initiative Register'!B46</f>
        <v>INI-042</v>
      </c>
      <c r="C117" s="48" t="str">
        <f>'Initiative Register'!C46</f>
        <v>PAYROLL – NURSING OPTIMISATION</v>
      </c>
      <c r="D117" s="54">
        <v>0</v>
      </c>
      <c r="E117" s="54">
        <v>0</v>
      </c>
      <c r="F117" s="54">
        <v>0</v>
      </c>
      <c r="G117" s="54">
        <v>0</v>
      </c>
      <c r="H117" s="54">
        <v>0</v>
      </c>
      <c r="I117" s="54">
        <v>0</v>
      </c>
      <c r="J117" s="54">
        <v>0</v>
      </c>
      <c r="K117" s="54">
        <v>0</v>
      </c>
      <c r="L117" s="54">
        <v>0</v>
      </c>
      <c r="M117" s="54">
        <v>0</v>
      </c>
      <c r="N117" s="54">
        <v>0</v>
      </c>
      <c r="O117" s="54">
        <v>0</v>
      </c>
      <c r="P117" s="55">
        <f t="shared" si="3"/>
        <v>0</v>
      </c>
    </row>
    <row r="118" spans="1:16" ht="18" customHeight="1" x14ac:dyDescent="0.35">
      <c r="A118" s="29">
        <v>42</v>
      </c>
      <c r="B118" s="51" t="str">
        <f>'Initiative Register'!B47</f>
        <v>INI-043</v>
      </c>
      <c r="C118" s="51" t="str">
        <f>'Initiative Register'!C47</f>
        <v>PAYROLL – PHARMACY OPTIMISATION</v>
      </c>
      <c r="D118" s="56">
        <v>0</v>
      </c>
      <c r="E118" s="56">
        <v>0</v>
      </c>
      <c r="F118" s="56">
        <v>0</v>
      </c>
      <c r="G118" s="56">
        <v>0</v>
      </c>
      <c r="H118" s="56">
        <v>0</v>
      </c>
      <c r="I118" s="56">
        <v>0</v>
      </c>
      <c r="J118" s="56">
        <v>0</v>
      </c>
      <c r="K118" s="56">
        <v>0</v>
      </c>
      <c r="L118" s="56">
        <v>0</v>
      </c>
      <c r="M118" s="56">
        <v>0</v>
      </c>
      <c r="N118" s="56">
        <v>0</v>
      </c>
      <c r="O118" s="56">
        <v>0</v>
      </c>
      <c r="P118" s="57">
        <f t="shared" si="3"/>
        <v>0</v>
      </c>
    </row>
    <row r="119" spans="1:16" ht="18" customHeight="1" x14ac:dyDescent="0.35">
      <c r="A119" s="33">
        <v>43</v>
      </c>
      <c r="B119" s="48" t="str">
        <f>'Initiative Register'!B48</f>
        <v>INI-044</v>
      </c>
      <c r="C119" s="48" t="str">
        <f>'Initiative Register'!C48</f>
        <v>PAYROLL – ADMIN (PCS) OPTIMISATION</v>
      </c>
      <c r="D119" s="54">
        <v>0</v>
      </c>
      <c r="E119" s="54">
        <v>0</v>
      </c>
      <c r="F119" s="54">
        <v>0</v>
      </c>
      <c r="G119" s="54">
        <v>0</v>
      </c>
      <c r="H119" s="54">
        <v>0</v>
      </c>
      <c r="I119" s="54">
        <v>0</v>
      </c>
      <c r="J119" s="54">
        <v>0</v>
      </c>
      <c r="K119" s="54">
        <v>0</v>
      </c>
      <c r="L119" s="54">
        <v>0</v>
      </c>
      <c r="M119" s="54">
        <v>0</v>
      </c>
      <c r="N119" s="54">
        <v>0</v>
      </c>
      <c r="O119" s="54">
        <v>0</v>
      </c>
      <c r="P119" s="55">
        <f t="shared" si="3"/>
        <v>0</v>
      </c>
    </row>
    <row r="120" spans="1:16" ht="18" customHeight="1" x14ac:dyDescent="0.35">
      <c r="A120" s="29">
        <v>44</v>
      </c>
      <c r="B120" s="51" t="str">
        <f>'Initiative Register'!B49</f>
        <v>INI-045</v>
      </c>
      <c r="C120" s="51" t="str">
        <f>'Initiative Register'!C49</f>
        <v>PAYROLL – LAB OPTIMISATION</v>
      </c>
      <c r="D120" s="56">
        <v>0</v>
      </c>
      <c r="E120" s="56">
        <v>0</v>
      </c>
      <c r="F120" s="56">
        <v>0</v>
      </c>
      <c r="G120" s="56">
        <v>0</v>
      </c>
      <c r="H120" s="56">
        <v>0</v>
      </c>
      <c r="I120" s="56">
        <v>0</v>
      </c>
      <c r="J120" s="56">
        <v>0</v>
      </c>
      <c r="K120" s="56">
        <v>0</v>
      </c>
      <c r="L120" s="56">
        <v>0</v>
      </c>
      <c r="M120" s="56">
        <v>0</v>
      </c>
      <c r="N120" s="56">
        <v>0</v>
      </c>
      <c r="O120" s="56">
        <v>0</v>
      </c>
      <c r="P120" s="57">
        <f t="shared" si="3"/>
        <v>0</v>
      </c>
    </row>
    <row r="121" spans="1:16" ht="18" customHeight="1" x14ac:dyDescent="0.35">
      <c r="A121" s="33">
        <v>45</v>
      </c>
      <c r="B121" s="48" t="str">
        <f>'Initiative Register'!B50</f>
        <v>INI-046</v>
      </c>
      <c r="C121" s="48" t="str">
        <f>'Initiative Register'!C50</f>
        <v>PAYROLL – OT COST CONTROL</v>
      </c>
      <c r="D121" s="54">
        <v>0</v>
      </c>
      <c r="E121" s="54">
        <v>0</v>
      </c>
      <c r="F121" s="54">
        <v>0</v>
      </c>
      <c r="G121" s="54">
        <v>0</v>
      </c>
      <c r="H121" s="54">
        <v>0</v>
      </c>
      <c r="I121" s="54">
        <v>0</v>
      </c>
      <c r="J121" s="54">
        <v>0</v>
      </c>
      <c r="K121" s="54">
        <v>0</v>
      </c>
      <c r="L121" s="54">
        <v>0</v>
      </c>
      <c r="M121" s="54">
        <v>0</v>
      </c>
      <c r="N121" s="54">
        <v>0</v>
      </c>
      <c r="O121" s="54">
        <v>0</v>
      </c>
      <c r="P121" s="55">
        <f t="shared" si="3"/>
        <v>0</v>
      </c>
    </row>
    <row r="122" spans="1:16" ht="18" customHeight="1" x14ac:dyDescent="0.35">
      <c r="A122" s="29">
        <v>46</v>
      </c>
      <c r="B122" s="51" t="str">
        <f>'Initiative Register'!B51</f>
        <v>INI-047</v>
      </c>
      <c r="C122" s="51" t="str">
        <f>'Initiative Register'!C51</f>
        <v>PAYROLL – OUTSOURCED CONTRACT OPTIMISATION</v>
      </c>
      <c r="D122" s="56">
        <v>0</v>
      </c>
      <c r="E122" s="56">
        <v>0</v>
      </c>
      <c r="F122" s="56">
        <v>0</v>
      </c>
      <c r="G122" s="56">
        <v>0</v>
      </c>
      <c r="H122" s="56">
        <v>0</v>
      </c>
      <c r="I122" s="56">
        <v>0</v>
      </c>
      <c r="J122" s="56">
        <v>0</v>
      </c>
      <c r="K122" s="56">
        <v>0</v>
      </c>
      <c r="L122" s="56">
        <v>0</v>
      </c>
      <c r="M122" s="56">
        <v>0</v>
      </c>
      <c r="N122" s="56">
        <v>0</v>
      </c>
      <c r="O122" s="56">
        <v>0</v>
      </c>
      <c r="P122" s="57">
        <f t="shared" si="3"/>
        <v>0</v>
      </c>
    </row>
    <row r="123" spans="1:16" ht="18" customHeight="1" x14ac:dyDescent="0.35">
      <c r="A123" s="33">
        <v>47</v>
      </c>
      <c r="B123" s="48" t="str">
        <f>'Initiative Register'!B52</f>
        <v>INI-048</v>
      </c>
      <c r="C123" s="48" t="str">
        <f>'Initiative Register'!C52</f>
        <v>OVERHEAD – ENERGY COST OPTIMISATION</v>
      </c>
      <c r="D123" s="54">
        <v>0</v>
      </c>
      <c r="E123" s="54">
        <v>0</v>
      </c>
      <c r="F123" s="54">
        <v>0</v>
      </c>
      <c r="G123" s="54">
        <v>0</v>
      </c>
      <c r="H123" s="54">
        <v>0</v>
      </c>
      <c r="I123" s="54">
        <v>0</v>
      </c>
      <c r="J123" s="54">
        <v>0</v>
      </c>
      <c r="K123" s="54">
        <v>0</v>
      </c>
      <c r="L123" s="54">
        <v>0</v>
      </c>
      <c r="M123" s="54">
        <v>0</v>
      </c>
      <c r="N123" s="54">
        <v>0</v>
      </c>
      <c r="O123" s="54">
        <v>0</v>
      </c>
      <c r="P123" s="55">
        <f t="shared" si="3"/>
        <v>0</v>
      </c>
    </row>
    <row r="124" spans="1:16" ht="18" customHeight="1" x14ac:dyDescent="0.35">
      <c r="A124" s="29">
        <v>48</v>
      </c>
      <c r="B124" s="51" t="str">
        <f>'Initiative Register'!B53</f>
        <v>INI-049</v>
      </c>
      <c r="C124" s="51" t="str">
        <f>'Initiative Register'!C53</f>
        <v>OVERHEAD – F&amp;B COST OPTIMISATION</v>
      </c>
      <c r="D124" s="56">
        <v>0</v>
      </c>
      <c r="E124" s="56">
        <v>0</v>
      </c>
      <c r="F124" s="56">
        <v>0</v>
      </c>
      <c r="G124" s="56">
        <v>0</v>
      </c>
      <c r="H124" s="56">
        <v>0</v>
      </c>
      <c r="I124" s="56">
        <v>0</v>
      </c>
      <c r="J124" s="56">
        <v>0</v>
      </c>
      <c r="K124" s="56">
        <v>0</v>
      </c>
      <c r="L124" s="56">
        <v>0</v>
      </c>
      <c r="M124" s="56">
        <v>0</v>
      </c>
      <c r="N124" s="56">
        <v>0</v>
      </c>
      <c r="O124" s="56">
        <v>0</v>
      </c>
      <c r="P124" s="57">
        <f t="shared" si="3"/>
        <v>0</v>
      </c>
    </row>
    <row r="125" spans="1:16" ht="18" customHeight="1" x14ac:dyDescent="0.35">
      <c r="A125" s="33">
        <v>49</v>
      </c>
      <c r="B125" s="48" t="str">
        <f>'Initiative Register'!B54</f>
        <v>INI-050</v>
      </c>
      <c r="C125" s="48" t="str">
        <f>'Initiative Register'!C54</f>
        <v>OVERHEAD – CLAIM DENIAL REDUCTION</v>
      </c>
      <c r="D125" s="54">
        <v>0</v>
      </c>
      <c r="E125" s="54">
        <v>0</v>
      </c>
      <c r="F125" s="54">
        <v>0</v>
      </c>
      <c r="G125" s="54">
        <v>0</v>
      </c>
      <c r="H125" s="54">
        <v>0</v>
      </c>
      <c r="I125" s="54">
        <v>0</v>
      </c>
      <c r="J125" s="54">
        <v>0</v>
      </c>
      <c r="K125" s="54">
        <v>0</v>
      </c>
      <c r="L125" s="54">
        <v>0</v>
      </c>
      <c r="M125" s="54">
        <v>0</v>
      </c>
      <c r="N125" s="54">
        <v>0</v>
      </c>
      <c r="O125" s="54">
        <v>0</v>
      </c>
      <c r="P125" s="55">
        <f t="shared" si="3"/>
        <v>0</v>
      </c>
    </row>
    <row r="126" spans="1:16" ht="18" customHeight="1" x14ac:dyDescent="0.35">
      <c r="A126" s="29">
        <v>50</v>
      </c>
      <c r="B126" s="51" t="str">
        <f>'Initiative Register'!B55</f>
        <v>INI-051</v>
      </c>
      <c r="C126" s="51" t="str">
        <f>'Initiative Register'!C55</f>
        <v>OVERHEAD – REVENUE LEAKAGE RECOVERY</v>
      </c>
      <c r="D126" s="56">
        <v>0</v>
      </c>
      <c r="E126" s="56">
        <v>0</v>
      </c>
      <c r="F126" s="56">
        <v>0</v>
      </c>
      <c r="G126" s="56">
        <v>0</v>
      </c>
      <c r="H126" s="56">
        <v>0</v>
      </c>
      <c r="I126" s="56">
        <v>0</v>
      </c>
      <c r="J126" s="56">
        <v>0</v>
      </c>
      <c r="K126" s="56">
        <v>0</v>
      </c>
      <c r="L126" s="56">
        <v>0</v>
      </c>
      <c r="M126" s="56">
        <v>0</v>
      </c>
      <c r="N126" s="56">
        <v>0</v>
      </c>
      <c r="O126" s="56">
        <v>0</v>
      </c>
      <c r="P126" s="57">
        <f t="shared" si="3"/>
        <v>0</v>
      </c>
    </row>
    <row r="127" spans="1:16" ht="21.75" customHeight="1" x14ac:dyDescent="0.35">
      <c r="A127" s="167" t="s">
        <v>290</v>
      </c>
      <c r="B127" s="126"/>
      <c r="C127" s="123"/>
      <c r="D127" s="58">
        <f t="shared" ref="D127:P127" si="4">SUM(D77:D126)</f>
        <v>0</v>
      </c>
      <c r="E127" s="58">
        <f t="shared" si="4"/>
        <v>0</v>
      </c>
      <c r="F127" s="58">
        <f t="shared" si="4"/>
        <v>0</v>
      </c>
      <c r="G127" s="58">
        <f t="shared" si="4"/>
        <v>0</v>
      </c>
      <c r="H127" s="58">
        <f t="shared" si="4"/>
        <v>0</v>
      </c>
      <c r="I127" s="58">
        <f t="shared" si="4"/>
        <v>0</v>
      </c>
      <c r="J127" s="58">
        <f t="shared" si="4"/>
        <v>0</v>
      </c>
      <c r="K127" s="58">
        <f t="shared" si="4"/>
        <v>0</v>
      </c>
      <c r="L127" s="58">
        <f t="shared" si="4"/>
        <v>0</v>
      </c>
      <c r="M127" s="58">
        <f t="shared" si="4"/>
        <v>0</v>
      </c>
      <c r="N127" s="58">
        <f t="shared" si="4"/>
        <v>0</v>
      </c>
      <c r="O127" s="58">
        <f t="shared" si="4"/>
        <v>0</v>
      </c>
      <c r="P127" s="58">
        <f t="shared" si="4"/>
        <v>0</v>
      </c>
    </row>
    <row r="128" spans="1:16"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row r="1007" ht="14.25" customHeight="1" x14ac:dyDescent="0.35"/>
    <row r="1008" ht="14.25" customHeight="1" x14ac:dyDescent="0.35"/>
    <row r="1009" ht="14.25" customHeight="1" x14ac:dyDescent="0.35"/>
    <row r="1010" ht="14.25" customHeight="1" x14ac:dyDescent="0.35"/>
    <row r="1011" ht="14.25" customHeight="1" x14ac:dyDescent="0.35"/>
    <row r="1012" ht="14.25" customHeight="1" x14ac:dyDescent="0.35"/>
    <row r="1013" ht="14.25" customHeight="1" x14ac:dyDescent="0.35"/>
    <row r="1014" ht="14.25" customHeight="1" x14ac:dyDescent="0.35"/>
    <row r="1015" ht="14.25" customHeight="1" x14ac:dyDescent="0.35"/>
    <row r="1016" ht="14.25" customHeight="1" x14ac:dyDescent="0.35"/>
    <row r="1017" ht="14.25" customHeight="1" x14ac:dyDescent="0.35"/>
    <row r="1018" ht="14.25" customHeight="1" x14ac:dyDescent="0.35"/>
  </sheetData>
  <mergeCells count="6">
    <mergeCell ref="A127:C127"/>
    <mergeCell ref="A1:Q1"/>
    <mergeCell ref="A2:Q2"/>
    <mergeCell ref="A3:Q3"/>
    <mergeCell ref="A73:C73"/>
    <mergeCell ref="A75:Q75"/>
  </mergeCell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X1000"/>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defaultColWidth="14.453125" defaultRowHeight="15" customHeight="1" x14ac:dyDescent="0.35"/>
  <cols>
    <col min="1" max="1" width="4" customWidth="1"/>
    <col min="2" max="2" width="14" customWidth="1"/>
    <col min="3" max="3" width="32" customWidth="1"/>
    <col min="4" max="6" width="9" customWidth="1"/>
    <col min="7" max="7" width="8" customWidth="1"/>
    <col min="8" max="10" width="9" customWidth="1"/>
    <col min="11" max="11" width="8" customWidth="1"/>
    <col min="12" max="14" width="9" customWidth="1"/>
    <col min="15" max="15" width="8" customWidth="1"/>
    <col min="16" max="18" width="9" customWidth="1"/>
    <col min="19" max="19" width="8" customWidth="1"/>
    <col min="20" max="22" width="10" customWidth="1"/>
    <col min="23" max="23" width="8" customWidth="1"/>
    <col min="24" max="24" width="14" customWidth="1"/>
    <col min="25" max="26" width="8.54296875" customWidth="1"/>
  </cols>
  <sheetData>
    <row r="1" spans="1:24" ht="39.75" customHeight="1" x14ac:dyDescent="0.35">
      <c r="A1" s="165" t="s">
        <v>297</v>
      </c>
      <c r="B1" s="126"/>
      <c r="C1" s="126"/>
      <c r="D1" s="126"/>
      <c r="E1" s="126"/>
      <c r="F1" s="126"/>
      <c r="G1" s="126"/>
      <c r="H1" s="126"/>
      <c r="I1" s="126"/>
      <c r="J1" s="126"/>
      <c r="K1" s="126"/>
      <c r="L1" s="126"/>
      <c r="M1" s="126"/>
      <c r="N1" s="126"/>
      <c r="O1" s="126"/>
      <c r="P1" s="126"/>
      <c r="Q1" s="126"/>
      <c r="R1" s="126"/>
      <c r="S1" s="126"/>
      <c r="T1" s="126"/>
      <c r="U1" s="126"/>
      <c r="V1" s="126"/>
      <c r="W1" s="126"/>
      <c r="X1" s="123"/>
    </row>
    <row r="2" spans="1:24" ht="14.25" customHeight="1" x14ac:dyDescent="0.35"/>
    <row r="3" spans="1:24" ht="21.75" customHeight="1" x14ac:dyDescent="0.35">
      <c r="A3" s="169" t="s">
        <v>298</v>
      </c>
      <c r="B3" s="126"/>
      <c r="C3" s="126"/>
      <c r="D3" s="126"/>
      <c r="E3" s="126"/>
      <c r="F3" s="126"/>
      <c r="G3" s="126"/>
      <c r="H3" s="126"/>
      <c r="I3" s="126"/>
      <c r="J3" s="126"/>
      <c r="K3" s="126"/>
      <c r="L3" s="126"/>
      <c r="M3" s="126"/>
      <c r="N3" s="126"/>
      <c r="O3" s="126"/>
      <c r="P3" s="126"/>
      <c r="Q3" s="126"/>
      <c r="R3" s="126"/>
      <c r="S3" s="126"/>
      <c r="T3" s="126"/>
      <c r="U3" s="126"/>
      <c r="V3" s="126"/>
      <c r="W3" s="126"/>
      <c r="X3" s="123"/>
    </row>
    <row r="4" spans="1:24" ht="39.75" customHeight="1" x14ac:dyDescent="0.35">
      <c r="A4" s="47" t="s">
        <v>41</v>
      </c>
      <c r="B4" s="47" t="s">
        <v>42</v>
      </c>
      <c r="C4" s="47" t="s">
        <v>43</v>
      </c>
      <c r="D4" s="23" t="s">
        <v>299</v>
      </c>
      <c r="E4" s="1" t="s">
        <v>300</v>
      </c>
      <c r="F4" s="59" t="s">
        <v>301</v>
      </c>
      <c r="G4" s="59" t="s">
        <v>302</v>
      </c>
      <c r="H4" s="23" t="s">
        <v>303</v>
      </c>
      <c r="I4" s="1" t="s">
        <v>304</v>
      </c>
      <c r="J4" s="59" t="s">
        <v>305</v>
      </c>
      <c r="K4" s="59" t="s">
        <v>306</v>
      </c>
      <c r="L4" s="23" t="s">
        <v>307</v>
      </c>
      <c r="M4" s="1" t="s">
        <v>308</v>
      </c>
      <c r="N4" s="59" t="s">
        <v>309</v>
      </c>
      <c r="O4" s="59" t="s">
        <v>310</v>
      </c>
      <c r="P4" s="23" t="s">
        <v>311</v>
      </c>
      <c r="Q4" s="1" t="s">
        <v>312</v>
      </c>
      <c r="R4" s="59" t="s">
        <v>313</v>
      </c>
      <c r="S4" s="59" t="s">
        <v>314</v>
      </c>
      <c r="T4" s="23" t="s">
        <v>315</v>
      </c>
      <c r="U4" s="1" t="s">
        <v>316</v>
      </c>
      <c r="V4" s="59" t="s">
        <v>317</v>
      </c>
      <c r="W4" s="59" t="s">
        <v>318</v>
      </c>
      <c r="X4" s="59" t="s">
        <v>319</v>
      </c>
    </row>
    <row r="5" spans="1:24" ht="18" customHeight="1" x14ac:dyDescent="0.35">
      <c r="A5" s="60">
        <v>1</v>
      </c>
      <c r="B5" s="48" t="str">
        <f>'Initiative Register'!B5</f>
        <v>INI-001</v>
      </c>
      <c r="C5" s="48" t="str">
        <f>'Initiative Register'!C5</f>
        <v>Campaign- Patient experience improvement</v>
      </c>
      <c r="D5" s="61">
        <f>SUM('Cost Plan'!D5:F5)</f>
        <v>0</v>
      </c>
      <c r="E5" s="61">
        <f>SUM('Monthly Actuals'!D77:F77)</f>
        <v>0</v>
      </c>
      <c r="F5" s="62">
        <f t="shared" ref="F5:F54" si="0">E5-D5</f>
        <v>0</v>
      </c>
      <c r="G5" s="63" t="str">
        <f t="shared" ref="G5:G54" si="1">IFERROR(IF(D5=0,"",F5/D5),"" )</f>
        <v/>
      </c>
      <c r="H5" s="61">
        <f>SUM('Cost Plan'!G5:I5)</f>
        <v>0</v>
      </c>
      <c r="I5" s="61">
        <f>SUM('Monthly Actuals'!G77:I77)</f>
        <v>0</v>
      </c>
      <c r="J5" s="62">
        <f t="shared" ref="J5:J54" si="2">I5-H5</f>
        <v>0</v>
      </c>
      <c r="K5" s="63" t="str">
        <f t="shared" ref="K5:K54" si="3">IFERROR(IF(H5=0,"",J5/H5),"" )</f>
        <v/>
      </c>
      <c r="L5" s="61">
        <f>SUM('Cost Plan'!J5:L5)</f>
        <v>0</v>
      </c>
      <c r="M5" s="61">
        <f>SUM('Monthly Actuals'!J77:L77)</f>
        <v>0</v>
      </c>
      <c r="N5" s="62">
        <f t="shared" ref="N5:N54" si="4">M5-L5</f>
        <v>0</v>
      </c>
      <c r="O5" s="63" t="str">
        <f t="shared" ref="O5:O54" si="5">IFERROR(IF(L5=0,"",N5/L5),"" )</f>
        <v/>
      </c>
      <c r="P5" s="61">
        <f>SUM('Cost Plan'!M5:O5)</f>
        <v>0</v>
      </c>
      <c r="Q5" s="61">
        <f>SUM('Monthly Actuals'!M77:O77)</f>
        <v>0</v>
      </c>
      <c r="R5" s="62">
        <f t="shared" ref="R5:R54" si="6">Q5-P5</f>
        <v>0</v>
      </c>
      <c r="S5" s="63" t="str">
        <f t="shared" ref="S5:S54" si="7">IFERROR(IF(P5=0,"",R5/P5),"" )</f>
        <v/>
      </c>
      <c r="T5" s="64">
        <f>'Cost Plan'!P5</f>
        <v>0</v>
      </c>
      <c r="U5" s="64">
        <f>'Monthly Actuals'!P77</f>
        <v>0</v>
      </c>
      <c r="V5" s="65">
        <f t="shared" ref="V5:V54" si="8">U5-T5</f>
        <v>0</v>
      </c>
      <c r="W5" s="66" t="str">
        <f t="shared" ref="W5:W54" si="9">IFERROR(IF(T5=0,"",V5/T5),"" )</f>
        <v/>
      </c>
      <c r="X5" s="50" t="str">
        <f>IF(ISNUMBER(W5),IF(W5&gt;(Config!B7/100),"OVER BUDGET",IF(W5&lt;-(Config!B7/100),"UNDER BUDGET","ON TRACK")),"" )</f>
        <v/>
      </c>
    </row>
    <row r="6" spans="1:24" ht="18" customHeight="1" x14ac:dyDescent="0.35">
      <c r="A6" s="67">
        <v>2</v>
      </c>
      <c r="B6" s="51" t="str">
        <f>'Initiative Register'!B6</f>
        <v/>
      </c>
      <c r="C6" s="51">
        <f>'Initiative Register'!C6</f>
        <v>0</v>
      </c>
      <c r="D6" s="68">
        <f>SUM('Cost Plan'!D6:F6)</f>
        <v>0</v>
      </c>
      <c r="E6" s="68">
        <f>SUM('Monthly Actuals'!D78:F78)</f>
        <v>0</v>
      </c>
      <c r="F6" s="69">
        <f t="shared" si="0"/>
        <v>0</v>
      </c>
      <c r="G6" s="70" t="str">
        <f t="shared" si="1"/>
        <v/>
      </c>
      <c r="H6" s="68">
        <f>SUM('Cost Plan'!G6:I6)</f>
        <v>0</v>
      </c>
      <c r="I6" s="68">
        <f>SUM('Monthly Actuals'!G78:I78)</f>
        <v>0</v>
      </c>
      <c r="J6" s="69">
        <f t="shared" si="2"/>
        <v>0</v>
      </c>
      <c r="K6" s="70" t="str">
        <f t="shared" si="3"/>
        <v/>
      </c>
      <c r="L6" s="68">
        <f>SUM('Cost Plan'!J6:L6)</f>
        <v>0</v>
      </c>
      <c r="M6" s="68">
        <f>SUM('Monthly Actuals'!J78:L78)</f>
        <v>0</v>
      </c>
      <c r="N6" s="69">
        <f t="shared" si="4"/>
        <v>0</v>
      </c>
      <c r="O6" s="70" t="str">
        <f t="shared" si="5"/>
        <v/>
      </c>
      <c r="P6" s="68">
        <f>SUM('Cost Plan'!M6:O6)</f>
        <v>0</v>
      </c>
      <c r="Q6" s="68">
        <f>SUM('Monthly Actuals'!M78:O78)</f>
        <v>0</v>
      </c>
      <c r="R6" s="69">
        <f t="shared" si="6"/>
        <v>0</v>
      </c>
      <c r="S6" s="70" t="str">
        <f t="shared" si="7"/>
        <v/>
      </c>
      <c r="T6" s="71">
        <f>'Cost Plan'!P6</f>
        <v>0</v>
      </c>
      <c r="U6" s="71">
        <f>'Monthly Actuals'!P78</f>
        <v>0</v>
      </c>
      <c r="V6" s="72">
        <f t="shared" si="8"/>
        <v>0</v>
      </c>
      <c r="W6" s="73" t="str">
        <f t="shared" si="9"/>
        <v/>
      </c>
      <c r="X6" s="53" t="str">
        <f>IF(ISNUMBER(W6),IF(W6&gt;(Config!B7/100),"OVER BUDGET",IF(W6&lt;-(Config!B7/100),"UNDER BUDGET","ON TRACK")),"" )</f>
        <v/>
      </c>
    </row>
    <row r="7" spans="1:24" ht="18" customHeight="1" x14ac:dyDescent="0.35">
      <c r="A7" s="60">
        <v>3</v>
      </c>
      <c r="B7" s="48" t="str">
        <f>'Initiative Register'!B7</f>
        <v>INI-003</v>
      </c>
      <c r="C7" s="48" t="str">
        <f>'Initiative Register'!C7</f>
        <v>Geriatric ward</v>
      </c>
      <c r="D7" s="61">
        <f>SUM('Cost Plan'!D7:F7)</f>
        <v>0</v>
      </c>
      <c r="E7" s="61">
        <f>SUM('Monthly Actuals'!D79:F79)</f>
        <v>0</v>
      </c>
      <c r="F7" s="62">
        <f t="shared" si="0"/>
        <v>0</v>
      </c>
      <c r="G7" s="63" t="str">
        <f t="shared" si="1"/>
        <v/>
      </c>
      <c r="H7" s="61">
        <f>SUM('Cost Plan'!G7:I7)</f>
        <v>0</v>
      </c>
      <c r="I7" s="61">
        <f>SUM('Monthly Actuals'!G79:I79)</f>
        <v>0</v>
      </c>
      <c r="J7" s="62">
        <f t="shared" si="2"/>
        <v>0</v>
      </c>
      <c r="K7" s="63" t="str">
        <f t="shared" si="3"/>
        <v/>
      </c>
      <c r="L7" s="61">
        <f>SUM('Cost Plan'!J7:L7)</f>
        <v>0</v>
      </c>
      <c r="M7" s="61">
        <f>SUM('Monthly Actuals'!J79:L79)</f>
        <v>0</v>
      </c>
      <c r="N7" s="62">
        <f t="shared" si="4"/>
        <v>0</v>
      </c>
      <c r="O7" s="63" t="str">
        <f t="shared" si="5"/>
        <v/>
      </c>
      <c r="P7" s="61">
        <f>SUM('Cost Plan'!M7:O7)</f>
        <v>0</v>
      </c>
      <c r="Q7" s="61">
        <f>SUM('Monthly Actuals'!M79:O79)</f>
        <v>0</v>
      </c>
      <c r="R7" s="62">
        <f t="shared" si="6"/>
        <v>0</v>
      </c>
      <c r="S7" s="63" t="str">
        <f t="shared" si="7"/>
        <v/>
      </c>
      <c r="T7" s="64">
        <f>'Cost Plan'!P7</f>
        <v>0</v>
      </c>
      <c r="U7" s="64">
        <f>'Monthly Actuals'!P79</f>
        <v>0</v>
      </c>
      <c r="V7" s="65">
        <f t="shared" si="8"/>
        <v>0</v>
      </c>
      <c r="W7" s="66" t="str">
        <f t="shared" si="9"/>
        <v/>
      </c>
      <c r="X7" s="50" t="str">
        <f>IF(ISNUMBER(W7),IF(W7&gt;(Config!B7/100),"OVER BUDGET",IF(W7&lt;-(Config!B7/100),"UNDER BUDGET","ON TRACK")),"" )</f>
        <v/>
      </c>
    </row>
    <row r="8" spans="1:24" ht="18" customHeight="1" x14ac:dyDescent="0.35">
      <c r="A8" s="67">
        <v>4</v>
      </c>
      <c r="B8" s="51" t="str">
        <f>'Initiative Register'!B8</f>
        <v>INI-004</v>
      </c>
      <c r="C8" s="51" t="str">
        <f>'Initiative Register'!C8</f>
        <v>Appointment of Specialized Doctors and development of existing department</v>
      </c>
      <c r="D8" s="68">
        <f>SUM('Cost Plan'!D8:F8)</f>
        <v>0</v>
      </c>
      <c r="E8" s="68">
        <f>SUM('Monthly Actuals'!D80:F80)</f>
        <v>0</v>
      </c>
      <c r="F8" s="69">
        <f t="shared" si="0"/>
        <v>0</v>
      </c>
      <c r="G8" s="70" t="str">
        <f t="shared" si="1"/>
        <v/>
      </c>
      <c r="H8" s="68">
        <f>SUM('Cost Plan'!G8:I8)</f>
        <v>0</v>
      </c>
      <c r="I8" s="68">
        <f>SUM('Monthly Actuals'!G80:I80)</f>
        <v>0</v>
      </c>
      <c r="J8" s="69">
        <f t="shared" si="2"/>
        <v>0</v>
      </c>
      <c r="K8" s="70" t="str">
        <f t="shared" si="3"/>
        <v/>
      </c>
      <c r="L8" s="68">
        <f>SUM('Cost Plan'!J8:L8)</f>
        <v>0</v>
      </c>
      <c r="M8" s="68">
        <f>SUM('Monthly Actuals'!J80:L80)</f>
        <v>0</v>
      </c>
      <c r="N8" s="69">
        <f t="shared" si="4"/>
        <v>0</v>
      </c>
      <c r="O8" s="70" t="str">
        <f t="shared" si="5"/>
        <v/>
      </c>
      <c r="P8" s="68">
        <f>SUM('Cost Plan'!M8:O8)</f>
        <v>0</v>
      </c>
      <c r="Q8" s="68">
        <f>SUM('Monthly Actuals'!M80:O80)</f>
        <v>0</v>
      </c>
      <c r="R8" s="69">
        <f t="shared" si="6"/>
        <v>0</v>
      </c>
      <c r="S8" s="70" t="str">
        <f t="shared" si="7"/>
        <v/>
      </c>
      <c r="T8" s="71">
        <f>'Cost Plan'!P8</f>
        <v>0</v>
      </c>
      <c r="U8" s="71">
        <f>'Monthly Actuals'!P80</f>
        <v>0</v>
      </c>
      <c r="V8" s="72">
        <f t="shared" si="8"/>
        <v>0</v>
      </c>
      <c r="W8" s="73" t="str">
        <f t="shared" si="9"/>
        <v/>
      </c>
      <c r="X8" s="53" t="str">
        <f>IF(ISNUMBER(W8),IF(W8&gt;(Config!B7/100),"OVER BUDGET",IF(W8&lt;-(Config!B7/100),"UNDER BUDGET","ON TRACK")),"" )</f>
        <v/>
      </c>
    </row>
    <row r="9" spans="1:24" ht="18" customHeight="1" x14ac:dyDescent="0.35">
      <c r="A9" s="60">
        <v>5</v>
      </c>
      <c r="B9" s="48" t="str">
        <f>'Initiative Register'!B9</f>
        <v>INI-005</v>
      </c>
      <c r="C9" s="48" t="str">
        <f>'Initiative Register'!C9</f>
        <v>Patient companion</v>
      </c>
      <c r="D9" s="61">
        <f>SUM('Cost Plan'!D9:F9)</f>
        <v>0</v>
      </c>
      <c r="E9" s="61">
        <f>SUM('Monthly Actuals'!D81:F81)</f>
        <v>0</v>
      </c>
      <c r="F9" s="62">
        <f t="shared" si="0"/>
        <v>0</v>
      </c>
      <c r="G9" s="63" t="str">
        <f t="shared" si="1"/>
        <v/>
      </c>
      <c r="H9" s="61">
        <f>SUM('Cost Plan'!G9:I9)</f>
        <v>0</v>
      </c>
      <c r="I9" s="61">
        <f>SUM('Monthly Actuals'!G81:I81)</f>
        <v>0</v>
      </c>
      <c r="J9" s="62">
        <f t="shared" si="2"/>
        <v>0</v>
      </c>
      <c r="K9" s="63" t="str">
        <f t="shared" si="3"/>
        <v/>
      </c>
      <c r="L9" s="61">
        <f>SUM('Cost Plan'!J9:L9)</f>
        <v>0</v>
      </c>
      <c r="M9" s="61">
        <f>SUM('Monthly Actuals'!J81:L81)</f>
        <v>0</v>
      </c>
      <c r="N9" s="62">
        <f t="shared" si="4"/>
        <v>0</v>
      </c>
      <c r="O9" s="63" t="str">
        <f t="shared" si="5"/>
        <v/>
      </c>
      <c r="P9" s="61">
        <f>SUM('Cost Plan'!M9:O9)</f>
        <v>0</v>
      </c>
      <c r="Q9" s="61">
        <f>SUM('Monthly Actuals'!M81:O81)</f>
        <v>0</v>
      </c>
      <c r="R9" s="62">
        <f t="shared" si="6"/>
        <v>0</v>
      </c>
      <c r="S9" s="63" t="str">
        <f t="shared" si="7"/>
        <v/>
      </c>
      <c r="T9" s="64">
        <f>'Cost Plan'!P9</f>
        <v>0</v>
      </c>
      <c r="U9" s="64">
        <f>'Monthly Actuals'!P81</f>
        <v>0</v>
      </c>
      <c r="V9" s="65">
        <f t="shared" si="8"/>
        <v>0</v>
      </c>
      <c r="W9" s="66" t="str">
        <f t="shared" si="9"/>
        <v/>
      </c>
      <c r="X9" s="50" t="str">
        <f>IF(ISNUMBER(W9),IF(W9&gt;(Config!B7/100),"OVER BUDGET",IF(W9&lt;-(Config!B7/100),"UNDER BUDGET","ON TRACK")),"" )</f>
        <v/>
      </c>
    </row>
    <row r="10" spans="1:24" ht="18" customHeight="1" x14ac:dyDescent="0.35">
      <c r="A10" s="67">
        <v>6</v>
      </c>
      <c r="B10" s="51" t="str">
        <f>'Initiative Register'!B10</f>
        <v>INI-006</v>
      </c>
      <c r="C10" s="51" t="str">
        <f>'Initiative Register'!C10</f>
        <v xml:space="preserve">Newborn Care Enhancement </v>
      </c>
      <c r="D10" s="68">
        <f>SUM('Cost Plan'!D10:F10)</f>
        <v>0</v>
      </c>
      <c r="E10" s="68">
        <f>SUM('Monthly Actuals'!D82:F82)</f>
        <v>0</v>
      </c>
      <c r="F10" s="69">
        <f t="shared" si="0"/>
        <v>0</v>
      </c>
      <c r="G10" s="70" t="str">
        <f t="shared" si="1"/>
        <v/>
      </c>
      <c r="H10" s="68">
        <f>SUM('Cost Plan'!G10:I10)</f>
        <v>0</v>
      </c>
      <c r="I10" s="68">
        <f>SUM('Monthly Actuals'!G82:I82)</f>
        <v>0</v>
      </c>
      <c r="J10" s="69">
        <f t="shared" si="2"/>
        <v>0</v>
      </c>
      <c r="K10" s="70" t="str">
        <f t="shared" si="3"/>
        <v/>
      </c>
      <c r="L10" s="68">
        <f>SUM('Cost Plan'!J10:L10)</f>
        <v>0</v>
      </c>
      <c r="M10" s="68">
        <f>SUM('Monthly Actuals'!J82:L82)</f>
        <v>0</v>
      </c>
      <c r="N10" s="69">
        <f t="shared" si="4"/>
        <v>0</v>
      </c>
      <c r="O10" s="70" t="str">
        <f t="shared" si="5"/>
        <v/>
      </c>
      <c r="P10" s="68">
        <f>SUM('Cost Plan'!M10:O10)</f>
        <v>0</v>
      </c>
      <c r="Q10" s="68">
        <f>SUM('Monthly Actuals'!M82:O82)</f>
        <v>0</v>
      </c>
      <c r="R10" s="69">
        <f t="shared" si="6"/>
        <v>0</v>
      </c>
      <c r="S10" s="70" t="str">
        <f t="shared" si="7"/>
        <v/>
      </c>
      <c r="T10" s="71">
        <f>'Cost Plan'!P10</f>
        <v>0</v>
      </c>
      <c r="U10" s="71">
        <f>'Monthly Actuals'!P82</f>
        <v>0</v>
      </c>
      <c r="V10" s="72">
        <f t="shared" si="8"/>
        <v>0</v>
      </c>
      <c r="W10" s="73" t="str">
        <f t="shared" si="9"/>
        <v/>
      </c>
      <c r="X10" s="53" t="str">
        <f>IF(ISNUMBER(W10),IF(W10&gt;(Config!B7/100),"OVER BUDGET",IF(W10&lt;-(Config!B7/100),"UNDER BUDGET","ON TRACK")),"" )</f>
        <v/>
      </c>
    </row>
    <row r="11" spans="1:24" ht="18" customHeight="1" x14ac:dyDescent="0.35">
      <c r="A11" s="60">
        <v>7</v>
      </c>
      <c r="B11" s="48" t="str">
        <f>'Initiative Register'!B11</f>
        <v>INI-007</v>
      </c>
      <c r="C11" s="48" t="str">
        <f>'Initiative Register'!C11</f>
        <v>Digital Patient Acquisition Funnel</v>
      </c>
      <c r="D11" s="61">
        <f>SUM('Cost Plan'!D11:F11)</f>
        <v>0</v>
      </c>
      <c r="E11" s="61">
        <f>SUM('Monthly Actuals'!D83:F83)</f>
        <v>0</v>
      </c>
      <c r="F11" s="62">
        <f t="shared" si="0"/>
        <v>0</v>
      </c>
      <c r="G11" s="63" t="str">
        <f t="shared" si="1"/>
        <v/>
      </c>
      <c r="H11" s="61">
        <f>SUM('Cost Plan'!G11:I11)</f>
        <v>0</v>
      </c>
      <c r="I11" s="61">
        <f>SUM('Monthly Actuals'!G83:I83)</f>
        <v>0</v>
      </c>
      <c r="J11" s="62">
        <f t="shared" si="2"/>
        <v>0</v>
      </c>
      <c r="K11" s="63" t="str">
        <f t="shared" si="3"/>
        <v/>
      </c>
      <c r="L11" s="61">
        <f>SUM('Cost Plan'!J11:L11)</f>
        <v>0</v>
      </c>
      <c r="M11" s="61">
        <f>SUM('Monthly Actuals'!J83:L83)</f>
        <v>0</v>
      </c>
      <c r="N11" s="62">
        <f t="shared" si="4"/>
        <v>0</v>
      </c>
      <c r="O11" s="63" t="str">
        <f t="shared" si="5"/>
        <v/>
      </c>
      <c r="P11" s="61">
        <f>SUM('Cost Plan'!M11:O11)</f>
        <v>0</v>
      </c>
      <c r="Q11" s="61">
        <f>SUM('Monthly Actuals'!M83:O83)</f>
        <v>0</v>
      </c>
      <c r="R11" s="62">
        <f t="shared" si="6"/>
        <v>0</v>
      </c>
      <c r="S11" s="63" t="str">
        <f t="shared" si="7"/>
        <v/>
      </c>
      <c r="T11" s="64">
        <f>'Cost Plan'!P11</f>
        <v>0</v>
      </c>
      <c r="U11" s="64">
        <f>'Monthly Actuals'!P83</f>
        <v>0</v>
      </c>
      <c r="V11" s="65">
        <f t="shared" si="8"/>
        <v>0</v>
      </c>
      <c r="W11" s="66" t="str">
        <f t="shared" si="9"/>
        <v/>
      </c>
      <c r="X11" s="50" t="str">
        <f>IF(ISNUMBER(W11),IF(W11&gt;(Config!B7/100),"OVER BUDGET",IF(W11&lt;-(Config!B7/100),"UNDER BUDGET","ON TRACK")),"" )</f>
        <v/>
      </c>
    </row>
    <row r="12" spans="1:24" ht="18" customHeight="1" x14ac:dyDescent="0.35">
      <c r="A12" s="67">
        <v>8</v>
      </c>
      <c r="B12" s="51" t="str">
        <f>'Initiative Register'!B12</f>
        <v>INI-008</v>
      </c>
      <c r="C12" s="51" t="str">
        <f>'Initiative Register'!C12</f>
        <v>Development of KPI for Doctors</v>
      </c>
      <c r="D12" s="68">
        <f>SUM('Cost Plan'!D12:F12)</f>
        <v>0</v>
      </c>
      <c r="E12" s="68">
        <f>SUM('Monthly Actuals'!D84:F84)</f>
        <v>0</v>
      </c>
      <c r="F12" s="69">
        <f t="shared" si="0"/>
        <v>0</v>
      </c>
      <c r="G12" s="70" t="str">
        <f t="shared" si="1"/>
        <v/>
      </c>
      <c r="H12" s="68">
        <f>SUM('Cost Plan'!G12:I12)</f>
        <v>0</v>
      </c>
      <c r="I12" s="68">
        <f>SUM('Monthly Actuals'!G84:I84)</f>
        <v>0</v>
      </c>
      <c r="J12" s="69">
        <f t="shared" si="2"/>
        <v>0</v>
      </c>
      <c r="K12" s="70" t="str">
        <f t="shared" si="3"/>
        <v/>
      </c>
      <c r="L12" s="68">
        <f>SUM('Cost Plan'!J12:L12)</f>
        <v>0</v>
      </c>
      <c r="M12" s="68">
        <f>SUM('Monthly Actuals'!J84:L84)</f>
        <v>0</v>
      </c>
      <c r="N12" s="69">
        <f t="shared" si="4"/>
        <v>0</v>
      </c>
      <c r="O12" s="70" t="str">
        <f t="shared" si="5"/>
        <v/>
      </c>
      <c r="P12" s="68">
        <f>SUM('Cost Plan'!M12:O12)</f>
        <v>0</v>
      </c>
      <c r="Q12" s="68">
        <f>SUM('Monthly Actuals'!M84:O84)</f>
        <v>0</v>
      </c>
      <c r="R12" s="69">
        <f t="shared" si="6"/>
        <v>0</v>
      </c>
      <c r="S12" s="70" t="str">
        <f t="shared" si="7"/>
        <v/>
      </c>
      <c r="T12" s="71">
        <f>'Cost Plan'!P12</f>
        <v>0</v>
      </c>
      <c r="U12" s="71">
        <f>'Monthly Actuals'!P84</f>
        <v>0</v>
      </c>
      <c r="V12" s="72">
        <f t="shared" si="8"/>
        <v>0</v>
      </c>
      <c r="W12" s="73" t="str">
        <f t="shared" si="9"/>
        <v/>
      </c>
      <c r="X12" s="53" t="str">
        <f>IF(ISNUMBER(W12),IF(W12&gt;(Config!B7/100),"OVER BUDGET",IF(W12&lt;-(Config!B7/100),"UNDER BUDGET","ON TRACK")),"" )</f>
        <v/>
      </c>
    </row>
    <row r="13" spans="1:24" ht="18" customHeight="1" x14ac:dyDescent="0.35">
      <c r="A13" s="60">
        <v>9</v>
      </c>
      <c r="B13" s="48" t="str">
        <f>'Initiative Register'!B13</f>
        <v>INI-009</v>
      </c>
      <c r="C13" s="48" t="str">
        <f>'Initiative Register'!C13</f>
        <v>Daycare and Minimaly Invasive Shift</v>
      </c>
      <c r="D13" s="61">
        <f>SUM('Cost Plan'!D13:F13)</f>
        <v>0</v>
      </c>
      <c r="E13" s="61">
        <f>SUM('Monthly Actuals'!D85:F85)</f>
        <v>0</v>
      </c>
      <c r="F13" s="62">
        <f t="shared" si="0"/>
        <v>0</v>
      </c>
      <c r="G13" s="63" t="str">
        <f t="shared" si="1"/>
        <v/>
      </c>
      <c r="H13" s="61">
        <f>SUM('Cost Plan'!G13:I13)</f>
        <v>0</v>
      </c>
      <c r="I13" s="61">
        <f>SUM('Monthly Actuals'!G85:I85)</f>
        <v>0</v>
      </c>
      <c r="J13" s="62">
        <f t="shared" si="2"/>
        <v>0</v>
      </c>
      <c r="K13" s="63" t="str">
        <f t="shared" si="3"/>
        <v/>
      </c>
      <c r="L13" s="61">
        <f>SUM('Cost Plan'!J13:L13)</f>
        <v>0</v>
      </c>
      <c r="M13" s="61">
        <f>SUM('Monthly Actuals'!J85:L85)</f>
        <v>0</v>
      </c>
      <c r="N13" s="62">
        <f t="shared" si="4"/>
        <v>0</v>
      </c>
      <c r="O13" s="63" t="str">
        <f t="shared" si="5"/>
        <v/>
      </c>
      <c r="P13" s="61">
        <f>SUM('Cost Plan'!M13:O13)</f>
        <v>0</v>
      </c>
      <c r="Q13" s="61">
        <f>SUM('Monthly Actuals'!M85:O85)</f>
        <v>0</v>
      </c>
      <c r="R13" s="62">
        <f t="shared" si="6"/>
        <v>0</v>
      </c>
      <c r="S13" s="63" t="str">
        <f t="shared" si="7"/>
        <v/>
      </c>
      <c r="T13" s="64">
        <f>'Cost Plan'!P13</f>
        <v>0</v>
      </c>
      <c r="U13" s="64">
        <f>'Monthly Actuals'!P85</f>
        <v>0</v>
      </c>
      <c r="V13" s="65">
        <f t="shared" si="8"/>
        <v>0</v>
      </c>
      <c r="W13" s="66" t="str">
        <f t="shared" si="9"/>
        <v/>
      </c>
      <c r="X13" s="50" t="str">
        <f>IF(ISNUMBER(W13),IF(W13&gt;(Config!B7/100),"OVER BUDGET",IF(W13&lt;-(Config!B7/100),"UNDER BUDGET","ON TRACK")),"" )</f>
        <v/>
      </c>
    </row>
    <row r="14" spans="1:24" ht="18" customHeight="1" x14ac:dyDescent="0.35">
      <c r="A14" s="67">
        <v>10</v>
      </c>
      <c r="B14" s="51" t="str">
        <f>'Initiative Register'!B14</f>
        <v>INI-010</v>
      </c>
      <c r="C14" s="51" t="str">
        <f>'Initiative Register'!C14</f>
        <v>Consumables standardization model</v>
      </c>
      <c r="D14" s="68">
        <f>SUM('Cost Plan'!D14:F14)</f>
        <v>0</v>
      </c>
      <c r="E14" s="68">
        <f>SUM('Monthly Actuals'!D86:F86)</f>
        <v>0</v>
      </c>
      <c r="F14" s="69">
        <f t="shared" si="0"/>
        <v>0</v>
      </c>
      <c r="G14" s="70" t="str">
        <f t="shared" si="1"/>
        <v/>
      </c>
      <c r="H14" s="68">
        <f>SUM('Cost Plan'!G14:I14)</f>
        <v>0</v>
      </c>
      <c r="I14" s="68">
        <f>SUM('Monthly Actuals'!G86:I86)</f>
        <v>0</v>
      </c>
      <c r="J14" s="69">
        <f t="shared" si="2"/>
        <v>0</v>
      </c>
      <c r="K14" s="70" t="str">
        <f t="shared" si="3"/>
        <v/>
      </c>
      <c r="L14" s="68">
        <f>SUM('Cost Plan'!J14:L14)</f>
        <v>0</v>
      </c>
      <c r="M14" s="68">
        <f>SUM('Monthly Actuals'!J86:L86)</f>
        <v>0</v>
      </c>
      <c r="N14" s="69">
        <f t="shared" si="4"/>
        <v>0</v>
      </c>
      <c r="O14" s="70" t="str">
        <f t="shared" si="5"/>
        <v/>
      </c>
      <c r="P14" s="68">
        <f>SUM('Cost Plan'!M14:O14)</f>
        <v>0</v>
      </c>
      <c r="Q14" s="68">
        <f>SUM('Monthly Actuals'!M86:O86)</f>
        <v>0</v>
      </c>
      <c r="R14" s="69">
        <f t="shared" si="6"/>
        <v>0</v>
      </c>
      <c r="S14" s="70" t="str">
        <f t="shared" si="7"/>
        <v/>
      </c>
      <c r="T14" s="71">
        <f>'Cost Plan'!P14</f>
        <v>0</v>
      </c>
      <c r="U14" s="71">
        <f>'Monthly Actuals'!P86</f>
        <v>0</v>
      </c>
      <c r="V14" s="72">
        <f t="shared" si="8"/>
        <v>0</v>
      </c>
      <c r="W14" s="73" t="str">
        <f t="shared" si="9"/>
        <v/>
      </c>
      <c r="X14" s="53" t="str">
        <f>IF(ISNUMBER(W14),IF(W14&gt;(Config!B7/100),"OVER BUDGET",IF(W14&lt;-(Config!B7/100),"UNDER BUDGET","ON TRACK")),"" )</f>
        <v/>
      </c>
    </row>
    <row r="15" spans="1:24" ht="18" customHeight="1" x14ac:dyDescent="0.35">
      <c r="A15" s="60">
        <v>11</v>
      </c>
      <c r="B15" s="48" t="str">
        <f>'Initiative Register'!B15</f>
        <v>INI-011</v>
      </c>
      <c r="C15" s="48" t="str">
        <f>'Initiative Register'!C15</f>
        <v>Collaboration with other Hospitals</v>
      </c>
      <c r="D15" s="61">
        <f>SUM('Cost Plan'!D15:F15)</f>
        <v>0</v>
      </c>
      <c r="E15" s="61">
        <f>SUM('Monthly Actuals'!D87:F87)</f>
        <v>0</v>
      </c>
      <c r="F15" s="62">
        <f t="shared" si="0"/>
        <v>0</v>
      </c>
      <c r="G15" s="63" t="str">
        <f t="shared" si="1"/>
        <v/>
      </c>
      <c r="H15" s="61">
        <f>SUM('Cost Plan'!G15:I15)</f>
        <v>0</v>
      </c>
      <c r="I15" s="61">
        <f>SUM('Monthly Actuals'!G87:I87)</f>
        <v>0</v>
      </c>
      <c r="J15" s="62">
        <f t="shared" si="2"/>
        <v>0</v>
      </c>
      <c r="K15" s="63" t="str">
        <f t="shared" si="3"/>
        <v/>
      </c>
      <c r="L15" s="61">
        <f>SUM('Cost Plan'!J15:L15)</f>
        <v>0</v>
      </c>
      <c r="M15" s="61">
        <f>SUM('Monthly Actuals'!J87:L87)</f>
        <v>0</v>
      </c>
      <c r="N15" s="62">
        <f t="shared" si="4"/>
        <v>0</v>
      </c>
      <c r="O15" s="63" t="str">
        <f t="shared" si="5"/>
        <v/>
      </c>
      <c r="P15" s="61">
        <f>SUM('Cost Plan'!M15:O15)</f>
        <v>0</v>
      </c>
      <c r="Q15" s="61">
        <f>SUM('Monthly Actuals'!M87:O87)</f>
        <v>0</v>
      </c>
      <c r="R15" s="62">
        <f t="shared" si="6"/>
        <v>0</v>
      </c>
      <c r="S15" s="63" t="str">
        <f t="shared" si="7"/>
        <v/>
      </c>
      <c r="T15" s="64">
        <f>'Cost Plan'!P15</f>
        <v>0</v>
      </c>
      <c r="U15" s="64">
        <f>'Monthly Actuals'!P87</f>
        <v>0</v>
      </c>
      <c r="V15" s="65">
        <f t="shared" si="8"/>
        <v>0</v>
      </c>
      <c r="W15" s="66" t="str">
        <f t="shared" si="9"/>
        <v/>
      </c>
      <c r="X15" s="50" t="str">
        <f>IF(ISNUMBER(W15),IF(W15&gt;(Config!B7/100),"OVER BUDGET",IF(W15&lt;-(Config!B7/100),"UNDER BUDGET","ON TRACK")),"" )</f>
        <v/>
      </c>
    </row>
    <row r="16" spans="1:24" ht="18" customHeight="1" x14ac:dyDescent="0.35">
      <c r="A16" s="67">
        <v>12</v>
      </c>
      <c r="B16" s="51" t="str">
        <f>'Initiative Register'!B16</f>
        <v>INI-012</v>
      </c>
      <c r="C16" s="51" t="str">
        <f>'Initiative Register'!C16</f>
        <v>ANNUAL RATE REVISION POLICY</v>
      </c>
      <c r="D16" s="68">
        <f>SUM('Cost Plan'!D16:F16)</f>
        <v>0</v>
      </c>
      <c r="E16" s="68">
        <f>SUM('Monthly Actuals'!D88:F88)</f>
        <v>0</v>
      </c>
      <c r="F16" s="69">
        <f t="shared" si="0"/>
        <v>0</v>
      </c>
      <c r="G16" s="70" t="str">
        <f t="shared" si="1"/>
        <v/>
      </c>
      <c r="H16" s="68">
        <f>SUM('Cost Plan'!G16:I16)</f>
        <v>0</v>
      </c>
      <c r="I16" s="68">
        <f>SUM('Monthly Actuals'!G88:I88)</f>
        <v>0</v>
      </c>
      <c r="J16" s="69">
        <f t="shared" si="2"/>
        <v>0</v>
      </c>
      <c r="K16" s="70" t="str">
        <f t="shared" si="3"/>
        <v/>
      </c>
      <c r="L16" s="68">
        <f>SUM('Cost Plan'!J16:L16)</f>
        <v>0</v>
      </c>
      <c r="M16" s="68">
        <f>SUM('Monthly Actuals'!J88:L88)</f>
        <v>0</v>
      </c>
      <c r="N16" s="69">
        <f t="shared" si="4"/>
        <v>0</v>
      </c>
      <c r="O16" s="70" t="str">
        <f t="shared" si="5"/>
        <v/>
      </c>
      <c r="P16" s="68">
        <f>SUM('Cost Plan'!M16:O16)</f>
        <v>0</v>
      </c>
      <c r="Q16" s="68">
        <f>SUM('Monthly Actuals'!M88:O88)</f>
        <v>0</v>
      </c>
      <c r="R16" s="69">
        <f t="shared" si="6"/>
        <v>0</v>
      </c>
      <c r="S16" s="70" t="str">
        <f t="shared" si="7"/>
        <v/>
      </c>
      <c r="T16" s="71">
        <f>'Cost Plan'!P16</f>
        <v>0</v>
      </c>
      <c r="U16" s="71">
        <f>'Monthly Actuals'!P88</f>
        <v>0</v>
      </c>
      <c r="V16" s="72">
        <f t="shared" si="8"/>
        <v>0</v>
      </c>
      <c r="W16" s="73" t="str">
        <f t="shared" si="9"/>
        <v/>
      </c>
      <c r="X16" s="53" t="str">
        <f>IF(ISNUMBER(W16),IF(W16&gt;(Config!B7/100),"OVER BUDGET",IF(W16&lt;-(Config!B7/100),"UNDER BUDGET","ON TRACK")),"" )</f>
        <v/>
      </c>
    </row>
    <row r="17" spans="1:24" ht="18" customHeight="1" x14ac:dyDescent="0.35">
      <c r="A17" s="60">
        <v>13</v>
      </c>
      <c r="B17" s="48" t="str">
        <f>'Initiative Register'!B17</f>
        <v>INI-013</v>
      </c>
      <c r="C17" s="48" t="str">
        <f>'Initiative Register'!C17</f>
        <v>PROCEDURE CONTRIBUTION AUDIT AND REPRICING</v>
      </c>
      <c r="D17" s="61">
        <f>SUM('Cost Plan'!D17:F17)</f>
        <v>0</v>
      </c>
      <c r="E17" s="61">
        <f>SUM('Monthly Actuals'!D89:F89)</f>
        <v>0</v>
      </c>
      <c r="F17" s="62">
        <f t="shared" si="0"/>
        <v>0</v>
      </c>
      <c r="G17" s="63" t="str">
        <f t="shared" si="1"/>
        <v/>
      </c>
      <c r="H17" s="61">
        <f>SUM('Cost Plan'!G17:I17)</f>
        <v>0</v>
      </c>
      <c r="I17" s="61">
        <f>SUM('Monthly Actuals'!G89:I89)</f>
        <v>0</v>
      </c>
      <c r="J17" s="62">
        <f t="shared" si="2"/>
        <v>0</v>
      </c>
      <c r="K17" s="63" t="str">
        <f t="shared" si="3"/>
        <v/>
      </c>
      <c r="L17" s="61">
        <f>SUM('Cost Plan'!J17:L17)</f>
        <v>0</v>
      </c>
      <c r="M17" s="61">
        <f>SUM('Monthly Actuals'!J89:L89)</f>
        <v>0</v>
      </c>
      <c r="N17" s="62">
        <f t="shared" si="4"/>
        <v>0</v>
      </c>
      <c r="O17" s="63" t="str">
        <f t="shared" si="5"/>
        <v/>
      </c>
      <c r="P17" s="61">
        <f>SUM('Cost Plan'!M17:O17)</f>
        <v>0</v>
      </c>
      <c r="Q17" s="61">
        <f>SUM('Monthly Actuals'!M89:O89)</f>
        <v>0</v>
      </c>
      <c r="R17" s="62">
        <f t="shared" si="6"/>
        <v>0</v>
      </c>
      <c r="S17" s="63" t="str">
        <f t="shared" si="7"/>
        <v/>
      </c>
      <c r="T17" s="64">
        <f>'Cost Plan'!P17</f>
        <v>0</v>
      </c>
      <c r="U17" s="64">
        <f>'Monthly Actuals'!P89</f>
        <v>0</v>
      </c>
      <c r="V17" s="65">
        <f t="shared" si="8"/>
        <v>0</v>
      </c>
      <c r="W17" s="66" t="str">
        <f t="shared" si="9"/>
        <v/>
      </c>
      <c r="X17" s="50" t="str">
        <f>IF(ISNUMBER(W17),IF(W17&gt;(Config!B7/100),"OVER BUDGET",IF(W17&lt;-(Config!B7/100),"UNDER BUDGET","ON TRACK")),"" )</f>
        <v/>
      </c>
    </row>
    <row r="18" spans="1:24" ht="18" customHeight="1" x14ac:dyDescent="0.35">
      <c r="A18" s="67">
        <v>14</v>
      </c>
      <c r="B18" s="51" t="str">
        <f>'Initiative Register'!B18</f>
        <v>INI-014</v>
      </c>
      <c r="C18" s="51" t="str">
        <f>'Initiative Register'!C18</f>
        <v>INSURANCE CHARGE CAPTURE — BILL WHAT IS COVERED</v>
      </c>
      <c r="D18" s="68">
        <f>SUM('Cost Plan'!D18:F18)</f>
        <v>0</v>
      </c>
      <c r="E18" s="68">
        <f>SUM('Monthly Actuals'!D90:F90)</f>
        <v>0</v>
      </c>
      <c r="F18" s="69">
        <f t="shared" si="0"/>
        <v>0</v>
      </c>
      <c r="G18" s="70" t="str">
        <f t="shared" si="1"/>
        <v/>
      </c>
      <c r="H18" s="68">
        <f>SUM('Cost Plan'!G18:I18)</f>
        <v>0</v>
      </c>
      <c r="I18" s="68">
        <f>SUM('Monthly Actuals'!G90:I90)</f>
        <v>0</v>
      </c>
      <c r="J18" s="69">
        <f t="shared" si="2"/>
        <v>0</v>
      </c>
      <c r="K18" s="70" t="str">
        <f t="shared" si="3"/>
        <v/>
      </c>
      <c r="L18" s="68">
        <f>SUM('Cost Plan'!J18:L18)</f>
        <v>0</v>
      </c>
      <c r="M18" s="68">
        <f>SUM('Monthly Actuals'!J90:L90)</f>
        <v>0</v>
      </c>
      <c r="N18" s="69">
        <f t="shared" si="4"/>
        <v>0</v>
      </c>
      <c r="O18" s="70" t="str">
        <f t="shared" si="5"/>
        <v/>
      </c>
      <c r="P18" s="68">
        <f>SUM('Cost Plan'!M18:O18)</f>
        <v>0</v>
      </c>
      <c r="Q18" s="68">
        <f>SUM('Monthly Actuals'!M90:O90)</f>
        <v>0</v>
      </c>
      <c r="R18" s="69">
        <f t="shared" si="6"/>
        <v>0</v>
      </c>
      <c r="S18" s="70" t="str">
        <f t="shared" si="7"/>
        <v/>
      </c>
      <c r="T18" s="71">
        <f>'Cost Plan'!P18</f>
        <v>0</v>
      </c>
      <c r="U18" s="71">
        <f>'Monthly Actuals'!P90</f>
        <v>0</v>
      </c>
      <c r="V18" s="72">
        <f t="shared" si="8"/>
        <v>0</v>
      </c>
      <c r="W18" s="73" t="str">
        <f t="shared" si="9"/>
        <v/>
      </c>
      <c r="X18" s="53" t="str">
        <f>IF(ISNUMBER(W18),IF(W18&gt;(Config!B7/100),"OVER BUDGET",IF(W18&lt;-(Config!B7/100),"UNDER BUDGET","ON TRACK")),"" )</f>
        <v/>
      </c>
    </row>
    <row r="19" spans="1:24" ht="18" customHeight="1" x14ac:dyDescent="0.35">
      <c r="A19" s="60">
        <v>15</v>
      </c>
      <c r="B19" s="48" t="str">
        <f>'Initiative Register'!B19</f>
        <v>INI-015</v>
      </c>
      <c r="C19" s="48" t="str">
        <f>'Initiative Register'!C19</f>
        <v>SATELLITE CLINIC NETWORK — SURGEON-LED OFF-CAMPUS OPDs</v>
      </c>
      <c r="D19" s="61">
        <f>SUM('Cost Plan'!D19:F19)</f>
        <v>0</v>
      </c>
      <c r="E19" s="61">
        <f>SUM('Monthly Actuals'!D91:F91)</f>
        <v>0</v>
      </c>
      <c r="F19" s="62">
        <f t="shared" si="0"/>
        <v>0</v>
      </c>
      <c r="G19" s="63" t="str">
        <f t="shared" si="1"/>
        <v/>
      </c>
      <c r="H19" s="61">
        <f>SUM('Cost Plan'!G19:I19)</f>
        <v>0</v>
      </c>
      <c r="I19" s="61">
        <f>SUM('Monthly Actuals'!G91:I91)</f>
        <v>0</v>
      </c>
      <c r="J19" s="62">
        <f t="shared" si="2"/>
        <v>0</v>
      </c>
      <c r="K19" s="63" t="str">
        <f t="shared" si="3"/>
        <v/>
      </c>
      <c r="L19" s="61">
        <f>SUM('Cost Plan'!J19:L19)</f>
        <v>0</v>
      </c>
      <c r="M19" s="61">
        <f>SUM('Monthly Actuals'!J91:L91)</f>
        <v>0</v>
      </c>
      <c r="N19" s="62">
        <f t="shared" si="4"/>
        <v>0</v>
      </c>
      <c r="O19" s="63" t="str">
        <f t="shared" si="5"/>
        <v/>
      </c>
      <c r="P19" s="61">
        <f>SUM('Cost Plan'!M19:O19)</f>
        <v>0</v>
      </c>
      <c r="Q19" s="61">
        <f>SUM('Monthly Actuals'!M91:O91)</f>
        <v>0</v>
      </c>
      <c r="R19" s="62">
        <f t="shared" si="6"/>
        <v>0</v>
      </c>
      <c r="S19" s="63" t="str">
        <f t="shared" si="7"/>
        <v/>
      </c>
      <c r="T19" s="64">
        <f>'Cost Plan'!P19</f>
        <v>0</v>
      </c>
      <c r="U19" s="64">
        <f>'Monthly Actuals'!P91</f>
        <v>0</v>
      </c>
      <c r="V19" s="65">
        <f t="shared" si="8"/>
        <v>0</v>
      </c>
      <c r="W19" s="66" t="str">
        <f t="shared" si="9"/>
        <v/>
      </c>
      <c r="X19" s="50" t="str">
        <f>IF(ISNUMBER(W19),IF(W19&gt;(Config!B7/100),"OVER BUDGET",IF(W19&lt;-(Config!B7/100),"UNDER BUDGET","ON TRACK")),"" )</f>
        <v/>
      </c>
    </row>
    <row r="20" spans="1:24" ht="18" customHeight="1" x14ac:dyDescent="0.35">
      <c r="A20" s="67">
        <v>16</v>
      </c>
      <c r="B20" s="51" t="str">
        <f>'Initiative Register'!B20</f>
        <v>INI-016</v>
      </c>
      <c r="C20" s="51" t="str">
        <f>'Initiative Register'!C20</f>
        <v>CORPORATE HEALTH PROGRAMME</v>
      </c>
      <c r="D20" s="68">
        <f>SUM('Cost Plan'!D20:F20)</f>
        <v>0</v>
      </c>
      <c r="E20" s="68">
        <f>SUM('Monthly Actuals'!D92:F92)</f>
        <v>0</v>
      </c>
      <c r="F20" s="69">
        <f t="shared" si="0"/>
        <v>0</v>
      </c>
      <c r="G20" s="70" t="str">
        <f t="shared" si="1"/>
        <v/>
      </c>
      <c r="H20" s="68">
        <f>SUM('Cost Plan'!G20:I20)</f>
        <v>0</v>
      </c>
      <c r="I20" s="68">
        <f>SUM('Monthly Actuals'!G92:I92)</f>
        <v>0</v>
      </c>
      <c r="J20" s="69">
        <f t="shared" si="2"/>
        <v>0</v>
      </c>
      <c r="K20" s="70" t="str">
        <f t="shared" si="3"/>
        <v/>
      </c>
      <c r="L20" s="68">
        <f>SUM('Cost Plan'!J20:L20)</f>
        <v>0</v>
      </c>
      <c r="M20" s="68">
        <f>SUM('Monthly Actuals'!J92:L92)</f>
        <v>0</v>
      </c>
      <c r="N20" s="69">
        <f t="shared" si="4"/>
        <v>0</v>
      </c>
      <c r="O20" s="70" t="str">
        <f t="shared" si="5"/>
        <v/>
      </c>
      <c r="P20" s="68">
        <f>SUM('Cost Plan'!M20:O20)</f>
        <v>0</v>
      </c>
      <c r="Q20" s="68">
        <f>SUM('Monthly Actuals'!M92:O92)</f>
        <v>0</v>
      </c>
      <c r="R20" s="69">
        <f t="shared" si="6"/>
        <v>0</v>
      </c>
      <c r="S20" s="70" t="str">
        <f t="shared" si="7"/>
        <v/>
      </c>
      <c r="T20" s="71">
        <f>'Cost Plan'!P20</f>
        <v>0</v>
      </c>
      <c r="U20" s="71">
        <f>'Monthly Actuals'!P92</f>
        <v>0</v>
      </c>
      <c r="V20" s="72">
        <f t="shared" si="8"/>
        <v>0</v>
      </c>
      <c r="W20" s="73" t="str">
        <f t="shared" si="9"/>
        <v/>
      </c>
      <c r="X20" s="53" t="str">
        <f>IF(ISNUMBER(W20),IF(W20&gt;(Config!B7/100),"OVER BUDGET",IF(W20&lt;-(Config!B7/100),"UNDER BUDGET","ON TRACK")),"" )</f>
        <v/>
      </c>
    </row>
    <row r="21" spans="1:24" ht="18" customHeight="1" x14ac:dyDescent="0.35">
      <c r="A21" s="60">
        <v>17</v>
      </c>
      <c r="B21" s="48" t="str">
        <f>'Initiative Register'!B21</f>
        <v>INI-017</v>
      </c>
      <c r="C21" s="48" t="str">
        <f>'Initiative Register'!C21</f>
        <v>RESIDENTIAL COLONY AND COMMUNITY HEALTH PROGRAMMES</v>
      </c>
      <c r="D21" s="61">
        <f>SUM('Cost Plan'!D21:F21)</f>
        <v>0</v>
      </c>
      <c r="E21" s="61">
        <f>SUM('Monthly Actuals'!D93:F93)</f>
        <v>0</v>
      </c>
      <c r="F21" s="62">
        <f t="shared" si="0"/>
        <v>0</v>
      </c>
      <c r="G21" s="63" t="str">
        <f t="shared" si="1"/>
        <v/>
      </c>
      <c r="H21" s="61">
        <f>SUM('Cost Plan'!G21:I21)</f>
        <v>0</v>
      </c>
      <c r="I21" s="61">
        <f>SUM('Monthly Actuals'!G93:I93)</f>
        <v>0</v>
      </c>
      <c r="J21" s="62">
        <f t="shared" si="2"/>
        <v>0</v>
      </c>
      <c r="K21" s="63" t="str">
        <f t="shared" si="3"/>
        <v/>
      </c>
      <c r="L21" s="61">
        <f>SUM('Cost Plan'!J21:L21)</f>
        <v>0</v>
      </c>
      <c r="M21" s="61">
        <f>SUM('Monthly Actuals'!J93:L93)</f>
        <v>0</v>
      </c>
      <c r="N21" s="62">
        <f t="shared" si="4"/>
        <v>0</v>
      </c>
      <c r="O21" s="63" t="str">
        <f t="shared" si="5"/>
        <v/>
      </c>
      <c r="P21" s="61">
        <f>SUM('Cost Plan'!M21:O21)</f>
        <v>0</v>
      </c>
      <c r="Q21" s="61">
        <f>SUM('Monthly Actuals'!M93:O93)</f>
        <v>0</v>
      </c>
      <c r="R21" s="62">
        <f t="shared" si="6"/>
        <v>0</v>
      </c>
      <c r="S21" s="63" t="str">
        <f t="shared" si="7"/>
        <v/>
      </c>
      <c r="T21" s="64">
        <f>'Cost Plan'!P21</f>
        <v>0</v>
      </c>
      <c r="U21" s="64">
        <f>'Monthly Actuals'!P93</f>
        <v>0</v>
      </c>
      <c r="V21" s="65">
        <f t="shared" si="8"/>
        <v>0</v>
      </c>
      <c r="W21" s="66" t="str">
        <f t="shared" si="9"/>
        <v/>
      </c>
      <c r="X21" s="50" t="str">
        <f>IF(ISNUMBER(W21),IF(W21&gt;(Config!B7/100),"OVER BUDGET",IF(W21&lt;-(Config!B7/100),"UNDER BUDGET","ON TRACK")),"" )</f>
        <v/>
      </c>
    </row>
    <row r="22" spans="1:24" ht="18" customHeight="1" x14ac:dyDescent="0.35">
      <c r="A22" s="67">
        <v>18</v>
      </c>
      <c r="B22" s="51" t="str">
        <f>'Initiative Register'!B22</f>
        <v>INI-018</v>
      </c>
      <c r="C22" s="51" t="str">
        <f>'Initiative Register'!C22</f>
        <v>INTERNATIONAL MEDICAL VALUE TOURISM — GULF, MALDIVES, BANGLADESH</v>
      </c>
      <c r="D22" s="68">
        <f>SUM('Cost Plan'!D22:F22)</f>
        <v>0</v>
      </c>
      <c r="E22" s="68">
        <f>SUM('Monthly Actuals'!D94:F94)</f>
        <v>0</v>
      </c>
      <c r="F22" s="69">
        <f t="shared" si="0"/>
        <v>0</v>
      </c>
      <c r="G22" s="70" t="str">
        <f t="shared" si="1"/>
        <v/>
      </c>
      <c r="H22" s="68">
        <f>SUM('Cost Plan'!G22:I22)</f>
        <v>0</v>
      </c>
      <c r="I22" s="68">
        <f>SUM('Monthly Actuals'!G94:I94)</f>
        <v>0</v>
      </c>
      <c r="J22" s="69">
        <f t="shared" si="2"/>
        <v>0</v>
      </c>
      <c r="K22" s="70" t="str">
        <f t="shared" si="3"/>
        <v/>
      </c>
      <c r="L22" s="68">
        <f>SUM('Cost Plan'!J22:L22)</f>
        <v>0</v>
      </c>
      <c r="M22" s="68">
        <f>SUM('Monthly Actuals'!J94:L94)</f>
        <v>0</v>
      </c>
      <c r="N22" s="69">
        <f t="shared" si="4"/>
        <v>0</v>
      </c>
      <c r="O22" s="70" t="str">
        <f t="shared" si="5"/>
        <v/>
      </c>
      <c r="P22" s="68">
        <f>SUM('Cost Plan'!M22:O22)</f>
        <v>0</v>
      </c>
      <c r="Q22" s="68">
        <f>SUM('Monthly Actuals'!M94:O94)</f>
        <v>0</v>
      </c>
      <c r="R22" s="69">
        <f t="shared" si="6"/>
        <v>0</v>
      </c>
      <c r="S22" s="70" t="str">
        <f t="shared" si="7"/>
        <v/>
      </c>
      <c r="T22" s="71">
        <f>'Cost Plan'!P22</f>
        <v>0</v>
      </c>
      <c r="U22" s="71">
        <f>'Monthly Actuals'!P94</f>
        <v>0</v>
      </c>
      <c r="V22" s="72">
        <f t="shared" si="8"/>
        <v>0</v>
      </c>
      <c r="W22" s="73" t="str">
        <f t="shared" si="9"/>
        <v/>
      </c>
      <c r="X22" s="53" t="str">
        <f>IF(ISNUMBER(W22),IF(W22&gt;(Config!B7/100),"OVER BUDGET",IF(W22&lt;-(Config!B7/100),"UNDER BUDGET","ON TRACK")),"" )</f>
        <v/>
      </c>
    </row>
    <row r="23" spans="1:24" ht="18" customHeight="1" x14ac:dyDescent="0.35">
      <c r="A23" s="60">
        <v>19</v>
      </c>
      <c r="B23" s="48" t="str">
        <f>'Initiative Register'!B23</f>
        <v>INI-019</v>
      </c>
      <c r="C23" s="48" t="str">
        <f>'Initiative Register'!C23</f>
        <v>STRUCTURED REFERRAL DOCTOR PROGRAMME</v>
      </c>
      <c r="D23" s="61">
        <f>SUM('Cost Plan'!D23:F23)</f>
        <v>0</v>
      </c>
      <c r="E23" s="61">
        <f>SUM('Monthly Actuals'!D95:F95)</f>
        <v>0</v>
      </c>
      <c r="F23" s="62">
        <f t="shared" si="0"/>
        <v>0</v>
      </c>
      <c r="G23" s="63" t="str">
        <f t="shared" si="1"/>
        <v/>
      </c>
      <c r="H23" s="61">
        <f>SUM('Cost Plan'!G23:I23)</f>
        <v>0</v>
      </c>
      <c r="I23" s="61">
        <f>SUM('Monthly Actuals'!G95:I95)</f>
        <v>0</v>
      </c>
      <c r="J23" s="62">
        <f t="shared" si="2"/>
        <v>0</v>
      </c>
      <c r="K23" s="63" t="str">
        <f t="shared" si="3"/>
        <v/>
      </c>
      <c r="L23" s="61">
        <f>SUM('Cost Plan'!J23:L23)</f>
        <v>0</v>
      </c>
      <c r="M23" s="61">
        <f>SUM('Monthly Actuals'!J95:L95)</f>
        <v>0</v>
      </c>
      <c r="N23" s="62">
        <f t="shared" si="4"/>
        <v>0</v>
      </c>
      <c r="O23" s="63" t="str">
        <f t="shared" si="5"/>
        <v/>
      </c>
      <c r="P23" s="61">
        <f>SUM('Cost Plan'!M23:O23)</f>
        <v>0</v>
      </c>
      <c r="Q23" s="61">
        <f>SUM('Monthly Actuals'!M95:O95)</f>
        <v>0</v>
      </c>
      <c r="R23" s="62">
        <f t="shared" si="6"/>
        <v>0</v>
      </c>
      <c r="S23" s="63" t="str">
        <f t="shared" si="7"/>
        <v/>
      </c>
      <c r="T23" s="64">
        <f>'Cost Plan'!P23</f>
        <v>0</v>
      </c>
      <c r="U23" s="64">
        <f>'Monthly Actuals'!P95</f>
        <v>0</v>
      </c>
      <c r="V23" s="65">
        <f t="shared" si="8"/>
        <v>0</v>
      </c>
      <c r="W23" s="66" t="str">
        <f t="shared" si="9"/>
        <v/>
      </c>
      <c r="X23" s="50" t="str">
        <f>IF(ISNUMBER(W23),IF(W23&gt;(Config!B7/100),"OVER BUDGET",IF(W23&lt;-(Config!B7/100),"UNDER BUDGET","ON TRACK")),"" )</f>
        <v/>
      </c>
    </row>
    <row r="24" spans="1:24" ht="18" customHeight="1" x14ac:dyDescent="0.35">
      <c r="A24" s="67">
        <v>20</v>
      </c>
      <c r="B24" s="51" t="str">
        <f>'Initiative Register'!B24</f>
        <v>INI-020</v>
      </c>
      <c r="C24" s="51" t="str">
        <f>'Initiative Register'!C24</f>
        <v>CME AND CLINICAL CONNECT PROGRAMME</v>
      </c>
      <c r="D24" s="68">
        <f>SUM('Cost Plan'!D24:F24)</f>
        <v>0</v>
      </c>
      <c r="E24" s="68">
        <f>SUM('Monthly Actuals'!D96:F96)</f>
        <v>0</v>
      </c>
      <c r="F24" s="69">
        <f t="shared" si="0"/>
        <v>0</v>
      </c>
      <c r="G24" s="70" t="str">
        <f t="shared" si="1"/>
        <v/>
      </c>
      <c r="H24" s="68">
        <f>SUM('Cost Plan'!G24:I24)</f>
        <v>0</v>
      </c>
      <c r="I24" s="68">
        <f>SUM('Monthly Actuals'!G96:I96)</f>
        <v>0</v>
      </c>
      <c r="J24" s="69">
        <f t="shared" si="2"/>
        <v>0</v>
      </c>
      <c r="K24" s="70" t="str">
        <f t="shared" si="3"/>
        <v/>
      </c>
      <c r="L24" s="68">
        <f>SUM('Cost Plan'!J24:L24)</f>
        <v>0</v>
      </c>
      <c r="M24" s="68">
        <f>SUM('Monthly Actuals'!J96:L96)</f>
        <v>0</v>
      </c>
      <c r="N24" s="69">
        <f t="shared" si="4"/>
        <v>0</v>
      </c>
      <c r="O24" s="70" t="str">
        <f t="shared" si="5"/>
        <v/>
      </c>
      <c r="P24" s="68">
        <f>SUM('Cost Plan'!M24:O24)</f>
        <v>0</v>
      </c>
      <c r="Q24" s="68">
        <f>SUM('Monthly Actuals'!M96:O96)</f>
        <v>0</v>
      </c>
      <c r="R24" s="69">
        <f t="shared" si="6"/>
        <v>0</v>
      </c>
      <c r="S24" s="70" t="str">
        <f t="shared" si="7"/>
        <v/>
      </c>
      <c r="T24" s="71">
        <f>'Cost Plan'!P24</f>
        <v>0</v>
      </c>
      <c r="U24" s="71">
        <f>'Monthly Actuals'!P96</f>
        <v>0</v>
      </c>
      <c r="V24" s="72">
        <f t="shared" si="8"/>
        <v>0</v>
      </c>
      <c r="W24" s="73" t="str">
        <f t="shared" si="9"/>
        <v/>
      </c>
      <c r="X24" s="53" t="str">
        <f>IF(ISNUMBER(W24),IF(W24&gt;(Config!B7/100),"OVER BUDGET",IF(W24&lt;-(Config!B7/100),"UNDER BUDGET","ON TRACK")),"" )</f>
        <v/>
      </c>
    </row>
    <row r="25" spans="1:24" ht="18" customHeight="1" x14ac:dyDescent="0.35">
      <c r="A25" s="60">
        <v>21</v>
      </c>
      <c r="B25" s="48" t="str">
        <f>'Initiative Register'!B25</f>
        <v>INI-021</v>
      </c>
      <c r="C25" s="48" t="str">
        <f>'Initiative Register'!C25</f>
        <v>GOVERNMENT SCHEME EMPANELMENT OPTIMISATION</v>
      </c>
      <c r="D25" s="61">
        <f>SUM('Cost Plan'!D25:F25)</f>
        <v>0</v>
      </c>
      <c r="E25" s="61">
        <f>SUM('Monthly Actuals'!D97:F97)</f>
        <v>0</v>
      </c>
      <c r="F25" s="62">
        <f t="shared" si="0"/>
        <v>0</v>
      </c>
      <c r="G25" s="63" t="str">
        <f t="shared" si="1"/>
        <v/>
      </c>
      <c r="H25" s="61">
        <f>SUM('Cost Plan'!G25:I25)</f>
        <v>0</v>
      </c>
      <c r="I25" s="61">
        <f>SUM('Monthly Actuals'!G97:I97)</f>
        <v>0</v>
      </c>
      <c r="J25" s="62">
        <f t="shared" si="2"/>
        <v>0</v>
      </c>
      <c r="K25" s="63" t="str">
        <f t="shared" si="3"/>
        <v/>
      </c>
      <c r="L25" s="61">
        <f>SUM('Cost Plan'!J25:L25)</f>
        <v>0</v>
      </c>
      <c r="M25" s="61">
        <f>SUM('Monthly Actuals'!J97:L97)</f>
        <v>0</v>
      </c>
      <c r="N25" s="62">
        <f t="shared" si="4"/>
        <v>0</v>
      </c>
      <c r="O25" s="63" t="str">
        <f t="shared" si="5"/>
        <v/>
      </c>
      <c r="P25" s="61">
        <f>SUM('Cost Plan'!M25:O25)</f>
        <v>0</v>
      </c>
      <c r="Q25" s="61">
        <f>SUM('Monthly Actuals'!M97:O97)</f>
        <v>0</v>
      </c>
      <c r="R25" s="62">
        <f t="shared" si="6"/>
        <v>0</v>
      </c>
      <c r="S25" s="63" t="str">
        <f t="shared" si="7"/>
        <v/>
      </c>
      <c r="T25" s="64">
        <f>'Cost Plan'!P25</f>
        <v>0</v>
      </c>
      <c r="U25" s="64">
        <f>'Monthly Actuals'!P97</f>
        <v>0</v>
      </c>
      <c r="V25" s="65">
        <f t="shared" si="8"/>
        <v>0</v>
      </c>
      <c r="W25" s="66" t="str">
        <f t="shared" si="9"/>
        <v/>
      </c>
      <c r="X25" s="50" t="str">
        <f>IF(ISNUMBER(W25),IF(W25&gt;(Config!B7/100),"OVER BUDGET",IF(W25&lt;-(Config!B7/100),"UNDER BUDGET","ON TRACK")),"" )</f>
        <v/>
      </c>
    </row>
    <row r="26" spans="1:24" ht="18" customHeight="1" x14ac:dyDescent="0.35">
      <c r="A26" s="67">
        <v>22</v>
      </c>
      <c r="B26" s="51" t="str">
        <f>'Initiative Register'!B26</f>
        <v>INI-022</v>
      </c>
      <c r="C26" s="51" t="str">
        <f>'Initiative Register'!C26</f>
        <v>TRANSPLANT CENTRE — VOLUME GROWTH AND DONOR PROGRAMME ACTIVATION</v>
      </c>
      <c r="D26" s="68">
        <f>SUM('Cost Plan'!D26:F26)</f>
        <v>0</v>
      </c>
      <c r="E26" s="68">
        <f>SUM('Monthly Actuals'!D98:F98)</f>
        <v>0</v>
      </c>
      <c r="F26" s="69">
        <f t="shared" si="0"/>
        <v>0</v>
      </c>
      <c r="G26" s="70" t="str">
        <f t="shared" si="1"/>
        <v/>
      </c>
      <c r="H26" s="68">
        <f>SUM('Cost Plan'!G26:I26)</f>
        <v>0</v>
      </c>
      <c r="I26" s="68">
        <f>SUM('Monthly Actuals'!G98:I98)</f>
        <v>0</v>
      </c>
      <c r="J26" s="69">
        <f t="shared" si="2"/>
        <v>0</v>
      </c>
      <c r="K26" s="70" t="str">
        <f t="shared" si="3"/>
        <v/>
      </c>
      <c r="L26" s="68">
        <f>SUM('Cost Plan'!J26:L26)</f>
        <v>0</v>
      </c>
      <c r="M26" s="68">
        <f>SUM('Monthly Actuals'!J98:L98)</f>
        <v>0</v>
      </c>
      <c r="N26" s="69">
        <f t="shared" si="4"/>
        <v>0</v>
      </c>
      <c r="O26" s="70" t="str">
        <f t="shared" si="5"/>
        <v/>
      </c>
      <c r="P26" s="68">
        <f>SUM('Cost Plan'!M26:O26)</f>
        <v>0</v>
      </c>
      <c r="Q26" s="68">
        <f>SUM('Monthly Actuals'!M98:O98)</f>
        <v>0</v>
      </c>
      <c r="R26" s="69">
        <f t="shared" si="6"/>
        <v>0</v>
      </c>
      <c r="S26" s="70" t="str">
        <f t="shared" si="7"/>
        <v/>
      </c>
      <c r="T26" s="71">
        <f>'Cost Plan'!P26</f>
        <v>0</v>
      </c>
      <c r="U26" s="71">
        <f>'Monthly Actuals'!P98</f>
        <v>0</v>
      </c>
      <c r="V26" s="72">
        <f t="shared" si="8"/>
        <v>0</v>
      </c>
      <c r="W26" s="73" t="str">
        <f t="shared" si="9"/>
        <v/>
      </c>
      <c r="X26" s="53" t="str">
        <f>IF(ISNUMBER(W26),IF(W26&gt;(Config!B7/100),"OVER BUDGET",IF(W26&lt;-(Config!B7/100),"UNDER BUDGET","ON TRACK")),"" )</f>
        <v/>
      </c>
    </row>
    <row r="27" spans="1:24" ht="18" customHeight="1" x14ac:dyDescent="0.35">
      <c r="A27" s="60">
        <v>23</v>
      </c>
      <c r="B27" s="48" t="str">
        <f>'Initiative Register'!B27</f>
        <v>INI-023</v>
      </c>
      <c r="C27" s="48" t="str">
        <f>'Initiative Register'!C27</f>
        <v>CARDIAC SCIENCES — STRUCTURAL HEART AND ELECTROPHYSIOLOGY VOLUME BUILD</v>
      </c>
      <c r="D27" s="61">
        <f>SUM('Cost Plan'!D27:F27)</f>
        <v>0</v>
      </c>
      <c r="E27" s="61">
        <f>SUM('Monthly Actuals'!D99:F99)</f>
        <v>0</v>
      </c>
      <c r="F27" s="62">
        <f t="shared" si="0"/>
        <v>0</v>
      </c>
      <c r="G27" s="63" t="str">
        <f t="shared" si="1"/>
        <v/>
      </c>
      <c r="H27" s="61">
        <f>SUM('Cost Plan'!G27:I27)</f>
        <v>0</v>
      </c>
      <c r="I27" s="61">
        <f>SUM('Monthly Actuals'!G99:I99)</f>
        <v>0</v>
      </c>
      <c r="J27" s="62">
        <f t="shared" si="2"/>
        <v>0</v>
      </c>
      <c r="K27" s="63" t="str">
        <f t="shared" si="3"/>
        <v/>
      </c>
      <c r="L27" s="61">
        <f>SUM('Cost Plan'!J27:L27)</f>
        <v>0</v>
      </c>
      <c r="M27" s="61">
        <f>SUM('Monthly Actuals'!J99:L99)</f>
        <v>0</v>
      </c>
      <c r="N27" s="62">
        <f t="shared" si="4"/>
        <v>0</v>
      </c>
      <c r="O27" s="63" t="str">
        <f t="shared" si="5"/>
        <v/>
      </c>
      <c r="P27" s="61">
        <f>SUM('Cost Plan'!M27:O27)</f>
        <v>0</v>
      </c>
      <c r="Q27" s="61">
        <f>SUM('Monthly Actuals'!M99:O99)</f>
        <v>0</v>
      </c>
      <c r="R27" s="62">
        <f t="shared" si="6"/>
        <v>0</v>
      </c>
      <c r="S27" s="63" t="str">
        <f t="shared" si="7"/>
        <v/>
      </c>
      <c r="T27" s="64">
        <f>'Cost Plan'!P27</f>
        <v>0</v>
      </c>
      <c r="U27" s="64">
        <f>'Monthly Actuals'!P99</f>
        <v>0</v>
      </c>
      <c r="V27" s="65">
        <f t="shared" si="8"/>
        <v>0</v>
      </c>
      <c r="W27" s="66" t="str">
        <f t="shared" si="9"/>
        <v/>
      </c>
      <c r="X27" s="50" t="str">
        <f>IF(ISNUMBER(W27),IF(W27&gt;(Config!B7/100),"OVER BUDGET",IF(W27&lt;-(Config!B7/100),"UNDER BUDGET","ON TRACK")),"" )</f>
        <v/>
      </c>
    </row>
    <row r="28" spans="1:24" ht="18" customHeight="1" x14ac:dyDescent="0.35">
      <c r="A28" s="67">
        <v>24</v>
      </c>
      <c r="B28" s="51" t="str">
        <f>'Initiative Register'!B28</f>
        <v>INI-024</v>
      </c>
      <c r="C28" s="51" t="str">
        <f>'Initiative Register'!C28</f>
        <v>ONCOLOGY — EARLY DETECTION, SATELLITE CLINICS AND SURGICAL VOLUME GROWTH</v>
      </c>
      <c r="D28" s="68">
        <f>SUM('Cost Plan'!D28:F28)</f>
        <v>0</v>
      </c>
      <c r="E28" s="68">
        <f>SUM('Monthly Actuals'!D100:F100)</f>
        <v>0</v>
      </c>
      <c r="F28" s="69">
        <f t="shared" si="0"/>
        <v>0</v>
      </c>
      <c r="G28" s="70" t="str">
        <f t="shared" si="1"/>
        <v/>
      </c>
      <c r="H28" s="68">
        <f>SUM('Cost Plan'!G28:I28)</f>
        <v>0</v>
      </c>
      <c r="I28" s="68">
        <f>SUM('Monthly Actuals'!G100:I100)</f>
        <v>0</v>
      </c>
      <c r="J28" s="69">
        <f t="shared" si="2"/>
        <v>0</v>
      </c>
      <c r="K28" s="70" t="str">
        <f t="shared" si="3"/>
        <v/>
      </c>
      <c r="L28" s="68">
        <f>SUM('Cost Plan'!J28:L28)</f>
        <v>0</v>
      </c>
      <c r="M28" s="68">
        <f>SUM('Monthly Actuals'!J100:L100)</f>
        <v>0</v>
      </c>
      <c r="N28" s="69">
        <f t="shared" si="4"/>
        <v>0</v>
      </c>
      <c r="O28" s="70" t="str">
        <f t="shared" si="5"/>
        <v/>
      </c>
      <c r="P28" s="68">
        <f>SUM('Cost Plan'!M28:O28)</f>
        <v>0</v>
      </c>
      <c r="Q28" s="68">
        <f>SUM('Monthly Actuals'!M100:O100)</f>
        <v>0</v>
      </c>
      <c r="R28" s="69">
        <f t="shared" si="6"/>
        <v>0</v>
      </c>
      <c r="S28" s="70" t="str">
        <f t="shared" si="7"/>
        <v/>
      </c>
      <c r="T28" s="71">
        <f>'Cost Plan'!P28</f>
        <v>0</v>
      </c>
      <c r="U28" s="71">
        <f>'Monthly Actuals'!P100</f>
        <v>0</v>
      </c>
      <c r="V28" s="72">
        <f t="shared" si="8"/>
        <v>0</v>
      </c>
      <c r="W28" s="73" t="str">
        <f t="shared" si="9"/>
        <v/>
      </c>
      <c r="X28" s="53" t="str">
        <f>IF(ISNUMBER(W28),IF(W28&gt;(Config!B7/100),"OVER BUDGET",IF(W28&lt;-(Config!B7/100),"UNDER BUDGET","ON TRACK")),"" )</f>
        <v/>
      </c>
    </row>
    <row r="29" spans="1:24" ht="18" customHeight="1" x14ac:dyDescent="0.35">
      <c r="A29" s="60">
        <v>25</v>
      </c>
      <c r="B29" s="48" t="str">
        <f>'Initiative Register'!B29</f>
        <v>INI-025</v>
      </c>
      <c r="C29" s="48" t="str">
        <f>'Initiative Register'!C29</f>
        <v>ORTHOPAEDICS AND JOINT REPLACEMENT — VOLUME AND PACKAGE PROGRAMME</v>
      </c>
      <c r="D29" s="61">
        <f>SUM('Cost Plan'!D29:F29)</f>
        <v>0</v>
      </c>
      <c r="E29" s="61">
        <f>SUM('Monthly Actuals'!D101:F101)</f>
        <v>0</v>
      </c>
      <c r="F29" s="62">
        <f t="shared" si="0"/>
        <v>0</v>
      </c>
      <c r="G29" s="63" t="str">
        <f t="shared" si="1"/>
        <v/>
      </c>
      <c r="H29" s="61">
        <f>SUM('Cost Plan'!G29:I29)</f>
        <v>0</v>
      </c>
      <c r="I29" s="61">
        <f>SUM('Monthly Actuals'!G101:I101)</f>
        <v>0</v>
      </c>
      <c r="J29" s="62">
        <f t="shared" si="2"/>
        <v>0</v>
      </c>
      <c r="K29" s="63" t="str">
        <f t="shared" si="3"/>
        <v/>
      </c>
      <c r="L29" s="61">
        <f>SUM('Cost Plan'!J29:L29)</f>
        <v>0</v>
      </c>
      <c r="M29" s="61">
        <f>SUM('Monthly Actuals'!J101:L101)</f>
        <v>0</v>
      </c>
      <c r="N29" s="62">
        <f t="shared" si="4"/>
        <v>0</v>
      </c>
      <c r="O29" s="63" t="str">
        <f t="shared" si="5"/>
        <v/>
      </c>
      <c r="P29" s="61">
        <f>SUM('Cost Plan'!M29:O29)</f>
        <v>0</v>
      </c>
      <c r="Q29" s="61">
        <f>SUM('Monthly Actuals'!M101:O101)</f>
        <v>0</v>
      </c>
      <c r="R29" s="62">
        <f t="shared" si="6"/>
        <v>0</v>
      </c>
      <c r="S29" s="63" t="str">
        <f t="shared" si="7"/>
        <v/>
      </c>
      <c r="T29" s="64">
        <f>'Cost Plan'!P29</f>
        <v>0</v>
      </c>
      <c r="U29" s="64">
        <f>'Monthly Actuals'!P101</f>
        <v>0</v>
      </c>
      <c r="V29" s="65">
        <f t="shared" si="8"/>
        <v>0</v>
      </c>
      <c r="W29" s="66" t="str">
        <f t="shared" si="9"/>
        <v/>
      </c>
      <c r="X29" s="50" t="str">
        <f>IF(ISNUMBER(W29),IF(W29&gt;(Config!B7/100),"OVER BUDGET",IF(W29&lt;-(Config!B7/100),"UNDER BUDGET","ON TRACK")),"" )</f>
        <v/>
      </c>
    </row>
    <row r="30" spans="1:24" ht="18" customHeight="1" x14ac:dyDescent="0.35">
      <c r="A30" s="67">
        <v>26</v>
      </c>
      <c r="B30" s="51" t="str">
        <f>'Initiative Register'!B30</f>
        <v>INI-026</v>
      </c>
      <c r="C30" s="51" t="str">
        <f>'Initiative Register'!C30</f>
        <v>LAKESHORE HEART RUN — ANNUAL CARDIAC HEALTH EVENT</v>
      </c>
      <c r="D30" s="68">
        <f>SUM('Cost Plan'!D30:F30)</f>
        <v>0</v>
      </c>
      <c r="E30" s="68">
        <f>SUM('Monthly Actuals'!D102:F102)</f>
        <v>0</v>
      </c>
      <c r="F30" s="69">
        <f t="shared" si="0"/>
        <v>0</v>
      </c>
      <c r="G30" s="70" t="str">
        <f t="shared" si="1"/>
        <v/>
      </c>
      <c r="H30" s="68">
        <f>SUM('Cost Plan'!G30:I30)</f>
        <v>0</v>
      </c>
      <c r="I30" s="68">
        <f>SUM('Monthly Actuals'!G102:I102)</f>
        <v>0</v>
      </c>
      <c r="J30" s="69">
        <f t="shared" si="2"/>
        <v>0</v>
      </c>
      <c r="K30" s="70" t="str">
        <f t="shared" si="3"/>
        <v/>
      </c>
      <c r="L30" s="68">
        <f>SUM('Cost Plan'!J30:L30)</f>
        <v>0</v>
      </c>
      <c r="M30" s="68">
        <f>SUM('Monthly Actuals'!J102:L102)</f>
        <v>0</v>
      </c>
      <c r="N30" s="69">
        <f t="shared" si="4"/>
        <v>0</v>
      </c>
      <c r="O30" s="70" t="str">
        <f t="shared" si="5"/>
        <v/>
      </c>
      <c r="P30" s="68">
        <f>SUM('Cost Plan'!M30:O30)</f>
        <v>0</v>
      </c>
      <c r="Q30" s="68">
        <f>SUM('Monthly Actuals'!M102:O102)</f>
        <v>0</v>
      </c>
      <c r="R30" s="69">
        <f t="shared" si="6"/>
        <v>0</v>
      </c>
      <c r="S30" s="70" t="str">
        <f t="shared" si="7"/>
        <v/>
      </c>
      <c r="T30" s="71">
        <f>'Cost Plan'!P30</f>
        <v>0</v>
      </c>
      <c r="U30" s="71">
        <f>'Monthly Actuals'!P102</f>
        <v>0</v>
      </c>
      <c r="V30" s="72">
        <f t="shared" si="8"/>
        <v>0</v>
      </c>
      <c r="W30" s="73" t="str">
        <f t="shared" si="9"/>
        <v/>
      </c>
      <c r="X30" s="53" t="str">
        <f>IF(ISNUMBER(W30),IF(W30&gt;(Config!B7/100),"OVER BUDGET",IF(W30&lt;-(Config!B7/100),"UNDER BUDGET","ON TRACK")),"" )</f>
        <v/>
      </c>
    </row>
    <row r="31" spans="1:24" ht="18" customHeight="1" x14ac:dyDescent="0.35">
      <c r="A31" s="60">
        <v>27</v>
      </c>
      <c r="B31" s="48" t="str">
        <f>'Initiative Register'!B32</f>
        <v>INI-028</v>
      </c>
      <c r="C31" s="48" t="str">
        <f>'Initiative Register'!C32</f>
        <v>DIGITAL CONTENT PLATFORM — MALAYALAM AND ENGLISH</v>
      </c>
      <c r="D31" s="61">
        <f>SUM('Cost Plan'!D31:F31)</f>
        <v>0</v>
      </c>
      <c r="E31" s="61">
        <f>SUM('Monthly Actuals'!D103:F103)</f>
        <v>0</v>
      </c>
      <c r="F31" s="62">
        <f t="shared" si="0"/>
        <v>0</v>
      </c>
      <c r="G31" s="63" t="str">
        <f t="shared" si="1"/>
        <v/>
      </c>
      <c r="H31" s="61">
        <f>SUM('Cost Plan'!G31:I31)</f>
        <v>0</v>
      </c>
      <c r="I31" s="61">
        <f>SUM('Monthly Actuals'!G103:I103)</f>
        <v>0</v>
      </c>
      <c r="J31" s="62">
        <f t="shared" si="2"/>
        <v>0</v>
      </c>
      <c r="K31" s="63" t="str">
        <f t="shared" si="3"/>
        <v/>
      </c>
      <c r="L31" s="61">
        <f>SUM('Cost Plan'!J31:L31)</f>
        <v>0</v>
      </c>
      <c r="M31" s="61">
        <f>SUM('Monthly Actuals'!J103:L103)</f>
        <v>0</v>
      </c>
      <c r="N31" s="62">
        <f t="shared" si="4"/>
        <v>0</v>
      </c>
      <c r="O31" s="63" t="str">
        <f t="shared" si="5"/>
        <v/>
      </c>
      <c r="P31" s="61">
        <f>SUM('Cost Plan'!M31:O31)</f>
        <v>0</v>
      </c>
      <c r="Q31" s="61">
        <f>SUM('Monthly Actuals'!M103:O103)</f>
        <v>0</v>
      </c>
      <c r="R31" s="62">
        <f t="shared" si="6"/>
        <v>0</v>
      </c>
      <c r="S31" s="63" t="str">
        <f t="shared" si="7"/>
        <v/>
      </c>
      <c r="T31" s="64">
        <f>'Cost Plan'!P31</f>
        <v>0</v>
      </c>
      <c r="U31" s="64">
        <f>'Monthly Actuals'!P103</f>
        <v>0</v>
      </c>
      <c r="V31" s="65">
        <f t="shared" si="8"/>
        <v>0</v>
      </c>
      <c r="W31" s="66" t="str">
        <f t="shared" si="9"/>
        <v/>
      </c>
      <c r="X31" s="50" t="str">
        <f>IF(ISNUMBER(W31),IF(W31&gt;(Config!B7/100),"OVER BUDGET",IF(W31&lt;-(Config!B7/100),"UNDER BUDGET","ON TRACK")),"" )</f>
        <v/>
      </c>
    </row>
    <row r="32" spans="1:24" ht="18" customHeight="1" x14ac:dyDescent="0.35">
      <c r="A32" s="67">
        <v>28</v>
      </c>
      <c r="B32" s="51" t="str">
        <f>'Initiative Register'!B33</f>
        <v>INI-029</v>
      </c>
      <c r="C32" s="51" t="str">
        <f>'Initiative Register'!C33</f>
        <v>COMMUNITY HEALTH CAMPS — SCHOOLS, PLACES OF WORSHIP, RESIDENTIAL AREAS</v>
      </c>
      <c r="D32" s="68">
        <f>SUM('Cost Plan'!D32:F32)</f>
        <v>0</v>
      </c>
      <c r="E32" s="68">
        <f>SUM('Monthly Actuals'!D104:F104)</f>
        <v>0</v>
      </c>
      <c r="F32" s="69">
        <f t="shared" si="0"/>
        <v>0</v>
      </c>
      <c r="G32" s="70" t="str">
        <f t="shared" si="1"/>
        <v/>
      </c>
      <c r="H32" s="68">
        <f>SUM('Cost Plan'!G32:I32)</f>
        <v>0</v>
      </c>
      <c r="I32" s="68">
        <f>SUM('Monthly Actuals'!G104:I104)</f>
        <v>0</v>
      </c>
      <c r="J32" s="69">
        <f t="shared" si="2"/>
        <v>0</v>
      </c>
      <c r="K32" s="70" t="str">
        <f t="shared" si="3"/>
        <v/>
      </c>
      <c r="L32" s="68">
        <f>SUM('Cost Plan'!J32:L32)</f>
        <v>0</v>
      </c>
      <c r="M32" s="68">
        <f>SUM('Monthly Actuals'!J104:L104)</f>
        <v>0</v>
      </c>
      <c r="N32" s="69">
        <f t="shared" si="4"/>
        <v>0</v>
      </c>
      <c r="O32" s="70" t="str">
        <f t="shared" si="5"/>
        <v/>
      </c>
      <c r="P32" s="68">
        <f>SUM('Cost Plan'!M32:O32)</f>
        <v>0</v>
      </c>
      <c r="Q32" s="68">
        <f>SUM('Monthly Actuals'!M104:O104)</f>
        <v>0</v>
      </c>
      <c r="R32" s="69">
        <f t="shared" si="6"/>
        <v>0</v>
      </c>
      <c r="S32" s="70" t="str">
        <f t="shared" si="7"/>
        <v/>
      </c>
      <c r="T32" s="71">
        <f>'Cost Plan'!P32</f>
        <v>0</v>
      </c>
      <c r="U32" s="71">
        <f>'Monthly Actuals'!P104</f>
        <v>0</v>
      </c>
      <c r="V32" s="72">
        <f t="shared" si="8"/>
        <v>0</v>
      </c>
      <c r="W32" s="73" t="str">
        <f t="shared" si="9"/>
        <v/>
      </c>
      <c r="X32" s="53" t="str">
        <f>IF(ISNUMBER(W32),IF(W32&gt;(Config!B7/100),"OVER BUDGET",IF(W32&lt;-(Config!B7/100),"UNDER BUDGET","ON TRACK")),"" )</f>
        <v/>
      </c>
    </row>
    <row r="33" spans="1:24" ht="18" customHeight="1" x14ac:dyDescent="0.35">
      <c r="A33" s="60">
        <v>29</v>
      </c>
      <c r="B33" s="48" t="str">
        <f>'Initiative Register'!B34</f>
        <v>INI-030</v>
      </c>
      <c r="C33" s="48" t="str">
        <f>'Initiative Register'!C34</f>
        <v>DOCTOR ONLINE REPUTATION AND DIGITAL DISCOVERABILITY</v>
      </c>
      <c r="D33" s="61">
        <f>SUM('Cost Plan'!D33:F33)</f>
        <v>0</v>
      </c>
      <c r="E33" s="61">
        <f>SUM('Monthly Actuals'!D105:F105)</f>
        <v>0</v>
      </c>
      <c r="F33" s="62">
        <f t="shared" si="0"/>
        <v>0</v>
      </c>
      <c r="G33" s="63" t="str">
        <f t="shared" si="1"/>
        <v/>
      </c>
      <c r="H33" s="61">
        <f>SUM('Cost Plan'!G33:I33)</f>
        <v>0</v>
      </c>
      <c r="I33" s="61">
        <f>SUM('Monthly Actuals'!G105:I105)</f>
        <v>0</v>
      </c>
      <c r="J33" s="62">
        <f t="shared" si="2"/>
        <v>0</v>
      </c>
      <c r="K33" s="63" t="str">
        <f t="shared" si="3"/>
        <v/>
      </c>
      <c r="L33" s="61">
        <f>SUM('Cost Plan'!J33:L33)</f>
        <v>0</v>
      </c>
      <c r="M33" s="61">
        <f>SUM('Monthly Actuals'!J105:L105)</f>
        <v>0</v>
      </c>
      <c r="N33" s="62">
        <f t="shared" si="4"/>
        <v>0</v>
      </c>
      <c r="O33" s="63" t="str">
        <f t="shared" si="5"/>
        <v/>
      </c>
      <c r="P33" s="61">
        <f>SUM('Cost Plan'!M33:O33)</f>
        <v>0</v>
      </c>
      <c r="Q33" s="61">
        <f>SUM('Monthly Actuals'!M105:O105)</f>
        <v>0</v>
      </c>
      <c r="R33" s="62">
        <f t="shared" si="6"/>
        <v>0</v>
      </c>
      <c r="S33" s="63" t="str">
        <f t="shared" si="7"/>
        <v/>
      </c>
      <c r="T33" s="64">
        <f>'Cost Plan'!P33</f>
        <v>0</v>
      </c>
      <c r="U33" s="64">
        <f>'Monthly Actuals'!P105</f>
        <v>0</v>
      </c>
      <c r="V33" s="65">
        <f t="shared" si="8"/>
        <v>0</v>
      </c>
      <c r="W33" s="66" t="str">
        <f t="shared" si="9"/>
        <v/>
      </c>
      <c r="X33" s="50" t="str">
        <f>IF(ISNUMBER(W33),IF(W33&gt;(Config!B7/100),"OVER BUDGET",IF(W33&lt;-(Config!B7/100),"UNDER BUDGET","ON TRACK")),"" )</f>
        <v/>
      </c>
    </row>
    <row r="34" spans="1:24" ht="18" customHeight="1" x14ac:dyDescent="0.35">
      <c r="A34" s="67">
        <v>30</v>
      </c>
      <c r="B34" s="51" t="str">
        <f>'Initiative Register'!B35</f>
        <v>INI-031</v>
      </c>
      <c r="C34" s="51" t="str">
        <f>'Initiative Register'!C35</f>
        <v>TPA AND INSURER TARIFF RENEGOTIATION</v>
      </c>
      <c r="D34" s="68">
        <f>SUM('Cost Plan'!D34:F34)</f>
        <v>0</v>
      </c>
      <c r="E34" s="68">
        <f>SUM('Monthly Actuals'!D106:F106)</f>
        <v>0</v>
      </c>
      <c r="F34" s="69">
        <f t="shared" si="0"/>
        <v>0</v>
      </c>
      <c r="G34" s="70" t="str">
        <f t="shared" si="1"/>
        <v/>
      </c>
      <c r="H34" s="68">
        <f>SUM('Cost Plan'!G34:I34)</f>
        <v>0</v>
      </c>
      <c r="I34" s="68">
        <f>SUM('Monthly Actuals'!G106:I106)</f>
        <v>0</v>
      </c>
      <c r="J34" s="69">
        <f t="shared" si="2"/>
        <v>0</v>
      </c>
      <c r="K34" s="70" t="str">
        <f t="shared" si="3"/>
        <v/>
      </c>
      <c r="L34" s="68">
        <f>SUM('Cost Plan'!J34:L34)</f>
        <v>0</v>
      </c>
      <c r="M34" s="68">
        <f>SUM('Monthly Actuals'!J106:L106)</f>
        <v>0</v>
      </c>
      <c r="N34" s="69">
        <f t="shared" si="4"/>
        <v>0</v>
      </c>
      <c r="O34" s="70" t="str">
        <f t="shared" si="5"/>
        <v/>
      </c>
      <c r="P34" s="68">
        <f>SUM('Cost Plan'!M34:O34)</f>
        <v>0</v>
      </c>
      <c r="Q34" s="68">
        <f>SUM('Monthly Actuals'!M106:O106)</f>
        <v>0</v>
      </c>
      <c r="R34" s="69">
        <f t="shared" si="6"/>
        <v>0</v>
      </c>
      <c r="S34" s="70" t="str">
        <f t="shared" si="7"/>
        <v/>
      </c>
      <c r="T34" s="71">
        <f>'Cost Plan'!P34</f>
        <v>0</v>
      </c>
      <c r="U34" s="71">
        <f>'Monthly Actuals'!P106</f>
        <v>0</v>
      </c>
      <c r="V34" s="72">
        <f t="shared" si="8"/>
        <v>0</v>
      </c>
      <c r="W34" s="73" t="str">
        <f t="shared" si="9"/>
        <v/>
      </c>
      <c r="X34" s="53" t="str">
        <f>IF(ISNUMBER(W34),IF(W34&gt;(Config!B7/100),"OVER BUDGET",IF(W34&lt;-(Config!B7/100),"UNDER BUDGET","ON TRACK")),"" )</f>
        <v/>
      </c>
    </row>
    <row r="35" spans="1:24" ht="18" customHeight="1" x14ac:dyDescent="0.35">
      <c r="A35" s="60">
        <v>31</v>
      </c>
      <c r="B35" s="48" t="str">
        <f>'Initiative Register'!B36</f>
        <v>INI-032</v>
      </c>
      <c r="C35" s="48" t="str">
        <f>'Initiative Register'!C36</f>
        <v>FINANCIAL COUNSELLING AND PRE-AUTHORISATION AT SURGICAL OPD</v>
      </c>
      <c r="D35" s="61">
        <f>SUM('Cost Plan'!D35:F35)</f>
        <v>0</v>
      </c>
      <c r="E35" s="61">
        <f>SUM('Monthly Actuals'!D107:F107)</f>
        <v>0</v>
      </c>
      <c r="F35" s="62">
        <f t="shared" si="0"/>
        <v>0</v>
      </c>
      <c r="G35" s="63" t="str">
        <f t="shared" si="1"/>
        <v/>
      </c>
      <c r="H35" s="61">
        <f>SUM('Cost Plan'!G35:I35)</f>
        <v>0</v>
      </c>
      <c r="I35" s="61">
        <f>SUM('Monthly Actuals'!G107:I107)</f>
        <v>0</v>
      </c>
      <c r="J35" s="62">
        <f t="shared" si="2"/>
        <v>0</v>
      </c>
      <c r="K35" s="63" t="str">
        <f t="shared" si="3"/>
        <v/>
      </c>
      <c r="L35" s="61">
        <f>SUM('Cost Plan'!J35:L35)</f>
        <v>0</v>
      </c>
      <c r="M35" s="61">
        <f>SUM('Monthly Actuals'!J107:L107)</f>
        <v>0</v>
      </c>
      <c r="N35" s="62">
        <f t="shared" si="4"/>
        <v>0</v>
      </c>
      <c r="O35" s="63" t="str">
        <f t="shared" si="5"/>
        <v/>
      </c>
      <c r="P35" s="61">
        <f>SUM('Cost Plan'!M35:O35)</f>
        <v>0</v>
      </c>
      <c r="Q35" s="61">
        <f>SUM('Monthly Actuals'!M107:O107)</f>
        <v>0</v>
      </c>
      <c r="R35" s="62">
        <f t="shared" si="6"/>
        <v>0</v>
      </c>
      <c r="S35" s="63" t="str">
        <f t="shared" si="7"/>
        <v/>
      </c>
      <c r="T35" s="64">
        <f>'Cost Plan'!P35</f>
        <v>0</v>
      </c>
      <c r="U35" s="64">
        <f>'Monthly Actuals'!P107</f>
        <v>0</v>
      </c>
      <c r="V35" s="65">
        <f t="shared" si="8"/>
        <v>0</v>
      </c>
      <c r="W35" s="66" t="str">
        <f t="shared" si="9"/>
        <v/>
      </c>
      <c r="X35" s="50" t="str">
        <f>IF(ISNUMBER(W35),IF(W35&gt;(Config!B7/100),"OVER BUDGET",IF(W35&lt;-(Config!B7/100),"UNDER BUDGET","ON TRACK")),"" )</f>
        <v/>
      </c>
    </row>
    <row r="36" spans="1:24" ht="18" customHeight="1" x14ac:dyDescent="0.35">
      <c r="A36" s="67">
        <v>32</v>
      </c>
      <c r="B36" s="51" t="str">
        <f>'Initiative Register'!B37</f>
        <v>INI-033</v>
      </c>
      <c r="C36" s="51" t="str">
        <f>'Initiative Register'!C37</f>
        <v>BUILD A SCALED BD ORGANISATION</v>
      </c>
      <c r="D36" s="68">
        <f>SUM('Cost Plan'!D36:F36)</f>
        <v>0</v>
      </c>
      <c r="E36" s="68">
        <f>SUM('Monthly Actuals'!D108:F108)</f>
        <v>0</v>
      </c>
      <c r="F36" s="69">
        <f t="shared" si="0"/>
        <v>0</v>
      </c>
      <c r="G36" s="70" t="str">
        <f t="shared" si="1"/>
        <v/>
      </c>
      <c r="H36" s="68">
        <f>SUM('Cost Plan'!G36:I36)</f>
        <v>0</v>
      </c>
      <c r="I36" s="68">
        <f>SUM('Monthly Actuals'!G108:I108)</f>
        <v>0</v>
      </c>
      <c r="J36" s="69">
        <f t="shared" si="2"/>
        <v>0</v>
      </c>
      <c r="K36" s="70" t="str">
        <f t="shared" si="3"/>
        <v/>
      </c>
      <c r="L36" s="68">
        <f>SUM('Cost Plan'!J36:L36)</f>
        <v>0</v>
      </c>
      <c r="M36" s="68">
        <f>SUM('Monthly Actuals'!J108:L108)</f>
        <v>0</v>
      </c>
      <c r="N36" s="69">
        <f t="shared" si="4"/>
        <v>0</v>
      </c>
      <c r="O36" s="70" t="str">
        <f t="shared" si="5"/>
        <v/>
      </c>
      <c r="P36" s="68">
        <f>SUM('Cost Plan'!M36:O36)</f>
        <v>0</v>
      </c>
      <c r="Q36" s="68">
        <f>SUM('Monthly Actuals'!M108:O108)</f>
        <v>0</v>
      </c>
      <c r="R36" s="69">
        <f t="shared" si="6"/>
        <v>0</v>
      </c>
      <c r="S36" s="70" t="str">
        <f t="shared" si="7"/>
        <v/>
      </c>
      <c r="T36" s="71">
        <f>'Cost Plan'!P36</f>
        <v>0</v>
      </c>
      <c r="U36" s="71">
        <f>'Monthly Actuals'!P108</f>
        <v>0</v>
      </c>
      <c r="V36" s="72">
        <f t="shared" si="8"/>
        <v>0</v>
      </c>
      <c r="W36" s="73" t="str">
        <f t="shared" si="9"/>
        <v/>
      </c>
      <c r="X36" s="53" t="str">
        <f>IF(ISNUMBER(W36),IF(W36&gt;(Config!B7/100),"OVER BUDGET",IF(W36&lt;-(Config!B7/100),"UNDER BUDGET","ON TRACK")),"" )</f>
        <v/>
      </c>
    </row>
    <row r="37" spans="1:24" ht="18" customHeight="1" x14ac:dyDescent="0.35">
      <c r="A37" s="60">
        <v>33</v>
      </c>
      <c r="B37" s="48" t="str">
        <f>'Initiative Register'!B38</f>
        <v>INI-034</v>
      </c>
      <c r="C37" s="48" t="str">
        <f>'Initiative Register'!C38</f>
        <v>MATERIALS / DRUG COST &amp; CONSUMABLES</v>
      </c>
      <c r="D37" s="61">
        <f>SUM('Cost Plan'!D37:F37)</f>
        <v>0</v>
      </c>
      <c r="E37" s="61">
        <f>SUM('Monthly Actuals'!D109:F109)</f>
        <v>0</v>
      </c>
      <c r="F37" s="62">
        <f t="shared" si="0"/>
        <v>0</v>
      </c>
      <c r="G37" s="63" t="str">
        <f t="shared" si="1"/>
        <v/>
      </c>
      <c r="H37" s="61">
        <f>SUM('Cost Plan'!G37:I37)</f>
        <v>0</v>
      </c>
      <c r="I37" s="61">
        <f>SUM('Monthly Actuals'!G109:I109)</f>
        <v>0</v>
      </c>
      <c r="J37" s="62">
        <f t="shared" si="2"/>
        <v>0</v>
      </c>
      <c r="K37" s="63" t="str">
        <f t="shared" si="3"/>
        <v/>
      </c>
      <c r="L37" s="61">
        <f>SUM('Cost Plan'!J37:L37)</f>
        <v>0</v>
      </c>
      <c r="M37" s="61">
        <f>SUM('Monthly Actuals'!J109:L109)</f>
        <v>0</v>
      </c>
      <c r="N37" s="62">
        <f t="shared" si="4"/>
        <v>0</v>
      </c>
      <c r="O37" s="63" t="str">
        <f t="shared" si="5"/>
        <v/>
      </c>
      <c r="P37" s="61">
        <f>SUM('Cost Plan'!M37:O37)</f>
        <v>0</v>
      </c>
      <c r="Q37" s="61">
        <f>SUM('Monthly Actuals'!M109:O109)</f>
        <v>0</v>
      </c>
      <c r="R37" s="62">
        <f t="shared" si="6"/>
        <v>0</v>
      </c>
      <c r="S37" s="63" t="str">
        <f t="shared" si="7"/>
        <v/>
      </c>
      <c r="T37" s="64">
        <f>'Cost Plan'!P37</f>
        <v>0</v>
      </c>
      <c r="U37" s="64">
        <f>'Monthly Actuals'!P109</f>
        <v>0</v>
      </c>
      <c r="V37" s="65">
        <f t="shared" si="8"/>
        <v>0</v>
      </c>
      <c r="W37" s="66" t="str">
        <f t="shared" si="9"/>
        <v/>
      </c>
      <c r="X37" s="50" t="str">
        <f>IF(ISNUMBER(W37),IF(W37&gt;(Config!B7/100),"OVER BUDGET",IF(W37&lt;-(Config!B7/100),"UNDER BUDGET","ON TRACK")),"" )</f>
        <v/>
      </c>
    </row>
    <row r="38" spans="1:24" ht="18" customHeight="1" x14ac:dyDescent="0.35">
      <c r="A38" s="67">
        <v>34</v>
      </c>
      <c r="B38" s="51" t="str">
        <f>'Initiative Register'!B39</f>
        <v>INI-035</v>
      </c>
      <c r="C38" s="51" t="str">
        <f>'Initiative Register'!C39</f>
        <v>MATERIALS / DRUG COST &amp; CONSUMABLES</v>
      </c>
      <c r="D38" s="68">
        <f>SUM('Cost Plan'!D38:F38)</f>
        <v>0</v>
      </c>
      <c r="E38" s="68">
        <f>SUM('Monthly Actuals'!D110:F110)</f>
        <v>0</v>
      </c>
      <c r="F38" s="69">
        <f t="shared" si="0"/>
        <v>0</v>
      </c>
      <c r="G38" s="70" t="str">
        <f t="shared" si="1"/>
        <v/>
      </c>
      <c r="H38" s="68">
        <f>SUM('Cost Plan'!G38:I38)</f>
        <v>0</v>
      </c>
      <c r="I38" s="68">
        <f>SUM('Monthly Actuals'!G110:I110)</f>
        <v>0</v>
      </c>
      <c r="J38" s="69">
        <f t="shared" si="2"/>
        <v>0</v>
      </c>
      <c r="K38" s="70" t="str">
        <f t="shared" si="3"/>
        <v/>
      </c>
      <c r="L38" s="68">
        <f>SUM('Cost Plan'!J38:L38)</f>
        <v>0</v>
      </c>
      <c r="M38" s="68">
        <f>SUM('Monthly Actuals'!J110:L110)</f>
        <v>0</v>
      </c>
      <c r="N38" s="69">
        <f t="shared" si="4"/>
        <v>0</v>
      </c>
      <c r="O38" s="70" t="str">
        <f t="shared" si="5"/>
        <v/>
      </c>
      <c r="P38" s="68">
        <f>SUM('Cost Plan'!M38:O38)</f>
        <v>0</v>
      </c>
      <c r="Q38" s="68">
        <f>SUM('Monthly Actuals'!M110:O110)</f>
        <v>0</v>
      </c>
      <c r="R38" s="69">
        <f t="shared" si="6"/>
        <v>0</v>
      </c>
      <c r="S38" s="70" t="str">
        <f t="shared" si="7"/>
        <v/>
      </c>
      <c r="T38" s="71">
        <f>'Cost Plan'!P38</f>
        <v>0</v>
      </c>
      <c r="U38" s="71">
        <f>'Monthly Actuals'!P110</f>
        <v>0</v>
      </c>
      <c r="V38" s="72">
        <f t="shared" si="8"/>
        <v>0</v>
      </c>
      <c r="W38" s="73" t="str">
        <f t="shared" si="9"/>
        <v/>
      </c>
      <c r="X38" s="53" t="str">
        <f>IF(ISNUMBER(W38),IF(W38&gt;(Config!B7/100),"OVER BUDGET",IF(W38&lt;-(Config!B7/100),"UNDER BUDGET","ON TRACK")),"" )</f>
        <v/>
      </c>
    </row>
    <row r="39" spans="1:24" ht="18" customHeight="1" x14ac:dyDescent="0.35">
      <c r="A39" s="60">
        <v>35</v>
      </c>
      <c r="B39" s="48" t="str">
        <f>'Initiative Register'!B40</f>
        <v>INI-036</v>
      </c>
      <c r="C39" s="48" t="str">
        <f>'Initiative Register'!C40</f>
        <v>MATERIALS / DRUG COST &amp; CONSUMABLES</v>
      </c>
      <c r="D39" s="61">
        <f>SUM('Cost Plan'!D39:F39)</f>
        <v>0</v>
      </c>
      <c r="E39" s="61">
        <f>SUM('Monthly Actuals'!D111:F111)</f>
        <v>0</v>
      </c>
      <c r="F39" s="62">
        <f t="shared" si="0"/>
        <v>0</v>
      </c>
      <c r="G39" s="63" t="str">
        <f t="shared" si="1"/>
        <v/>
      </c>
      <c r="H39" s="61">
        <f>SUM('Cost Plan'!G39:I39)</f>
        <v>0</v>
      </c>
      <c r="I39" s="61">
        <f>SUM('Monthly Actuals'!G111:I111)</f>
        <v>0</v>
      </c>
      <c r="J39" s="62">
        <f t="shared" si="2"/>
        <v>0</v>
      </c>
      <c r="K39" s="63" t="str">
        <f t="shared" si="3"/>
        <v/>
      </c>
      <c r="L39" s="61">
        <f>SUM('Cost Plan'!J39:L39)</f>
        <v>0</v>
      </c>
      <c r="M39" s="61">
        <f>SUM('Monthly Actuals'!J111:L111)</f>
        <v>0</v>
      </c>
      <c r="N39" s="62">
        <f t="shared" si="4"/>
        <v>0</v>
      </c>
      <c r="O39" s="63" t="str">
        <f t="shared" si="5"/>
        <v/>
      </c>
      <c r="P39" s="61">
        <f>SUM('Cost Plan'!M39:O39)</f>
        <v>0</v>
      </c>
      <c r="Q39" s="61">
        <f>SUM('Monthly Actuals'!M111:O111)</f>
        <v>0</v>
      </c>
      <c r="R39" s="62">
        <f t="shared" si="6"/>
        <v>0</v>
      </c>
      <c r="S39" s="63" t="str">
        <f t="shared" si="7"/>
        <v/>
      </c>
      <c r="T39" s="64">
        <f>'Cost Plan'!P39</f>
        <v>0</v>
      </c>
      <c r="U39" s="64">
        <f>'Monthly Actuals'!P111</f>
        <v>0</v>
      </c>
      <c r="V39" s="65">
        <f t="shared" si="8"/>
        <v>0</v>
      </c>
      <c r="W39" s="66" t="str">
        <f t="shared" si="9"/>
        <v/>
      </c>
      <c r="X39" s="50" t="str">
        <f>IF(ISNUMBER(W39),IF(W39&gt;(Config!B7/100),"OVER BUDGET",IF(W39&lt;-(Config!B7/100),"UNDER BUDGET","ON TRACK")),"" )</f>
        <v/>
      </c>
    </row>
    <row r="40" spans="1:24" ht="18" customHeight="1" x14ac:dyDescent="0.35">
      <c r="A40" s="67">
        <v>36</v>
      </c>
      <c r="B40" s="51" t="str">
        <f>'Initiative Register'!B41</f>
        <v>INI-037</v>
      </c>
      <c r="C40" s="51" t="str">
        <f>'Initiative Register'!C41</f>
        <v>MATERIALS / DRUG COST &amp; CONSUMABLES</v>
      </c>
      <c r="D40" s="68">
        <f>SUM('Cost Plan'!D40:F40)</f>
        <v>0</v>
      </c>
      <c r="E40" s="68">
        <f>SUM('Monthly Actuals'!D112:F112)</f>
        <v>0</v>
      </c>
      <c r="F40" s="69">
        <f t="shared" si="0"/>
        <v>0</v>
      </c>
      <c r="G40" s="70" t="str">
        <f t="shared" si="1"/>
        <v/>
      </c>
      <c r="H40" s="68">
        <f>SUM('Cost Plan'!G40:I40)</f>
        <v>0</v>
      </c>
      <c r="I40" s="68">
        <f>SUM('Monthly Actuals'!G112:I112)</f>
        <v>0</v>
      </c>
      <c r="J40" s="69">
        <f t="shared" si="2"/>
        <v>0</v>
      </c>
      <c r="K40" s="70" t="str">
        <f t="shared" si="3"/>
        <v/>
      </c>
      <c r="L40" s="68">
        <f>SUM('Cost Plan'!J40:L40)</f>
        <v>0</v>
      </c>
      <c r="M40" s="68">
        <f>SUM('Monthly Actuals'!J112:L112)</f>
        <v>0</v>
      </c>
      <c r="N40" s="69">
        <f t="shared" si="4"/>
        <v>0</v>
      </c>
      <c r="O40" s="70" t="str">
        <f t="shared" si="5"/>
        <v/>
      </c>
      <c r="P40" s="68">
        <f>SUM('Cost Plan'!M40:O40)</f>
        <v>0</v>
      </c>
      <c r="Q40" s="68">
        <f>SUM('Monthly Actuals'!M112:O112)</f>
        <v>0</v>
      </c>
      <c r="R40" s="69">
        <f t="shared" si="6"/>
        <v>0</v>
      </c>
      <c r="S40" s="70" t="str">
        <f t="shared" si="7"/>
        <v/>
      </c>
      <c r="T40" s="71">
        <f>'Cost Plan'!P40</f>
        <v>0</v>
      </c>
      <c r="U40" s="71">
        <f>'Monthly Actuals'!P112</f>
        <v>0</v>
      </c>
      <c r="V40" s="72">
        <f t="shared" si="8"/>
        <v>0</v>
      </c>
      <c r="W40" s="73" t="str">
        <f t="shared" si="9"/>
        <v/>
      </c>
      <c r="X40" s="53" t="str">
        <f>IF(ISNUMBER(W40),IF(W40&gt;(Config!B7/100),"OVER BUDGET",IF(W40&lt;-(Config!B7/100),"UNDER BUDGET","ON TRACK")),"" )</f>
        <v/>
      </c>
    </row>
    <row r="41" spans="1:24" ht="18" customHeight="1" x14ac:dyDescent="0.35">
      <c r="A41" s="60">
        <v>37</v>
      </c>
      <c r="B41" s="48" t="str">
        <f>'Initiative Register'!B42</f>
        <v>INI-038</v>
      </c>
      <c r="C41" s="48" t="str">
        <f>'Initiative Register'!C42</f>
        <v>MATERIALS / DRUG COST &amp; CONSUMABLES</v>
      </c>
      <c r="D41" s="61">
        <f>SUM('Cost Plan'!D41:F41)</f>
        <v>0</v>
      </c>
      <c r="E41" s="61">
        <f>SUM('Monthly Actuals'!D113:F113)</f>
        <v>0</v>
      </c>
      <c r="F41" s="62">
        <f t="shared" si="0"/>
        <v>0</v>
      </c>
      <c r="G41" s="63" t="str">
        <f t="shared" si="1"/>
        <v/>
      </c>
      <c r="H41" s="61">
        <f>SUM('Cost Plan'!G41:I41)</f>
        <v>0</v>
      </c>
      <c r="I41" s="61">
        <f>SUM('Monthly Actuals'!G113:I113)</f>
        <v>0</v>
      </c>
      <c r="J41" s="62">
        <f t="shared" si="2"/>
        <v>0</v>
      </c>
      <c r="K41" s="63" t="str">
        <f t="shared" si="3"/>
        <v/>
      </c>
      <c r="L41" s="61">
        <f>SUM('Cost Plan'!J41:L41)</f>
        <v>0</v>
      </c>
      <c r="M41" s="61">
        <f>SUM('Monthly Actuals'!J113:L113)</f>
        <v>0</v>
      </c>
      <c r="N41" s="62">
        <f t="shared" si="4"/>
        <v>0</v>
      </c>
      <c r="O41" s="63" t="str">
        <f t="shared" si="5"/>
        <v/>
      </c>
      <c r="P41" s="61">
        <f>SUM('Cost Plan'!M41:O41)</f>
        <v>0</v>
      </c>
      <c r="Q41" s="61">
        <f>SUM('Monthly Actuals'!M113:O113)</f>
        <v>0</v>
      </c>
      <c r="R41" s="62">
        <f t="shared" si="6"/>
        <v>0</v>
      </c>
      <c r="S41" s="63" t="str">
        <f t="shared" si="7"/>
        <v/>
      </c>
      <c r="T41" s="64">
        <f>'Cost Plan'!P41</f>
        <v>0</v>
      </c>
      <c r="U41" s="64">
        <f>'Monthly Actuals'!P113</f>
        <v>0</v>
      </c>
      <c r="V41" s="65">
        <f t="shared" si="8"/>
        <v>0</v>
      </c>
      <c r="W41" s="66" t="str">
        <f t="shared" si="9"/>
        <v/>
      </c>
      <c r="X41" s="50" t="str">
        <f>IF(ISNUMBER(W41),IF(W41&gt;(Config!B7/100),"OVER BUDGET",IF(W41&lt;-(Config!B7/100),"UNDER BUDGET","ON TRACK")),"" )</f>
        <v/>
      </c>
    </row>
    <row r="42" spans="1:24" ht="18" customHeight="1" x14ac:dyDescent="0.35">
      <c r="A42" s="67">
        <v>38</v>
      </c>
      <c r="B42" s="51" t="str">
        <f>'Initiative Register'!B43</f>
        <v>INI-039</v>
      </c>
      <c r="C42" s="51" t="str">
        <f>'Initiative Register'!C43</f>
        <v>MATERIALS / DRUG COST &amp; CONSUMABLES</v>
      </c>
      <c r="D42" s="68">
        <f>SUM('Cost Plan'!D42:F42)</f>
        <v>0</v>
      </c>
      <c r="E42" s="68">
        <f>SUM('Monthly Actuals'!D114:F114)</f>
        <v>0</v>
      </c>
      <c r="F42" s="69">
        <f t="shared" si="0"/>
        <v>0</v>
      </c>
      <c r="G42" s="70" t="str">
        <f t="shared" si="1"/>
        <v/>
      </c>
      <c r="H42" s="68">
        <f>SUM('Cost Plan'!G42:I42)</f>
        <v>0</v>
      </c>
      <c r="I42" s="68">
        <f>SUM('Monthly Actuals'!G114:I114)</f>
        <v>0</v>
      </c>
      <c r="J42" s="69">
        <f t="shared" si="2"/>
        <v>0</v>
      </c>
      <c r="K42" s="70" t="str">
        <f t="shared" si="3"/>
        <v/>
      </c>
      <c r="L42" s="68">
        <f>SUM('Cost Plan'!J42:L42)</f>
        <v>0</v>
      </c>
      <c r="M42" s="68">
        <f>SUM('Monthly Actuals'!J114:L114)</f>
        <v>0</v>
      </c>
      <c r="N42" s="69">
        <f t="shared" si="4"/>
        <v>0</v>
      </c>
      <c r="O42" s="70" t="str">
        <f t="shared" si="5"/>
        <v/>
      </c>
      <c r="P42" s="68">
        <f>SUM('Cost Plan'!M42:O42)</f>
        <v>0</v>
      </c>
      <c r="Q42" s="68">
        <f>SUM('Monthly Actuals'!M114:O114)</f>
        <v>0</v>
      </c>
      <c r="R42" s="69">
        <f t="shared" si="6"/>
        <v>0</v>
      </c>
      <c r="S42" s="70" t="str">
        <f t="shared" si="7"/>
        <v/>
      </c>
      <c r="T42" s="71">
        <f>'Cost Plan'!P42</f>
        <v>0</v>
      </c>
      <c r="U42" s="71">
        <f>'Monthly Actuals'!P114</f>
        <v>0</v>
      </c>
      <c r="V42" s="72">
        <f t="shared" si="8"/>
        <v>0</v>
      </c>
      <c r="W42" s="73" t="str">
        <f t="shared" si="9"/>
        <v/>
      </c>
      <c r="X42" s="53" t="str">
        <f>IF(ISNUMBER(W42),IF(W42&gt;(Config!B7/100),"OVER BUDGET",IF(W42&lt;-(Config!B7/100),"UNDER BUDGET","ON TRACK")),"" )</f>
        <v/>
      </c>
    </row>
    <row r="43" spans="1:24" ht="18" customHeight="1" x14ac:dyDescent="0.35">
      <c r="A43" s="60">
        <v>39</v>
      </c>
      <c r="B43" s="48" t="str">
        <f>'Initiative Register'!B44</f>
        <v>INI-040</v>
      </c>
      <c r="C43" s="48" t="str">
        <f>'Initiative Register'!C44</f>
        <v>MATERIALS / DRUG COST &amp; CONSUMABLES</v>
      </c>
      <c r="D43" s="61">
        <f>SUM('Cost Plan'!D43:F43)</f>
        <v>0</v>
      </c>
      <c r="E43" s="61">
        <f>SUM('Monthly Actuals'!D115:F115)</f>
        <v>0</v>
      </c>
      <c r="F43" s="62">
        <f t="shared" si="0"/>
        <v>0</v>
      </c>
      <c r="G43" s="63" t="str">
        <f t="shared" si="1"/>
        <v/>
      </c>
      <c r="H43" s="61">
        <f>SUM('Cost Plan'!G43:I43)</f>
        <v>0</v>
      </c>
      <c r="I43" s="61">
        <f>SUM('Monthly Actuals'!G115:I115)</f>
        <v>0</v>
      </c>
      <c r="J43" s="62">
        <f t="shared" si="2"/>
        <v>0</v>
      </c>
      <c r="K43" s="63" t="str">
        <f t="shared" si="3"/>
        <v/>
      </c>
      <c r="L43" s="61">
        <f>SUM('Cost Plan'!J43:L43)</f>
        <v>0</v>
      </c>
      <c r="M43" s="61">
        <f>SUM('Monthly Actuals'!J115:L115)</f>
        <v>0</v>
      </c>
      <c r="N43" s="62">
        <f t="shared" si="4"/>
        <v>0</v>
      </c>
      <c r="O43" s="63" t="str">
        <f t="shared" si="5"/>
        <v/>
      </c>
      <c r="P43" s="61">
        <f>SUM('Cost Plan'!M43:O43)</f>
        <v>0</v>
      </c>
      <c r="Q43" s="61">
        <f>SUM('Monthly Actuals'!M115:O115)</f>
        <v>0</v>
      </c>
      <c r="R43" s="62">
        <f t="shared" si="6"/>
        <v>0</v>
      </c>
      <c r="S43" s="63" t="str">
        <f t="shared" si="7"/>
        <v/>
      </c>
      <c r="T43" s="64">
        <f>'Cost Plan'!P43</f>
        <v>0</v>
      </c>
      <c r="U43" s="64">
        <f>'Monthly Actuals'!P115</f>
        <v>0</v>
      </c>
      <c r="V43" s="65">
        <f t="shared" si="8"/>
        <v>0</v>
      </c>
      <c r="W43" s="66" t="str">
        <f t="shared" si="9"/>
        <v/>
      </c>
      <c r="X43" s="50" t="str">
        <f>IF(ISNUMBER(W43),IF(W43&gt;(Config!B7/100),"OVER BUDGET",IF(W43&lt;-(Config!B7/100),"UNDER BUDGET","ON TRACK")),"" )</f>
        <v/>
      </c>
    </row>
    <row r="44" spans="1:24" ht="18" customHeight="1" x14ac:dyDescent="0.35">
      <c r="A44" s="67">
        <v>40</v>
      </c>
      <c r="B44" s="51" t="str">
        <f>'Initiative Register'!B45</f>
        <v>INI-041</v>
      </c>
      <c r="C44" s="51" t="str">
        <f>'Initiative Register'!C45</f>
        <v>MATERIALS / DRUG COST &amp; CONSUMABLES</v>
      </c>
      <c r="D44" s="68">
        <f>SUM('Cost Plan'!D44:F44)</f>
        <v>0</v>
      </c>
      <c r="E44" s="68">
        <f>SUM('Monthly Actuals'!D116:F116)</f>
        <v>0</v>
      </c>
      <c r="F44" s="69">
        <f t="shared" si="0"/>
        <v>0</v>
      </c>
      <c r="G44" s="70" t="str">
        <f t="shared" si="1"/>
        <v/>
      </c>
      <c r="H44" s="68">
        <f>SUM('Cost Plan'!G44:I44)</f>
        <v>0</v>
      </c>
      <c r="I44" s="68">
        <f>SUM('Monthly Actuals'!G116:I116)</f>
        <v>0</v>
      </c>
      <c r="J44" s="69">
        <f t="shared" si="2"/>
        <v>0</v>
      </c>
      <c r="K44" s="70" t="str">
        <f t="shared" si="3"/>
        <v/>
      </c>
      <c r="L44" s="68">
        <f>SUM('Cost Plan'!J44:L44)</f>
        <v>0</v>
      </c>
      <c r="M44" s="68">
        <f>SUM('Monthly Actuals'!J116:L116)</f>
        <v>0</v>
      </c>
      <c r="N44" s="69">
        <f t="shared" si="4"/>
        <v>0</v>
      </c>
      <c r="O44" s="70" t="str">
        <f t="shared" si="5"/>
        <v/>
      </c>
      <c r="P44" s="68">
        <f>SUM('Cost Plan'!M44:O44)</f>
        <v>0</v>
      </c>
      <c r="Q44" s="68">
        <f>SUM('Monthly Actuals'!M116:O116)</f>
        <v>0</v>
      </c>
      <c r="R44" s="69">
        <f t="shared" si="6"/>
        <v>0</v>
      </c>
      <c r="S44" s="70" t="str">
        <f t="shared" si="7"/>
        <v/>
      </c>
      <c r="T44" s="71">
        <f>'Cost Plan'!P44</f>
        <v>0</v>
      </c>
      <c r="U44" s="71">
        <f>'Monthly Actuals'!P116</f>
        <v>0</v>
      </c>
      <c r="V44" s="72">
        <f t="shared" si="8"/>
        <v>0</v>
      </c>
      <c r="W44" s="73" t="str">
        <f t="shared" si="9"/>
        <v/>
      </c>
      <c r="X44" s="53" t="str">
        <f>IF(ISNUMBER(W44),IF(W44&gt;(Config!B7/100),"OVER BUDGET",IF(W44&lt;-(Config!B7/100),"UNDER BUDGET","ON TRACK")),"" )</f>
        <v/>
      </c>
    </row>
    <row r="45" spans="1:24" ht="18" customHeight="1" x14ac:dyDescent="0.35">
      <c r="A45" s="60">
        <v>41</v>
      </c>
      <c r="B45" s="48" t="str">
        <f>'Initiative Register'!B46</f>
        <v>INI-042</v>
      </c>
      <c r="C45" s="48" t="str">
        <f>'Initiative Register'!C46</f>
        <v>PAYROLL – NURSING OPTIMISATION</v>
      </c>
      <c r="D45" s="61">
        <f>SUM('Cost Plan'!D45:F45)</f>
        <v>0</v>
      </c>
      <c r="E45" s="61">
        <f>SUM('Monthly Actuals'!D117:F117)</f>
        <v>0</v>
      </c>
      <c r="F45" s="62">
        <f t="shared" si="0"/>
        <v>0</v>
      </c>
      <c r="G45" s="63" t="str">
        <f t="shared" si="1"/>
        <v/>
      </c>
      <c r="H45" s="61">
        <f>SUM('Cost Plan'!G45:I45)</f>
        <v>0</v>
      </c>
      <c r="I45" s="61">
        <f>SUM('Monthly Actuals'!G117:I117)</f>
        <v>0</v>
      </c>
      <c r="J45" s="62">
        <f t="shared" si="2"/>
        <v>0</v>
      </c>
      <c r="K45" s="63" t="str">
        <f t="shared" si="3"/>
        <v/>
      </c>
      <c r="L45" s="61">
        <f>SUM('Cost Plan'!J45:L45)</f>
        <v>0</v>
      </c>
      <c r="M45" s="61">
        <f>SUM('Monthly Actuals'!J117:L117)</f>
        <v>0</v>
      </c>
      <c r="N45" s="62">
        <f t="shared" si="4"/>
        <v>0</v>
      </c>
      <c r="O45" s="63" t="str">
        <f t="shared" si="5"/>
        <v/>
      </c>
      <c r="P45" s="61">
        <f>SUM('Cost Plan'!M45:O45)</f>
        <v>0</v>
      </c>
      <c r="Q45" s="61">
        <f>SUM('Monthly Actuals'!M117:O117)</f>
        <v>0</v>
      </c>
      <c r="R45" s="62">
        <f t="shared" si="6"/>
        <v>0</v>
      </c>
      <c r="S45" s="63" t="str">
        <f t="shared" si="7"/>
        <v/>
      </c>
      <c r="T45" s="64">
        <f>'Cost Plan'!P45</f>
        <v>0</v>
      </c>
      <c r="U45" s="64">
        <f>'Monthly Actuals'!P117</f>
        <v>0</v>
      </c>
      <c r="V45" s="65">
        <f t="shared" si="8"/>
        <v>0</v>
      </c>
      <c r="W45" s="66" t="str">
        <f t="shared" si="9"/>
        <v/>
      </c>
      <c r="X45" s="50" t="str">
        <f>IF(ISNUMBER(W45),IF(W45&gt;(Config!B7/100),"OVER BUDGET",IF(W45&lt;-(Config!B7/100),"UNDER BUDGET","ON TRACK")),"" )</f>
        <v/>
      </c>
    </row>
    <row r="46" spans="1:24" ht="18" customHeight="1" x14ac:dyDescent="0.35">
      <c r="A46" s="67">
        <v>42</v>
      </c>
      <c r="B46" s="51" t="str">
        <f>'Initiative Register'!B47</f>
        <v>INI-043</v>
      </c>
      <c r="C46" s="51" t="str">
        <f>'Initiative Register'!C47</f>
        <v>PAYROLL – PHARMACY OPTIMISATION</v>
      </c>
      <c r="D46" s="68">
        <f>SUM('Cost Plan'!D46:F46)</f>
        <v>0</v>
      </c>
      <c r="E46" s="68">
        <f>SUM('Monthly Actuals'!D118:F118)</f>
        <v>0</v>
      </c>
      <c r="F46" s="69">
        <f t="shared" si="0"/>
        <v>0</v>
      </c>
      <c r="G46" s="70" t="str">
        <f t="shared" si="1"/>
        <v/>
      </c>
      <c r="H46" s="68">
        <f>SUM('Cost Plan'!G46:I46)</f>
        <v>0</v>
      </c>
      <c r="I46" s="68">
        <f>SUM('Monthly Actuals'!G118:I118)</f>
        <v>0</v>
      </c>
      <c r="J46" s="69">
        <f t="shared" si="2"/>
        <v>0</v>
      </c>
      <c r="K46" s="70" t="str">
        <f t="shared" si="3"/>
        <v/>
      </c>
      <c r="L46" s="68">
        <f>SUM('Cost Plan'!J46:L46)</f>
        <v>0</v>
      </c>
      <c r="M46" s="68">
        <f>SUM('Monthly Actuals'!J118:L118)</f>
        <v>0</v>
      </c>
      <c r="N46" s="69">
        <f t="shared" si="4"/>
        <v>0</v>
      </c>
      <c r="O46" s="70" t="str">
        <f t="shared" si="5"/>
        <v/>
      </c>
      <c r="P46" s="68">
        <f>SUM('Cost Plan'!M46:O46)</f>
        <v>0</v>
      </c>
      <c r="Q46" s="68">
        <f>SUM('Monthly Actuals'!M118:O118)</f>
        <v>0</v>
      </c>
      <c r="R46" s="69">
        <f t="shared" si="6"/>
        <v>0</v>
      </c>
      <c r="S46" s="70" t="str">
        <f t="shared" si="7"/>
        <v/>
      </c>
      <c r="T46" s="71">
        <f>'Cost Plan'!P46</f>
        <v>0</v>
      </c>
      <c r="U46" s="71">
        <f>'Monthly Actuals'!P118</f>
        <v>0</v>
      </c>
      <c r="V46" s="72">
        <f t="shared" si="8"/>
        <v>0</v>
      </c>
      <c r="W46" s="73" t="str">
        <f t="shared" si="9"/>
        <v/>
      </c>
      <c r="X46" s="53" t="str">
        <f>IF(ISNUMBER(W46),IF(W46&gt;(Config!B7/100),"OVER BUDGET",IF(W46&lt;-(Config!B7/100),"UNDER BUDGET","ON TRACK")),"" )</f>
        <v/>
      </c>
    </row>
    <row r="47" spans="1:24" ht="18" customHeight="1" x14ac:dyDescent="0.35">
      <c r="A47" s="60">
        <v>43</v>
      </c>
      <c r="B47" s="48" t="str">
        <f>'Initiative Register'!B48</f>
        <v>INI-044</v>
      </c>
      <c r="C47" s="48" t="str">
        <f>'Initiative Register'!C48</f>
        <v>PAYROLL – ADMIN (PCS) OPTIMISATION</v>
      </c>
      <c r="D47" s="61">
        <f>SUM('Cost Plan'!D47:F47)</f>
        <v>0</v>
      </c>
      <c r="E47" s="61">
        <f>SUM('Monthly Actuals'!D119:F119)</f>
        <v>0</v>
      </c>
      <c r="F47" s="62">
        <f t="shared" si="0"/>
        <v>0</v>
      </c>
      <c r="G47" s="63" t="str">
        <f t="shared" si="1"/>
        <v/>
      </c>
      <c r="H47" s="61">
        <f>SUM('Cost Plan'!G47:I47)</f>
        <v>0</v>
      </c>
      <c r="I47" s="61">
        <f>SUM('Monthly Actuals'!G119:I119)</f>
        <v>0</v>
      </c>
      <c r="J47" s="62">
        <f t="shared" si="2"/>
        <v>0</v>
      </c>
      <c r="K47" s="63" t="str">
        <f t="shared" si="3"/>
        <v/>
      </c>
      <c r="L47" s="61">
        <f>SUM('Cost Plan'!J47:L47)</f>
        <v>0</v>
      </c>
      <c r="M47" s="61">
        <f>SUM('Monthly Actuals'!J119:L119)</f>
        <v>0</v>
      </c>
      <c r="N47" s="62">
        <f t="shared" si="4"/>
        <v>0</v>
      </c>
      <c r="O47" s="63" t="str">
        <f t="shared" si="5"/>
        <v/>
      </c>
      <c r="P47" s="61">
        <f>SUM('Cost Plan'!M47:O47)</f>
        <v>0</v>
      </c>
      <c r="Q47" s="61">
        <f>SUM('Monthly Actuals'!M119:O119)</f>
        <v>0</v>
      </c>
      <c r="R47" s="62">
        <f t="shared" si="6"/>
        <v>0</v>
      </c>
      <c r="S47" s="63" t="str">
        <f t="shared" si="7"/>
        <v/>
      </c>
      <c r="T47" s="64">
        <f>'Cost Plan'!P47</f>
        <v>0</v>
      </c>
      <c r="U47" s="64">
        <f>'Monthly Actuals'!P119</f>
        <v>0</v>
      </c>
      <c r="V47" s="65">
        <f t="shared" si="8"/>
        <v>0</v>
      </c>
      <c r="W47" s="66" t="str">
        <f t="shared" si="9"/>
        <v/>
      </c>
      <c r="X47" s="50" t="str">
        <f>IF(ISNUMBER(W47),IF(W47&gt;(Config!B7/100),"OVER BUDGET",IF(W47&lt;-(Config!B7/100),"UNDER BUDGET","ON TRACK")),"" )</f>
        <v/>
      </c>
    </row>
    <row r="48" spans="1:24" ht="18" customHeight="1" x14ac:dyDescent="0.35">
      <c r="A48" s="67">
        <v>44</v>
      </c>
      <c r="B48" s="51" t="str">
        <f>'Initiative Register'!B49</f>
        <v>INI-045</v>
      </c>
      <c r="C48" s="51" t="str">
        <f>'Initiative Register'!C49</f>
        <v>PAYROLL – LAB OPTIMISATION</v>
      </c>
      <c r="D48" s="68">
        <f>SUM('Cost Plan'!D48:F48)</f>
        <v>0</v>
      </c>
      <c r="E48" s="68">
        <f>SUM('Monthly Actuals'!D120:F120)</f>
        <v>0</v>
      </c>
      <c r="F48" s="69">
        <f t="shared" si="0"/>
        <v>0</v>
      </c>
      <c r="G48" s="70" t="str">
        <f t="shared" si="1"/>
        <v/>
      </c>
      <c r="H48" s="68">
        <f>SUM('Cost Plan'!G48:I48)</f>
        <v>0</v>
      </c>
      <c r="I48" s="68">
        <f>SUM('Monthly Actuals'!G120:I120)</f>
        <v>0</v>
      </c>
      <c r="J48" s="69">
        <f t="shared" si="2"/>
        <v>0</v>
      </c>
      <c r="K48" s="70" t="str">
        <f t="shared" si="3"/>
        <v/>
      </c>
      <c r="L48" s="68">
        <f>SUM('Cost Plan'!J48:L48)</f>
        <v>0</v>
      </c>
      <c r="M48" s="68">
        <f>SUM('Monthly Actuals'!J120:L120)</f>
        <v>0</v>
      </c>
      <c r="N48" s="69">
        <f t="shared" si="4"/>
        <v>0</v>
      </c>
      <c r="O48" s="70" t="str">
        <f t="shared" si="5"/>
        <v/>
      </c>
      <c r="P48" s="68">
        <f>SUM('Cost Plan'!M48:O48)</f>
        <v>0</v>
      </c>
      <c r="Q48" s="68">
        <f>SUM('Monthly Actuals'!M120:O120)</f>
        <v>0</v>
      </c>
      <c r="R48" s="69">
        <f t="shared" si="6"/>
        <v>0</v>
      </c>
      <c r="S48" s="70" t="str">
        <f t="shared" si="7"/>
        <v/>
      </c>
      <c r="T48" s="71">
        <f>'Cost Plan'!P48</f>
        <v>0</v>
      </c>
      <c r="U48" s="71">
        <f>'Monthly Actuals'!P120</f>
        <v>0</v>
      </c>
      <c r="V48" s="72">
        <f t="shared" si="8"/>
        <v>0</v>
      </c>
      <c r="W48" s="73" t="str">
        <f t="shared" si="9"/>
        <v/>
      </c>
      <c r="X48" s="53" t="str">
        <f>IF(ISNUMBER(W48),IF(W48&gt;(Config!B7/100),"OVER BUDGET",IF(W48&lt;-(Config!B7/100),"UNDER BUDGET","ON TRACK")),"" )</f>
        <v/>
      </c>
    </row>
    <row r="49" spans="1:24" ht="18" customHeight="1" x14ac:dyDescent="0.35">
      <c r="A49" s="60">
        <v>45</v>
      </c>
      <c r="B49" s="48" t="str">
        <f>'Initiative Register'!B50</f>
        <v>INI-046</v>
      </c>
      <c r="C49" s="48" t="str">
        <f>'Initiative Register'!C50</f>
        <v>PAYROLL – OT COST CONTROL</v>
      </c>
      <c r="D49" s="61">
        <f>SUM('Cost Plan'!D49:F49)</f>
        <v>0</v>
      </c>
      <c r="E49" s="61">
        <f>SUM('Monthly Actuals'!D121:F121)</f>
        <v>0</v>
      </c>
      <c r="F49" s="62">
        <f t="shared" si="0"/>
        <v>0</v>
      </c>
      <c r="G49" s="63" t="str">
        <f t="shared" si="1"/>
        <v/>
      </c>
      <c r="H49" s="61">
        <f>SUM('Cost Plan'!G49:I49)</f>
        <v>0</v>
      </c>
      <c r="I49" s="61">
        <f>SUM('Monthly Actuals'!G121:I121)</f>
        <v>0</v>
      </c>
      <c r="J49" s="62">
        <f t="shared" si="2"/>
        <v>0</v>
      </c>
      <c r="K49" s="63" t="str">
        <f t="shared" si="3"/>
        <v/>
      </c>
      <c r="L49" s="61">
        <f>SUM('Cost Plan'!J49:L49)</f>
        <v>0</v>
      </c>
      <c r="M49" s="61">
        <f>SUM('Monthly Actuals'!J121:L121)</f>
        <v>0</v>
      </c>
      <c r="N49" s="62">
        <f t="shared" si="4"/>
        <v>0</v>
      </c>
      <c r="O49" s="63" t="str">
        <f t="shared" si="5"/>
        <v/>
      </c>
      <c r="P49" s="61">
        <f>SUM('Cost Plan'!M49:O49)</f>
        <v>0</v>
      </c>
      <c r="Q49" s="61">
        <f>SUM('Monthly Actuals'!M121:O121)</f>
        <v>0</v>
      </c>
      <c r="R49" s="62">
        <f t="shared" si="6"/>
        <v>0</v>
      </c>
      <c r="S49" s="63" t="str">
        <f t="shared" si="7"/>
        <v/>
      </c>
      <c r="T49" s="64">
        <f>'Cost Plan'!P49</f>
        <v>0</v>
      </c>
      <c r="U49" s="64">
        <f>'Monthly Actuals'!P121</f>
        <v>0</v>
      </c>
      <c r="V49" s="65">
        <f t="shared" si="8"/>
        <v>0</v>
      </c>
      <c r="W49" s="66" t="str">
        <f t="shared" si="9"/>
        <v/>
      </c>
      <c r="X49" s="50" t="str">
        <f>IF(ISNUMBER(W49),IF(W49&gt;(Config!B7/100),"OVER BUDGET",IF(W49&lt;-(Config!B7/100),"UNDER BUDGET","ON TRACK")),"" )</f>
        <v/>
      </c>
    </row>
    <row r="50" spans="1:24" ht="18" customHeight="1" x14ac:dyDescent="0.35">
      <c r="A50" s="67">
        <v>46</v>
      </c>
      <c r="B50" s="51" t="str">
        <f>'Initiative Register'!B51</f>
        <v>INI-047</v>
      </c>
      <c r="C50" s="51" t="str">
        <f>'Initiative Register'!C51</f>
        <v>PAYROLL – OUTSOURCED CONTRACT OPTIMISATION</v>
      </c>
      <c r="D50" s="68">
        <f>SUM('Cost Plan'!D50:F50)</f>
        <v>0</v>
      </c>
      <c r="E50" s="68">
        <f>SUM('Monthly Actuals'!D122:F122)</f>
        <v>0</v>
      </c>
      <c r="F50" s="69">
        <f t="shared" si="0"/>
        <v>0</v>
      </c>
      <c r="G50" s="70" t="str">
        <f t="shared" si="1"/>
        <v/>
      </c>
      <c r="H50" s="68">
        <f>SUM('Cost Plan'!G50:I50)</f>
        <v>0</v>
      </c>
      <c r="I50" s="68">
        <f>SUM('Monthly Actuals'!G122:I122)</f>
        <v>0</v>
      </c>
      <c r="J50" s="69">
        <f t="shared" si="2"/>
        <v>0</v>
      </c>
      <c r="K50" s="70" t="str">
        <f t="shared" si="3"/>
        <v/>
      </c>
      <c r="L50" s="68">
        <f>SUM('Cost Plan'!J50:L50)</f>
        <v>0</v>
      </c>
      <c r="M50" s="68">
        <f>SUM('Monthly Actuals'!J122:L122)</f>
        <v>0</v>
      </c>
      <c r="N50" s="69">
        <f t="shared" si="4"/>
        <v>0</v>
      </c>
      <c r="O50" s="70" t="str">
        <f t="shared" si="5"/>
        <v/>
      </c>
      <c r="P50" s="68">
        <f>SUM('Cost Plan'!M50:O50)</f>
        <v>0</v>
      </c>
      <c r="Q50" s="68">
        <f>SUM('Monthly Actuals'!M122:O122)</f>
        <v>0</v>
      </c>
      <c r="R50" s="69">
        <f t="shared" si="6"/>
        <v>0</v>
      </c>
      <c r="S50" s="70" t="str">
        <f t="shared" si="7"/>
        <v/>
      </c>
      <c r="T50" s="71">
        <f>'Cost Plan'!P50</f>
        <v>0</v>
      </c>
      <c r="U50" s="71">
        <f>'Monthly Actuals'!P122</f>
        <v>0</v>
      </c>
      <c r="V50" s="72">
        <f t="shared" si="8"/>
        <v>0</v>
      </c>
      <c r="W50" s="73" t="str">
        <f t="shared" si="9"/>
        <v/>
      </c>
      <c r="X50" s="53" t="str">
        <f>IF(ISNUMBER(W50),IF(W50&gt;(Config!B7/100),"OVER BUDGET",IF(W50&lt;-(Config!B7/100),"UNDER BUDGET","ON TRACK")),"" )</f>
        <v/>
      </c>
    </row>
    <row r="51" spans="1:24" ht="18" customHeight="1" x14ac:dyDescent="0.35">
      <c r="A51" s="60">
        <v>47</v>
      </c>
      <c r="B51" s="48" t="str">
        <f>'Initiative Register'!B52</f>
        <v>INI-048</v>
      </c>
      <c r="C51" s="48" t="str">
        <f>'Initiative Register'!C52</f>
        <v>OVERHEAD – ENERGY COST OPTIMISATION</v>
      </c>
      <c r="D51" s="61">
        <f>SUM('Cost Plan'!D51:F51)</f>
        <v>0</v>
      </c>
      <c r="E51" s="61">
        <f>SUM('Monthly Actuals'!D123:F123)</f>
        <v>0</v>
      </c>
      <c r="F51" s="62">
        <f t="shared" si="0"/>
        <v>0</v>
      </c>
      <c r="G51" s="63" t="str">
        <f t="shared" si="1"/>
        <v/>
      </c>
      <c r="H51" s="61">
        <f>SUM('Cost Plan'!G51:I51)</f>
        <v>0</v>
      </c>
      <c r="I51" s="61">
        <f>SUM('Monthly Actuals'!G123:I123)</f>
        <v>0</v>
      </c>
      <c r="J51" s="62">
        <f t="shared" si="2"/>
        <v>0</v>
      </c>
      <c r="K51" s="63" t="str">
        <f t="shared" si="3"/>
        <v/>
      </c>
      <c r="L51" s="61">
        <f>SUM('Cost Plan'!J51:L51)</f>
        <v>0</v>
      </c>
      <c r="M51" s="61">
        <f>SUM('Monthly Actuals'!J123:L123)</f>
        <v>0</v>
      </c>
      <c r="N51" s="62">
        <f t="shared" si="4"/>
        <v>0</v>
      </c>
      <c r="O51" s="63" t="str">
        <f t="shared" si="5"/>
        <v/>
      </c>
      <c r="P51" s="61">
        <f>SUM('Cost Plan'!M51:O51)</f>
        <v>0</v>
      </c>
      <c r="Q51" s="61">
        <f>SUM('Monthly Actuals'!M123:O123)</f>
        <v>0</v>
      </c>
      <c r="R51" s="62">
        <f t="shared" si="6"/>
        <v>0</v>
      </c>
      <c r="S51" s="63" t="str">
        <f t="shared" si="7"/>
        <v/>
      </c>
      <c r="T51" s="64">
        <f>'Cost Plan'!P51</f>
        <v>0</v>
      </c>
      <c r="U51" s="64">
        <f>'Monthly Actuals'!P123</f>
        <v>0</v>
      </c>
      <c r="V51" s="65">
        <f t="shared" si="8"/>
        <v>0</v>
      </c>
      <c r="W51" s="66" t="str">
        <f t="shared" si="9"/>
        <v/>
      </c>
      <c r="X51" s="50" t="str">
        <f>IF(ISNUMBER(W51),IF(W51&gt;(Config!B7/100),"OVER BUDGET",IF(W51&lt;-(Config!B7/100),"UNDER BUDGET","ON TRACK")),"" )</f>
        <v/>
      </c>
    </row>
    <row r="52" spans="1:24" ht="18" customHeight="1" x14ac:dyDescent="0.35">
      <c r="A52" s="67">
        <v>48</v>
      </c>
      <c r="B52" s="51" t="str">
        <f>'Initiative Register'!B53</f>
        <v>INI-049</v>
      </c>
      <c r="C52" s="51" t="str">
        <f>'Initiative Register'!C53</f>
        <v>OVERHEAD – F&amp;B COST OPTIMISATION</v>
      </c>
      <c r="D52" s="68">
        <f>SUM('Cost Plan'!D52:F52)</f>
        <v>0</v>
      </c>
      <c r="E52" s="68">
        <f>SUM('Monthly Actuals'!D124:F124)</f>
        <v>0</v>
      </c>
      <c r="F52" s="69">
        <f t="shared" si="0"/>
        <v>0</v>
      </c>
      <c r="G52" s="70" t="str">
        <f t="shared" si="1"/>
        <v/>
      </c>
      <c r="H52" s="68">
        <f>SUM('Cost Plan'!G52:I52)</f>
        <v>0</v>
      </c>
      <c r="I52" s="68">
        <f>SUM('Monthly Actuals'!G124:I124)</f>
        <v>0</v>
      </c>
      <c r="J52" s="69">
        <f t="shared" si="2"/>
        <v>0</v>
      </c>
      <c r="K52" s="70" t="str">
        <f t="shared" si="3"/>
        <v/>
      </c>
      <c r="L52" s="68">
        <f>SUM('Cost Plan'!J52:L52)</f>
        <v>0</v>
      </c>
      <c r="M52" s="68">
        <f>SUM('Monthly Actuals'!J124:L124)</f>
        <v>0</v>
      </c>
      <c r="N52" s="69">
        <f t="shared" si="4"/>
        <v>0</v>
      </c>
      <c r="O52" s="70" t="str">
        <f t="shared" si="5"/>
        <v/>
      </c>
      <c r="P52" s="68">
        <f>SUM('Cost Plan'!M52:O52)</f>
        <v>0</v>
      </c>
      <c r="Q52" s="68">
        <f>SUM('Monthly Actuals'!M124:O124)</f>
        <v>0</v>
      </c>
      <c r="R52" s="69">
        <f t="shared" si="6"/>
        <v>0</v>
      </c>
      <c r="S52" s="70" t="str">
        <f t="shared" si="7"/>
        <v/>
      </c>
      <c r="T52" s="71">
        <f>'Cost Plan'!P52</f>
        <v>0</v>
      </c>
      <c r="U52" s="71">
        <f>'Monthly Actuals'!P124</f>
        <v>0</v>
      </c>
      <c r="V52" s="72">
        <f t="shared" si="8"/>
        <v>0</v>
      </c>
      <c r="W52" s="73" t="str">
        <f t="shared" si="9"/>
        <v/>
      </c>
      <c r="X52" s="53" t="str">
        <f>IF(ISNUMBER(W52),IF(W52&gt;(Config!B7/100),"OVER BUDGET",IF(W52&lt;-(Config!B7/100),"UNDER BUDGET","ON TRACK")),"" )</f>
        <v/>
      </c>
    </row>
    <row r="53" spans="1:24" ht="18" customHeight="1" x14ac:dyDescent="0.35">
      <c r="A53" s="60">
        <v>49</v>
      </c>
      <c r="B53" s="48" t="str">
        <f>'Initiative Register'!B54</f>
        <v>INI-050</v>
      </c>
      <c r="C53" s="48" t="str">
        <f>'Initiative Register'!C54</f>
        <v>OVERHEAD – CLAIM DENIAL REDUCTION</v>
      </c>
      <c r="D53" s="61">
        <f>SUM('Cost Plan'!D53:F53)</f>
        <v>0</v>
      </c>
      <c r="E53" s="61">
        <f>SUM('Monthly Actuals'!D125:F125)</f>
        <v>0</v>
      </c>
      <c r="F53" s="62">
        <f t="shared" si="0"/>
        <v>0</v>
      </c>
      <c r="G53" s="63" t="str">
        <f t="shared" si="1"/>
        <v/>
      </c>
      <c r="H53" s="61">
        <f>SUM('Cost Plan'!G53:I53)</f>
        <v>0</v>
      </c>
      <c r="I53" s="61">
        <f>SUM('Monthly Actuals'!G125:I125)</f>
        <v>0</v>
      </c>
      <c r="J53" s="62">
        <f t="shared" si="2"/>
        <v>0</v>
      </c>
      <c r="K53" s="63" t="str">
        <f t="shared" si="3"/>
        <v/>
      </c>
      <c r="L53" s="61">
        <f>SUM('Cost Plan'!J53:L53)</f>
        <v>0</v>
      </c>
      <c r="M53" s="61">
        <f>SUM('Monthly Actuals'!J125:L125)</f>
        <v>0</v>
      </c>
      <c r="N53" s="62">
        <f t="shared" si="4"/>
        <v>0</v>
      </c>
      <c r="O53" s="63" t="str">
        <f t="shared" si="5"/>
        <v/>
      </c>
      <c r="P53" s="61">
        <f>SUM('Cost Plan'!M53:O53)</f>
        <v>0</v>
      </c>
      <c r="Q53" s="61">
        <f>SUM('Monthly Actuals'!M125:O125)</f>
        <v>0</v>
      </c>
      <c r="R53" s="62">
        <f t="shared" si="6"/>
        <v>0</v>
      </c>
      <c r="S53" s="63" t="str">
        <f t="shared" si="7"/>
        <v/>
      </c>
      <c r="T53" s="64">
        <f>'Cost Plan'!P53</f>
        <v>0</v>
      </c>
      <c r="U53" s="64">
        <f>'Monthly Actuals'!P125</f>
        <v>0</v>
      </c>
      <c r="V53" s="65">
        <f t="shared" si="8"/>
        <v>0</v>
      </c>
      <c r="W53" s="66" t="str">
        <f t="shared" si="9"/>
        <v/>
      </c>
      <c r="X53" s="50" t="str">
        <f>IF(ISNUMBER(W53),IF(W53&gt;(Config!B7/100),"OVER BUDGET",IF(W53&lt;-(Config!B7/100),"UNDER BUDGET","ON TRACK")),"" )</f>
        <v/>
      </c>
    </row>
    <row r="54" spans="1:24" ht="18" customHeight="1" x14ac:dyDescent="0.35">
      <c r="A54" s="67">
        <v>50</v>
      </c>
      <c r="B54" s="51" t="str">
        <f>'Initiative Register'!B55</f>
        <v>INI-051</v>
      </c>
      <c r="C54" s="51" t="str">
        <f>'Initiative Register'!C55</f>
        <v>OVERHEAD – REVENUE LEAKAGE RECOVERY</v>
      </c>
      <c r="D54" s="68">
        <f>SUM('Cost Plan'!D54:F54)</f>
        <v>0</v>
      </c>
      <c r="E54" s="68">
        <f>SUM('Monthly Actuals'!D126:F126)</f>
        <v>0</v>
      </c>
      <c r="F54" s="69">
        <f t="shared" si="0"/>
        <v>0</v>
      </c>
      <c r="G54" s="70" t="str">
        <f t="shared" si="1"/>
        <v/>
      </c>
      <c r="H54" s="68">
        <f>SUM('Cost Plan'!G54:I54)</f>
        <v>0</v>
      </c>
      <c r="I54" s="68">
        <f>SUM('Monthly Actuals'!G126:I126)</f>
        <v>0</v>
      </c>
      <c r="J54" s="69">
        <f t="shared" si="2"/>
        <v>0</v>
      </c>
      <c r="K54" s="70" t="str">
        <f t="shared" si="3"/>
        <v/>
      </c>
      <c r="L54" s="68">
        <f>SUM('Cost Plan'!J54:L54)</f>
        <v>0</v>
      </c>
      <c r="M54" s="68">
        <f>SUM('Monthly Actuals'!J126:L126)</f>
        <v>0</v>
      </c>
      <c r="N54" s="69">
        <f t="shared" si="4"/>
        <v>0</v>
      </c>
      <c r="O54" s="70" t="str">
        <f t="shared" si="5"/>
        <v/>
      </c>
      <c r="P54" s="68">
        <f>SUM('Cost Plan'!M54:O54)</f>
        <v>0</v>
      </c>
      <c r="Q54" s="68">
        <f>SUM('Monthly Actuals'!M126:O126)</f>
        <v>0</v>
      </c>
      <c r="R54" s="69">
        <f t="shared" si="6"/>
        <v>0</v>
      </c>
      <c r="S54" s="70" t="str">
        <f t="shared" si="7"/>
        <v/>
      </c>
      <c r="T54" s="71">
        <f>'Cost Plan'!P54</f>
        <v>0</v>
      </c>
      <c r="U54" s="71">
        <f>'Monthly Actuals'!P126</f>
        <v>0</v>
      </c>
      <c r="V54" s="72">
        <f t="shared" si="8"/>
        <v>0</v>
      </c>
      <c r="W54" s="73" t="str">
        <f t="shared" si="9"/>
        <v/>
      </c>
      <c r="X54" s="53" t="str">
        <f>IF(ISNUMBER(W54),IF(W54&gt;(Config!B7/100),"OVER BUDGET",IF(W54&lt;-(Config!B7/100),"UNDER BUDGET","ON TRACK")),"" )</f>
        <v/>
      </c>
    </row>
    <row r="55" spans="1:24" ht="14.25" customHeight="1" x14ac:dyDescent="0.35"/>
    <row r="56" spans="1:24" ht="14.25" customHeight="1" x14ac:dyDescent="0.35"/>
    <row r="57" spans="1:24" ht="14.25" customHeight="1" x14ac:dyDescent="0.35"/>
    <row r="58" spans="1:24" ht="14.25" customHeight="1" x14ac:dyDescent="0.35"/>
    <row r="59" spans="1:24" ht="14.25" customHeight="1" x14ac:dyDescent="0.35"/>
    <row r="60" spans="1:24" ht="14.25" customHeight="1" x14ac:dyDescent="0.35"/>
    <row r="61" spans="1:24" ht="14.25" customHeight="1" x14ac:dyDescent="0.35"/>
    <row r="62" spans="1:24" ht="14.25" customHeight="1" x14ac:dyDescent="0.35"/>
    <row r="63" spans="1:24" ht="14.25" customHeight="1" x14ac:dyDescent="0.35"/>
    <row r="64" spans="1:2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2">
    <mergeCell ref="A1:X1"/>
    <mergeCell ref="A3:X3"/>
  </mergeCells>
  <conditionalFormatting sqref="X5:X54">
    <cfRule type="expression" dxfId="1" priority="1">
      <formula>X5="OVER BUDGET"</formula>
    </cfRule>
    <cfRule type="expression" dxfId="0" priority="2">
      <formula>X5="UNDER BUDGET"</formula>
    </cfRule>
  </conditionalFormatting>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S1000"/>
  <sheetViews>
    <sheetView showGridLines="0" workbookViewId="0">
      <pane xSplit="3" ySplit="3" topLeftCell="D4" activePane="bottomRight" state="frozen"/>
      <selection pane="topRight" activeCell="D1" sqref="D1"/>
      <selection pane="bottomLeft" activeCell="A4" sqref="A4"/>
      <selection pane="bottomRight" activeCell="A4" sqref="A4:S4"/>
    </sheetView>
  </sheetViews>
  <sheetFormatPr defaultColWidth="14.453125" defaultRowHeight="15" customHeight="1" x14ac:dyDescent="0.35"/>
  <cols>
    <col min="1" max="1" width="4" customWidth="1"/>
    <col min="2" max="2" width="36" customWidth="1"/>
    <col min="3" max="3" width="10" customWidth="1"/>
    <col min="4" max="5" width="13" customWidth="1"/>
    <col min="6" max="17" width="9" customWidth="1"/>
    <col min="18" max="18" width="12" customWidth="1"/>
    <col min="19" max="26" width="8.54296875" customWidth="1"/>
  </cols>
  <sheetData>
    <row r="1" spans="1:19" ht="39.75" customHeight="1" x14ac:dyDescent="0.35">
      <c r="A1" s="165" t="s">
        <v>320</v>
      </c>
      <c r="B1" s="126"/>
      <c r="C1" s="126"/>
      <c r="D1" s="126"/>
      <c r="E1" s="126"/>
      <c r="F1" s="126"/>
      <c r="G1" s="126"/>
      <c r="H1" s="126"/>
      <c r="I1" s="126"/>
      <c r="J1" s="126"/>
      <c r="K1" s="126"/>
      <c r="L1" s="126"/>
      <c r="M1" s="126"/>
      <c r="N1" s="126"/>
      <c r="O1" s="126"/>
      <c r="P1" s="126"/>
      <c r="Q1" s="126"/>
      <c r="R1" s="126"/>
      <c r="S1" s="123"/>
    </row>
    <row r="2" spans="1:19" ht="21.75" customHeight="1" x14ac:dyDescent="0.35">
      <c r="A2" s="166" t="s">
        <v>321</v>
      </c>
      <c r="B2" s="126"/>
      <c r="C2" s="126"/>
      <c r="D2" s="126"/>
      <c r="E2" s="126"/>
      <c r="F2" s="126"/>
      <c r="G2" s="126"/>
      <c r="H2" s="126"/>
      <c r="I2" s="126"/>
      <c r="J2" s="126"/>
      <c r="K2" s="126"/>
      <c r="L2" s="126"/>
      <c r="M2" s="126"/>
      <c r="N2" s="126"/>
      <c r="O2" s="126"/>
      <c r="P2" s="126"/>
      <c r="Q2" s="126"/>
      <c r="R2" s="126"/>
      <c r="S2" s="123"/>
    </row>
    <row r="3" spans="1:19" ht="39.75" customHeight="1" x14ac:dyDescent="0.35">
      <c r="A3" s="47" t="s">
        <v>41</v>
      </c>
      <c r="B3" s="47" t="s">
        <v>184</v>
      </c>
      <c r="C3" s="47" t="s">
        <v>322</v>
      </c>
      <c r="D3" s="47" t="s">
        <v>323</v>
      </c>
      <c r="E3" s="47" t="s">
        <v>324</v>
      </c>
      <c r="F3" s="23" t="s">
        <v>28</v>
      </c>
      <c r="G3" s="23" t="s">
        <v>29</v>
      </c>
      <c r="H3" s="23" t="s">
        <v>30</v>
      </c>
      <c r="I3" s="23" t="s">
        <v>31</v>
      </c>
      <c r="J3" s="23" t="s">
        <v>32</v>
      </c>
      <c r="K3" s="23" t="s">
        <v>33</v>
      </c>
      <c r="L3" s="23" t="s">
        <v>34</v>
      </c>
      <c r="M3" s="23" t="s">
        <v>35</v>
      </c>
      <c r="N3" s="23" t="s">
        <v>36</v>
      </c>
      <c r="O3" s="23" t="s">
        <v>37</v>
      </c>
      <c r="P3" s="23" t="s">
        <v>38</v>
      </c>
      <c r="Q3" s="23" t="s">
        <v>39</v>
      </c>
      <c r="R3" s="17" t="s">
        <v>325</v>
      </c>
    </row>
    <row r="4" spans="1:19" ht="19.5" customHeight="1" x14ac:dyDescent="0.35">
      <c r="A4" s="122" t="s">
        <v>326</v>
      </c>
      <c r="B4" s="126"/>
      <c r="C4" s="126"/>
      <c r="D4" s="126"/>
      <c r="E4" s="126"/>
      <c r="F4" s="126"/>
      <c r="G4" s="126"/>
      <c r="H4" s="126"/>
      <c r="I4" s="126"/>
      <c r="J4" s="126"/>
      <c r="K4" s="126"/>
      <c r="L4" s="126"/>
      <c r="M4" s="126"/>
      <c r="N4" s="126"/>
      <c r="O4" s="126"/>
      <c r="P4" s="126"/>
      <c r="Q4" s="126"/>
      <c r="R4" s="126"/>
      <c r="S4" s="123"/>
    </row>
    <row r="5" spans="1:19" ht="19.5" customHeight="1" x14ac:dyDescent="0.35">
      <c r="A5" s="33">
        <v>1</v>
      </c>
      <c r="B5" s="74" t="s">
        <v>327</v>
      </c>
      <c r="C5" s="75" t="s">
        <v>328</v>
      </c>
      <c r="D5" s="76"/>
      <c r="E5" s="77"/>
      <c r="F5" s="77"/>
      <c r="G5" s="77"/>
      <c r="H5" s="77"/>
      <c r="I5" s="77"/>
      <c r="J5" s="77"/>
      <c r="K5" s="77"/>
      <c r="L5" s="77"/>
      <c r="M5" s="77"/>
      <c r="N5" s="77"/>
      <c r="O5" s="77"/>
      <c r="P5" s="77"/>
      <c r="Q5" s="77"/>
      <c r="R5" s="78" t="str">
        <f t="shared" ref="R5:R12" si="0">IFERROR(AVERAGEIF(F5:Q5,"&lt;&gt;0"),"" )</f>
        <v/>
      </c>
    </row>
    <row r="6" spans="1:19" ht="19.5" customHeight="1" x14ac:dyDescent="0.35">
      <c r="A6" s="29">
        <v>2</v>
      </c>
      <c r="B6" s="79" t="s">
        <v>329</v>
      </c>
      <c r="C6" s="80" t="s">
        <v>330</v>
      </c>
      <c r="D6" s="76"/>
      <c r="E6" s="81"/>
      <c r="F6" s="81"/>
      <c r="G6" s="81"/>
      <c r="H6" s="81"/>
      <c r="I6" s="81"/>
      <c r="J6" s="81"/>
      <c r="K6" s="81"/>
      <c r="L6" s="81"/>
      <c r="M6" s="81"/>
      <c r="N6" s="81"/>
      <c r="O6" s="81"/>
      <c r="P6" s="81"/>
      <c r="Q6" s="81"/>
      <c r="R6" s="78" t="str">
        <f t="shared" si="0"/>
        <v/>
      </c>
    </row>
    <row r="7" spans="1:19" ht="19.5" customHeight="1" x14ac:dyDescent="0.35">
      <c r="A7" s="33">
        <v>3</v>
      </c>
      <c r="B7" s="74" t="s">
        <v>331</v>
      </c>
      <c r="C7" s="75" t="s">
        <v>330</v>
      </c>
      <c r="D7" s="76"/>
      <c r="E7" s="77"/>
      <c r="F7" s="77"/>
      <c r="G7" s="77"/>
      <c r="H7" s="77"/>
      <c r="I7" s="77"/>
      <c r="J7" s="77"/>
      <c r="K7" s="77"/>
      <c r="L7" s="77"/>
      <c r="M7" s="77"/>
      <c r="N7" s="77"/>
      <c r="O7" s="77"/>
      <c r="P7" s="77"/>
      <c r="Q7" s="77"/>
      <c r="R7" s="78" t="str">
        <f t="shared" si="0"/>
        <v/>
      </c>
    </row>
    <row r="8" spans="1:19" ht="19.5" customHeight="1" x14ac:dyDescent="0.35">
      <c r="A8" s="29">
        <v>4</v>
      </c>
      <c r="B8" s="79" t="s">
        <v>332</v>
      </c>
      <c r="C8" s="80" t="s">
        <v>333</v>
      </c>
      <c r="D8" s="76"/>
      <c r="E8" s="81"/>
      <c r="F8" s="81"/>
      <c r="G8" s="81"/>
      <c r="H8" s="81"/>
      <c r="I8" s="81"/>
      <c r="J8" s="81"/>
      <c r="K8" s="81"/>
      <c r="L8" s="81"/>
      <c r="M8" s="81"/>
      <c r="N8" s="81"/>
      <c r="O8" s="81"/>
      <c r="P8" s="81"/>
      <c r="Q8" s="81"/>
      <c r="R8" s="78" t="str">
        <f t="shared" si="0"/>
        <v/>
      </c>
    </row>
    <row r="9" spans="1:19" ht="19.5" customHeight="1" x14ac:dyDescent="0.35">
      <c r="A9" s="33">
        <v>5</v>
      </c>
      <c r="B9" s="74" t="s">
        <v>334</v>
      </c>
      <c r="C9" s="75" t="s">
        <v>335</v>
      </c>
      <c r="D9" s="76"/>
      <c r="E9" s="77"/>
      <c r="F9" s="77"/>
      <c r="G9" s="77"/>
      <c r="H9" s="77"/>
      <c r="I9" s="77"/>
      <c r="J9" s="77"/>
      <c r="K9" s="77"/>
      <c r="L9" s="77"/>
      <c r="M9" s="77"/>
      <c r="N9" s="77"/>
      <c r="O9" s="77"/>
      <c r="P9" s="77"/>
      <c r="Q9" s="77"/>
      <c r="R9" s="78" t="str">
        <f t="shared" si="0"/>
        <v/>
      </c>
    </row>
    <row r="10" spans="1:19" ht="19.5" customHeight="1" x14ac:dyDescent="0.35">
      <c r="A10" s="29">
        <v>6</v>
      </c>
      <c r="B10" s="79" t="s">
        <v>336</v>
      </c>
      <c r="C10" s="80" t="s">
        <v>337</v>
      </c>
      <c r="D10" s="76"/>
      <c r="E10" s="81"/>
      <c r="F10" s="81"/>
      <c r="G10" s="81"/>
      <c r="H10" s="81"/>
      <c r="I10" s="81"/>
      <c r="J10" s="81"/>
      <c r="K10" s="81"/>
      <c r="L10" s="81"/>
      <c r="M10" s="81"/>
      <c r="N10" s="81"/>
      <c r="O10" s="81"/>
      <c r="P10" s="81"/>
      <c r="Q10" s="81"/>
      <c r="R10" s="78" t="str">
        <f t="shared" si="0"/>
        <v/>
      </c>
    </row>
    <row r="11" spans="1:19" ht="19.5" customHeight="1" x14ac:dyDescent="0.35">
      <c r="A11" s="33">
        <v>7</v>
      </c>
      <c r="B11" s="74" t="s">
        <v>338</v>
      </c>
      <c r="C11" s="75" t="s">
        <v>337</v>
      </c>
      <c r="D11" s="76"/>
      <c r="E11" s="77"/>
      <c r="F11" s="77"/>
      <c r="G11" s="77"/>
      <c r="H11" s="77"/>
      <c r="I11" s="77"/>
      <c r="J11" s="77"/>
      <c r="K11" s="77"/>
      <c r="L11" s="77"/>
      <c r="M11" s="77"/>
      <c r="N11" s="77"/>
      <c r="O11" s="77"/>
      <c r="P11" s="77"/>
      <c r="Q11" s="77"/>
      <c r="R11" s="78" t="str">
        <f t="shared" si="0"/>
        <v/>
      </c>
    </row>
    <row r="12" spans="1:19" ht="19.5" customHeight="1" x14ac:dyDescent="0.35">
      <c r="A12" s="29">
        <v>8</v>
      </c>
      <c r="B12" s="79" t="s">
        <v>339</v>
      </c>
      <c r="C12" s="80" t="s">
        <v>330</v>
      </c>
      <c r="D12" s="76"/>
      <c r="E12" s="81"/>
      <c r="F12" s="81"/>
      <c r="G12" s="81"/>
      <c r="H12" s="81"/>
      <c r="I12" s="81"/>
      <c r="J12" s="81"/>
      <c r="K12" s="81"/>
      <c r="L12" s="81"/>
      <c r="M12" s="81"/>
      <c r="N12" s="81"/>
      <c r="O12" s="81"/>
      <c r="P12" s="81"/>
      <c r="Q12" s="81"/>
      <c r="R12" s="78" t="str">
        <f t="shared" si="0"/>
        <v/>
      </c>
    </row>
    <row r="13" spans="1:19" ht="19.5" customHeight="1" x14ac:dyDescent="0.35">
      <c r="A13" s="122" t="s">
        <v>340</v>
      </c>
      <c r="B13" s="126"/>
      <c r="C13" s="126"/>
      <c r="D13" s="126"/>
      <c r="E13" s="126"/>
      <c r="F13" s="126"/>
      <c r="G13" s="126"/>
      <c r="H13" s="126"/>
      <c r="I13" s="126"/>
      <c r="J13" s="126"/>
      <c r="K13" s="126"/>
      <c r="L13" s="126"/>
      <c r="M13" s="126"/>
      <c r="N13" s="126"/>
      <c r="O13" s="126"/>
      <c r="P13" s="126"/>
      <c r="Q13" s="126"/>
      <c r="R13" s="126"/>
      <c r="S13" s="123"/>
    </row>
    <row r="14" spans="1:19" ht="19.5" customHeight="1" x14ac:dyDescent="0.35">
      <c r="A14" s="33">
        <v>9</v>
      </c>
      <c r="B14" s="74" t="s">
        <v>341</v>
      </c>
      <c r="C14" s="75" t="s">
        <v>337</v>
      </c>
      <c r="D14" s="76"/>
      <c r="E14" s="77"/>
      <c r="F14" s="77"/>
      <c r="G14" s="77"/>
      <c r="H14" s="77"/>
      <c r="I14" s="77"/>
      <c r="J14" s="77"/>
      <c r="K14" s="77"/>
      <c r="L14" s="77"/>
      <c r="M14" s="77"/>
      <c r="N14" s="77"/>
      <c r="O14" s="77"/>
      <c r="P14" s="77"/>
      <c r="Q14" s="77"/>
      <c r="R14" s="78" t="str">
        <f t="shared" ref="R14:R18" si="1">IFERROR(AVERAGEIF(F14:Q14,"&lt;&gt;0"),"" )</f>
        <v/>
      </c>
    </row>
    <row r="15" spans="1:19" ht="19.5" customHeight="1" x14ac:dyDescent="0.35">
      <c r="A15" s="29">
        <v>10</v>
      </c>
      <c r="B15" s="79" t="s">
        <v>342</v>
      </c>
      <c r="C15" s="80" t="s">
        <v>337</v>
      </c>
      <c r="D15" s="76"/>
      <c r="E15" s="81"/>
      <c r="F15" s="81"/>
      <c r="G15" s="81"/>
      <c r="H15" s="81"/>
      <c r="I15" s="81"/>
      <c r="J15" s="81"/>
      <c r="K15" s="81"/>
      <c r="L15" s="81"/>
      <c r="M15" s="81"/>
      <c r="N15" s="81"/>
      <c r="O15" s="81"/>
      <c r="P15" s="81"/>
      <c r="Q15" s="81"/>
      <c r="R15" s="78" t="str">
        <f t="shared" si="1"/>
        <v/>
      </c>
    </row>
    <row r="16" spans="1:19" ht="19.5" customHeight="1" x14ac:dyDescent="0.35">
      <c r="A16" s="33">
        <v>11</v>
      </c>
      <c r="B16" s="74" t="s">
        <v>343</v>
      </c>
      <c r="C16" s="75" t="s">
        <v>328</v>
      </c>
      <c r="D16" s="76"/>
      <c r="E16" s="77"/>
      <c r="F16" s="77"/>
      <c r="G16" s="77"/>
      <c r="H16" s="77"/>
      <c r="I16" s="77"/>
      <c r="J16" s="77"/>
      <c r="K16" s="77"/>
      <c r="L16" s="77"/>
      <c r="M16" s="77"/>
      <c r="N16" s="77"/>
      <c r="O16" s="77"/>
      <c r="P16" s="77"/>
      <c r="Q16" s="77"/>
      <c r="R16" s="78" t="str">
        <f t="shared" si="1"/>
        <v/>
      </c>
    </row>
    <row r="17" spans="1:19" ht="19.5" customHeight="1" x14ac:dyDescent="0.35">
      <c r="A17" s="29">
        <v>12</v>
      </c>
      <c r="B17" s="79" t="s">
        <v>344</v>
      </c>
      <c r="C17" s="80" t="s">
        <v>328</v>
      </c>
      <c r="D17" s="76"/>
      <c r="E17" s="81"/>
      <c r="F17" s="81"/>
      <c r="G17" s="81"/>
      <c r="H17" s="81"/>
      <c r="I17" s="81"/>
      <c r="J17" s="81"/>
      <c r="K17" s="81"/>
      <c r="L17" s="81"/>
      <c r="M17" s="81"/>
      <c r="N17" s="81"/>
      <c r="O17" s="81"/>
      <c r="P17" s="81"/>
      <c r="Q17" s="81"/>
      <c r="R17" s="78" t="str">
        <f t="shared" si="1"/>
        <v/>
      </c>
    </row>
    <row r="18" spans="1:19" ht="19.5" customHeight="1" x14ac:dyDescent="0.35">
      <c r="A18" s="33">
        <v>13</v>
      </c>
      <c r="B18" s="74" t="s">
        <v>345</v>
      </c>
      <c r="C18" s="75" t="s">
        <v>333</v>
      </c>
      <c r="D18" s="76"/>
      <c r="E18" s="77"/>
      <c r="F18" s="77"/>
      <c r="G18" s="77"/>
      <c r="H18" s="77"/>
      <c r="I18" s="77"/>
      <c r="J18" s="77"/>
      <c r="K18" s="77"/>
      <c r="L18" s="77"/>
      <c r="M18" s="77"/>
      <c r="N18" s="77"/>
      <c r="O18" s="77"/>
      <c r="P18" s="77"/>
      <c r="Q18" s="77"/>
      <c r="R18" s="78" t="str">
        <f t="shared" si="1"/>
        <v/>
      </c>
    </row>
    <row r="19" spans="1:19" ht="19.5" customHeight="1" x14ac:dyDescent="0.35">
      <c r="A19" s="122" t="s">
        <v>346</v>
      </c>
      <c r="B19" s="126"/>
      <c r="C19" s="126"/>
      <c r="D19" s="126"/>
      <c r="E19" s="126"/>
      <c r="F19" s="126"/>
      <c r="G19" s="126"/>
      <c r="H19" s="126"/>
      <c r="I19" s="126"/>
      <c r="J19" s="126"/>
      <c r="K19" s="126"/>
      <c r="L19" s="126"/>
      <c r="M19" s="126"/>
      <c r="N19" s="126"/>
      <c r="O19" s="126"/>
      <c r="P19" s="126"/>
      <c r="Q19" s="126"/>
      <c r="R19" s="126"/>
      <c r="S19" s="123"/>
    </row>
    <row r="20" spans="1:19" ht="19.5" customHeight="1" x14ac:dyDescent="0.35">
      <c r="A20" s="29">
        <v>14</v>
      </c>
      <c r="B20" s="79" t="s">
        <v>347</v>
      </c>
      <c r="C20" s="80" t="s">
        <v>328</v>
      </c>
      <c r="D20" s="76"/>
      <c r="E20" s="81"/>
      <c r="F20" s="81"/>
      <c r="G20" s="81"/>
      <c r="H20" s="81"/>
      <c r="I20" s="81"/>
      <c r="J20" s="81"/>
      <c r="K20" s="81"/>
      <c r="L20" s="81"/>
      <c r="M20" s="81"/>
      <c r="N20" s="81"/>
      <c r="O20" s="81"/>
      <c r="P20" s="81"/>
      <c r="Q20" s="81"/>
      <c r="R20" s="78" t="str">
        <f t="shared" ref="R20:R24" si="2">IFERROR(AVERAGEIF(F20:Q20,"&lt;&gt;0"),"" )</f>
        <v/>
      </c>
    </row>
    <row r="21" spans="1:19" ht="19.5" customHeight="1" x14ac:dyDescent="0.35">
      <c r="A21" s="33">
        <v>15</v>
      </c>
      <c r="B21" s="74" t="s">
        <v>348</v>
      </c>
      <c r="C21" s="75" t="s">
        <v>337</v>
      </c>
      <c r="D21" s="76"/>
      <c r="E21" s="77"/>
      <c r="F21" s="77"/>
      <c r="G21" s="77"/>
      <c r="H21" s="77"/>
      <c r="I21" s="77"/>
      <c r="J21" s="77"/>
      <c r="K21" s="77"/>
      <c r="L21" s="77"/>
      <c r="M21" s="77"/>
      <c r="N21" s="77"/>
      <c r="O21" s="77"/>
      <c r="P21" s="77"/>
      <c r="Q21" s="77"/>
      <c r="R21" s="78" t="str">
        <f t="shared" si="2"/>
        <v/>
      </c>
    </row>
    <row r="22" spans="1:19" ht="19.5" customHeight="1" x14ac:dyDescent="0.35">
      <c r="A22" s="29">
        <v>16</v>
      </c>
      <c r="B22" s="79" t="s">
        <v>349</v>
      </c>
      <c r="C22" s="80" t="s">
        <v>337</v>
      </c>
      <c r="D22" s="76"/>
      <c r="E22" s="81"/>
      <c r="F22" s="81"/>
      <c r="G22" s="81"/>
      <c r="H22" s="81"/>
      <c r="I22" s="81"/>
      <c r="J22" s="81"/>
      <c r="K22" s="81"/>
      <c r="L22" s="81"/>
      <c r="M22" s="81"/>
      <c r="N22" s="81"/>
      <c r="O22" s="81"/>
      <c r="P22" s="81"/>
      <c r="Q22" s="81"/>
      <c r="R22" s="78" t="str">
        <f t="shared" si="2"/>
        <v/>
      </c>
    </row>
    <row r="23" spans="1:19" ht="19.5" customHeight="1" x14ac:dyDescent="0.35">
      <c r="A23" s="33">
        <v>17</v>
      </c>
      <c r="B23" s="74" t="s">
        <v>350</v>
      </c>
      <c r="C23" s="75" t="s">
        <v>337</v>
      </c>
      <c r="D23" s="76"/>
      <c r="E23" s="77"/>
      <c r="F23" s="77"/>
      <c r="G23" s="77"/>
      <c r="H23" s="77"/>
      <c r="I23" s="77"/>
      <c r="J23" s="77"/>
      <c r="K23" s="77"/>
      <c r="L23" s="77"/>
      <c r="M23" s="77"/>
      <c r="N23" s="77"/>
      <c r="O23" s="77"/>
      <c r="P23" s="77"/>
      <c r="Q23" s="77"/>
      <c r="R23" s="78" t="str">
        <f t="shared" si="2"/>
        <v/>
      </c>
    </row>
    <row r="24" spans="1:19" ht="19.5" customHeight="1" x14ac:dyDescent="0.35">
      <c r="A24" s="29">
        <v>18</v>
      </c>
      <c r="B24" s="79" t="s">
        <v>351</v>
      </c>
      <c r="C24" s="80" t="s">
        <v>335</v>
      </c>
      <c r="D24" s="76"/>
      <c r="E24" s="81"/>
      <c r="F24" s="81"/>
      <c r="G24" s="81"/>
      <c r="H24" s="81"/>
      <c r="I24" s="81"/>
      <c r="J24" s="81"/>
      <c r="K24" s="81"/>
      <c r="L24" s="81"/>
      <c r="M24" s="81"/>
      <c r="N24" s="81"/>
      <c r="O24" s="81"/>
      <c r="P24" s="81"/>
      <c r="Q24" s="81"/>
      <c r="R24" s="78" t="str">
        <f t="shared" si="2"/>
        <v/>
      </c>
    </row>
    <row r="25" spans="1:19" ht="19.5" customHeight="1" x14ac:dyDescent="0.35">
      <c r="A25" s="122" t="s">
        <v>352</v>
      </c>
      <c r="B25" s="126"/>
      <c r="C25" s="126"/>
      <c r="D25" s="126"/>
      <c r="E25" s="126"/>
      <c r="F25" s="126"/>
      <c r="G25" s="126"/>
      <c r="H25" s="126"/>
      <c r="I25" s="126"/>
      <c r="J25" s="126"/>
      <c r="K25" s="126"/>
      <c r="L25" s="126"/>
      <c r="M25" s="126"/>
      <c r="N25" s="126"/>
      <c r="O25" s="126"/>
      <c r="P25" s="126"/>
      <c r="Q25" s="126"/>
      <c r="R25" s="126"/>
      <c r="S25" s="123"/>
    </row>
    <row r="26" spans="1:19" ht="19.5" customHeight="1" x14ac:dyDescent="0.35">
      <c r="A26" s="33">
        <v>19</v>
      </c>
      <c r="B26" s="74" t="s">
        <v>353</v>
      </c>
      <c r="C26" s="75" t="s">
        <v>354</v>
      </c>
      <c r="D26" s="76"/>
      <c r="E26" s="77"/>
      <c r="F26" s="77"/>
      <c r="G26" s="77"/>
      <c r="H26" s="77"/>
      <c r="I26" s="77"/>
      <c r="J26" s="77"/>
      <c r="K26" s="77"/>
      <c r="L26" s="77"/>
      <c r="M26" s="77"/>
      <c r="N26" s="77"/>
      <c r="O26" s="77"/>
      <c r="P26" s="77"/>
      <c r="Q26" s="77"/>
      <c r="R26" s="78" t="str">
        <f t="shared" ref="R26:R28" si="3">IFERROR(AVERAGEIF(F26:Q26,"&lt;&gt;0"),"" )</f>
        <v/>
      </c>
    </row>
    <row r="27" spans="1:19" ht="19.5" customHeight="1" x14ac:dyDescent="0.35">
      <c r="A27" s="29">
        <v>20</v>
      </c>
      <c r="B27" s="79" t="s">
        <v>355</v>
      </c>
      <c r="C27" s="80" t="s">
        <v>337</v>
      </c>
      <c r="D27" s="76"/>
      <c r="E27" s="81"/>
      <c r="F27" s="81"/>
      <c r="G27" s="81"/>
      <c r="H27" s="81"/>
      <c r="I27" s="81"/>
      <c r="J27" s="81"/>
      <c r="K27" s="81"/>
      <c r="L27" s="81"/>
      <c r="M27" s="81"/>
      <c r="N27" s="81"/>
      <c r="O27" s="81"/>
      <c r="P27" s="81"/>
      <c r="Q27" s="81"/>
      <c r="R27" s="78" t="str">
        <f t="shared" si="3"/>
        <v/>
      </c>
    </row>
    <row r="28" spans="1:19" ht="19.5" customHeight="1" x14ac:dyDescent="0.35">
      <c r="A28" s="33">
        <v>21</v>
      </c>
      <c r="B28" s="74" t="s">
        <v>356</v>
      </c>
      <c r="C28" s="75" t="s">
        <v>337</v>
      </c>
      <c r="D28" s="76"/>
      <c r="E28" s="77"/>
      <c r="F28" s="77"/>
      <c r="G28" s="77"/>
      <c r="H28" s="77"/>
      <c r="I28" s="77"/>
      <c r="J28" s="77"/>
      <c r="K28" s="77"/>
      <c r="L28" s="77"/>
      <c r="M28" s="77"/>
      <c r="N28" s="77"/>
      <c r="O28" s="77"/>
      <c r="P28" s="77"/>
      <c r="Q28" s="77"/>
      <c r="R28" s="78" t="str">
        <f t="shared" si="3"/>
        <v/>
      </c>
    </row>
    <row r="29" spans="1:19" ht="19.5" customHeight="1" x14ac:dyDescent="0.35">
      <c r="A29" s="122" t="s">
        <v>357</v>
      </c>
      <c r="B29" s="126"/>
      <c r="C29" s="126"/>
      <c r="D29" s="126"/>
      <c r="E29" s="126"/>
      <c r="F29" s="126"/>
      <c r="G29" s="126"/>
      <c r="H29" s="126"/>
      <c r="I29" s="126"/>
      <c r="J29" s="126"/>
      <c r="K29" s="126"/>
      <c r="L29" s="126"/>
      <c r="M29" s="126"/>
      <c r="N29" s="126"/>
      <c r="O29" s="126"/>
      <c r="P29" s="126"/>
      <c r="Q29" s="126"/>
      <c r="R29" s="126"/>
      <c r="S29" s="123"/>
    </row>
    <row r="30" spans="1:19" ht="19.5" customHeight="1" x14ac:dyDescent="0.35">
      <c r="A30" s="29">
        <v>22</v>
      </c>
      <c r="B30" s="7"/>
      <c r="C30" s="80"/>
      <c r="D30" s="81"/>
      <c r="E30" s="81"/>
      <c r="F30" s="81"/>
      <c r="G30" s="81"/>
      <c r="H30" s="81"/>
      <c r="I30" s="81"/>
      <c r="J30" s="81"/>
      <c r="K30" s="81"/>
      <c r="L30" s="81"/>
      <c r="M30" s="81"/>
      <c r="N30" s="81"/>
      <c r="O30" s="81"/>
      <c r="P30" s="81"/>
      <c r="Q30" s="81"/>
      <c r="R30" s="78" t="str">
        <f t="shared" ref="R30:R34" si="4">IFERROR(AVERAGEIF(F30:Q30,"&lt;&gt;0"),"" )</f>
        <v/>
      </c>
    </row>
    <row r="31" spans="1:19" ht="19.5" customHeight="1" x14ac:dyDescent="0.35">
      <c r="A31" s="33">
        <v>23</v>
      </c>
      <c r="B31" s="2"/>
      <c r="C31" s="75"/>
      <c r="D31" s="77"/>
      <c r="E31" s="77"/>
      <c r="F31" s="77"/>
      <c r="G31" s="77"/>
      <c r="H31" s="77"/>
      <c r="I31" s="77"/>
      <c r="J31" s="77"/>
      <c r="K31" s="77"/>
      <c r="L31" s="77"/>
      <c r="M31" s="77"/>
      <c r="N31" s="77"/>
      <c r="O31" s="77"/>
      <c r="P31" s="77"/>
      <c r="Q31" s="77"/>
      <c r="R31" s="78" t="str">
        <f t="shared" si="4"/>
        <v/>
      </c>
    </row>
    <row r="32" spans="1:19" ht="19.5" customHeight="1" x14ac:dyDescent="0.35">
      <c r="A32" s="29">
        <v>24</v>
      </c>
      <c r="B32" s="7"/>
      <c r="C32" s="80"/>
      <c r="D32" s="81"/>
      <c r="E32" s="81"/>
      <c r="F32" s="81"/>
      <c r="G32" s="81"/>
      <c r="H32" s="81"/>
      <c r="I32" s="81"/>
      <c r="J32" s="81"/>
      <c r="K32" s="81"/>
      <c r="L32" s="81"/>
      <c r="M32" s="81"/>
      <c r="N32" s="81"/>
      <c r="O32" s="81"/>
      <c r="P32" s="81"/>
      <c r="Q32" s="81"/>
      <c r="R32" s="78" t="str">
        <f t="shared" si="4"/>
        <v/>
      </c>
    </row>
    <row r="33" spans="1:18" ht="19.5" customHeight="1" x14ac:dyDescent="0.35">
      <c r="A33" s="33">
        <v>25</v>
      </c>
      <c r="B33" s="2"/>
      <c r="C33" s="75"/>
      <c r="D33" s="77"/>
      <c r="E33" s="77"/>
      <c r="F33" s="77"/>
      <c r="G33" s="77"/>
      <c r="H33" s="77"/>
      <c r="I33" s="77"/>
      <c r="J33" s="77"/>
      <c r="K33" s="77"/>
      <c r="L33" s="77"/>
      <c r="M33" s="77"/>
      <c r="N33" s="77"/>
      <c r="O33" s="77"/>
      <c r="P33" s="77"/>
      <c r="Q33" s="77"/>
      <c r="R33" s="78" t="str">
        <f t="shared" si="4"/>
        <v/>
      </c>
    </row>
    <row r="34" spans="1:18" ht="19.5" customHeight="1" x14ac:dyDescent="0.35">
      <c r="A34" s="29">
        <v>26</v>
      </c>
      <c r="B34" s="7"/>
      <c r="C34" s="80"/>
      <c r="D34" s="81"/>
      <c r="E34" s="81"/>
      <c r="F34" s="81"/>
      <c r="G34" s="81"/>
      <c r="H34" s="81"/>
      <c r="I34" s="81"/>
      <c r="J34" s="81"/>
      <c r="K34" s="81"/>
      <c r="L34" s="81"/>
      <c r="M34" s="81"/>
      <c r="N34" s="81"/>
      <c r="O34" s="81"/>
      <c r="P34" s="81"/>
      <c r="Q34" s="81"/>
      <c r="R34" s="78" t="str">
        <f t="shared" si="4"/>
        <v/>
      </c>
    </row>
    <row r="35" spans="1:18" ht="14.25" customHeight="1" x14ac:dyDescent="0.35"/>
    <row r="36" spans="1:18" ht="14.25" customHeight="1" x14ac:dyDescent="0.35"/>
    <row r="37" spans="1:18" ht="14.25" customHeight="1" x14ac:dyDescent="0.35"/>
    <row r="38" spans="1:18" ht="14.25" customHeight="1" x14ac:dyDescent="0.35"/>
    <row r="39" spans="1:18" ht="14.25" customHeight="1" x14ac:dyDescent="0.35"/>
    <row r="40" spans="1:18" ht="14.25" customHeight="1" x14ac:dyDescent="0.35"/>
    <row r="41" spans="1:18" ht="14.25" customHeight="1" x14ac:dyDescent="0.35"/>
    <row r="42" spans="1:18" ht="14.25" customHeight="1" x14ac:dyDescent="0.35"/>
    <row r="43" spans="1:18" ht="14.25" customHeight="1" x14ac:dyDescent="0.35"/>
    <row r="44" spans="1:18" ht="14.25" customHeight="1" x14ac:dyDescent="0.35"/>
    <row r="45" spans="1:18" ht="14.25" customHeight="1" x14ac:dyDescent="0.35"/>
    <row r="46" spans="1:18" ht="14.25" customHeight="1" x14ac:dyDescent="0.35"/>
    <row r="47" spans="1:18" ht="14.25" customHeight="1" x14ac:dyDescent="0.35"/>
    <row r="48" spans="1:1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7">
    <mergeCell ref="A25:S25"/>
    <mergeCell ref="A29:S29"/>
    <mergeCell ref="A1:S1"/>
    <mergeCell ref="A2:S2"/>
    <mergeCell ref="A4:S4"/>
    <mergeCell ref="A13:S13"/>
    <mergeCell ref="A19:S19"/>
  </mergeCells>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000"/>
  <sheetViews>
    <sheetView showGridLines="0" workbookViewId="0">
      <selection sqref="A1:F1"/>
    </sheetView>
  </sheetViews>
  <sheetFormatPr defaultColWidth="14.453125" defaultRowHeight="15" customHeight="1" x14ac:dyDescent="0.35"/>
  <cols>
    <col min="1" max="1" width="35" customWidth="1"/>
    <col min="2" max="6" width="18" customWidth="1"/>
    <col min="7" max="26" width="8.54296875" customWidth="1"/>
  </cols>
  <sheetData>
    <row r="1" spans="1:6" ht="39.75" customHeight="1" x14ac:dyDescent="0.35">
      <c r="A1" s="165" t="s">
        <v>48</v>
      </c>
      <c r="B1" s="126"/>
      <c r="C1" s="126"/>
      <c r="D1" s="126"/>
      <c r="E1" s="126"/>
      <c r="F1" s="123"/>
    </row>
    <row r="2" spans="1:6" ht="21.75" customHeight="1" x14ac:dyDescent="0.35">
      <c r="A2" s="166" t="s">
        <v>49</v>
      </c>
      <c r="B2" s="126"/>
      <c r="C2" s="126"/>
      <c r="D2" s="126"/>
      <c r="E2" s="126"/>
      <c r="F2" s="123"/>
    </row>
    <row r="3" spans="1:6" ht="21.75" customHeight="1" x14ac:dyDescent="0.35">
      <c r="A3" s="37" t="s">
        <v>43</v>
      </c>
      <c r="B3" s="170"/>
      <c r="C3" s="126"/>
      <c r="D3" s="126"/>
      <c r="E3" s="126"/>
      <c r="F3" s="123"/>
    </row>
    <row r="4" spans="1:6" ht="24" customHeight="1" x14ac:dyDescent="0.35">
      <c r="A4" s="37" t="s">
        <v>42</v>
      </c>
      <c r="B4" s="171" t="s">
        <v>50</v>
      </c>
      <c r="C4" s="126"/>
      <c r="D4" s="126"/>
      <c r="E4" s="126"/>
      <c r="F4" s="123"/>
    </row>
    <row r="5" spans="1:6" ht="19.5" customHeight="1" x14ac:dyDescent="0.35">
      <c r="A5" s="37" t="s">
        <v>51</v>
      </c>
      <c r="B5" s="170"/>
      <c r="C5" s="126"/>
      <c r="D5" s="126"/>
      <c r="E5" s="126"/>
      <c r="F5" s="123"/>
    </row>
    <row r="6" spans="1:6" ht="21.75" customHeight="1" x14ac:dyDescent="0.35">
      <c r="A6" s="37" t="s">
        <v>52</v>
      </c>
      <c r="B6" s="170"/>
      <c r="C6" s="126"/>
      <c r="D6" s="126"/>
      <c r="E6" s="126"/>
      <c r="F6" s="123"/>
    </row>
    <row r="7" spans="1:6" ht="21.75" customHeight="1" x14ac:dyDescent="0.35">
      <c r="A7" s="37" t="s">
        <v>53</v>
      </c>
      <c r="B7" s="170" t="s">
        <v>54</v>
      </c>
      <c r="C7" s="126"/>
      <c r="D7" s="126"/>
      <c r="E7" s="126"/>
      <c r="F7" s="123"/>
    </row>
    <row r="8" spans="1:6" ht="21.75" customHeight="1" x14ac:dyDescent="0.35">
      <c r="A8" s="38"/>
      <c r="B8" s="172"/>
      <c r="C8" s="126"/>
      <c r="D8" s="126"/>
      <c r="E8" s="126"/>
      <c r="F8" s="123"/>
    </row>
    <row r="9" spans="1:6" ht="21.75" customHeight="1" x14ac:dyDescent="0.35">
      <c r="A9" s="122" t="s">
        <v>55</v>
      </c>
      <c r="B9" s="126"/>
      <c r="C9" s="126"/>
      <c r="D9" s="126"/>
      <c r="E9" s="126"/>
      <c r="F9" s="123"/>
    </row>
    <row r="10" spans="1:6" ht="21.75" customHeight="1" x14ac:dyDescent="0.35">
      <c r="A10" s="37" t="s">
        <v>56</v>
      </c>
      <c r="B10" s="171"/>
      <c r="C10" s="126"/>
      <c r="D10" s="126"/>
      <c r="E10" s="126"/>
      <c r="F10" s="123"/>
    </row>
    <row r="11" spans="1:6" ht="21.75" customHeight="1" x14ac:dyDescent="0.35">
      <c r="A11" s="37" t="s">
        <v>57</v>
      </c>
      <c r="B11" s="171"/>
      <c r="C11" s="126"/>
      <c r="D11" s="126"/>
      <c r="E11" s="126"/>
      <c r="F11" s="123"/>
    </row>
    <row r="12" spans="1:6" ht="19.5" customHeight="1" x14ac:dyDescent="0.35">
      <c r="A12" s="38"/>
      <c r="B12" s="172"/>
      <c r="C12" s="126"/>
      <c r="D12" s="126"/>
      <c r="E12" s="126"/>
      <c r="F12" s="123"/>
    </row>
    <row r="13" spans="1:6" ht="21.75" customHeight="1" x14ac:dyDescent="0.35">
      <c r="A13" s="122" t="s">
        <v>58</v>
      </c>
      <c r="B13" s="126"/>
      <c r="C13" s="126"/>
      <c r="D13" s="126"/>
      <c r="E13" s="126"/>
      <c r="F13" s="123"/>
    </row>
    <row r="14" spans="1:6" ht="21.75" customHeight="1" x14ac:dyDescent="0.35">
      <c r="A14" s="37" t="s">
        <v>59</v>
      </c>
      <c r="B14" s="171"/>
      <c r="C14" s="126"/>
      <c r="D14" s="126"/>
      <c r="E14" s="126"/>
      <c r="F14" s="123"/>
    </row>
    <row r="15" spans="1:6" ht="21.75" customHeight="1" x14ac:dyDescent="0.35">
      <c r="A15" s="37" t="s">
        <v>60</v>
      </c>
      <c r="B15" s="171"/>
      <c r="C15" s="126"/>
      <c r="D15" s="126"/>
      <c r="E15" s="126"/>
      <c r="F15" s="123"/>
    </row>
    <row r="16" spans="1:6" ht="21.75" customHeight="1" x14ac:dyDescent="0.35">
      <c r="A16" s="38"/>
      <c r="B16" s="172"/>
      <c r="C16" s="126"/>
      <c r="D16" s="126"/>
      <c r="E16" s="126"/>
      <c r="F16" s="123"/>
    </row>
    <row r="17" spans="1:6" ht="19.5" customHeight="1" x14ac:dyDescent="0.35">
      <c r="A17" s="122" t="s">
        <v>61</v>
      </c>
      <c r="B17" s="126"/>
      <c r="C17" s="126"/>
      <c r="D17" s="126"/>
      <c r="E17" s="126"/>
      <c r="F17" s="123"/>
    </row>
    <row r="18" spans="1:6" ht="21.75" customHeight="1" x14ac:dyDescent="0.35">
      <c r="A18" s="37" t="s">
        <v>62</v>
      </c>
      <c r="B18" s="170"/>
      <c r="C18" s="126"/>
      <c r="D18" s="126"/>
      <c r="E18" s="126"/>
      <c r="F18" s="123"/>
    </row>
    <row r="19" spans="1:6" ht="21.75" customHeight="1" x14ac:dyDescent="0.35">
      <c r="A19" s="37" t="s">
        <v>63</v>
      </c>
      <c r="B19" s="170"/>
      <c r="C19" s="126"/>
      <c r="D19" s="126"/>
      <c r="E19" s="126"/>
      <c r="F19" s="123"/>
    </row>
    <row r="20" spans="1:6" ht="21.75" customHeight="1" x14ac:dyDescent="0.35">
      <c r="A20" s="38"/>
      <c r="B20" s="172"/>
      <c r="C20" s="126"/>
      <c r="D20" s="126"/>
      <c r="E20" s="126"/>
      <c r="F20" s="123"/>
    </row>
    <row r="21" spans="1:6" ht="21.75" customHeight="1" x14ac:dyDescent="0.35">
      <c r="A21" s="122" t="s">
        <v>64</v>
      </c>
      <c r="B21" s="126"/>
      <c r="C21" s="126"/>
      <c r="D21" s="126"/>
      <c r="E21" s="126"/>
      <c r="F21" s="123"/>
    </row>
    <row r="22" spans="1:6" ht="19.5" customHeight="1" x14ac:dyDescent="0.35">
      <c r="A22" s="37" t="s">
        <v>65</v>
      </c>
      <c r="B22" s="171"/>
      <c r="C22" s="126"/>
      <c r="D22" s="126"/>
      <c r="E22" s="126"/>
      <c r="F22" s="123"/>
    </row>
    <row r="23" spans="1:6" ht="21.75" customHeight="1" x14ac:dyDescent="0.35">
      <c r="A23" s="37" t="s">
        <v>66</v>
      </c>
      <c r="B23" s="171"/>
      <c r="C23" s="126"/>
      <c r="D23" s="126"/>
      <c r="E23" s="126"/>
      <c r="F23" s="123"/>
    </row>
    <row r="24" spans="1:6" ht="21.75" customHeight="1" x14ac:dyDescent="0.35">
      <c r="A24" s="37" t="s">
        <v>67</v>
      </c>
      <c r="B24" s="171"/>
      <c r="C24" s="126"/>
      <c r="D24" s="126"/>
      <c r="E24" s="126"/>
      <c r="F24" s="123"/>
    </row>
    <row r="25" spans="1:6" ht="21.75" customHeight="1" x14ac:dyDescent="0.35">
      <c r="A25" s="38"/>
      <c r="B25" s="172"/>
      <c r="C25" s="126"/>
      <c r="D25" s="126"/>
      <c r="E25" s="126"/>
      <c r="F25" s="123"/>
    </row>
    <row r="26" spans="1:6" ht="21.75" customHeight="1" x14ac:dyDescent="0.35">
      <c r="A26" s="122" t="s">
        <v>68</v>
      </c>
      <c r="B26" s="126"/>
      <c r="C26" s="126"/>
      <c r="D26" s="126"/>
      <c r="E26" s="126"/>
      <c r="F26" s="123"/>
    </row>
    <row r="27" spans="1:6" ht="19.5" customHeight="1" x14ac:dyDescent="0.35">
      <c r="A27" s="37" t="s">
        <v>69</v>
      </c>
      <c r="B27" s="170"/>
      <c r="C27" s="126"/>
      <c r="D27" s="126"/>
      <c r="E27" s="126"/>
      <c r="F27" s="123"/>
    </row>
    <row r="28" spans="1:6" ht="21.75" customHeight="1" x14ac:dyDescent="0.35">
      <c r="A28" s="37" t="s">
        <v>70</v>
      </c>
      <c r="B28" s="170"/>
      <c r="C28" s="126"/>
      <c r="D28" s="126"/>
      <c r="E28" s="126"/>
      <c r="F28" s="123"/>
    </row>
    <row r="29" spans="1:6" ht="21.75" customHeight="1" x14ac:dyDescent="0.35">
      <c r="A29" s="37" t="s">
        <v>71</v>
      </c>
      <c r="B29" s="170"/>
      <c r="C29" s="126"/>
      <c r="D29" s="126"/>
      <c r="E29" s="126"/>
      <c r="F29" s="123"/>
    </row>
    <row r="30" spans="1:6" ht="19.5" customHeight="1" x14ac:dyDescent="0.35">
      <c r="A30" s="37" t="s">
        <v>72</v>
      </c>
      <c r="B30" s="171"/>
      <c r="C30" s="126"/>
      <c r="D30" s="126"/>
      <c r="E30" s="126"/>
      <c r="F30" s="123"/>
    </row>
    <row r="31" spans="1:6" ht="21.75" customHeight="1" x14ac:dyDescent="0.35">
      <c r="A31" s="37" t="s">
        <v>73</v>
      </c>
      <c r="B31" s="171"/>
      <c r="C31" s="126"/>
      <c r="D31" s="126"/>
      <c r="E31" s="126"/>
      <c r="F31" s="123"/>
    </row>
    <row r="32" spans="1:6" ht="18" customHeight="1" x14ac:dyDescent="0.35">
      <c r="A32" s="38"/>
      <c r="B32" s="172"/>
      <c r="C32" s="126"/>
      <c r="D32" s="126"/>
      <c r="E32" s="126"/>
      <c r="F32" s="123"/>
    </row>
    <row r="33" spans="1:6" ht="18" customHeight="1" x14ac:dyDescent="0.35">
      <c r="A33" s="122" t="s">
        <v>74</v>
      </c>
      <c r="B33" s="126"/>
      <c r="C33" s="126"/>
      <c r="D33" s="126"/>
      <c r="E33" s="126"/>
      <c r="F33" s="123"/>
    </row>
    <row r="34" spans="1:6" ht="18" customHeight="1" x14ac:dyDescent="0.35">
      <c r="A34" s="37" t="s">
        <v>75</v>
      </c>
      <c r="B34" s="170"/>
      <c r="C34" s="126"/>
      <c r="D34" s="126"/>
      <c r="E34" s="126"/>
      <c r="F34" s="123"/>
    </row>
    <row r="35" spans="1:6" ht="18" customHeight="1" x14ac:dyDescent="0.35">
      <c r="A35" s="37" t="s">
        <v>76</v>
      </c>
      <c r="B35" s="170"/>
      <c r="C35" s="126"/>
      <c r="D35" s="126"/>
      <c r="E35" s="126"/>
      <c r="F35" s="123"/>
    </row>
    <row r="36" spans="1:6" ht="18" customHeight="1" x14ac:dyDescent="0.35">
      <c r="A36" s="37" t="s">
        <v>77</v>
      </c>
      <c r="B36" s="171"/>
      <c r="C36" s="126"/>
      <c r="D36" s="126"/>
      <c r="E36" s="126"/>
      <c r="F36" s="123"/>
    </row>
    <row r="37" spans="1:6" ht="18" customHeight="1" x14ac:dyDescent="0.35">
      <c r="A37" s="37" t="s">
        <v>78</v>
      </c>
      <c r="B37" s="171"/>
      <c r="C37" s="126"/>
      <c r="D37" s="126"/>
      <c r="E37" s="126"/>
      <c r="F37" s="123"/>
    </row>
    <row r="38" spans="1:6" ht="18" customHeight="1" x14ac:dyDescent="0.35">
      <c r="A38" s="38"/>
      <c r="B38" s="172"/>
      <c r="C38" s="126"/>
      <c r="D38" s="126"/>
      <c r="E38" s="126"/>
      <c r="F38" s="123"/>
    </row>
    <row r="39" spans="1:6" ht="18" customHeight="1" x14ac:dyDescent="0.35">
      <c r="A39" s="122" t="s">
        <v>79</v>
      </c>
      <c r="B39" s="126"/>
      <c r="C39" s="126"/>
      <c r="D39" s="126"/>
      <c r="E39" s="126"/>
      <c r="F39" s="123"/>
    </row>
    <row r="40" spans="1:6" ht="18" customHeight="1" x14ac:dyDescent="0.35">
      <c r="A40" s="37" t="s">
        <v>80</v>
      </c>
      <c r="B40" s="171"/>
      <c r="C40" s="126"/>
      <c r="D40" s="126"/>
      <c r="E40" s="126"/>
      <c r="F40" s="123"/>
    </row>
    <row r="41" spans="1:6" ht="18" customHeight="1" x14ac:dyDescent="0.35">
      <c r="A41" s="37" t="s">
        <v>81</v>
      </c>
      <c r="B41" s="171"/>
      <c r="C41" s="126"/>
      <c r="D41" s="126"/>
      <c r="E41" s="126"/>
      <c r="F41" s="123"/>
    </row>
    <row r="42" spans="1:6" ht="18" customHeight="1" x14ac:dyDescent="0.35">
      <c r="A42" s="38"/>
      <c r="B42" s="172"/>
      <c r="C42" s="126"/>
      <c r="D42" s="126"/>
      <c r="E42" s="126"/>
      <c r="F42" s="123"/>
    </row>
    <row r="43" spans="1:6" ht="18" customHeight="1" x14ac:dyDescent="0.35">
      <c r="A43" s="122" t="s">
        <v>82</v>
      </c>
      <c r="B43" s="126"/>
      <c r="C43" s="126"/>
      <c r="D43" s="126"/>
      <c r="E43" s="126"/>
      <c r="F43" s="123"/>
    </row>
    <row r="44" spans="1:6" ht="21.75" customHeight="1" x14ac:dyDescent="0.35">
      <c r="A44" s="37" t="s">
        <v>83</v>
      </c>
      <c r="B44" s="171"/>
      <c r="C44" s="126"/>
      <c r="D44" s="126"/>
      <c r="E44" s="126"/>
      <c r="F44" s="123"/>
    </row>
    <row r="45" spans="1:6" ht="19.5" customHeight="1" x14ac:dyDescent="0.35">
      <c r="A45" s="37" t="s">
        <v>84</v>
      </c>
      <c r="B45" s="171"/>
      <c r="C45" s="126"/>
      <c r="D45" s="126"/>
      <c r="E45" s="126"/>
      <c r="F45" s="123"/>
    </row>
    <row r="46" spans="1:6" ht="21.75" customHeight="1" x14ac:dyDescent="0.35">
      <c r="A46" s="37" t="s">
        <v>85</v>
      </c>
      <c r="B46" s="171"/>
      <c r="C46" s="126"/>
      <c r="D46" s="126"/>
      <c r="E46" s="126"/>
      <c r="F46" s="123"/>
    </row>
    <row r="47" spans="1:6" ht="21.75" customHeight="1" x14ac:dyDescent="0.35"/>
    <row r="48" spans="1:6" ht="21.75" customHeight="1" x14ac:dyDescent="0.35"/>
    <row r="49" ht="21.75" customHeight="1" x14ac:dyDescent="0.35"/>
    <row r="50" ht="21.75" customHeight="1" x14ac:dyDescent="0.35"/>
    <row r="51" ht="21.75" customHeight="1" x14ac:dyDescent="0.35"/>
    <row r="52" ht="21.7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46">
    <mergeCell ref="A43:F43"/>
    <mergeCell ref="B44:F44"/>
    <mergeCell ref="B45:F45"/>
    <mergeCell ref="B46:F46"/>
    <mergeCell ref="B36:F36"/>
    <mergeCell ref="B37:F37"/>
    <mergeCell ref="B38:F38"/>
    <mergeCell ref="A39:F39"/>
    <mergeCell ref="B40:F40"/>
    <mergeCell ref="B41:F41"/>
    <mergeCell ref="B42:F42"/>
    <mergeCell ref="B31:F31"/>
    <mergeCell ref="B32:F32"/>
    <mergeCell ref="A33:F33"/>
    <mergeCell ref="B34:F34"/>
    <mergeCell ref="B35:F35"/>
    <mergeCell ref="A26:F26"/>
    <mergeCell ref="B27:F27"/>
    <mergeCell ref="B28:F28"/>
    <mergeCell ref="B29:F29"/>
    <mergeCell ref="B30:F30"/>
    <mergeCell ref="A21:F21"/>
    <mergeCell ref="B22:F22"/>
    <mergeCell ref="B23:F23"/>
    <mergeCell ref="B24:F24"/>
    <mergeCell ref="B25:F25"/>
    <mergeCell ref="B16:F16"/>
    <mergeCell ref="A17:F17"/>
    <mergeCell ref="B18:F18"/>
    <mergeCell ref="B19:F19"/>
    <mergeCell ref="B20:F20"/>
    <mergeCell ref="B11:F11"/>
    <mergeCell ref="B12:F12"/>
    <mergeCell ref="A13:F13"/>
    <mergeCell ref="B14:F14"/>
    <mergeCell ref="B15:F15"/>
    <mergeCell ref="B6:F6"/>
    <mergeCell ref="B7:F7"/>
    <mergeCell ref="B8:F8"/>
    <mergeCell ref="A9:F9"/>
    <mergeCell ref="B10:F10"/>
    <mergeCell ref="A1:F1"/>
    <mergeCell ref="A2:F2"/>
    <mergeCell ref="B3:F3"/>
    <mergeCell ref="B4:F4"/>
    <mergeCell ref="B5:F5"/>
  </mergeCells>
  <pageMargins left="0.75" right="0.7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J1000"/>
  <sheetViews>
    <sheetView showGridLines="0" topLeftCell="A15" workbookViewId="0">
      <selection sqref="A1:F1"/>
    </sheetView>
  </sheetViews>
  <sheetFormatPr defaultColWidth="14.453125" defaultRowHeight="15" customHeight="1" x14ac:dyDescent="0.35"/>
  <cols>
    <col min="1" max="1" width="6" customWidth="1"/>
    <col min="2" max="2" width="22" customWidth="1"/>
    <col min="3" max="3" width="50" customWidth="1"/>
    <col min="4" max="4" width="18" customWidth="1"/>
    <col min="5" max="26" width="8.54296875" customWidth="1"/>
  </cols>
  <sheetData>
    <row r="1" spans="1:10" ht="49.5" customHeight="1" x14ac:dyDescent="0.35">
      <c r="A1" s="175" t="s">
        <v>423</v>
      </c>
      <c r="B1" s="126"/>
      <c r="C1" s="126"/>
      <c r="D1" s="126"/>
      <c r="E1" s="126"/>
      <c r="F1" s="126"/>
      <c r="G1" s="126"/>
      <c r="H1" s="126"/>
      <c r="I1" s="126"/>
      <c r="J1" s="123"/>
    </row>
    <row r="2" spans="1:10" ht="24" customHeight="1" x14ac:dyDescent="0.35">
      <c r="A2" s="169" t="s">
        <v>86</v>
      </c>
      <c r="B2" s="126"/>
      <c r="C2" s="126"/>
      <c r="D2" s="126"/>
      <c r="E2" s="126"/>
      <c r="F2" s="126"/>
      <c r="G2" s="126"/>
      <c r="H2" s="126"/>
      <c r="I2" s="126"/>
      <c r="J2" s="123"/>
    </row>
    <row r="3" spans="1:10" ht="7.5" customHeight="1" x14ac:dyDescent="0.35"/>
    <row r="4" spans="1:10" ht="24" customHeight="1" x14ac:dyDescent="0.35">
      <c r="A4" s="176" t="s">
        <v>87</v>
      </c>
      <c r="B4" s="126"/>
      <c r="C4" s="126"/>
      <c r="D4" s="126"/>
      <c r="E4" s="126"/>
      <c r="F4" s="126"/>
      <c r="G4" s="126"/>
      <c r="H4" s="126"/>
      <c r="I4" s="126"/>
      <c r="J4" s="123"/>
    </row>
    <row r="5" spans="1:10" ht="33.75" customHeight="1" x14ac:dyDescent="0.35">
      <c r="A5" s="39" t="s">
        <v>88</v>
      </c>
      <c r="B5" s="39" t="s">
        <v>89</v>
      </c>
      <c r="C5" s="39" t="s">
        <v>90</v>
      </c>
      <c r="D5" s="39" t="s">
        <v>91</v>
      </c>
    </row>
    <row r="6" spans="1:10" ht="33.75" customHeight="1" x14ac:dyDescent="0.35">
      <c r="A6" s="40" t="s">
        <v>92</v>
      </c>
      <c r="B6" s="40" t="s">
        <v>93</v>
      </c>
      <c r="C6" s="40" t="s">
        <v>94</v>
      </c>
      <c r="D6" s="40" t="s">
        <v>95</v>
      </c>
    </row>
    <row r="7" spans="1:10" ht="33.75" customHeight="1" x14ac:dyDescent="0.35">
      <c r="A7" s="41" t="s">
        <v>96</v>
      </c>
      <c r="B7" s="41" t="s">
        <v>97</v>
      </c>
      <c r="C7" s="41" t="s">
        <v>98</v>
      </c>
      <c r="D7" s="41" t="s">
        <v>99</v>
      </c>
    </row>
    <row r="8" spans="1:10" ht="33.75" customHeight="1" x14ac:dyDescent="0.35">
      <c r="A8" s="40" t="s">
        <v>100</v>
      </c>
      <c r="B8" s="40" t="s">
        <v>101</v>
      </c>
      <c r="C8" s="40" t="s">
        <v>102</v>
      </c>
      <c r="D8" s="40" t="s">
        <v>103</v>
      </c>
    </row>
    <row r="9" spans="1:10" ht="33.75" customHeight="1" x14ac:dyDescent="0.35">
      <c r="A9" s="41" t="s">
        <v>104</v>
      </c>
      <c r="B9" s="41" t="s">
        <v>105</v>
      </c>
      <c r="C9" s="41" t="s">
        <v>106</v>
      </c>
      <c r="D9" s="41" t="s">
        <v>107</v>
      </c>
    </row>
    <row r="10" spans="1:10" ht="33.75" customHeight="1" x14ac:dyDescent="0.35">
      <c r="A10" s="40" t="s">
        <v>108</v>
      </c>
      <c r="B10" s="40" t="s">
        <v>109</v>
      </c>
      <c r="C10" s="40" t="s">
        <v>110</v>
      </c>
      <c r="D10" s="40" t="s">
        <v>107</v>
      </c>
    </row>
    <row r="11" spans="1:10" ht="33.75" customHeight="1" x14ac:dyDescent="0.35">
      <c r="A11" s="41" t="s">
        <v>111</v>
      </c>
      <c r="B11" s="41" t="s">
        <v>112</v>
      </c>
      <c r="C11" s="41" t="s">
        <v>113</v>
      </c>
      <c r="D11" s="41" t="s">
        <v>114</v>
      </c>
    </row>
    <row r="12" spans="1:10" ht="33.75" customHeight="1" x14ac:dyDescent="0.35">
      <c r="A12" s="40" t="s">
        <v>115</v>
      </c>
      <c r="B12" s="40" t="s">
        <v>116</v>
      </c>
      <c r="C12" s="40" t="s">
        <v>117</v>
      </c>
      <c r="D12" s="40" t="s">
        <v>118</v>
      </c>
    </row>
    <row r="13" spans="1:10" ht="33.75" customHeight="1" x14ac:dyDescent="0.35">
      <c r="A13" s="41" t="s">
        <v>119</v>
      </c>
      <c r="B13" s="41" t="s">
        <v>120</v>
      </c>
      <c r="C13" s="41" t="s">
        <v>121</v>
      </c>
      <c r="D13" s="41" t="s">
        <v>122</v>
      </c>
    </row>
    <row r="14" spans="1:10" ht="33.75" customHeight="1" x14ac:dyDescent="0.35">
      <c r="A14" s="40" t="s">
        <v>123</v>
      </c>
      <c r="B14" s="40" t="s">
        <v>124</v>
      </c>
      <c r="C14" s="40" t="s">
        <v>125</v>
      </c>
      <c r="D14" s="40" t="s">
        <v>126</v>
      </c>
    </row>
    <row r="15" spans="1:10" ht="33.75" customHeight="1" x14ac:dyDescent="0.35">
      <c r="A15" s="41" t="s">
        <v>127</v>
      </c>
      <c r="B15" s="41" t="s">
        <v>128</v>
      </c>
      <c r="C15" s="41" t="s">
        <v>129</v>
      </c>
      <c r="D15" s="41" t="s">
        <v>130</v>
      </c>
    </row>
    <row r="16" spans="1:10" ht="14.25" customHeight="1" x14ac:dyDescent="0.35"/>
    <row r="17" spans="1:10" ht="24" customHeight="1" x14ac:dyDescent="0.35">
      <c r="A17" s="177" t="s">
        <v>131</v>
      </c>
      <c r="B17" s="126"/>
      <c r="C17" s="126"/>
      <c r="D17" s="126"/>
      <c r="E17" s="126"/>
      <c r="F17" s="126"/>
      <c r="G17" s="126"/>
      <c r="H17" s="126"/>
      <c r="I17" s="126"/>
      <c r="J17" s="123"/>
    </row>
    <row r="18" spans="1:10" ht="21.75" customHeight="1" x14ac:dyDescent="0.35">
      <c r="A18" s="178" t="s">
        <v>132</v>
      </c>
      <c r="B18" s="126"/>
      <c r="C18" s="126"/>
      <c r="D18" s="126"/>
      <c r="E18" s="126"/>
      <c r="F18" s="126"/>
      <c r="G18" s="126"/>
      <c r="H18" s="126"/>
      <c r="I18" s="126"/>
      <c r="J18" s="123"/>
    </row>
    <row r="19" spans="1:10" ht="21.75" customHeight="1" x14ac:dyDescent="0.35">
      <c r="A19" s="179" t="s">
        <v>133</v>
      </c>
      <c r="B19" s="126"/>
      <c r="C19" s="126"/>
      <c r="D19" s="126"/>
      <c r="E19" s="126"/>
      <c r="F19" s="126"/>
      <c r="G19" s="126"/>
      <c r="H19" s="126"/>
      <c r="I19" s="126"/>
      <c r="J19" s="123"/>
    </row>
    <row r="20" spans="1:10" ht="21.75" customHeight="1" x14ac:dyDescent="0.35">
      <c r="A20" s="180" t="s">
        <v>134</v>
      </c>
      <c r="B20" s="126"/>
      <c r="C20" s="126"/>
      <c r="D20" s="126"/>
      <c r="E20" s="126"/>
      <c r="F20" s="126"/>
      <c r="G20" s="126"/>
      <c r="H20" s="126"/>
      <c r="I20" s="126"/>
      <c r="J20" s="123"/>
    </row>
    <row r="21" spans="1:10" ht="21.75" customHeight="1" x14ac:dyDescent="0.35">
      <c r="A21" s="173" t="s">
        <v>135</v>
      </c>
      <c r="B21" s="126"/>
      <c r="C21" s="126"/>
      <c r="D21" s="126"/>
      <c r="E21" s="126"/>
      <c r="F21" s="126"/>
      <c r="G21" s="126"/>
      <c r="H21" s="126"/>
      <c r="I21" s="126"/>
      <c r="J21" s="123"/>
    </row>
    <row r="22" spans="1:10" ht="21.75" customHeight="1" x14ac:dyDescent="0.35">
      <c r="A22" s="174" t="s">
        <v>136</v>
      </c>
      <c r="B22" s="126"/>
      <c r="C22" s="126"/>
      <c r="D22" s="126"/>
      <c r="E22" s="126"/>
      <c r="F22" s="126"/>
      <c r="G22" s="126"/>
      <c r="H22" s="126"/>
      <c r="I22" s="126"/>
      <c r="J22" s="123"/>
    </row>
    <row r="23" spans="1:10" ht="14.25" customHeight="1" x14ac:dyDescent="0.35"/>
    <row r="24" spans="1:10" ht="14.25" customHeight="1" x14ac:dyDescent="0.35"/>
    <row r="25" spans="1:10" ht="14.25" customHeight="1" x14ac:dyDescent="0.35"/>
    <row r="26" spans="1:10" ht="14.25" customHeight="1" x14ac:dyDescent="0.35"/>
    <row r="27" spans="1:10" ht="14.25" customHeight="1" x14ac:dyDescent="0.35"/>
    <row r="28" spans="1:10" ht="14.25" customHeight="1" x14ac:dyDescent="0.35"/>
    <row r="29" spans="1:10" ht="14.25" customHeight="1" x14ac:dyDescent="0.35"/>
    <row r="30" spans="1:10" ht="14.25" customHeight="1" x14ac:dyDescent="0.35"/>
    <row r="31" spans="1:10" ht="14.25" customHeight="1" x14ac:dyDescent="0.35"/>
    <row r="32" spans="1:10"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9">
    <mergeCell ref="A21:J21"/>
    <mergeCell ref="A22:J22"/>
    <mergeCell ref="A1:J1"/>
    <mergeCell ref="A2:J2"/>
    <mergeCell ref="A4:J4"/>
    <mergeCell ref="A17:J17"/>
    <mergeCell ref="A18:J18"/>
    <mergeCell ref="A19:J19"/>
    <mergeCell ref="A20:J20"/>
  </mergeCells>
  <pageMargins left="0.75" right="0.75" top="1" bottom="1"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95959"/>
  </sheetPr>
  <dimension ref="A1:D1000"/>
  <sheetViews>
    <sheetView showGridLines="0" workbookViewId="0">
      <selection sqref="A1:F1"/>
    </sheetView>
  </sheetViews>
  <sheetFormatPr defaultColWidth="14.453125" defaultRowHeight="15" customHeight="1" x14ac:dyDescent="0.35"/>
  <cols>
    <col min="1" max="1" width="30" customWidth="1"/>
    <col min="2" max="2" width="22" customWidth="1"/>
    <col min="3" max="3" width="35" customWidth="1"/>
    <col min="4" max="26" width="8.54296875" customWidth="1"/>
  </cols>
  <sheetData>
    <row r="1" spans="1:4" ht="36" customHeight="1" x14ac:dyDescent="0.35">
      <c r="A1" s="127" t="s">
        <v>137</v>
      </c>
      <c r="B1" s="126"/>
      <c r="C1" s="126"/>
      <c r="D1" s="123"/>
    </row>
    <row r="2" spans="1:4" ht="14.25" customHeight="1" x14ac:dyDescent="0.35">
      <c r="A2" s="39" t="s">
        <v>138</v>
      </c>
      <c r="B2" s="39" t="s">
        <v>139</v>
      </c>
      <c r="C2" s="39" t="s">
        <v>140</v>
      </c>
    </row>
    <row r="3" spans="1:4" ht="19.5" customHeight="1" x14ac:dyDescent="0.35">
      <c r="A3" s="42" t="s">
        <v>141</v>
      </c>
      <c r="B3" s="43" t="s">
        <v>142</v>
      </c>
      <c r="C3" s="44" t="s">
        <v>143</v>
      </c>
    </row>
    <row r="4" spans="1:4" ht="19.5" customHeight="1" x14ac:dyDescent="0.35">
      <c r="A4" s="45" t="s">
        <v>144</v>
      </c>
      <c r="B4" s="43" t="s">
        <v>145</v>
      </c>
      <c r="C4" s="46" t="s">
        <v>146</v>
      </c>
    </row>
    <row r="5" spans="1:4" ht="19.5" customHeight="1" x14ac:dyDescent="0.35">
      <c r="A5" s="42" t="s">
        <v>147</v>
      </c>
      <c r="B5" s="43" t="s">
        <v>148</v>
      </c>
      <c r="C5" s="44" t="s">
        <v>149</v>
      </c>
    </row>
    <row r="6" spans="1:4" ht="19.5" customHeight="1" x14ac:dyDescent="0.35">
      <c r="A6" s="45" t="s">
        <v>150</v>
      </c>
      <c r="B6" s="43" t="s">
        <v>151</v>
      </c>
      <c r="C6" s="46" t="s">
        <v>152</v>
      </c>
    </row>
    <row r="7" spans="1:4" ht="19.5" customHeight="1" x14ac:dyDescent="0.35">
      <c r="A7" s="42" t="s">
        <v>153</v>
      </c>
      <c r="B7" s="43" t="s">
        <v>127</v>
      </c>
      <c r="C7" s="44" t="s">
        <v>154</v>
      </c>
    </row>
    <row r="8" spans="1:4" ht="19.5" customHeight="1" x14ac:dyDescent="0.35">
      <c r="A8" s="45" t="s">
        <v>155</v>
      </c>
      <c r="B8" s="43"/>
      <c r="C8" s="46"/>
    </row>
    <row r="9" spans="1:4" ht="19.5" customHeight="1" x14ac:dyDescent="0.35">
      <c r="A9" s="42" t="s">
        <v>156</v>
      </c>
      <c r="B9" s="43"/>
      <c r="C9" s="44"/>
    </row>
    <row r="10" spans="1:4" ht="19.5" customHeight="1" x14ac:dyDescent="0.35">
      <c r="A10" s="45" t="s">
        <v>157</v>
      </c>
      <c r="B10" s="43"/>
      <c r="C10" s="46" t="s">
        <v>158</v>
      </c>
    </row>
    <row r="11" spans="1:4" ht="14.25" customHeight="1" x14ac:dyDescent="0.35"/>
    <row r="12" spans="1:4" ht="14.25" customHeight="1" x14ac:dyDescent="0.35"/>
    <row r="13" spans="1:4" ht="24" customHeight="1" x14ac:dyDescent="0.35">
      <c r="A13" s="182" t="s">
        <v>159</v>
      </c>
      <c r="B13" s="126"/>
      <c r="C13" s="123"/>
    </row>
    <row r="14" spans="1:4" ht="18" customHeight="1" x14ac:dyDescent="0.35">
      <c r="A14" s="181" t="s">
        <v>160</v>
      </c>
      <c r="B14" s="126"/>
      <c r="C14" s="123"/>
    </row>
    <row r="15" spans="1:4" ht="18" customHeight="1" x14ac:dyDescent="0.35">
      <c r="A15" s="181" t="s">
        <v>161</v>
      </c>
      <c r="B15" s="126"/>
      <c r="C15" s="123"/>
    </row>
    <row r="16" spans="1:4" ht="18" customHeight="1" x14ac:dyDescent="0.35">
      <c r="A16" s="181" t="s">
        <v>114</v>
      </c>
      <c r="B16" s="126"/>
      <c r="C16" s="123"/>
    </row>
    <row r="17" spans="1:3" ht="18" customHeight="1" x14ac:dyDescent="0.35">
      <c r="A17" s="181" t="s">
        <v>162</v>
      </c>
      <c r="B17" s="126"/>
      <c r="C17" s="123"/>
    </row>
    <row r="18" spans="1:3" ht="18" customHeight="1" x14ac:dyDescent="0.35">
      <c r="A18" s="181" t="s">
        <v>163</v>
      </c>
      <c r="B18" s="126"/>
      <c r="C18" s="123"/>
    </row>
    <row r="19" spans="1:3" ht="18" customHeight="1" x14ac:dyDescent="0.35">
      <c r="A19" s="181" t="s">
        <v>164</v>
      </c>
      <c r="B19" s="126"/>
      <c r="C19" s="123"/>
    </row>
    <row r="20" spans="1:3" ht="18" customHeight="1" x14ac:dyDescent="0.35">
      <c r="A20" s="181" t="s">
        <v>165</v>
      </c>
      <c r="B20" s="126"/>
      <c r="C20" s="123"/>
    </row>
    <row r="21" spans="1:3" ht="18" customHeight="1" x14ac:dyDescent="0.35">
      <c r="A21" s="181" t="s">
        <v>166</v>
      </c>
      <c r="B21" s="126"/>
      <c r="C21" s="123"/>
    </row>
    <row r="22" spans="1:3" ht="18" customHeight="1" x14ac:dyDescent="0.35">
      <c r="A22" s="181" t="s">
        <v>167</v>
      </c>
      <c r="B22" s="126"/>
      <c r="C22" s="123"/>
    </row>
    <row r="23" spans="1:3" ht="14.25" customHeight="1" x14ac:dyDescent="0.35"/>
    <row r="24" spans="1:3" ht="14.25" customHeight="1" x14ac:dyDescent="0.35"/>
    <row r="25" spans="1:3" ht="14.25" customHeight="1" x14ac:dyDescent="0.35"/>
    <row r="26" spans="1:3" ht="14.25" customHeight="1" x14ac:dyDescent="0.35"/>
    <row r="27" spans="1:3" ht="14.25" customHeight="1" x14ac:dyDescent="0.35"/>
    <row r="28" spans="1:3" ht="14.25" customHeight="1" x14ac:dyDescent="0.35"/>
    <row r="29" spans="1:3" ht="14.25" customHeight="1" x14ac:dyDescent="0.35"/>
    <row r="30" spans="1:3" ht="14.25" customHeight="1" x14ac:dyDescent="0.35"/>
    <row r="31" spans="1:3" ht="14.25" customHeight="1" x14ac:dyDescent="0.35"/>
    <row r="32" spans="1: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1">
    <mergeCell ref="A19:C19"/>
    <mergeCell ref="A20:C20"/>
    <mergeCell ref="A21:C21"/>
    <mergeCell ref="A22:C22"/>
    <mergeCell ref="A1:D1"/>
    <mergeCell ref="A13:C13"/>
    <mergeCell ref="A14:C14"/>
    <mergeCell ref="A15:C15"/>
    <mergeCell ref="A16:C16"/>
    <mergeCell ref="A17:C17"/>
    <mergeCell ref="A18:C18"/>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Initiative Register</vt:lpstr>
      <vt:lpstr>Monthly Plan</vt:lpstr>
      <vt:lpstr>Cost Plan</vt:lpstr>
      <vt:lpstr>Revenue Impact</vt:lpstr>
      <vt:lpstr>Monthly Actuals</vt:lpstr>
      <vt:lpstr>Variance Analysis</vt:lpstr>
      <vt:lpstr>KPI Tracker</vt:lpstr>
      <vt:lpstr>Initiative Detail Card</vt:lpstr>
      <vt:lpstr>Instructions</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Sreevidhya V Pai FCA</cp:lastModifiedBy>
  <dcterms:created xsi:type="dcterms:W3CDTF">2026-03-22T09:52:35Z</dcterms:created>
  <dcterms:modified xsi:type="dcterms:W3CDTF">2026-04-16T04:43:23Z</dcterms:modified>
</cp:coreProperties>
</file>
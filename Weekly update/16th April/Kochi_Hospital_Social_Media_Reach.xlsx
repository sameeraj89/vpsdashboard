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M accounts_Bequip\Shared drives\Bequip FINAC\5_CLIENTS\4_Ongoing\Lakeshore\AOP - Working\Initiative workings\Digital content( INI-028)\"/>
    </mc:Choice>
  </mc:AlternateContent>
  <xr:revisionPtr revIDLastSave="0" documentId="13_ncr:1_{DA73D2D0-31C1-412F-82B5-DF7C3A387AC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 Dashboard" sheetId="1" r:id="rId1"/>
    <sheet name="Insigh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1" l="1"/>
  <c r="G33" i="1"/>
  <c r="G32" i="1"/>
  <c r="G31" i="1"/>
  <c r="G30" i="1"/>
  <c r="E10" i="1"/>
  <c r="E9" i="1"/>
  <c r="E8" i="1"/>
  <c r="E7" i="1"/>
  <c r="E6" i="1"/>
</calcChain>
</file>

<file path=xl/sharedStrings.xml><?xml version="1.0" encoding="utf-8"?>
<sst xmlns="http://schemas.openxmlformats.org/spreadsheetml/2006/main" count="143" uniqueCount="111">
  <si>
    <t>Comparative analysis: VPS Lakeshore · Aster Medcity · Rajagiri · Medical Trust · Amrita Hospital</t>
  </si>
  <si>
    <t>INSTAGRAM REACH</t>
  </si>
  <si>
    <t>Hospital</t>
  </si>
  <si>
    <t>Instagram Handle</t>
  </si>
  <si>
    <t>Followers</t>
  </si>
  <si>
    <t>Posts</t>
  </si>
  <si>
    <t>Followers per Post</t>
  </si>
  <si>
    <t>Rank</t>
  </si>
  <si>
    <t>Notes</t>
  </si>
  <si>
    <t>Rajagiri Hospital</t>
  </si>
  <si>
    <t>@rajagirihospital</t>
  </si>
  <si>
    <t>#1</t>
  </si>
  <si>
    <t>Highest IG followers in Kochi</t>
  </si>
  <si>
    <t>Aster Medcity</t>
  </si>
  <si>
    <t>@astermedcity</t>
  </si>
  <si>
    <t>#2</t>
  </si>
  <si>
    <t>Most posts; 2nd highest followers</t>
  </si>
  <si>
    <t>VPS Lakeshore</t>
  </si>
  <si>
    <t>@vpslakeshorehospital</t>
  </si>
  <si>
    <t>#3</t>
  </si>
  <si>
    <t>Low follower-to-post ratio</t>
  </si>
  <si>
    <t>Medical Trust Hospital</t>
  </si>
  <si>
    <t>@medicaltrusthospitalcochin</t>
  </si>
  <si>
    <t>#4</t>
  </si>
  <si>
    <t>Tied on followers, fewer posts</t>
  </si>
  <si>
    <t>Amrita Hospital</t>
  </si>
  <si>
    <t>@amritahospitals</t>
  </si>
  <si>
    <t>#5</t>
  </si>
  <si>
    <t>Lowest IG reach among peers</t>
  </si>
  <si>
    <t>YOUTUBE PRESENCE</t>
  </si>
  <si>
    <t>Estimated Subscribers</t>
  </si>
  <si>
    <t>Upload Frequency</t>
  </si>
  <si>
    <t>Content Focus</t>
  </si>
  <si>
    <t>Assessment</t>
  </si>
  <si>
    <t>~25,000+</t>
  </si>
  <si>
    <t>High — Aster DM network</t>
  </si>
  <si>
    <t>Health education, CME, patient stories</t>
  </si>
  <si>
    <t>Best YT presence; parent network advantage</t>
  </si>
  <si>
    <t>~8,000–12,000</t>
  </si>
  <si>
    <t>Regular — weekly/bi-weekly</t>
  </si>
  <si>
    <t>Doctor talks, case highlights</t>
  </si>
  <si>
    <t>Consistent quality content</t>
  </si>
  <si>
    <t>~3,000–5,000</t>
  </si>
  <si>
    <t>Low — sporadic</t>
  </si>
  <si>
    <t>Medical updates, procedure highlights</t>
  </si>
  <si>
    <t>Significant growth gap vs peers</t>
  </si>
  <si>
    <t>~2,000–4,000</t>
  </si>
  <si>
    <t>Sporadic</t>
  </si>
  <si>
    <t>CME events, general health</t>
  </si>
  <si>
    <t>Low upload consistency</t>
  </si>
  <si>
    <t>&lt;2,000</t>
  </si>
  <si>
    <t>Minimal</t>
  </si>
  <si>
    <t>Limited content strategy</t>
  </si>
  <si>
    <t>Weakest YT presence</t>
  </si>
  <si>
    <t>HOSPITAL WEBSITE FRESHNESS &amp; CONTENT</t>
  </si>
  <si>
    <t>Website URL</t>
  </si>
  <si>
    <t>Update Frequency</t>
  </si>
  <si>
    <t>Testimonials Section</t>
  </si>
  <si>
    <t>Blog/News</t>
  </si>
  <si>
    <t>Website Score</t>
  </si>
  <si>
    <t>Status</t>
  </si>
  <si>
    <t>asterhospitals.in</t>
  </si>
  <si>
    <t>Frequent — blogs, health tips weekly</t>
  </si>
  <si>
    <t>Yes</t>
  </si>
  <si>
    <t>Yes — active blog section</t>
  </si>
  <si>
    <t>Active</t>
  </si>
  <si>
    <t>rajagirihospital.com</t>
  </si>
  <si>
    <t>Regular — events, patient stories</t>
  </si>
  <si>
    <t>Yes — updated</t>
  </si>
  <si>
    <t>vpslakeshorehospital.com</t>
  </si>
  <si>
    <t>Moderate — news + testimonials</t>
  </si>
  <si>
    <t>Moderate</t>
  </si>
  <si>
    <t>amritahospitals.in</t>
  </si>
  <si>
    <t>Infrequent updates</t>
  </si>
  <si>
    <t>Limited</t>
  </si>
  <si>
    <t>medicaltrusthospital.com</t>
  </si>
  <si>
    <t>Minimal digital content</t>
  </si>
  <si>
    <t>No</t>
  </si>
  <si>
    <t>Low</t>
  </si>
  <si>
    <t>OVERALL SOCIAL IMPACT RANKING  (weighted: IG 35% · YouTube 30% · Consistency 20% · Website 15%)</t>
  </si>
  <si>
    <t>IG Score (/10)</t>
  </si>
  <si>
    <t>YouTube Score (/10)</t>
  </si>
  <si>
    <t>Consistency Score (/10)</t>
  </si>
  <si>
    <t>Website Score (/10)</t>
  </si>
  <si>
    <t>Weighted Total (/10)</t>
  </si>
  <si>
    <t>Tier</t>
  </si>
  <si>
    <t>🥇 Leader</t>
  </si>
  <si>
    <t>🥈 Strong</t>
  </si>
  <si>
    <t>🥉 Moderate</t>
  </si>
  <si>
    <t>⚠ Low-Moderate</t>
  </si>
  <si>
    <t>⚠ Weak</t>
  </si>
  <si>
    <t>Note: YouTube subscriber figures are estimates based on publicly indexed data. Scores are relative to peer group. Impact weights: Instagram 35% · YouTube 30% · Consistency 20% · Website 15%.</t>
  </si>
  <si>
    <t>KEY DIGITAL INSIGHTS — VPS Lakeshore vs Peers</t>
  </si>
  <si>
    <t>Instagram Gap</t>
  </si>
  <si>
    <t>12K followers vs Rajagiri's 51K — a 4× deficit despite 2,898 posts. Suggests content reach/strategy needs overhaul.</t>
  </si>
  <si>
    <t>Post Efficiency</t>
  </si>
  <si>
    <t>Rajagiri averages 22 followers/post vs Lakeshore's ~4 followers/post — quality and hashtag strategy matter more than volume.</t>
  </si>
  <si>
    <t>YouTube Opportunity</t>
  </si>
  <si>
    <t>No confirmed high-subscriber YouTube channel. Reels and Shorts from patient testimonials could rapidly build reach.</t>
  </si>
  <si>
    <t>Website Strength</t>
  </si>
  <si>
    <t>Rich testimonials (international patients from Australia, Bahrain, USA) are underutilised assets for social amplification.</t>
  </si>
  <si>
    <t>Quick Win</t>
  </si>
  <si>
    <t>Convert website testimonials to Instagram Reels/Stories with doctor commentary — targets both patient trust and algorithm reach.</t>
  </si>
  <si>
    <t>Competitor Watch</t>
  </si>
  <si>
    <t>Aster Medcity's parent network (Aster DM) amplifies all Kochi content across a national brand — Lakeshore has no equivalent.</t>
  </si>
  <si>
    <t>Kochi Hospital — Social Media &amp; Digital Reach Report  |  April 2026</t>
  </si>
  <si>
    <t xml:space="preserve">Insta testimonials last </t>
  </si>
  <si>
    <t>Doctors’ sessions in social media Instagram</t>
  </si>
  <si>
    <t>view 4306 reach</t>
  </si>
  <si>
    <t>View 2441 reach</t>
  </si>
  <si>
    <t>However the Specific segments are not created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</si>
</sst>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4E79"/>
      <name val="Arial"/>
      <charset val="1"/>
    </font>
    <font>
      <b/>
      <sz val="11"/>
      <color rgb="FF000000"/>
      <name val="Arial"/>
      <charset val="1"/>
    </font>
    <font>
      <sz val="11"/>
      <color rgb="FF1F4E79"/>
      <name val="Arial"/>
      <charset val="1"/>
    </font>
    <font>
      <b/>
      <sz val="11"/>
      <color rgb="FF1F4E79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b/>
      <sz val="10"/>
      <color rgb="FF7B0000"/>
      <name val="Arial"/>
      <charset val="1"/>
    </font>
    <font>
      <b/>
      <sz val="11"/>
      <color rgb="FFC00000"/>
      <name val="Arial"/>
      <charset val="1"/>
    </font>
    <font>
      <b/>
      <sz val="10"/>
      <color rgb="FF375623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030A0"/>
      <name val="Arial"/>
      <charset val="1"/>
    </font>
    <font>
      <b/>
      <sz val="13"/>
      <color rgb="FF7030A0"/>
      <name val="Arial"/>
      <charset val="1"/>
    </font>
    <font>
      <b/>
      <sz val="12"/>
      <color rgb="FF7030A0"/>
      <name val="Arial"/>
      <charset val="1"/>
    </font>
    <font>
      <i/>
      <sz val="9"/>
      <color rgb="FF888888"/>
      <name val="Arial"/>
      <charset val="1"/>
    </font>
    <font>
      <sz val="10"/>
      <name val="Arial"/>
      <charset val="1"/>
    </font>
    <font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0D0D0"/>
      </patternFill>
    </fill>
    <fill>
      <patternFill patternType="solid">
        <fgColor rgb="FFEFF7FB"/>
        <bgColor rgb="FFF2F2F2"/>
      </patternFill>
    </fill>
    <fill>
      <patternFill patternType="solid">
        <fgColor rgb="FFD4AF37"/>
        <bgColor rgb="FFFFC000"/>
      </patternFill>
    </fill>
    <fill>
      <patternFill patternType="solid">
        <fgColor rgb="FFFFFFFF"/>
        <bgColor rgb="FFF9F9F9"/>
      </patternFill>
    </fill>
    <fill>
      <patternFill patternType="solid">
        <fgColor rgb="FFA8A9AD"/>
        <bgColor rgb="FF888888"/>
      </patternFill>
    </fill>
    <fill>
      <patternFill patternType="solid">
        <fgColor rgb="FFCD7F32"/>
        <bgColor rgb="FFD4AF37"/>
      </patternFill>
    </fill>
    <fill>
      <patternFill patternType="solid">
        <fgColor rgb="FF888888"/>
        <bgColor rgb="FF878787"/>
      </patternFill>
    </fill>
    <fill>
      <patternFill patternType="solid">
        <fgColor rgb="FFC00000"/>
        <bgColor rgb="FFFF0000"/>
      </patternFill>
    </fill>
    <fill>
      <patternFill patternType="solid">
        <fgColor rgb="FFFFDAD9"/>
        <bgColor rgb="FFE4DFEC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F2F2F2"/>
      </patternFill>
    </fill>
    <fill>
      <patternFill patternType="solid">
        <fgColor rgb="FF70AD47"/>
        <bgColor rgb="FF888888"/>
      </patternFill>
    </fill>
    <fill>
      <patternFill patternType="solid">
        <fgColor rgb="FFFFC000"/>
        <bgColor rgb="FFD4AF37"/>
      </patternFill>
    </fill>
    <fill>
      <patternFill patternType="solid">
        <fgColor rgb="FFFF0000"/>
        <bgColor rgb="FFC00000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D9D9"/>
      </patternFill>
    </fill>
    <fill>
      <patternFill patternType="solid">
        <fgColor rgb="FFF2F2F2"/>
        <bgColor rgb="FFEFF7FB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3" fontId="8" fillId="7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164" fontId="18" fillId="5" borderId="2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64" fontId="18" fillId="7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left" vertical="center"/>
    </xf>
    <xf numFmtId="0" fontId="20" fillId="20" borderId="3" xfId="0" applyFont="1" applyFill="1" applyBorder="1" applyAlignment="1">
      <alignment horizontal="left" vertical="center" wrapText="1"/>
    </xf>
    <xf numFmtId="0" fontId="20" fillId="7" borderId="3" xfId="0" applyFont="1" applyFill="1" applyBorder="1" applyAlignment="1">
      <alignment horizontal="left" vertical="center" wrapText="1"/>
    </xf>
    <xf numFmtId="0" fontId="3" fillId="18" borderId="0" xfId="0" applyFont="1" applyFill="1" applyAlignment="1">
      <alignment horizontal="left" vertical="center"/>
    </xf>
    <xf numFmtId="0" fontId="3" fillId="18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21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D0D0D0"/>
      <rgbColor rgb="FF878787"/>
      <rgbColor rgb="FFA8A9AD"/>
      <rgbColor rgb="FF7030A0"/>
      <rgbColor rgb="FFF9F9F9"/>
      <rgbColor rgb="FFEFF7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E2EFDA"/>
      <rgbColor rgb="FFE4DFEC"/>
      <rgbColor rgb="FFD9D9D9"/>
      <rgbColor rgb="FFFF99CC"/>
      <rgbColor rgb="FFCC99FF"/>
      <rgbColor rgb="FFFFDAD9"/>
      <rgbColor rgb="FF2E75B6"/>
      <rgbColor rgb="FF33CCCC"/>
      <rgbColor rgb="FF99CC00"/>
      <rgbColor rgb="FFFFC000"/>
      <rgbColor rgb="FFD4AF37"/>
      <rgbColor rgb="FFCD7F32"/>
      <rgbColor rgb="FF666699"/>
      <rgbColor rgb="FF888888"/>
      <rgbColor rgb="FF003366"/>
      <rgbColor rgb="FF70AD47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zoomScaleNormal="100" workbookViewId="0">
      <pane ySplit="4" topLeftCell="A5" activePane="bottomLeft" state="frozen"/>
      <selection pane="bottomLeft" activeCell="A36" sqref="A36:J36"/>
    </sheetView>
  </sheetViews>
  <sheetFormatPr defaultColWidth="8.6640625" defaultRowHeight="14.4" x14ac:dyDescent="0.3"/>
  <cols>
    <col min="1" max="1" width="26.44140625" customWidth="1"/>
    <col min="2" max="2" width="26.77734375" bestFit="1" customWidth="1"/>
    <col min="3" max="3" width="34.44140625" bestFit="1" customWidth="1"/>
    <col min="4" max="4" width="35.77734375" bestFit="1" customWidth="1"/>
    <col min="5" max="5" width="24.33203125" bestFit="1" customWidth="1"/>
    <col min="6" max="6" width="42.109375" bestFit="1" customWidth="1"/>
    <col min="7" max="7" width="31.109375" bestFit="1" customWidth="1"/>
    <col min="8" max="8" width="15.88671875" bestFit="1" customWidth="1"/>
    <col min="9" max="10" width="5" customWidth="1"/>
  </cols>
  <sheetData>
    <row r="1" spans="1:10" ht="36" customHeight="1" x14ac:dyDescent="0.3">
      <c r="A1" s="49" t="s">
        <v>105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8" customHeight="1" x14ac:dyDescent="0.3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</row>
    <row r="3" spans="1:10" ht="9.75" customHeight="1" x14ac:dyDescent="0.3"/>
    <row r="4" spans="1:10" ht="21.75" customHeight="1" x14ac:dyDescent="0.3">
      <c r="A4" s="51" t="s">
        <v>1</v>
      </c>
      <c r="B4" s="51"/>
      <c r="C4" s="51"/>
      <c r="D4" s="51"/>
      <c r="E4" s="51"/>
      <c r="F4" s="51"/>
      <c r="G4" s="51"/>
      <c r="H4" s="51"/>
      <c r="I4" s="51"/>
      <c r="J4" s="51"/>
    </row>
    <row r="5" spans="1:10" ht="19.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1:10" ht="18" customHeight="1" x14ac:dyDescent="0.3">
      <c r="A6" s="2" t="s">
        <v>9</v>
      </c>
      <c r="B6" s="3" t="s">
        <v>10</v>
      </c>
      <c r="C6" s="4">
        <v>51000</v>
      </c>
      <c r="D6" s="5">
        <v>2310</v>
      </c>
      <c r="E6" s="6">
        <f>C6/D6</f>
        <v>22.077922077922079</v>
      </c>
      <c r="F6" s="7" t="s">
        <v>11</v>
      </c>
      <c r="G6" s="8" t="s">
        <v>12</v>
      </c>
    </row>
    <row r="7" spans="1:10" ht="18" customHeight="1" x14ac:dyDescent="0.3">
      <c r="A7" s="9" t="s">
        <v>13</v>
      </c>
      <c r="B7" s="10" t="s">
        <v>14</v>
      </c>
      <c r="C7" s="11">
        <v>39000</v>
      </c>
      <c r="D7" s="12">
        <v>5024</v>
      </c>
      <c r="E7" s="13">
        <f>C7/D7</f>
        <v>7.7627388535031852</v>
      </c>
      <c r="F7" s="14" t="s">
        <v>15</v>
      </c>
      <c r="G7" s="15" t="s">
        <v>16</v>
      </c>
    </row>
    <row r="8" spans="1:10" ht="18" customHeight="1" x14ac:dyDescent="0.3">
      <c r="A8" s="16" t="s">
        <v>17</v>
      </c>
      <c r="B8" s="3" t="s">
        <v>18</v>
      </c>
      <c r="C8" s="17">
        <v>12000</v>
      </c>
      <c r="D8" s="5">
        <v>2898</v>
      </c>
      <c r="E8" s="6">
        <f>C8/D8</f>
        <v>4.1407867494824018</v>
      </c>
      <c r="F8" s="18" t="s">
        <v>19</v>
      </c>
      <c r="G8" s="8" t="s">
        <v>20</v>
      </c>
    </row>
    <row r="9" spans="1:10" ht="18" customHeight="1" x14ac:dyDescent="0.3">
      <c r="A9" s="9" t="s">
        <v>21</v>
      </c>
      <c r="B9" s="10" t="s">
        <v>22</v>
      </c>
      <c r="C9" s="11">
        <v>12000</v>
      </c>
      <c r="D9" s="12">
        <v>1650</v>
      </c>
      <c r="E9" s="13">
        <f>C9/D9</f>
        <v>7.2727272727272725</v>
      </c>
      <c r="F9" s="19" t="s">
        <v>23</v>
      </c>
      <c r="G9" s="15" t="s">
        <v>24</v>
      </c>
    </row>
    <row r="10" spans="1:10" ht="18" customHeight="1" x14ac:dyDescent="0.3">
      <c r="A10" s="16" t="s">
        <v>25</v>
      </c>
      <c r="B10" s="3" t="s">
        <v>26</v>
      </c>
      <c r="C10" s="17">
        <v>8000</v>
      </c>
      <c r="D10" s="5">
        <v>961</v>
      </c>
      <c r="E10" s="6">
        <f>C10/D10</f>
        <v>8.3246618106139429</v>
      </c>
      <c r="F10" s="19" t="s">
        <v>27</v>
      </c>
      <c r="G10" s="8" t="s">
        <v>28</v>
      </c>
    </row>
    <row r="11" spans="1:10" ht="9.75" customHeight="1" x14ac:dyDescent="0.3"/>
    <row r="12" spans="1:10" ht="21.75" customHeight="1" x14ac:dyDescent="0.3">
      <c r="A12" s="52" t="s">
        <v>29</v>
      </c>
      <c r="B12" s="52"/>
      <c r="C12" s="52"/>
      <c r="D12" s="52"/>
      <c r="E12" s="52"/>
      <c r="F12" s="52"/>
      <c r="G12" s="52"/>
      <c r="H12" s="52"/>
      <c r="I12" s="52"/>
      <c r="J12" s="52"/>
    </row>
    <row r="13" spans="1:10" ht="19.5" customHeight="1" x14ac:dyDescent="0.3">
      <c r="A13" s="20" t="s">
        <v>2</v>
      </c>
      <c r="B13" s="20" t="s">
        <v>30</v>
      </c>
      <c r="C13" s="20" t="s">
        <v>31</v>
      </c>
      <c r="D13" s="20" t="s">
        <v>32</v>
      </c>
      <c r="E13" s="20" t="s">
        <v>7</v>
      </c>
      <c r="F13" s="20" t="s">
        <v>33</v>
      </c>
    </row>
    <row r="14" spans="1:10" ht="24" customHeight="1" x14ac:dyDescent="0.3">
      <c r="A14" s="2" t="s">
        <v>13</v>
      </c>
      <c r="B14" s="21" t="s">
        <v>34</v>
      </c>
      <c r="C14" s="8" t="s">
        <v>35</v>
      </c>
      <c r="D14" s="8" t="s">
        <v>36</v>
      </c>
      <c r="E14" s="22" t="s">
        <v>11</v>
      </c>
      <c r="F14" s="8" t="s">
        <v>37</v>
      </c>
    </row>
    <row r="15" spans="1:10" ht="24" customHeight="1" x14ac:dyDescent="0.3">
      <c r="A15" s="9" t="s">
        <v>9</v>
      </c>
      <c r="B15" s="23" t="s">
        <v>38</v>
      </c>
      <c r="C15" s="15" t="s">
        <v>39</v>
      </c>
      <c r="D15" s="15" t="s">
        <v>40</v>
      </c>
      <c r="E15" s="14" t="s">
        <v>15</v>
      </c>
      <c r="F15" s="15" t="s">
        <v>41</v>
      </c>
    </row>
    <row r="16" spans="1:10" ht="24" customHeight="1" x14ac:dyDescent="0.3">
      <c r="A16" s="16" t="s">
        <v>17</v>
      </c>
      <c r="B16" s="24" t="s">
        <v>42</v>
      </c>
      <c r="C16" s="8" t="s">
        <v>43</v>
      </c>
      <c r="D16" s="8" t="s">
        <v>44</v>
      </c>
      <c r="E16" s="18" t="s">
        <v>19</v>
      </c>
      <c r="F16" s="8" t="s">
        <v>45</v>
      </c>
    </row>
    <row r="17" spans="1:10" ht="24" customHeight="1" x14ac:dyDescent="0.3">
      <c r="A17" s="9" t="s">
        <v>25</v>
      </c>
      <c r="B17" s="23" t="s">
        <v>46</v>
      </c>
      <c r="C17" s="15" t="s">
        <v>47</v>
      </c>
      <c r="D17" s="15" t="s">
        <v>48</v>
      </c>
      <c r="E17" s="19" t="s">
        <v>23</v>
      </c>
      <c r="F17" s="15" t="s">
        <v>49</v>
      </c>
    </row>
    <row r="18" spans="1:10" ht="24" customHeight="1" x14ac:dyDescent="0.3">
      <c r="A18" s="16" t="s">
        <v>21</v>
      </c>
      <c r="B18" s="24" t="s">
        <v>50</v>
      </c>
      <c r="C18" s="8" t="s">
        <v>51</v>
      </c>
      <c r="D18" s="8" t="s">
        <v>52</v>
      </c>
      <c r="E18" s="19" t="s">
        <v>27</v>
      </c>
      <c r="F18" s="8" t="s">
        <v>53</v>
      </c>
    </row>
    <row r="19" spans="1:10" ht="9.75" customHeight="1" x14ac:dyDescent="0.3"/>
    <row r="20" spans="1:10" ht="21.75" customHeight="1" x14ac:dyDescent="0.3">
      <c r="A20" s="53" t="s">
        <v>54</v>
      </c>
      <c r="B20" s="53"/>
      <c r="C20" s="53"/>
      <c r="D20" s="53"/>
      <c r="E20" s="53"/>
      <c r="F20" s="53"/>
      <c r="G20" s="53"/>
      <c r="H20" s="53"/>
      <c r="I20" s="53"/>
      <c r="J20" s="53"/>
    </row>
    <row r="21" spans="1:10" ht="19.5" customHeight="1" x14ac:dyDescent="0.3">
      <c r="A21" s="25" t="s">
        <v>2</v>
      </c>
      <c r="B21" s="25" t="s">
        <v>55</v>
      </c>
      <c r="C21" s="25" t="s">
        <v>56</v>
      </c>
      <c r="D21" s="25" t="s">
        <v>57</v>
      </c>
      <c r="E21" s="25" t="s">
        <v>58</v>
      </c>
      <c r="F21" s="25" t="s">
        <v>59</v>
      </c>
      <c r="G21" s="25" t="s">
        <v>60</v>
      </c>
    </row>
    <row r="22" spans="1:10" ht="24" customHeight="1" x14ac:dyDescent="0.3">
      <c r="A22" s="16" t="s">
        <v>13</v>
      </c>
      <c r="B22" s="26" t="s">
        <v>61</v>
      </c>
      <c r="C22" s="8" t="s">
        <v>62</v>
      </c>
      <c r="D22" s="27" t="s">
        <v>63</v>
      </c>
      <c r="E22" s="16" t="s">
        <v>64</v>
      </c>
      <c r="F22" s="28">
        <v>9</v>
      </c>
      <c r="G22" s="29" t="s">
        <v>65</v>
      </c>
    </row>
    <row r="23" spans="1:10" ht="24" customHeight="1" x14ac:dyDescent="0.3">
      <c r="A23" s="9" t="s">
        <v>9</v>
      </c>
      <c r="B23" s="30" t="s">
        <v>66</v>
      </c>
      <c r="C23" s="15" t="s">
        <v>67</v>
      </c>
      <c r="D23" s="31" t="s">
        <v>63</v>
      </c>
      <c r="E23" s="9" t="s">
        <v>68</v>
      </c>
      <c r="F23" s="32">
        <v>8</v>
      </c>
      <c r="G23" s="29" t="s">
        <v>65</v>
      </c>
    </row>
    <row r="24" spans="1:10" ht="24" customHeight="1" x14ac:dyDescent="0.3">
      <c r="A24" s="2" t="s">
        <v>17</v>
      </c>
      <c r="B24" s="26" t="s">
        <v>69</v>
      </c>
      <c r="C24" s="8" t="s">
        <v>70</v>
      </c>
      <c r="D24" s="27" t="s">
        <v>63</v>
      </c>
      <c r="E24" s="16" t="s">
        <v>71</v>
      </c>
      <c r="F24" s="28">
        <v>6</v>
      </c>
      <c r="G24" s="33" t="s">
        <v>71</v>
      </c>
    </row>
    <row r="25" spans="1:10" ht="24" customHeight="1" x14ac:dyDescent="0.3">
      <c r="A25" s="9" t="s">
        <v>25</v>
      </c>
      <c r="B25" s="30" t="s">
        <v>72</v>
      </c>
      <c r="C25" s="15" t="s">
        <v>73</v>
      </c>
      <c r="D25" s="31" t="s">
        <v>63</v>
      </c>
      <c r="E25" s="9" t="s">
        <v>74</v>
      </c>
      <c r="F25" s="32">
        <v>5</v>
      </c>
      <c r="G25" s="33" t="s">
        <v>71</v>
      </c>
    </row>
    <row r="26" spans="1:10" ht="24" customHeight="1" x14ac:dyDescent="0.3">
      <c r="A26" s="16" t="s">
        <v>21</v>
      </c>
      <c r="B26" s="26" t="s">
        <v>75</v>
      </c>
      <c r="C26" s="8" t="s">
        <v>76</v>
      </c>
      <c r="D26" s="27" t="s">
        <v>77</v>
      </c>
      <c r="E26" s="16" t="s">
        <v>77</v>
      </c>
      <c r="F26" s="28">
        <v>3</v>
      </c>
      <c r="G26" s="34" t="s">
        <v>78</v>
      </c>
    </row>
    <row r="27" spans="1:10" ht="9.75" customHeight="1" x14ac:dyDescent="0.3"/>
    <row r="28" spans="1:10" ht="21.75" customHeight="1" x14ac:dyDescent="0.3">
      <c r="A28" s="47" t="s">
        <v>79</v>
      </c>
      <c r="B28" s="47"/>
      <c r="C28" s="47"/>
      <c r="D28" s="47"/>
      <c r="E28" s="47"/>
      <c r="F28" s="47"/>
      <c r="G28" s="47"/>
      <c r="H28" s="47"/>
      <c r="I28" s="47"/>
      <c r="J28" s="47"/>
    </row>
    <row r="29" spans="1:10" ht="19.5" customHeight="1" x14ac:dyDescent="0.3">
      <c r="A29" s="35" t="s">
        <v>7</v>
      </c>
      <c r="B29" s="35" t="s">
        <v>2</v>
      </c>
      <c r="C29" s="35" t="s">
        <v>80</v>
      </c>
      <c r="D29" s="35" t="s">
        <v>81</v>
      </c>
      <c r="E29" s="35" t="s">
        <v>82</v>
      </c>
      <c r="F29" s="35" t="s">
        <v>83</v>
      </c>
      <c r="G29" s="35" t="s">
        <v>84</v>
      </c>
      <c r="H29" s="35" t="s">
        <v>85</v>
      </c>
    </row>
    <row r="30" spans="1:10" ht="19.5" customHeight="1" x14ac:dyDescent="0.3">
      <c r="A30" s="36">
        <v>1</v>
      </c>
      <c r="B30" s="16" t="s">
        <v>9</v>
      </c>
      <c r="C30" s="6">
        <v>10</v>
      </c>
      <c r="D30" s="6">
        <v>7.5</v>
      </c>
      <c r="E30" s="6">
        <v>9</v>
      </c>
      <c r="F30" s="6">
        <v>8</v>
      </c>
      <c r="G30" s="37">
        <f>(C30*0.35)+(D30*0.3)+(E30*0.2)+(F30*0.15)</f>
        <v>8.75</v>
      </c>
      <c r="H30" s="38" t="s">
        <v>86</v>
      </c>
    </row>
    <row r="31" spans="1:10" ht="19.5" customHeight="1" x14ac:dyDescent="0.3">
      <c r="A31" s="39">
        <v>2</v>
      </c>
      <c r="B31" s="9" t="s">
        <v>13</v>
      </c>
      <c r="C31" s="13">
        <v>7.6</v>
      </c>
      <c r="D31" s="13">
        <v>10</v>
      </c>
      <c r="E31" s="13">
        <v>9.5</v>
      </c>
      <c r="F31" s="13">
        <v>9</v>
      </c>
      <c r="G31" s="40">
        <f>(C31*0.35)+(D31*0.3)+(E31*0.2)+(F31*0.15)</f>
        <v>8.91</v>
      </c>
      <c r="H31" s="41" t="s">
        <v>87</v>
      </c>
    </row>
    <row r="32" spans="1:10" ht="19.5" customHeight="1" x14ac:dyDescent="0.3">
      <c r="A32" s="36">
        <v>3</v>
      </c>
      <c r="B32" s="2" t="s">
        <v>17</v>
      </c>
      <c r="C32" s="6">
        <v>2.4</v>
      </c>
      <c r="D32" s="6">
        <v>3.5</v>
      </c>
      <c r="E32" s="6">
        <v>4</v>
      </c>
      <c r="F32" s="6">
        <v>6</v>
      </c>
      <c r="G32" s="37">
        <f>(C32*0.35)+(D32*0.3)+(E32*0.2)+(F32*0.15)</f>
        <v>3.5900000000000003</v>
      </c>
      <c r="H32" s="42" t="s">
        <v>88</v>
      </c>
    </row>
    <row r="33" spans="1:10" ht="19.5" customHeight="1" x14ac:dyDescent="0.3">
      <c r="A33" s="39">
        <v>4</v>
      </c>
      <c r="B33" s="9" t="s">
        <v>25</v>
      </c>
      <c r="C33" s="13">
        <v>1.6</v>
      </c>
      <c r="D33" s="13">
        <v>2.5</v>
      </c>
      <c r="E33" s="13">
        <v>3</v>
      </c>
      <c r="F33" s="13">
        <v>5</v>
      </c>
      <c r="G33" s="40">
        <f>(C33*0.35)+(D33*0.3)+(E33*0.2)+(F33*0.15)</f>
        <v>2.66</v>
      </c>
      <c r="H33" s="33" t="s">
        <v>89</v>
      </c>
    </row>
    <row r="34" spans="1:10" ht="19.5" customHeight="1" x14ac:dyDescent="0.3">
      <c r="A34" s="36">
        <v>5</v>
      </c>
      <c r="B34" s="16" t="s">
        <v>21</v>
      </c>
      <c r="C34" s="6">
        <v>2.4</v>
      </c>
      <c r="D34" s="6">
        <v>1</v>
      </c>
      <c r="E34" s="6">
        <v>2</v>
      </c>
      <c r="F34" s="6">
        <v>3</v>
      </c>
      <c r="G34" s="37">
        <f>(C34*0.35)+(D34*0.3)+(E34*0.2)+(F34*0.15)</f>
        <v>1.99</v>
      </c>
      <c r="H34" s="34" t="s">
        <v>90</v>
      </c>
    </row>
    <row r="35" spans="1:10" ht="7.5" customHeight="1" x14ac:dyDescent="0.3"/>
    <row r="36" spans="1:10" x14ac:dyDescent="0.3">
      <c r="A36" s="48" t="s">
        <v>91</v>
      </c>
      <c r="B36" s="48"/>
      <c r="C36" s="48"/>
      <c r="D36" s="48"/>
      <c r="E36" s="48"/>
      <c r="F36" s="48"/>
      <c r="G36" s="48"/>
      <c r="H36" s="48"/>
      <c r="I36" s="48"/>
      <c r="J36" s="48"/>
    </row>
  </sheetData>
  <mergeCells count="7">
    <mergeCell ref="A28:J28"/>
    <mergeCell ref="A36:J36"/>
    <mergeCell ref="A1:J1"/>
    <mergeCell ref="A2:J2"/>
    <mergeCell ref="A4:J4"/>
    <mergeCell ref="A12:J12"/>
    <mergeCell ref="A20:J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tabSelected="1" zoomScale="79" zoomScaleNormal="79" workbookViewId="0">
      <selection activeCell="B6" sqref="B6:G6"/>
    </sheetView>
  </sheetViews>
  <sheetFormatPr defaultColWidth="8.6640625" defaultRowHeight="14.4" x14ac:dyDescent="0.3"/>
  <cols>
    <col min="1" max="1" width="22" customWidth="1"/>
    <col min="2" max="7" width="18" customWidth="1"/>
    <col min="8" max="8" width="28.6640625" customWidth="1"/>
    <col min="9" max="9" width="27.6640625" customWidth="1"/>
    <col min="10" max="10" width="42" bestFit="1" customWidth="1"/>
    <col min="11" max="11" width="17.6640625" customWidth="1"/>
    <col min="12" max="12" width="16.5546875" customWidth="1"/>
  </cols>
  <sheetData>
    <row r="1" spans="1:12" ht="7.5" customHeight="1" x14ac:dyDescent="0.3"/>
    <row r="2" spans="1:12" ht="13.5" customHeight="1" x14ac:dyDescent="0.3"/>
    <row r="3" spans="1:12" ht="21.75" customHeight="1" x14ac:dyDescent="0.3">
      <c r="A3" s="46" t="s">
        <v>92</v>
      </c>
      <c r="B3" s="46"/>
      <c r="C3" s="46"/>
      <c r="D3" s="46"/>
      <c r="E3" s="46"/>
      <c r="F3" s="46"/>
      <c r="G3" s="46"/>
    </row>
    <row r="4" spans="1:12" ht="31.5" customHeight="1" x14ac:dyDescent="0.3">
      <c r="A4" s="43" t="s">
        <v>93</v>
      </c>
      <c r="B4" s="45" t="s">
        <v>94</v>
      </c>
      <c r="C4" s="45"/>
      <c r="D4" s="45"/>
      <c r="E4" s="45"/>
      <c r="F4" s="45"/>
      <c r="G4" s="45"/>
    </row>
    <row r="5" spans="1:12" ht="31.5" customHeight="1" x14ac:dyDescent="0.3">
      <c r="A5" s="43" t="s">
        <v>95</v>
      </c>
      <c r="B5" s="44" t="s">
        <v>96</v>
      </c>
      <c r="C5" s="44"/>
      <c r="D5" s="44"/>
      <c r="E5" s="44"/>
      <c r="F5" s="44"/>
      <c r="G5" s="44"/>
    </row>
    <row r="6" spans="1:12" ht="31.5" customHeight="1" x14ac:dyDescent="0.3">
      <c r="A6" s="43" t="s">
        <v>97</v>
      </c>
      <c r="B6" s="45" t="s">
        <v>98</v>
      </c>
      <c r="C6" s="45"/>
      <c r="D6" s="45"/>
      <c r="E6" s="45"/>
      <c r="F6" s="45"/>
      <c r="G6" s="45"/>
    </row>
    <row r="7" spans="1:12" ht="31.5" customHeight="1" x14ac:dyDescent="0.3">
      <c r="A7" s="43" t="s">
        <v>99</v>
      </c>
      <c r="B7" s="44" t="s">
        <v>100</v>
      </c>
      <c r="C7" s="44"/>
      <c r="D7" s="44"/>
      <c r="E7" s="44"/>
      <c r="F7" s="44"/>
      <c r="G7" s="44"/>
    </row>
    <row r="8" spans="1:12" ht="53.4" customHeight="1" x14ac:dyDescent="0.3">
      <c r="A8" s="43" t="s">
        <v>101</v>
      </c>
      <c r="B8" s="45" t="s">
        <v>102</v>
      </c>
      <c r="C8" s="45"/>
      <c r="D8" s="45"/>
      <c r="E8" s="45"/>
      <c r="F8" s="45"/>
      <c r="G8" s="45"/>
      <c r="H8" s="56" t="s">
        <v>106</v>
      </c>
      <c r="I8" s="54">
        <v>46112</v>
      </c>
      <c r="J8" s="57" t="s">
        <v>107</v>
      </c>
      <c r="K8" s="55">
        <v>46117</v>
      </c>
      <c r="L8" s="58" t="s">
        <v>110</v>
      </c>
    </row>
    <row r="9" spans="1:12" ht="31.5" customHeight="1" x14ac:dyDescent="0.3">
      <c r="A9" s="43" t="s">
        <v>103</v>
      </c>
      <c r="B9" s="44" t="s">
        <v>104</v>
      </c>
      <c r="C9" s="44"/>
      <c r="D9" s="44"/>
      <c r="E9" s="44"/>
      <c r="F9" s="44"/>
      <c r="G9" s="44"/>
      <c r="H9" s="56"/>
      <c r="I9" s="56" t="s">
        <v>108</v>
      </c>
      <c r="J9" s="56"/>
      <c r="K9" s="56" t="s">
        <v>109</v>
      </c>
    </row>
  </sheetData>
  <mergeCells count="7">
    <mergeCell ref="A3:G3"/>
    <mergeCell ref="B4:G4"/>
    <mergeCell ref="B5:G5"/>
    <mergeCell ref="B6:G6"/>
    <mergeCell ref="B7:G7"/>
    <mergeCell ref="B8:G8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Dittu George</cp:lastModifiedBy>
  <cp:revision>1</cp:revision>
  <dcterms:created xsi:type="dcterms:W3CDTF">2026-04-14T10:48:15Z</dcterms:created>
  <dcterms:modified xsi:type="dcterms:W3CDTF">2026-04-14T11:32:35Z</dcterms:modified>
  <dc:language>en-US</dc:language>
</cp:coreProperties>
</file>
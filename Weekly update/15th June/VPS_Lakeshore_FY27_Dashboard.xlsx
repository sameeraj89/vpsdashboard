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hishekpoduri/Desktop/"/>
    </mc:Choice>
  </mc:AlternateContent>
  <xr:revisionPtr revIDLastSave="0" documentId="13_ncr:1_{D35E45F1-FC6C-9746-ACCF-87309CDC85DA}" xr6:coauthVersionLast="47" xr6:coauthVersionMax="47" xr10:uidLastSave="{00000000-0000-0000-0000-000000000000}"/>
  <bookViews>
    <workbookView xWindow="0" yWindow="600" windowWidth="38400" windowHeight="19640" tabRatio="976" xr2:uid="{00000000-000D-0000-FFFF-FFFF00000000}"/>
  </bookViews>
  <sheets>
    <sheet name="Performance Tracker" sheetId="37" r:id="rId1"/>
    <sheet name="Dashboard" sheetId="38" r:id="rId2"/>
    <sheet name="Monthly P&amp;L"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6" i="38" l="1"/>
  <c r="E53" i="38"/>
  <c r="A53" i="38"/>
  <c r="E52" i="38"/>
  <c r="A52" i="38"/>
  <c r="E51" i="38"/>
  <c r="A51" i="38"/>
  <c r="E50" i="38"/>
  <c r="A50" i="38"/>
  <c r="E49" i="38"/>
  <c r="A49" i="38"/>
  <c r="E48" i="38"/>
  <c r="A48" i="38"/>
  <c r="E47" i="38"/>
  <c r="A47" i="38"/>
  <c r="E46" i="38"/>
  <c r="A46" i="38"/>
  <c r="E45" i="38"/>
  <c r="A45" i="38"/>
  <c r="E44" i="38"/>
  <c r="A44" i="38"/>
  <c r="E43" i="38"/>
  <c r="A43" i="38"/>
  <c r="E42" i="38"/>
  <c r="A42" i="38"/>
  <c r="B28" i="37"/>
  <c r="D28" i="37"/>
  <c r="H28" i="37"/>
  <c r="K28" i="37"/>
  <c r="M28" i="37"/>
  <c r="O28" i="37"/>
  <c r="S28" i="37"/>
  <c r="U28" i="37"/>
  <c r="W28" i="37"/>
  <c r="Y28" i="37"/>
  <c r="AA28" i="37"/>
  <c r="AC28" i="37"/>
  <c r="AE28" i="37"/>
  <c r="AG28" i="37"/>
  <c r="AI28" i="37"/>
  <c r="AK28" i="37"/>
  <c r="AM28" i="37"/>
  <c r="AO28" i="37"/>
  <c r="AQ28" i="37"/>
  <c r="AS28" i="37"/>
  <c r="AU28" i="37"/>
  <c r="AW28" i="37"/>
  <c r="AY28" i="37"/>
  <c r="BA28" i="37"/>
  <c r="BC28" i="37"/>
  <c r="BE28" i="37"/>
  <c r="B29" i="37"/>
  <c r="D29" i="37"/>
  <c r="H29" i="37"/>
  <c r="K29" i="37"/>
  <c r="M29" i="37"/>
  <c r="O29" i="37"/>
  <c r="Q29" i="37"/>
  <c r="S29" i="37"/>
  <c r="U29" i="37"/>
  <c r="W29" i="37"/>
  <c r="Y29" i="37"/>
  <c r="AA29" i="37"/>
  <c r="AC29" i="37"/>
  <c r="AE29" i="37"/>
  <c r="AG29" i="37"/>
  <c r="AI29" i="37"/>
  <c r="AK29" i="37"/>
  <c r="AM29" i="37"/>
  <c r="AO29" i="37"/>
  <c r="AQ29" i="37"/>
  <c r="AS29" i="37"/>
  <c r="AU29" i="37"/>
  <c r="AW29" i="37"/>
  <c r="AY29" i="37"/>
  <c r="BA29" i="37"/>
  <c r="BC29" i="37"/>
  <c r="BE29" i="37"/>
  <c r="B30" i="37"/>
  <c r="D30" i="37"/>
  <c r="H30" i="37"/>
  <c r="K30" i="37"/>
  <c r="M30" i="37"/>
  <c r="O30" i="37"/>
  <c r="S30" i="37"/>
  <c r="W30" i="37"/>
  <c r="Y30" i="37"/>
  <c r="AA30" i="37"/>
  <c r="AC30" i="37"/>
  <c r="AE30" i="37"/>
  <c r="AG30" i="37"/>
  <c r="AI30" i="37"/>
  <c r="AK30" i="37"/>
  <c r="AM30" i="37"/>
  <c r="AQ30" i="37"/>
  <c r="AU30" i="37"/>
  <c r="AW30" i="37"/>
  <c r="AY30" i="37"/>
  <c r="BC30" i="37"/>
  <c r="BE30" i="37"/>
  <c r="B31" i="37"/>
  <c r="D31" i="37"/>
  <c r="H31" i="37"/>
  <c r="K31" i="37"/>
  <c r="O31" i="37"/>
  <c r="Q31" i="37"/>
  <c r="S31" i="37"/>
  <c r="U31" i="37"/>
  <c r="W31" i="37"/>
  <c r="Y31" i="37"/>
  <c r="AA31" i="37"/>
  <c r="AC31" i="37"/>
  <c r="AE31" i="37"/>
  <c r="AG31" i="37"/>
  <c r="AI31" i="37"/>
  <c r="AM31" i="37"/>
  <c r="AO31" i="37"/>
  <c r="AQ31" i="37"/>
  <c r="AS31" i="37"/>
  <c r="AU31" i="37"/>
  <c r="AW31" i="37"/>
  <c r="AY31" i="37"/>
  <c r="BA31" i="37"/>
  <c r="BC31" i="37"/>
  <c r="BE31" i="37"/>
  <c r="B32" i="37"/>
  <c r="D32" i="37"/>
  <c r="H32" i="37"/>
  <c r="K32" i="37"/>
  <c r="O32" i="37"/>
  <c r="S32" i="37"/>
  <c r="W32" i="37"/>
  <c r="Y32" i="37"/>
  <c r="AA32" i="37"/>
  <c r="AE32" i="37"/>
  <c r="AG32" i="37"/>
  <c r="AI32" i="37"/>
  <c r="AK32" i="37"/>
  <c r="AM32" i="37"/>
  <c r="AQ32" i="37"/>
  <c r="AS32" i="37"/>
  <c r="AU32" i="37"/>
  <c r="AY32" i="37"/>
  <c r="BA32" i="37"/>
  <c r="BC32" i="37"/>
  <c r="B33" i="37"/>
  <c r="D33" i="37"/>
  <c r="H33" i="37"/>
  <c r="K33" i="37"/>
  <c r="M33" i="37"/>
  <c r="O33" i="37"/>
  <c r="Q33" i="37"/>
  <c r="S33" i="37"/>
  <c r="W33" i="37"/>
  <c r="Y33" i="37"/>
  <c r="AA33" i="37"/>
  <c r="AC33" i="37"/>
  <c r="AE33" i="37"/>
  <c r="AI33" i="37"/>
  <c r="AK33" i="37"/>
  <c r="AM33" i="37"/>
  <c r="AO33" i="37"/>
  <c r="AQ33" i="37"/>
  <c r="AU33" i="37"/>
  <c r="AW33" i="37"/>
  <c r="AY33" i="37"/>
  <c r="BA33" i="37"/>
  <c r="BC33" i="37"/>
  <c r="BE33" i="37"/>
  <c r="B34" i="37"/>
  <c r="D34" i="37"/>
  <c r="H34" i="37"/>
  <c r="K34" i="37"/>
  <c r="M34" i="37"/>
  <c r="O34" i="37"/>
  <c r="Q34" i="37"/>
  <c r="S34" i="37"/>
  <c r="U34" i="37"/>
  <c r="W34" i="37"/>
  <c r="AA34" i="37"/>
  <c r="AC34" i="37"/>
  <c r="AE34" i="37"/>
  <c r="AI34" i="37"/>
  <c r="AM34" i="37"/>
  <c r="AQ34" i="37"/>
  <c r="AU34" i="37"/>
  <c r="AY34" i="37"/>
  <c r="BC34" i="37"/>
  <c r="BE34" i="37"/>
  <c r="B35" i="37"/>
  <c r="D35" i="37"/>
  <c r="H35" i="37"/>
  <c r="K35" i="37"/>
  <c r="O35" i="37"/>
  <c r="S35" i="37"/>
  <c r="W35" i="37"/>
  <c r="Y35" i="37"/>
  <c r="AA35" i="37"/>
  <c r="AE35" i="37"/>
  <c r="AG35" i="37"/>
  <c r="AI35" i="37"/>
  <c r="AM35" i="37"/>
  <c r="AO35" i="37"/>
  <c r="AQ35" i="37"/>
  <c r="AU35" i="37"/>
  <c r="AW35" i="37"/>
  <c r="AY35" i="37"/>
  <c r="BC35" i="37"/>
  <c r="B36" i="37"/>
  <c r="B37" i="37"/>
  <c r="B38" i="37"/>
  <c r="B39" i="37"/>
  <c r="D39" i="37"/>
  <c r="H39" i="37"/>
  <c r="K39" i="37"/>
  <c r="O39" i="37"/>
  <c r="Q39" i="37"/>
  <c r="S39" i="37"/>
  <c r="W39" i="37"/>
  <c r="Y39" i="37"/>
  <c r="AA39" i="37"/>
  <c r="AE39" i="37"/>
  <c r="AG39" i="37"/>
  <c r="AI39" i="37"/>
  <c r="AK39" i="37"/>
  <c r="AM39" i="37"/>
  <c r="AQ39" i="37"/>
  <c r="AU39" i="37"/>
  <c r="AW39" i="37"/>
  <c r="AY39" i="37"/>
  <c r="BA39" i="37"/>
  <c r="BC39" i="37"/>
  <c r="B40" i="37"/>
  <c r="D40" i="37"/>
  <c r="H40" i="37"/>
  <c r="K40" i="37"/>
  <c r="M40" i="37"/>
  <c r="O40" i="37"/>
  <c r="S40" i="37"/>
  <c r="W40" i="37"/>
  <c r="AA40" i="37"/>
  <c r="AC40" i="37"/>
  <c r="AE40" i="37"/>
  <c r="AI40" i="37"/>
  <c r="AM40" i="37"/>
  <c r="AO40" i="37"/>
  <c r="AQ40" i="37"/>
  <c r="AU40" i="37"/>
  <c r="AW40" i="37"/>
  <c r="AY40" i="37"/>
  <c r="BC40" i="37"/>
  <c r="BE40" i="37"/>
  <c r="B41" i="37"/>
  <c r="B42" i="37"/>
  <c r="D42" i="37"/>
  <c r="H42" i="37"/>
  <c r="K42" i="37"/>
  <c r="O42" i="37"/>
  <c r="Q42" i="37"/>
  <c r="S42" i="37"/>
  <c r="W42" i="37"/>
  <c r="AA42" i="37"/>
  <c r="AC42" i="37"/>
  <c r="AE42" i="37"/>
  <c r="AI42" i="37"/>
  <c r="AK42" i="37"/>
  <c r="AM42" i="37"/>
  <c r="AQ42" i="37"/>
  <c r="AS42" i="37"/>
  <c r="AU42" i="37"/>
  <c r="AW42" i="37"/>
  <c r="AY42" i="37"/>
  <c r="BC42" i="37"/>
  <c r="BE42" i="37"/>
  <c r="B43" i="37"/>
  <c r="B44" i="37"/>
  <c r="B6" i="37"/>
  <c r="D6" i="37"/>
  <c r="H6" i="37"/>
  <c r="K6" i="37"/>
  <c r="O6" i="37"/>
  <c r="S6" i="37"/>
  <c r="U6" i="37"/>
  <c r="W6" i="37"/>
  <c r="AA6" i="37"/>
  <c r="AC6" i="37"/>
  <c r="AE6" i="37"/>
  <c r="AI6" i="37"/>
  <c r="AM6" i="37"/>
  <c r="AQ6" i="37"/>
  <c r="AS6" i="37"/>
  <c r="AU6" i="37"/>
  <c r="AW6" i="37"/>
  <c r="AY6" i="37"/>
  <c r="BA6" i="37"/>
  <c r="BC6" i="37"/>
  <c r="B7" i="37"/>
  <c r="D7" i="37"/>
  <c r="H7" i="37"/>
  <c r="K7" i="37"/>
  <c r="M7" i="37"/>
  <c r="O7" i="37"/>
  <c r="Q7" i="37"/>
  <c r="S7" i="37"/>
  <c r="U7" i="37"/>
  <c r="W7" i="37"/>
  <c r="AA7" i="37"/>
  <c r="AE7" i="37"/>
  <c r="AI7" i="37"/>
  <c r="AM7" i="37"/>
  <c r="AO7" i="37"/>
  <c r="AQ7" i="37"/>
  <c r="AS7" i="37"/>
  <c r="AU7" i="37"/>
  <c r="AY7" i="37"/>
  <c r="BC7" i="37"/>
  <c r="B8" i="37"/>
  <c r="D8" i="37"/>
  <c r="H8" i="37"/>
  <c r="K8" i="37"/>
  <c r="O8" i="37"/>
  <c r="Q8" i="37"/>
  <c r="S8" i="37"/>
  <c r="W8" i="37"/>
  <c r="AA8" i="37"/>
  <c r="AE8" i="37"/>
  <c r="AG8" i="37"/>
  <c r="AI8" i="37"/>
  <c r="AK8" i="37"/>
  <c r="AM8" i="37"/>
  <c r="AQ8" i="37"/>
  <c r="AU8" i="37"/>
  <c r="AY8" i="37"/>
  <c r="BA8" i="37"/>
  <c r="BC8" i="37"/>
  <c r="B9" i="37"/>
  <c r="D9" i="37"/>
  <c r="H9" i="37"/>
  <c r="K9" i="37"/>
  <c r="O9" i="37"/>
  <c r="Q9" i="37"/>
  <c r="S9" i="37"/>
  <c r="W9" i="37"/>
  <c r="AA9" i="37"/>
  <c r="AE9" i="37"/>
  <c r="AG9" i="37"/>
  <c r="AI9" i="37"/>
  <c r="AM9" i="37"/>
  <c r="AQ9" i="37"/>
  <c r="AU9" i="37"/>
  <c r="AW9" i="37"/>
  <c r="AY9" i="37"/>
  <c r="BA9" i="37"/>
  <c r="BC9" i="37"/>
  <c r="BE9" i="37"/>
  <c r="B10" i="37"/>
  <c r="D10" i="37"/>
  <c r="E10" i="37"/>
  <c r="K10" i="37"/>
  <c r="L10" i="37"/>
  <c r="O10" i="37"/>
  <c r="P10" i="37"/>
  <c r="S10" i="37"/>
  <c r="T10" i="37"/>
  <c r="W10" i="37"/>
  <c r="X10" i="37"/>
  <c r="AA10" i="37"/>
  <c r="AB10" i="37"/>
  <c r="AE10" i="37"/>
  <c r="AF10" i="37"/>
  <c r="AI10" i="37"/>
  <c r="AJ10" i="37"/>
  <c r="AM10" i="37"/>
  <c r="AN10" i="37"/>
  <c r="AP10" i="37"/>
  <c r="AQ10" i="37"/>
  <c r="AR10" i="37"/>
  <c r="AT10" i="37"/>
  <c r="AU10" i="37"/>
  <c r="AV10" i="37"/>
  <c r="AY10" i="37"/>
  <c r="AZ10" i="37"/>
  <c r="BC10" i="37"/>
  <c r="BD10" i="37"/>
  <c r="B12" i="37"/>
  <c r="H12" i="37"/>
  <c r="K12" i="37"/>
  <c r="M12" i="37"/>
  <c r="N12" i="37"/>
  <c r="O12" i="37"/>
  <c r="S12" i="37"/>
  <c r="U12" i="37"/>
  <c r="V12" i="37"/>
  <c r="W12" i="37"/>
  <c r="Z12" i="37"/>
  <c r="AA12" i="37"/>
  <c r="AD12" i="37"/>
  <c r="AE12" i="37"/>
  <c r="AH12" i="37"/>
  <c r="AI12" i="37"/>
  <c r="AL12" i="37"/>
  <c r="AM12" i="37"/>
  <c r="AO12" i="37"/>
  <c r="AP12" i="37"/>
  <c r="AQ12" i="37"/>
  <c r="AT12" i="37"/>
  <c r="AU12" i="37"/>
  <c r="AX12" i="37"/>
  <c r="AY12" i="37"/>
  <c r="BB12" i="37"/>
  <c r="BC12" i="37"/>
  <c r="BE12" i="37"/>
  <c r="BF12" i="37"/>
  <c r="B13" i="37"/>
  <c r="D13" i="37"/>
  <c r="E13" i="37"/>
  <c r="H13" i="37"/>
  <c r="K13" i="37"/>
  <c r="M13" i="37"/>
  <c r="O13" i="37"/>
  <c r="S13" i="37"/>
  <c r="U13" i="37"/>
  <c r="W13" i="37"/>
  <c r="Y13" i="37"/>
  <c r="AA13" i="37"/>
  <c r="AC13" i="37"/>
  <c r="AE13" i="37"/>
  <c r="AG13" i="37"/>
  <c r="AI13" i="37"/>
  <c r="AK13" i="37"/>
  <c r="AM13" i="37"/>
  <c r="AO13" i="37"/>
  <c r="AQ13" i="37"/>
  <c r="AS13" i="37"/>
  <c r="AU13" i="37"/>
  <c r="AW13" i="37"/>
  <c r="AY13" i="37"/>
  <c r="BA13" i="37"/>
  <c r="BC13" i="37"/>
  <c r="BE13" i="37"/>
  <c r="B14" i="37"/>
  <c r="B15" i="37"/>
  <c r="B16" i="37"/>
  <c r="B18" i="37"/>
  <c r="H18" i="37"/>
  <c r="K18" i="37"/>
  <c r="O18" i="37"/>
  <c r="Q18" i="37"/>
  <c r="S18" i="37"/>
  <c r="U18" i="37"/>
  <c r="W18" i="37"/>
  <c r="Y18" i="37"/>
  <c r="AA18" i="37"/>
  <c r="AE18" i="37"/>
  <c r="AI18" i="37"/>
  <c r="AK18" i="37"/>
  <c r="AM18" i="37"/>
  <c r="AQ18" i="37"/>
  <c r="AS18" i="37"/>
  <c r="AU18" i="37"/>
  <c r="AY18" i="37"/>
  <c r="BA18" i="37"/>
  <c r="BC18" i="37"/>
  <c r="B19" i="37"/>
  <c r="D19" i="37"/>
  <c r="H19" i="37"/>
  <c r="J19" i="37"/>
  <c r="K19" i="37"/>
  <c r="M19" i="37"/>
  <c r="O19" i="37"/>
  <c r="S19" i="37"/>
  <c r="U19" i="37"/>
  <c r="W19" i="37"/>
  <c r="AA19" i="37"/>
  <c r="AC19" i="37"/>
  <c r="AE19" i="37"/>
  <c r="AI19" i="37"/>
  <c r="AK19" i="37"/>
  <c r="AM19" i="37"/>
  <c r="AO19" i="37"/>
  <c r="AQ19" i="37"/>
  <c r="AS19" i="37"/>
  <c r="AU19" i="37"/>
  <c r="AW19" i="37"/>
  <c r="AY19" i="37"/>
  <c r="BC19" i="37"/>
  <c r="BE19" i="37"/>
  <c r="B20" i="37"/>
  <c r="D20" i="37"/>
  <c r="H20" i="37"/>
  <c r="J20" i="37"/>
  <c r="K20" i="37"/>
  <c r="M20" i="37"/>
  <c r="O20" i="37"/>
  <c r="Q20" i="37"/>
  <c r="S20" i="37"/>
  <c r="U20" i="37"/>
  <c r="W20" i="37"/>
  <c r="Y20" i="37"/>
  <c r="AA20" i="37"/>
  <c r="AC20" i="37"/>
  <c r="AE20" i="37"/>
  <c r="AG20" i="37"/>
  <c r="AI20" i="37"/>
  <c r="AM20" i="37"/>
  <c r="AO20" i="37"/>
  <c r="AQ20" i="37"/>
  <c r="AU20" i="37"/>
  <c r="AW20" i="37"/>
  <c r="AY20" i="37"/>
  <c r="BC20" i="37"/>
  <c r="BE20" i="37"/>
  <c r="B21" i="37"/>
  <c r="D21" i="37"/>
  <c r="H21" i="37"/>
  <c r="J21" i="37"/>
  <c r="K21" i="37"/>
  <c r="M21" i="37"/>
  <c r="O21" i="37"/>
  <c r="Q21" i="37"/>
  <c r="S21" i="37"/>
  <c r="U21" i="37"/>
  <c r="W21" i="37"/>
  <c r="AA21" i="37"/>
  <c r="AC21" i="37"/>
  <c r="AE21" i="37"/>
  <c r="AG21" i="37"/>
  <c r="AI21" i="37"/>
  <c r="AK21" i="37"/>
  <c r="AM21" i="37"/>
  <c r="AO21" i="37"/>
  <c r="AQ21" i="37"/>
  <c r="AS21" i="37"/>
  <c r="AU21" i="37"/>
  <c r="AW21" i="37"/>
  <c r="AY21" i="37"/>
  <c r="BC21" i="37"/>
  <c r="BE21" i="37"/>
  <c r="B22" i="37"/>
  <c r="D22" i="37"/>
  <c r="H22" i="37"/>
  <c r="K22" i="37"/>
  <c r="M22" i="37"/>
  <c r="O22" i="37"/>
  <c r="Q22" i="37"/>
  <c r="S22" i="37"/>
  <c r="U22" i="37"/>
  <c r="W22" i="37"/>
  <c r="Y22" i="37"/>
  <c r="AA22" i="37"/>
  <c r="AC22" i="37"/>
  <c r="AE22" i="37"/>
  <c r="AG22" i="37"/>
  <c r="AI22" i="37"/>
  <c r="AK22" i="37"/>
  <c r="AM22" i="37"/>
  <c r="AO22" i="37"/>
  <c r="AQ22" i="37"/>
  <c r="AS22" i="37"/>
  <c r="AU22" i="37"/>
  <c r="AW22" i="37"/>
  <c r="AY22" i="37"/>
  <c r="BA22" i="37"/>
  <c r="BC22" i="37"/>
  <c r="BE22" i="37"/>
  <c r="B23" i="37"/>
  <c r="D23" i="37"/>
  <c r="H23" i="37"/>
  <c r="K23" i="37"/>
  <c r="M23" i="37"/>
  <c r="O23" i="37"/>
  <c r="Q23" i="37"/>
  <c r="S23" i="37"/>
  <c r="U23" i="37"/>
  <c r="W23" i="37"/>
  <c r="Y23" i="37"/>
  <c r="AA23" i="37"/>
  <c r="AC23" i="37"/>
  <c r="AE23" i="37"/>
  <c r="AG23" i="37"/>
  <c r="AI23" i="37"/>
  <c r="AK23" i="37"/>
  <c r="AM23" i="37"/>
  <c r="AO23" i="37"/>
  <c r="AQ23" i="37"/>
  <c r="AS23" i="37"/>
  <c r="AU23" i="37"/>
  <c r="AW23" i="37"/>
  <c r="AY23" i="37"/>
  <c r="BA23" i="37"/>
  <c r="BC23" i="37"/>
  <c r="BE23" i="37"/>
  <c r="B24" i="37"/>
  <c r="D24" i="37"/>
  <c r="H24" i="37"/>
  <c r="J24" i="37"/>
  <c r="K24" i="37"/>
  <c r="M24" i="37"/>
  <c r="O24" i="37"/>
  <c r="Q24" i="37"/>
  <c r="S24" i="37"/>
  <c r="U24" i="37"/>
  <c r="W24" i="37"/>
  <c r="Y24" i="37"/>
  <c r="AA24" i="37"/>
  <c r="AC24" i="37"/>
  <c r="AE24" i="37"/>
  <c r="AG24" i="37"/>
  <c r="AI24" i="37"/>
  <c r="AK24" i="37"/>
  <c r="AM24" i="37"/>
  <c r="AO24" i="37"/>
  <c r="AQ24" i="37"/>
  <c r="AS24" i="37"/>
  <c r="AU24" i="37"/>
  <c r="AW24" i="37"/>
  <c r="AY24" i="37"/>
  <c r="BA24" i="37"/>
  <c r="BC24" i="37"/>
  <c r="BE24" i="37"/>
  <c r="B25" i="37"/>
  <c r="D25" i="37"/>
  <c r="H25" i="37"/>
  <c r="J25" i="37"/>
  <c r="K25" i="37"/>
  <c r="M25" i="37"/>
  <c r="O25" i="37"/>
  <c r="Q25" i="37"/>
  <c r="S25" i="37"/>
  <c r="U25" i="37"/>
  <c r="W25" i="37"/>
  <c r="Y25" i="37"/>
  <c r="AA25" i="37"/>
  <c r="AC25" i="37"/>
  <c r="AE25" i="37"/>
  <c r="AG25" i="37"/>
  <c r="AI25" i="37"/>
  <c r="AK25" i="37"/>
  <c r="AM25" i="37"/>
  <c r="AO25" i="37"/>
  <c r="AQ25" i="37"/>
  <c r="AS25" i="37"/>
  <c r="AU25" i="37"/>
  <c r="AW25" i="37"/>
  <c r="AY25" i="37"/>
  <c r="BA25" i="37"/>
  <c r="BC25" i="37"/>
  <c r="BE25" i="37"/>
  <c r="B26" i="37"/>
  <c r="D26" i="37"/>
  <c r="H26" i="37"/>
  <c r="J26" i="37"/>
  <c r="K26" i="37"/>
  <c r="M26" i="37"/>
  <c r="O26" i="37"/>
  <c r="Q26" i="37"/>
  <c r="S26" i="37"/>
  <c r="U26" i="37"/>
  <c r="W26" i="37"/>
  <c r="Y26" i="37"/>
  <c r="AA26" i="37"/>
  <c r="AC26" i="37"/>
  <c r="AE26" i="37"/>
  <c r="AG26" i="37"/>
  <c r="AI26" i="37"/>
  <c r="AK26" i="37"/>
  <c r="AM26" i="37"/>
  <c r="AO26" i="37"/>
  <c r="AQ26" i="37"/>
  <c r="AS26" i="37"/>
  <c r="AU26" i="37"/>
  <c r="AW26" i="37"/>
  <c r="AY26" i="37"/>
  <c r="BA26" i="37"/>
  <c r="BC26" i="37"/>
  <c r="BE26" i="37"/>
  <c r="B27" i="37"/>
  <c r="D27" i="37"/>
  <c r="H27" i="37"/>
  <c r="K27" i="37"/>
  <c r="M27" i="37"/>
  <c r="O27" i="37"/>
  <c r="Q27" i="37"/>
  <c r="S27" i="37"/>
  <c r="U27" i="37"/>
  <c r="W27" i="37"/>
  <c r="Y27" i="37"/>
  <c r="AA27" i="37"/>
  <c r="AC27" i="37"/>
  <c r="AE27" i="37"/>
  <c r="AG27" i="37"/>
  <c r="AI27" i="37"/>
  <c r="AK27" i="37"/>
  <c r="AM27" i="37"/>
  <c r="AO27" i="37"/>
  <c r="AQ27" i="37"/>
  <c r="AS27" i="37"/>
  <c r="AU27" i="37"/>
  <c r="AW27" i="37"/>
  <c r="AY27" i="37"/>
  <c r="BC27" i="37"/>
  <c r="BE27" i="37"/>
  <c r="C6" i="37" l="1"/>
  <c r="C7" i="37"/>
  <c r="C8" i="37"/>
  <c r="C9" i="37"/>
  <c r="C10" i="37"/>
  <c r="C13" i="37"/>
  <c r="C19" i="37"/>
  <c r="C20" i="37"/>
  <c r="C21" i="37"/>
  <c r="C22" i="37"/>
  <c r="C23" i="37"/>
  <c r="C24" i="37"/>
  <c r="C25" i="37"/>
  <c r="C26" i="37"/>
  <c r="C27" i="37"/>
  <c r="C28" i="37"/>
  <c r="C29" i="37"/>
  <c r="C30" i="37"/>
  <c r="C31" i="37"/>
  <c r="C32" i="37"/>
  <c r="C33" i="37"/>
  <c r="C34" i="37"/>
  <c r="C35" i="37"/>
  <c r="C39" i="37"/>
  <c r="C40" i="37"/>
  <c r="C42" i="37"/>
  <c r="F6" i="37"/>
  <c r="F7" i="37"/>
  <c r="F8" i="37"/>
  <c r="F9" i="37"/>
  <c r="F13" i="37"/>
  <c r="F19" i="37"/>
  <c r="F20" i="37"/>
  <c r="F21" i="37"/>
  <c r="F22" i="37"/>
  <c r="F23" i="37"/>
  <c r="F24" i="37"/>
  <c r="F25" i="37"/>
  <c r="F26" i="37"/>
  <c r="F27" i="37"/>
  <c r="F28" i="37"/>
  <c r="F29" i="37"/>
  <c r="F30" i="37"/>
  <c r="F31" i="37"/>
  <c r="F32" i="37"/>
  <c r="F33" i="37"/>
  <c r="F34" i="37"/>
  <c r="F35" i="37"/>
  <c r="F39" i="37"/>
  <c r="F40" i="37"/>
  <c r="F42" i="37"/>
  <c r="U32" i="37"/>
  <c r="BA27" i="37"/>
  <c r="J27" i="37"/>
  <c r="J23" i="37"/>
  <c r="AC18" i="37"/>
  <c r="F18" i="37"/>
  <c r="M18" i="37"/>
  <c r="F12" i="37"/>
  <c r="G6" i="37"/>
  <c r="G7" i="37"/>
  <c r="G9" i="37"/>
  <c r="G19" i="37"/>
  <c r="G20" i="37"/>
  <c r="G21" i="37"/>
  <c r="G23" i="37"/>
  <c r="G27" i="37"/>
  <c r="G30" i="37"/>
  <c r="G34" i="37"/>
  <c r="G39" i="37"/>
  <c r="G13" i="37"/>
  <c r="G25" i="37"/>
  <c r="G29" i="37"/>
  <c r="G32" i="37"/>
  <c r="G35" i="37"/>
  <c r="G40" i="37"/>
  <c r="G8" i="37"/>
  <c r="G22" i="37"/>
  <c r="G26" i="37"/>
  <c r="G28" i="37"/>
  <c r="G24" i="37"/>
  <c r="B59" i="38"/>
  <c r="B58" i="38"/>
  <c r="B57" i="38"/>
  <c r="B56" i="38"/>
  <c r="C53" i="38"/>
  <c r="B53" i="38"/>
  <c r="C48" i="38"/>
  <c r="B48" i="38"/>
  <c r="C46" i="38"/>
  <c r="B43" i="38"/>
  <c r="J28" i="37"/>
  <c r="J30" i="37"/>
  <c r="AK31" i="37"/>
  <c r="AW32" i="37"/>
  <c r="U33" i="37"/>
  <c r="AG33" i="37"/>
  <c r="AK34" i="37"/>
  <c r="AO34" i="37"/>
  <c r="M35" i="37"/>
  <c r="U35" i="37"/>
  <c r="AG42" i="37"/>
  <c r="Q6" i="37"/>
  <c r="AO8" i="37"/>
  <c r="AK9" i="37"/>
  <c r="AO9" i="37"/>
  <c r="N10" i="37"/>
  <c r="AW10" i="37"/>
  <c r="BF10" i="37"/>
  <c r="AK12" i="37"/>
  <c r="N13" i="37"/>
  <c r="V13" i="37"/>
  <c r="Z13" i="37"/>
  <c r="AD13" i="37"/>
  <c r="AH13" i="37"/>
  <c r="AL13" i="37"/>
  <c r="AP13" i="37"/>
  <c r="AT13" i="37"/>
  <c r="AX13" i="37"/>
  <c r="BB13" i="37"/>
  <c r="BF13" i="37"/>
  <c r="L14" i="37"/>
  <c r="N14" i="37" s="1"/>
  <c r="T14" i="37"/>
  <c r="V14" i="37" s="1"/>
  <c r="X14" i="37"/>
  <c r="AB14" i="37"/>
  <c r="AF14" i="37"/>
  <c r="AH14" i="37" s="1"/>
  <c r="AJ14" i="37"/>
  <c r="AN14" i="37"/>
  <c r="AR14" i="37"/>
  <c r="AV14" i="37"/>
  <c r="AZ14" i="37"/>
  <c r="BD14" i="37"/>
  <c r="BF14" i="37" s="1"/>
  <c r="L15" i="37"/>
  <c r="N15" i="37" s="1"/>
  <c r="T15" i="37"/>
  <c r="X15" i="37"/>
  <c r="AB15" i="37"/>
  <c r="AF15" i="37"/>
  <c r="AJ15" i="37"/>
  <c r="AN15" i="37"/>
  <c r="AR15" i="37"/>
  <c r="AV15" i="37"/>
  <c r="AX15" i="37" s="1"/>
  <c r="AZ15" i="37"/>
  <c r="BD15" i="37"/>
  <c r="L16" i="37"/>
  <c r="T16" i="37"/>
  <c r="X16" i="37"/>
  <c r="AB16" i="37"/>
  <c r="AF16" i="37"/>
  <c r="AJ16" i="37"/>
  <c r="AN16" i="37"/>
  <c r="AR16" i="37"/>
  <c r="AV16" i="37"/>
  <c r="AZ16" i="37"/>
  <c r="BD16" i="37"/>
  <c r="N18" i="37"/>
  <c r="V18" i="37"/>
  <c r="Z18" i="37"/>
  <c r="AD18" i="37"/>
  <c r="AH18" i="37"/>
  <c r="AL18" i="37"/>
  <c r="AP18" i="37"/>
  <c r="AT18" i="37"/>
  <c r="AX18" i="37"/>
  <c r="BB18" i="37"/>
  <c r="BF18" i="37"/>
  <c r="E19" i="37"/>
  <c r="N19" i="37"/>
  <c r="V19" i="37"/>
  <c r="Z19" i="37"/>
  <c r="AD19" i="37"/>
  <c r="AH19" i="37"/>
  <c r="AL19" i="37"/>
  <c r="AP19" i="37"/>
  <c r="AT19" i="37"/>
  <c r="AX19" i="37"/>
  <c r="BB19" i="37"/>
  <c r="BF19" i="37"/>
  <c r="E20" i="37"/>
  <c r="N20" i="37"/>
  <c r="V20" i="37"/>
  <c r="Z20" i="37"/>
  <c r="AD20" i="37"/>
  <c r="AH20" i="37"/>
  <c r="AL20" i="37"/>
  <c r="AP20" i="37"/>
  <c r="AT20" i="37"/>
  <c r="AX20" i="37"/>
  <c r="BB20" i="37"/>
  <c r="BF20" i="37"/>
  <c r="N21" i="37"/>
  <c r="V21" i="37"/>
  <c r="Z21" i="37"/>
  <c r="AD21" i="37"/>
  <c r="AH21" i="37"/>
  <c r="AL21" i="37"/>
  <c r="AP21" i="37"/>
  <c r="AT21" i="37"/>
  <c r="AX21" i="37"/>
  <c r="BB21" i="37"/>
  <c r="BF21" i="37"/>
  <c r="C51" i="38"/>
  <c r="C50" i="38"/>
  <c r="B50" i="38"/>
  <c r="B51" i="38"/>
  <c r="U10" i="37"/>
  <c r="B46" i="38"/>
  <c r="C44" i="38"/>
  <c r="B44" i="38"/>
  <c r="J34" i="37"/>
  <c r="Y34" i="37"/>
  <c r="BA34" i="37"/>
  <c r="BA35" i="37"/>
  <c r="BE35" i="37"/>
  <c r="AK7" i="37"/>
  <c r="M9" i="37"/>
  <c r="Y9" i="37"/>
  <c r="AS9" i="37"/>
  <c r="M10" i="37"/>
  <c r="C52" i="38"/>
  <c r="B52" i="38"/>
  <c r="C49" i="38"/>
  <c r="B49" i="38"/>
  <c r="C47" i="38"/>
  <c r="B47" i="38"/>
  <c r="C45" i="38"/>
  <c r="B45" i="38"/>
  <c r="C42" i="38"/>
  <c r="B42" i="38"/>
  <c r="AO30" i="37"/>
  <c r="J32" i="37"/>
  <c r="M32" i="37"/>
  <c r="AC32" i="37"/>
  <c r="AS33" i="37"/>
  <c r="Q35" i="37"/>
  <c r="AK35" i="37"/>
  <c r="U39" i="37"/>
  <c r="U42" i="37"/>
  <c r="Y42" i="37"/>
  <c r="M6" i="37"/>
  <c r="AX7" i="37"/>
  <c r="AC8" i="37"/>
  <c r="Z10" i="37"/>
  <c r="AC10" i="37"/>
  <c r="AD10" i="37"/>
  <c r="AX10" i="37"/>
  <c r="AC12" i="37"/>
  <c r="AS12" i="37"/>
  <c r="AW12" i="37"/>
  <c r="Y12" i="37"/>
  <c r="C43" i="38"/>
  <c r="R13" i="37"/>
  <c r="P14" i="37"/>
  <c r="R18" i="37"/>
  <c r="R19" i="37"/>
  <c r="R20" i="37"/>
  <c r="R21" i="37"/>
  <c r="R12" i="37"/>
  <c r="R14" i="37"/>
  <c r="AB43" i="37"/>
  <c r="AF43" i="37"/>
  <c r="E22" i="37"/>
  <c r="J22" i="37"/>
  <c r="N22" i="37"/>
  <c r="R22" i="37"/>
  <c r="V22" i="37"/>
  <c r="Z22" i="37"/>
  <c r="AD22" i="37"/>
  <c r="AH22" i="37"/>
  <c r="AL22" i="37"/>
  <c r="AP22" i="37"/>
  <c r="AT22" i="37"/>
  <c r="AX22" i="37"/>
  <c r="BB22" i="37"/>
  <c r="BF22" i="37"/>
  <c r="E23" i="37"/>
  <c r="N23" i="37"/>
  <c r="R23" i="37"/>
  <c r="V23" i="37"/>
  <c r="Z23" i="37"/>
  <c r="AD23" i="37"/>
  <c r="AH23" i="37"/>
  <c r="AL23" i="37"/>
  <c r="AP23" i="37"/>
  <c r="AT23" i="37"/>
  <c r="AX23" i="37"/>
  <c r="BB23" i="37"/>
  <c r="BF23" i="37"/>
  <c r="E24" i="37"/>
  <c r="N24" i="37"/>
  <c r="R24" i="37"/>
  <c r="V24" i="37"/>
  <c r="Z24" i="37"/>
  <c r="AD24" i="37"/>
  <c r="AH24" i="37"/>
  <c r="AL24" i="37"/>
  <c r="AP24" i="37"/>
  <c r="AT24" i="37"/>
  <c r="AX24" i="37"/>
  <c r="BB24" i="37"/>
  <c r="BF24" i="37"/>
  <c r="E25" i="37"/>
  <c r="N25" i="37"/>
  <c r="R25" i="37"/>
  <c r="V25" i="37"/>
  <c r="Z25" i="37"/>
  <c r="AD25" i="37"/>
  <c r="AH25" i="37"/>
  <c r="AL25" i="37"/>
  <c r="AP25" i="37"/>
  <c r="AT25" i="37"/>
  <c r="AX25" i="37"/>
  <c r="BB25" i="37"/>
  <c r="BF25" i="37"/>
  <c r="E26" i="37"/>
  <c r="N26" i="37"/>
  <c r="R26" i="37"/>
  <c r="V26" i="37"/>
  <c r="Z26" i="37"/>
  <c r="AD26" i="37"/>
  <c r="AH26" i="37"/>
  <c r="AL26" i="37"/>
  <c r="AP26" i="37"/>
  <c r="AT26" i="37"/>
  <c r="AX26" i="37"/>
  <c r="BB26" i="37"/>
  <c r="BF26" i="37"/>
  <c r="E27" i="37"/>
  <c r="N27" i="37"/>
  <c r="R27" i="37"/>
  <c r="V27" i="37"/>
  <c r="Z27" i="37"/>
  <c r="AD27" i="37"/>
  <c r="AH27" i="37"/>
  <c r="AL27" i="37"/>
  <c r="AP27" i="37"/>
  <c r="AT27" i="37"/>
  <c r="AX27" i="37"/>
  <c r="BB27" i="37"/>
  <c r="BF27" i="37"/>
  <c r="AZ36" i="37"/>
  <c r="BD36" i="37"/>
  <c r="T37" i="37"/>
  <c r="G44" i="38" s="1"/>
  <c r="AB37" i="37"/>
  <c r="G46" i="38" s="1"/>
  <c r="AJ38" i="37"/>
  <c r="AR38" i="37"/>
  <c r="V39" i="37"/>
  <c r="AX39" i="37"/>
  <c r="N40" i="37"/>
  <c r="V40" i="37"/>
  <c r="AP40" i="37"/>
  <c r="AT40" i="37"/>
  <c r="AX40" i="37"/>
  <c r="T41" i="37"/>
  <c r="X41" i="37"/>
  <c r="AF41" i="37"/>
  <c r="E42" i="37"/>
  <c r="Z42" i="37"/>
  <c r="AD42" i="37"/>
  <c r="AH42" i="37"/>
  <c r="AN44" i="37"/>
  <c r="N6" i="37"/>
  <c r="R6" i="37"/>
  <c r="BB8" i="37"/>
  <c r="E9" i="37"/>
  <c r="J9" i="37"/>
  <c r="N9" i="37"/>
  <c r="H10" i="37"/>
  <c r="F10" i="37" s="1"/>
  <c r="G10" i="37" s="1"/>
  <c r="AS20" i="37"/>
  <c r="Y21" i="37"/>
  <c r="E28" i="37"/>
  <c r="J29" i="37"/>
  <c r="AH30" i="37"/>
  <c r="AX30" i="37"/>
  <c r="N32" i="37"/>
  <c r="Q32" i="37"/>
  <c r="R32" i="37"/>
  <c r="V32" i="37"/>
  <c r="AD32" i="37"/>
  <c r="AL32" i="37"/>
  <c r="AT32" i="37"/>
  <c r="E33" i="37"/>
  <c r="J33" i="37"/>
  <c r="N33" i="37"/>
  <c r="R33" i="37"/>
  <c r="V33" i="37"/>
  <c r="Z33" i="37"/>
  <c r="AD34" i="37"/>
  <c r="AS34" i="37"/>
  <c r="AT34" i="37"/>
  <c r="AW34" i="37"/>
  <c r="AX34" i="37"/>
  <c r="BB34" i="37"/>
  <c r="BF34" i="37"/>
  <c r="E35" i="37"/>
  <c r="J35" i="37"/>
  <c r="N35" i="37"/>
  <c r="V35" i="37"/>
  <c r="Z35" i="37"/>
  <c r="AC35" i="37"/>
  <c r="AD35" i="37"/>
  <c r="AL35" i="37"/>
  <c r="AP35" i="37"/>
  <c r="AS35" i="37"/>
  <c r="AT35" i="37"/>
  <c r="AX35" i="37"/>
  <c r="BB35" i="37"/>
  <c r="AF37" i="37"/>
  <c r="G47" i="38" s="1"/>
  <c r="AR37" i="37"/>
  <c r="G50" i="38" s="1"/>
  <c r="AZ37" i="37"/>
  <c r="G52" i="38" s="1"/>
  <c r="T38" i="37"/>
  <c r="AN38" i="37"/>
  <c r="E39" i="37"/>
  <c r="J39" i="37"/>
  <c r="M39" i="37"/>
  <c r="N39" i="37"/>
  <c r="R39" i="37"/>
  <c r="Z39" i="37"/>
  <c r="AC39" i="37"/>
  <c r="AD39" i="37"/>
  <c r="AO39" i="37"/>
  <c r="AP39" i="37"/>
  <c r="AS39" i="37"/>
  <c r="BB39" i="37"/>
  <c r="BE39" i="37"/>
  <c r="BF39" i="37"/>
  <c r="Q40" i="37"/>
  <c r="U40" i="37"/>
  <c r="Y40" i="37"/>
  <c r="Z40" i="37"/>
  <c r="AS40" i="37"/>
  <c r="BB40" i="37"/>
  <c r="AJ41" i="37"/>
  <c r="AN41" i="37"/>
  <c r="AV41" i="37"/>
  <c r="J42" i="37"/>
  <c r="M42" i="37"/>
  <c r="N42" i="37"/>
  <c r="R42" i="37"/>
  <c r="V42" i="37"/>
  <c r="AL42" i="37"/>
  <c r="AO42" i="37"/>
  <c r="AP42" i="37"/>
  <c r="AT42" i="37"/>
  <c r="BA42" i="37"/>
  <c r="T43" i="37"/>
  <c r="X43" i="37"/>
  <c r="AN43" i="37"/>
  <c r="AR43" i="37"/>
  <c r="AZ43" i="37"/>
  <c r="T44" i="37"/>
  <c r="X44" i="37"/>
  <c r="AB44" i="37"/>
  <c r="AF44" i="37"/>
  <c r="AJ44" i="37"/>
  <c r="AV44" i="37"/>
  <c r="AZ44" i="37"/>
  <c r="J6" i="37"/>
  <c r="V6" i="37"/>
  <c r="Y6" i="37"/>
  <c r="Z6" i="37"/>
  <c r="AD6" i="37"/>
  <c r="AG6" i="37"/>
  <c r="AH6" i="37"/>
  <c r="AK6" i="37"/>
  <c r="AL6" i="37"/>
  <c r="AO6" i="37"/>
  <c r="AP6" i="37"/>
  <c r="BF6" i="37"/>
  <c r="J7" i="37"/>
  <c r="N7" i="37"/>
  <c r="V7" i="37"/>
  <c r="Y7" i="37"/>
  <c r="Z7" i="37"/>
  <c r="AC7" i="37"/>
  <c r="AL7" i="37"/>
  <c r="AP7" i="37"/>
  <c r="BB7" i="37"/>
  <c r="BE7" i="37"/>
  <c r="BF7" i="37"/>
  <c r="R8" i="37"/>
  <c r="U8" i="37"/>
  <c r="V8" i="37"/>
  <c r="Y8" i="37"/>
  <c r="Z8" i="37"/>
  <c r="AL8" i="37"/>
  <c r="AP8" i="37"/>
  <c r="AS8" i="37"/>
  <c r="AX8" i="37"/>
  <c r="BE8" i="37"/>
  <c r="BF8" i="37"/>
  <c r="R9" i="37"/>
  <c r="U9" i="37"/>
  <c r="AD9" i="37"/>
  <c r="AL9" i="37"/>
  <c r="AT9" i="37"/>
  <c r="AX9" i="37"/>
  <c r="BB9" i="37"/>
  <c r="V10" i="37"/>
  <c r="Y10" i="37"/>
  <c r="AK10" i="37"/>
  <c r="AL10" i="37"/>
  <c r="AO10" i="37"/>
  <c r="AS10" i="37"/>
  <c r="BA10" i="37"/>
  <c r="BB10" i="37"/>
  <c r="J13" i="37"/>
  <c r="AG18" i="37"/>
  <c r="AO18" i="37"/>
  <c r="BE18" i="37"/>
  <c r="AG19" i="37"/>
  <c r="BA20" i="37"/>
  <c r="BA21" i="37"/>
  <c r="N28" i="37"/>
  <c r="AT6" i="37"/>
  <c r="AX6" i="37"/>
  <c r="BB6" i="37"/>
  <c r="BE6" i="37"/>
  <c r="E7" i="37"/>
  <c r="AD7" i="37"/>
  <c r="AH7" i="37"/>
  <c r="AT7" i="37"/>
  <c r="AW7" i="37"/>
  <c r="BA12" i="37"/>
  <c r="Q13" i="37"/>
  <c r="AW18" i="37"/>
  <c r="Q19" i="37"/>
  <c r="BA19" i="37"/>
  <c r="AK20" i="37"/>
  <c r="E21" i="37"/>
  <c r="Q28" i="37"/>
  <c r="R28" i="37"/>
  <c r="V28" i="37"/>
  <c r="N29" i="37"/>
  <c r="R29" i="37"/>
  <c r="V29" i="37"/>
  <c r="Z29" i="37"/>
  <c r="AD29" i="37"/>
  <c r="AH29" i="37"/>
  <c r="AL29" i="37"/>
  <c r="AP29" i="37"/>
  <c r="AT29" i="37"/>
  <c r="AX29" i="37"/>
  <c r="BB29" i="37"/>
  <c r="BF29" i="37"/>
  <c r="E30" i="37"/>
  <c r="BB30" i="37"/>
  <c r="BF30" i="37"/>
  <c r="M31" i="37"/>
  <c r="N31" i="37"/>
  <c r="R31" i="37"/>
  <c r="V31" i="37"/>
  <c r="Z31" i="37"/>
  <c r="AD31" i="37"/>
  <c r="AH31" i="37"/>
  <c r="AL31" i="37"/>
  <c r="AP31" i="37"/>
  <c r="AT31" i="37"/>
  <c r="AX31" i="37"/>
  <c r="BB31" i="37"/>
  <c r="BF31" i="37"/>
  <c r="E32" i="37"/>
  <c r="Z32" i="37"/>
  <c r="AX32" i="37"/>
  <c r="AD33" i="37"/>
  <c r="AH33" i="37"/>
  <c r="AL33" i="37"/>
  <c r="AP33" i="37"/>
  <c r="AT33" i="37"/>
  <c r="AX33" i="37"/>
  <c r="BB33" i="37"/>
  <c r="BF33" i="37"/>
  <c r="E34" i="37"/>
  <c r="N34" i="37"/>
  <c r="R34" i="37"/>
  <c r="V34" i="37"/>
  <c r="Z34" i="37"/>
  <c r="AG34" i="37"/>
  <c r="AH34" i="37"/>
  <c r="AL34" i="37"/>
  <c r="AP34" i="37"/>
  <c r="R35" i="37"/>
  <c r="AH35" i="37"/>
  <c r="BF35" i="37"/>
  <c r="L36" i="37"/>
  <c r="P36" i="37"/>
  <c r="T36" i="37"/>
  <c r="X36" i="37"/>
  <c r="AB36" i="37"/>
  <c r="AF36" i="37"/>
  <c r="AJ36" i="37"/>
  <c r="AN36" i="37"/>
  <c r="AR36" i="37"/>
  <c r="AV36" i="37"/>
  <c r="X37" i="37"/>
  <c r="G45" i="38" s="1"/>
  <c r="AJ37" i="37"/>
  <c r="G48" i="38" s="1"/>
  <c r="X38" i="37"/>
  <c r="AF38" i="37"/>
  <c r="AH39" i="37"/>
  <c r="AL39" i="37"/>
  <c r="AT39" i="37"/>
  <c r="E40" i="37"/>
  <c r="J40" i="37"/>
  <c r="AG40" i="37"/>
  <c r="R7" i="37"/>
  <c r="AG7" i="37"/>
  <c r="BA7" i="37"/>
  <c r="E8" i="37"/>
  <c r="J8" i="37"/>
  <c r="M8" i="37"/>
  <c r="N8" i="37"/>
  <c r="AD8" i="37"/>
  <c r="AH8" i="37"/>
  <c r="AT8" i="37"/>
  <c r="AW8" i="37"/>
  <c r="V9" i="37"/>
  <c r="Z9" i="37"/>
  <c r="AC9" i="37"/>
  <c r="AH9" i="37"/>
  <c r="AP9" i="37"/>
  <c r="BF9" i="37"/>
  <c r="Q10" i="37"/>
  <c r="R10" i="37"/>
  <c r="AG10" i="37"/>
  <c r="AH10" i="37"/>
  <c r="BE10" i="37"/>
  <c r="Q12" i="37"/>
  <c r="AG12" i="37"/>
  <c r="Z28" i="37"/>
  <c r="AD28" i="37"/>
  <c r="AH28" i="37"/>
  <c r="AL28" i="37"/>
  <c r="AP28" i="37"/>
  <c r="AT28" i="37"/>
  <c r="AX28" i="37"/>
  <c r="BB28" i="37"/>
  <c r="BF28" i="37"/>
  <c r="E29" i="37"/>
  <c r="N30" i="37"/>
  <c r="Q30" i="37"/>
  <c r="R30" i="37"/>
  <c r="U30" i="37"/>
  <c r="V30" i="37"/>
  <c r="Z30" i="37"/>
  <c r="AD30" i="37"/>
  <c r="AL30" i="37"/>
  <c r="AP30" i="37"/>
  <c r="AS30" i="37"/>
  <c r="AT30" i="37"/>
  <c r="BA30" i="37"/>
  <c r="E31" i="37"/>
  <c r="J31" i="37"/>
  <c r="AH32" i="37"/>
  <c r="AO32" i="37"/>
  <c r="AP32" i="37"/>
  <c r="BB32" i="37"/>
  <c r="BE32" i="37"/>
  <c r="BF32" i="37"/>
  <c r="AN37" i="37"/>
  <c r="G49" i="38" s="1"/>
  <c r="AV37" i="37"/>
  <c r="G51" i="38" s="1"/>
  <c r="BD37" i="37"/>
  <c r="G53" i="38" s="1"/>
  <c r="AB38" i="37"/>
  <c r="AV38" i="37"/>
  <c r="AZ38" i="37"/>
  <c r="BD38" i="37"/>
  <c r="R40" i="37"/>
  <c r="AD40" i="37"/>
  <c r="AH40" i="37"/>
  <c r="AK40" i="37"/>
  <c r="AL40" i="37"/>
  <c r="BA40" i="37"/>
  <c r="BF40" i="37"/>
  <c r="AB41" i="37"/>
  <c r="AR41" i="37"/>
  <c r="AZ41" i="37"/>
  <c r="BD41" i="37"/>
  <c r="AX42" i="37"/>
  <c r="BB42" i="37"/>
  <c r="BF42" i="37"/>
  <c r="AJ43" i="37"/>
  <c r="AV43" i="37"/>
  <c r="BD43" i="37"/>
  <c r="AR44" i="37"/>
  <c r="BD44" i="37"/>
  <c r="E6" i="37"/>
  <c r="Y19" i="37"/>
  <c r="G31" i="37" l="1"/>
  <c r="G33" i="37"/>
  <c r="G42" i="37"/>
  <c r="AD14" i="37"/>
  <c r="AL14" i="37"/>
  <c r="BB14" i="37"/>
  <c r="AT15" i="37"/>
  <c r="G18" i="37"/>
  <c r="G12" i="37"/>
  <c r="Z14" i="37"/>
  <c r="AP14" i="37"/>
  <c r="AT14" i="37"/>
  <c r="AX14" i="37"/>
  <c r="V15" i="37"/>
  <c r="Z15" i="37"/>
  <c r="AD15" i="37"/>
  <c r="AH15" i="37"/>
  <c r="AL15" i="37"/>
  <c r="AP15" i="37"/>
  <c r="BB15" i="37"/>
  <c r="BF15" i="37"/>
  <c r="H14" i="37"/>
  <c r="P15" i="37"/>
  <c r="I12" i="37"/>
  <c r="I35" i="37"/>
  <c r="I34" i="37"/>
  <c r="I33" i="37"/>
  <c r="I32" i="37"/>
  <c r="I31" i="37"/>
  <c r="I30" i="37"/>
  <c r="I29" i="37"/>
  <c r="I28" i="37"/>
  <c r="I27" i="37"/>
  <c r="I26" i="37"/>
  <c r="I25" i="37"/>
  <c r="I24" i="37"/>
  <c r="I23" i="37"/>
  <c r="I22" i="37"/>
  <c r="I21" i="37"/>
  <c r="I20" i="37"/>
  <c r="I19" i="37"/>
  <c r="I18" i="37"/>
  <c r="I13" i="37"/>
  <c r="I10" i="37"/>
  <c r="I9" i="37"/>
  <c r="I8" i="37"/>
  <c r="I6" i="37"/>
  <c r="I39" i="37"/>
  <c r="I7" i="37"/>
  <c r="B5" i="38"/>
  <c r="I40" i="37"/>
  <c r="I42" i="37"/>
  <c r="L37" i="37"/>
  <c r="G42" i="38" s="1"/>
  <c r="L41" i="37"/>
  <c r="L43" i="37" s="1"/>
  <c r="L44" i="37" s="1"/>
  <c r="AD43" i="37"/>
  <c r="AH43" i="37"/>
  <c r="BB36" i="37"/>
  <c r="BF36" i="37"/>
  <c r="V37" i="37"/>
  <c r="AD37" i="37"/>
  <c r="V41" i="37"/>
  <c r="Z41" i="37"/>
  <c r="AH41" i="37"/>
  <c r="J10" i="37"/>
  <c r="B6" i="38" s="1"/>
  <c r="AH37" i="37"/>
  <c r="AT37" i="37"/>
  <c r="BB37" i="37"/>
  <c r="AL41" i="37"/>
  <c r="AP41" i="37"/>
  <c r="AX41" i="37"/>
  <c r="V43" i="37"/>
  <c r="Z43" i="37"/>
  <c r="AP43" i="37"/>
  <c r="AT43" i="37"/>
  <c r="BB43" i="37"/>
  <c r="H36" i="37"/>
  <c r="N36" i="37"/>
  <c r="R36" i="37"/>
  <c r="V36" i="37"/>
  <c r="Z36" i="37"/>
  <c r="AD36" i="37"/>
  <c r="AH36" i="37"/>
  <c r="AL36" i="37"/>
  <c r="AP36" i="37"/>
  <c r="AT36" i="37"/>
  <c r="AX36" i="37"/>
  <c r="Z37" i="37"/>
  <c r="AL37" i="37"/>
  <c r="AP37" i="37"/>
  <c r="AX37" i="37"/>
  <c r="BF37" i="37"/>
  <c r="AD41" i="37"/>
  <c r="AT41" i="37"/>
  <c r="BB41" i="37"/>
  <c r="BF41" i="37"/>
  <c r="AL43" i="37"/>
  <c r="AX43" i="37"/>
  <c r="BF43" i="37"/>
  <c r="N37" i="37" l="1"/>
  <c r="I14" i="37"/>
  <c r="P16" i="37"/>
  <c r="H15" i="37"/>
  <c r="P37" i="37"/>
  <c r="R15" i="37"/>
  <c r="I36" i="37"/>
  <c r="L38" i="37"/>
  <c r="N41" i="37"/>
  <c r="N43" i="37"/>
  <c r="K5" i="38" l="1"/>
  <c r="I15" i="37"/>
  <c r="H16" i="37"/>
  <c r="H37" i="37"/>
  <c r="R37" i="37"/>
  <c r="P38" i="37"/>
  <c r="P41" i="37"/>
  <c r="G43" i="38"/>
  <c r="C62" i="38" l="1"/>
  <c r="H38" i="37"/>
  <c r="I37" i="37"/>
  <c r="E5" i="38"/>
  <c r="H41" i="37"/>
  <c r="R41" i="37"/>
  <c r="P43" i="37"/>
  <c r="C93" i="2"/>
  <c r="C92" i="2"/>
  <c r="C91" i="2"/>
  <c r="C90" i="2"/>
  <c r="P44" i="2"/>
  <c r="P42" i="2"/>
  <c r="P41" i="2"/>
  <c r="C42" i="2"/>
  <c r="C41" i="2"/>
  <c r="C36" i="2"/>
  <c r="C35" i="2"/>
  <c r="C34" i="2"/>
  <c r="C33" i="2"/>
  <c r="C32" i="2"/>
  <c r="C31" i="2"/>
  <c r="C30" i="2"/>
  <c r="C29" i="2"/>
  <c r="C28" i="2"/>
  <c r="C27" i="2"/>
  <c r="C26" i="2"/>
  <c r="C25" i="2"/>
  <c r="C24" i="2"/>
  <c r="C23" i="2"/>
  <c r="C22" i="2"/>
  <c r="C21" i="2"/>
  <c r="C20" i="2"/>
  <c r="C13" i="2"/>
  <c r="C63" i="38" l="1"/>
  <c r="I41" i="37"/>
  <c r="H43" i="37"/>
  <c r="R43" i="37"/>
  <c r="P44" i="37"/>
  <c r="P69" i="2"/>
  <c r="P70" i="2"/>
  <c r="P94" i="2"/>
  <c r="H44" i="37" l="1"/>
  <c r="I43" i="37"/>
  <c r="H5" i="38"/>
  <c r="C94" i="2"/>
  <c r="C70" i="2"/>
  <c r="C69" i="2"/>
  <c r="C64" i="38" l="1"/>
  <c r="O106" i="2" l="1"/>
  <c r="N106" i="2"/>
  <c r="M106" i="2"/>
  <c r="L106" i="2"/>
  <c r="K106" i="2"/>
  <c r="J106" i="2"/>
  <c r="I106" i="2"/>
  <c r="H106" i="2"/>
  <c r="G106" i="2"/>
  <c r="F106" i="2"/>
  <c r="E106" i="2"/>
  <c r="D106" i="2"/>
  <c r="O96" i="2"/>
  <c r="N96" i="2"/>
  <c r="M96" i="2"/>
  <c r="L96" i="2"/>
  <c r="K96" i="2"/>
  <c r="J96" i="2"/>
  <c r="I96" i="2"/>
  <c r="H96" i="2"/>
  <c r="G96" i="2"/>
  <c r="F96" i="2"/>
  <c r="E96" i="2"/>
  <c r="D96" i="2"/>
  <c r="O95" i="2"/>
  <c r="N95" i="2"/>
  <c r="M95" i="2"/>
  <c r="L95" i="2"/>
  <c r="K95" i="2"/>
  <c r="J95" i="2"/>
  <c r="I95" i="2"/>
  <c r="H95" i="2"/>
  <c r="G95" i="2"/>
  <c r="F95" i="2"/>
  <c r="E95" i="2"/>
  <c r="D95" i="2"/>
  <c r="P72" i="2"/>
  <c r="C72" i="2" l="1"/>
  <c r="R13" i="2"/>
  <c r="Q42" i="2" l="1"/>
  <c r="Q41" i="2"/>
  <c r="P27" i="2"/>
  <c r="Q27" i="2" s="1"/>
  <c r="F37" i="2"/>
  <c r="S36" i="37" s="1"/>
  <c r="U36" i="37" s="1"/>
  <c r="M14" i="2"/>
  <c r="AU14" i="37" s="1"/>
  <c r="AW14" i="37" s="1"/>
  <c r="L14" i="2"/>
  <c r="AQ14" i="37" s="1"/>
  <c r="AS14" i="37" s="1"/>
  <c r="E14" i="2"/>
  <c r="O14" i="37" s="1"/>
  <c r="Q14" i="37" s="1"/>
  <c r="D14" i="2"/>
  <c r="K14" i="37" s="1"/>
  <c r="N37" i="2"/>
  <c r="AY36" i="37" s="1"/>
  <c r="BA36" i="37" s="1"/>
  <c r="I14" i="2"/>
  <c r="AE14" i="37" s="1"/>
  <c r="AG14" i="37" s="1"/>
  <c r="H14" i="2"/>
  <c r="AA14" i="37" s="1"/>
  <c r="AC14" i="37" s="1"/>
  <c r="C9" i="2"/>
  <c r="M14" i="37" l="1"/>
  <c r="H37" i="2"/>
  <c r="AA36" i="37" s="1"/>
  <c r="AC36" i="37" s="1"/>
  <c r="P22" i="2"/>
  <c r="Q22" i="2" s="1"/>
  <c r="P25" i="2"/>
  <c r="Q25" i="2" s="1"/>
  <c r="P31" i="2"/>
  <c r="Q31" i="2" s="1"/>
  <c r="K37" i="2"/>
  <c r="AM36" i="37" s="1"/>
  <c r="AO36" i="37" s="1"/>
  <c r="P23" i="2"/>
  <c r="Q23" i="2" s="1"/>
  <c r="P35" i="2"/>
  <c r="Q35" i="2" s="1"/>
  <c r="P21" i="2"/>
  <c r="Q21" i="2" s="1"/>
  <c r="O37" i="2"/>
  <c r="BC36" i="37" s="1"/>
  <c r="BE36" i="37" s="1"/>
  <c r="B9" i="2"/>
  <c r="N14" i="2"/>
  <c r="AY14" i="37" s="1"/>
  <c r="BA14" i="37" s="1"/>
  <c r="J9" i="2"/>
  <c r="G9" i="2"/>
  <c r="P33" i="2"/>
  <c r="Q33" i="2" s="1"/>
  <c r="P34" i="2"/>
  <c r="Q34" i="2" s="1"/>
  <c r="B37" i="2"/>
  <c r="L9" i="2"/>
  <c r="L15" i="2" s="1"/>
  <c r="AQ15" i="37" s="1"/>
  <c r="AS15" i="37" s="1"/>
  <c r="H9" i="2"/>
  <c r="L37" i="2"/>
  <c r="AQ36" i="37" s="1"/>
  <c r="AS36" i="37" s="1"/>
  <c r="I37" i="2"/>
  <c r="AE36" i="37" s="1"/>
  <c r="AG36" i="37" s="1"/>
  <c r="B14" i="2"/>
  <c r="I9" i="2"/>
  <c r="I15" i="2" s="1"/>
  <c r="AE15" i="37" s="1"/>
  <c r="AG15" i="37" s="1"/>
  <c r="O9" i="2"/>
  <c r="P12" i="2"/>
  <c r="C12" i="2" s="1"/>
  <c r="G14" i="2"/>
  <c r="W14" i="37" s="1"/>
  <c r="Y14" i="37" s="1"/>
  <c r="O14" i="2"/>
  <c r="BC14" i="37" s="1"/>
  <c r="BE14" i="37" s="1"/>
  <c r="P8" i="2"/>
  <c r="Q8" i="2" s="1"/>
  <c r="E9" i="2"/>
  <c r="E15" i="2" s="1"/>
  <c r="P6" i="2"/>
  <c r="Q6" i="2" s="1"/>
  <c r="P26" i="2"/>
  <c r="Q26" i="2" s="1"/>
  <c r="P28" i="2"/>
  <c r="Q28" i="2" s="1"/>
  <c r="P36" i="2"/>
  <c r="Q36" i="2" s="1"/>
  <c r="K9" i="2"/>
  <c r="P7" i="2"/>
  <c r="Q7" i="2" s="1"/>
  <c r="M9" i="2"/>
  <c r="M15" i="2" s="1"/>
  <c r="AU15" i="37" s="1"/>
  <c r="AW15" i="37" s="1"/>
  <c r="E37" i="2"/>
  <c r="O36" i="37" s="1"/>
  <c r="Q36" i="37" s="1"/>
  <c r="M37" i="2"/>
  <c r="AU36" i="37" s="1"/>
  <c r="AW36" i="37" s="1"/>
  <c r="J37" i="2"/>
  <c r="AI36" i="37" s="1"/>
  <c r="AK36" i="37" s="1"/>
  <c r="P29" i="2"/>
  <c r="Q29" i="2" s="1"/>
  <c r="P30" i="2"/>
  <c r="Q30" i="2" s="1"/>
  <c r="G37" i="2"/>
  <c r="W36" i="37" s="1"/>
  <c r="Y36" i="37" s="1"/>
  <c r="P20" i="2"/>
  <c r="Q20" i="2" s="1"/>
  <c r="P19" i="2"/>
  <c r="C19" i="2" s="1"/>
  <c r="P24" i="2"/>
  <c r="Q24" i="2" s="1"/>
  <c r="P32" i="2"/>
  <c r="Q32" i="2" s="1"/>
  <c r="D37" i="2"/>
  <c r="K36" i="37" s="1"/>
  <c r="J14" i="2"/>
  <c r="AI14" i="37" s="1"/>
  <c r="AK14" i="37" s="1"/>
  <c r="K14" i="2"/>
  <c r="AM14" i="37" s="1"/>
  <c r="AO14" i="37" s="1"/>
  <c r="P13" i="2"/>
  <c r="F14" i="2"/>
  <c r="S14" i="37" s="1"/>
  <c r="H15" i="2"/>
  <c r="F9" i="2"/>
  <c r="N9" i="2"/>
  <c r="P5" i="2"/>
  <c r="Q5" i="2" s="1"/>
  <c r="D9" i="2"/>
  <c r="D15" i="2" s="1"/>
  <c r="K15" i="37" s="1"/>
  <c r="C37" i="2" l="1"/>
  <c r="D36" i="37" s="1"/>
  <c r="C36" i="37" s="1"/>
  <c r="D18" i="37"/>
  <c r="C18" i="37" s="1"/>
  <c r="M36" i="37"/>
  <c r="F36" i="37"/>
  <c r="G36" i="37" s="1"/>
  <c r="O15" i="2"/>
  <c r="BC15" i="37" s="1"/>
  <c r="BE15" i="37" s="1"/>
  <c r="H16" i="2"/>
  <c r="AA16" i="37" s="1"/>
  <c r="AA15" i="37"/>
  <c r="AC15" i="37" s="1"/>
  <c r="G15" i="2"/>
  <c r="F14" i="37"/>
  <c r="G14" i="37" s="1"/>
  <c r="U14" i="37"/>
  <c r="E16" i="2"/>
  <c r="O16" i="37" s="1"/>
  <c r="O15" i="37"/>
  <c r="Q15" i="37" s="1"/>
  <c r="Q12" i="2"/>
  <c r="C14" i="2"/>
  <c r="R12" i="2"/>
  <c r="D12" i="37"/>
  <c r="C12" i="37" s="1"/>
  <c r="M15" i="37"/>
  <c r="B15" i="2"/>
  <c r="B39" i="2" s="1"/>
  <c r="K15" i="2"/>
  <c r="J15" i="2"/>
  <c r="P101" i="2"/>
  <c r="P103" i="2"/>
  <c r="N15" i="2"/>
  <c r="L39" i="2"/>
  <c r="O16" i="2"/>
  <c r="BC16" i="37" s="1"/>
  <c r="O39" i="2"/>
  <c r="I16" i="2"/>
  <c r="AE16" i="37" s="1"/>
  <c r="I39" i="2"/>
  <c r="P100" i="2"/>
  <c r="P102" i="2"/>
  <c r="P104" i="2"/>
  <c r="M16" i="2"/>
  <c r="AU16" i="37" s="1"/>
  <c r="M39" i="2"/>
  <c r="E39" i="2"/>
  <c r="P9" i="2"/>
  <c r="P37" i="2"/>
  <c r="Q19" i="2"/>
  <c r="H39" i="2"/>
  <c r="P14" i="2"/>
  <c r="Q13" i="2"/>
  <c r="L16" i="2"/>
  <c r="AQ16" i="37" s="1"/>
  <c r="F15" i="2"/>
  <c r="S15" i="37" s="1"/>
  <c r="D39" i="2"/>
  <c r="K37" i="37" s="1"/>
  <c r="D16" i="2"/>
  <c r="K16" i="37" s="1"/>
  <c r="J36" i="37" l="1"/>
  <c r="E36" i="37"/>
  <c r="F57" i="38"/>
  <c r="J18" i="37"/>
  <c r="E18" i="37"/>
  <c r="O43" i="2"/>
  <c r="BC41" i="37" s="1"/>
  <c r="BE41" i="37" s="1"/>
  <c r="BC37" i="37"/>
  <c r="N39" i="2"/>
  <c r="AY15" i="37"/>
  <c r="BA15" i="37" s="1"/>
  <c r="M43" i="2"/>
  <c r="AU41" i="37" s="1"/>
  <c r="AW41" i="37" s="1"/>
  <c r="AU37" i="37"/>
  <c r="L40" i="2"/>
  <c r="AQ38" i="37" s="1"/>
  <c r="AQ37" i="37"/>
  <c r="K39" i="2"/>
  <c r="AM15" i="37"/>
  <c r="AO15" i="37" s="1"/>
  <c r="J16" i="2"/>
  <c r="AI16" i="37" s="1"/>
  <c r="AI15" i="37"/>
  <c r="AK15" i="37" s="1"/>
  <c r="I43" i="2"/>
  <c r="AE37" i="37"/>
  <c r="H40" i="2"/>
  <c r="AA38" i="37" s="1"/>
  <c r="AA37" i="37"/>
  <c r="W15" i="37"/>
  <c r="Y15" i="37" s="1"/>
  <c r="G16" i="2"/>
  <c r="W16" i="37" s="1"/>
  <c r="G39" i="2"/>
  <c r="U15" i="37"/>
  <c r="E43" i="2"/>
  <c r="O41" i="37" s="1"/>
  <c r="Q41" i="37" s="1"/>
  <c r="O37" i="37"/>
  <c r="C15" i="2"/>
  <c r="D14" i="37"/>
  <c r="C14" i="37" s="1"/>
  <c r="J12" i="37"/>
  <c r="E12" i="37"/>
  <c r="M37" i="37"/>
  <c r="F42" i="38"/>
  <c r="P106" i="2"/>
  <c r="P15" i="2"/>
  <c r="L43" i="2"/>
  <c r="N16" i="2"/>
  <c r="AY16" i="37" s="1"/>
  <c r="K16" i="2"/>
  <c r="AM16" i="37" s="1"/>
  <c r="B16" i="2"/>
  <c r="M40" i="2"/>
  <c r="AU38" i="37" s="1"/>
  <c r="J39" i="2"/>
  <c r="AI37" i="37" s="1"/>
  <c r="O40" i="2"/>
  <c r="BC38" i="37" s="1"/>
  <c r="E40" i="2"/>
  <c r="O38" i="37" s="1"/>
  <c r="I40" i="2"/>
  <c r="AE38" i="37" s="1"/>
  <c r="H43" i="2"/>
  <c r="B40" i="2"/>
  <c r="B43" i="2"/>
  <c r="B45" i="2" s="1"/>
  <c r="B46" i="2" s="1"/>
  <c r="K40" i="2"/>
  <c r="AM38" i="37" s="1"/>
  <c r="F39" i="2"/>
  <c r="S37" i="37" s="1"/>
  <c r="F16" i="2"/>
  <c r="S16" i="37" s="1"/>
  <c r="E45" i="2"/>
  <c r="D40" i="2"/>
  <c r="K38" i="37" s="1"/>
  <c r="D43" i="2"/>
  <c r="K41" i="37" s="1"/>
  <c r="O45" i="2" l="1"/>
  <c r="N40" i="2"/>
  <c r="AY38" i="37" s="1"/>
  <c r="M45" i="2"/>
  <c r="BE37" i="37"/>
  <c r="F53" i="38"/>
  <c r="Q15" i="2"/>
  <c r="O46" i="2"/>
  <c r="BC44" i="37" s="1"/>
  <c r="BC43" i="37"/>
  <c r="BE43" i="37" s="1"/>
  <c r="AY37" i="37"/>
  <c r="N43" i="2"/>
  <c r="F15" i="37"/>
  <c r="AW37" i="37"/>
  <c r="F51" i="38"/>
  <c r="M46" i="2"/>
  <c r="AU44" i="37" s="1"/>
  <c r="AU43" i="37"/>
  <c r="AW43" i="37" s="1"/>
  <c r="AS37" i="37"/>
  <c r="F50" i="38"/>
  <c r="L45" i="2"/>
  <c r="AQ41" i="37"/>
  <c r="AS41" i="37" s="1"/>
  <c r="AM37" i="37"/>
  <c r="K43" i="2"/>
  <c r="AK37" i="37"/>
  <c r="F48" i="38"/>
  <c r="AE41" i="37"/>
  <c r="AG41" i="37" s="1"/>
  <c r="I45" i="2"/>
  <c r="AG37" i="37"/>
  <c r="F47" i="38"/>
  <c r="AC37" i="37"/>
  <c r="F46" i="38"/>
  <c r="H45" i="2"/>
  <c r="AA41" i="37"/>
  <c r="AC41" i="37" s="1"/>
  <c r="W37" i="37"/>
  <c r="G43" i="2"/>
  <c r="G40" i="2"/>
  <c r="W38" i="37" s="1"/>
  <c r="U37" i="37"/>
  <c r="F44" i="38"/>
  <c r="Q37" i="37"/>
  <c r="F43" i="38"/>
  <c r="E46" i="2"/>
  <c r="O44" i="37" s="1"/>
  <c r="O43" i="37"/>
  <c r="Q43" i="37" s="1"/>
  <c r="C16" i="2"/>
  <c r="D16" i="37" s="1"/>
  <c r="D15" i="37"/>
  <c r="C15" i="37" s="1"/>
  <c r="C39" i="2"/>
  <c r="J14" i="37"/>
  <c r="F56" i="38"/>
  <c r="E14" i="37"/>
  <c r="P39" i="2"/>
  <c r="Q39" i="2" s="1"/>
  <c r="P16" i="2"/>
  <c r="M41" i="37"/>
  <c r="J43" i="2"/>
  <c r="J40" i="2"/>
  <c r="AI38" i="37" s="1"/>
  <c r="F43" i="2"/>
  <c r="F40" i="2"/>
  <c r="S38" i="37" s="1"/>
  <c r="D45" i="2"/>
  <c r="BA37" i="37" l="1"/>
  <c r="F52" i="38"/>
  <c r="AY41" i="37"/>
  <c r="BA41" i="37" s="1"/>
  <c r="N45" i="2"/>
  <c r="F16" i="37"/>
  <c r="G15" i="37"/>
  <c r="F37" i="37"/>
  <c r="AQ43" i="37"/>
  <c r="AS43" i="37" s="1"/>
  <c r="L46" i="2"/>
  <c r="AQ44" i="37" s="1"/>
  <c r="AO37" i="37"/>
  <c r="F49" i="38"/>
  <c r="AM41" i="37"/>
  <c r="AO41" i="37" s="1"/>
  <c r="K45" i="2"/>
  <c r="J45" i="2"/>
  <c r="AI41" i="37"/>
  <c r="AK41" i="37" s="1"/>
  <c r="AE43" i="37"/>
  <c r="AG43" i="37" s="1"/>
  <c r="I46" i="2"/>
  <c r="AE44" i="37" s="1"/>
  <c r="AA43" i="37"/>
  <c r="AC43" i="37" s="1"/>
  <c r="H46" i="2"/>
  <c r="AA44" i="37" s="1"/>
  <c r="Y37" i="37"/>
  <c r="F45" i="38"/>
  <c r="G45" i="2"/>
  <c r="W41" i="37"/>
  <c r="Y41" i="37" s="1"/>
  <c r="F45" i="2"/>
  <c r="S41" i="37"/>
  <c r="K6" i="38"/>
  <c r="B62" i="38"/>
  <c r="J15" i="37"/>
  <c r="E15" i="37"/>
  <c r="C40" i="2"/>
  <c r="D38" i="37" s="1"/>
  <c r="C43" i="2"/>
  <c r="D41" i="37" s="1"/>
  <c r="C41" i="37" s="1"/>
  <c r="D37" i="37"/>
  <c r="C37" i="37" s="1"/>
  <c r="P43" i="2"/>
  <c r="C44" i="2" s="1"/>
  <c r="P40" i="2"/>
  <c r="D46" i="2"/>
  <c r="K44" i="37" s="1"/>
  <c r="K43" i="37"/>
  <c r="Q44" i="2"/>
  <c r="P88" i="2"/>
  <c r="P81" i="2"/>
  <c r="P66" i="2"/>
  <c r="P63" i="2"/>
  <c r="P62" i="2"/>
  <c r="P61" i="2"/>
  <c r="P52" i="2"/>
  <c r="P54" i="2"/>
  <c r="P56" i="2"/>
  <c r="P57" i="2"/>
  <c r="P67" i="2"/>
  <c r="P53" i="2"/>
  <c r="P58" i="2"/>
  <c r="P60" i="2"/>
  <c r="P83" i="2"/>
  <c r="P84" i="2"/>
  <c r="P86" i="2"/>
  <c r="P85" i="2"/>
  <c r="P80" i="2"/>
  <c r="AY43" i="37" l="1"/>
  <c r="BA43" i="37" s="1"/>
  <c r="N46" i="2"/>
  <c r="AY44" i="37" s="1"/>
  <c r="G37" i="37"/>
  <c r="F38" i="37"/>
  <c r="AM43" i="37"/>
  <c r="AO43" i="37" s="1"/>
  <c r="K46" i="2"/>
  <c r="AM44" i="37" s="1"/>
  <c r="AI43" i="37"/>
  <c r="AK43" i="37" s="1"/>
  <c r="J46" i="2"/>
  <c r="AI44" i="37" s="1"/>
  <c r="W43" i="37"/>
  <c r="Y43" i="37" s="1"/>
  <c r="G46" i="2"/>
  <c r="W44" i="37" s="1"/>
  <c r="S43" i="37"/>
  <c r="U43" i="37" s="1"/>
  <c r="F46" i="2"/>
  <c r="S44" i="37" s="1"/>
  <c r="F41" i="37"/>
  <c r="G41" i="37" s="1"/>
  <c r="U41" i="37"/>
  <c r="E6" i="38"/>
  <c r="B63" i="38"/>
  <c r="J41" i="37"/>
  <c r="E41" i="37"/>
  <c r="J37" i="37"/>
  <c r="E37" i="37"/>
  <c r="F58" i="38"/>
  <c r="M43" i="37"/>
  <c r="C45" i="2"/>
  <c r="P45" i="2"/>
  <c r="P46" i="2" s="1"/>
  <c r="C61" i="2"/>
  <c r="C53" i="2"/>
  <c r="C66" i="2"/>
  <c r="C63" i="2"/>
  <c r="C58" i="2"/>
  <c r="C60" i="2"/>
  <c r="C62" i="2"/>
  <c r="C80" i="2"/>
  <c r="C67" i="2"/>
  <c r="C85" i="2"/>
  <c r="C57" i="2"/>
  <c r="C81" i="2"/>
  <c r="C86" i="2"/>
  <c r="C56" i="2"/>
  <c r="C88" i="2"/>
  <c r="C84" i="2"/>
  <c r="C54" i="2"/>
  <c r="C83" i="2"/>
  <c r="C52" i="2"/>
  <c r="P65" i="2"/>
  <c r="F43" i="37" l="1"/>
  <c r="C46" i="2"/>
  <c r="D44" i="37" s="1"/>
  <c r="D43" i="37"/>
  <c r="C43" i="37" s="1"/>
  <c r="C65" i="2"/>
  <c r="P95" i="2"/>
  <c r="C95" i="2"/>
  <c r="E97" i="2"/>
  <c r="N97" i="2"/>
  <c r="I97" i="2"/>
  <c r="K97" i="2"/>
  <c r="M97" i="2"/>
  <c r="L97" i="2"/>
  <c r="G97" i="2"/>
  <c r="O97" i="2"/>
  <c r="H97" i="2"/>
  <c r="J97" i="2"/>
  <c r="F97" i="2"/>
  <c r="F44" i="37" l="1"/>
  <c r="G43" i="37"/>
  <c r="H6" i="38"/>
  <c r="B64" i="38"/>
  <c r="J43" i="37"/>
  <c r="E43" i="37"/>
  <c r="P78" i="2"/>
  <c r="C78" i="2" l="1"/>
  <c r="P77" i="2"/>
  <c r="P76" i="2"/>
  <c r="P75" i="2"/>
  <c r="C75" i="2" l="1"/>
  <c r="C76" i="2"/>
  <c r="C77" i="2"/>
  <c r="P74" i="2"/>
  <c r="D97" i="2"/>
  <c r="P96" i="2" l="1"/>
  <c r="C74" i="2"/>
  <c r="C96" i="2" s="1"/>
  <c r="C97" i="2" s="1"/>
  <c r="P97" i="2" l="1"/>
  <c r="P10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Abhishek Poduri</author>
  </authors>
  <commentList>
    <comment ref="L6" authorId="0" shapeId="0" xr:uid="{12581CC6-3A03-1845-A6E0-CEA99BC43563}">
      <text>
        <r>
          <rPr>
            <b/>
            <sz val="10"/>
            <color rgb="FF000000"/>
            <rFont val="Tahoma"/>
            <family val="2"/>
          </rPr>
          <t>Abhishek Poduri:</t>
        </r>
        <r>
          <rPr>
            <sz val="10"/>
            <color rgb="FF000000"/>
            <rFont val="Tahoma"/>
            <family val="2"/>
          </rPr>
          <t xml:space="preserve">
</t>
        </r>
        <r>
          <rPr>
            <sz val="10"/>
            <color rgb="FF000000"/>
            <rFont val="Tahoma"/>
            <family val="2"/>
          </rPr>
          <t>Actual = IP Revenue + IP Pharmacy. Source: Profit_and_Loss_Statement_FY27 April.xlsx, sheet PL_Consol, Apr-26 actual (col S)</t>
        </r>
      </text>
    </comment>
    <comment ref="P6" authorId="0" shapeId="0" xr:uid="{D272058F-8439-804C-8BF6-3BC955C4F479}">
      <text>
        <r>
          <rPr>
            <b/>
            <sz val="10"/>
            <color rgb="FF000000"/>
            <rFont val="Tahoma"/>
            <family val="2"/>
          </rPr>
          <t>Abhishek Poduri:</t>
        </r>
        <r>
          <rPr>
            <sz val="10"/>
            <color rgb="FF000000"/>
            <rFont val="Tahoma"/>
            <family val="2"/>
          </rPr>
          <t xml:space="preserve">
Abhishek Poduri:
Actual = IP Revenue + IP Pharmacy. Source: Profit_and_Loss_Statement_FY27 May 26.xlsx, sheet PL_Consol, May-26 actual (col T)</t>
        </r>
      </text>
    </comment>
    <comment ref="L7" authorId="0" shapeId="0" xr:uid="{DD556D3A-D830-B042-90EB-7341B2E92CC0}">
      <text>
        <r>
          <rPr>
            <b/>
            <sz val="10"/>
            <color rgb="FF000000"/>
            <rFont val="Tahoma"/>
            <family val="2"/>
          </rPr>
          <t>Abhishek Poduri:</t>
        </r>
        <r>
          <rPr>
            <sz val="10"/>
            <color rgb="FF000000"/>
            <rFont val="Tahoma"/>
            <family val="2"/>
          </rPr>
          <t xml:space="preserve">
</t>
        </r>
        <r>
          <rPr>
            <sz val="10"/>
            <color rgb="FF000000"/>
            <rFont val="Tahoma"/>
            <family val="2"/>
          </rPr>
          <t>Actual = OP Revenue + OP Pharmacy + Ayurveda. Source: Profit_and_Loss_Statement_FY27 April.xlsx, PL_Consol, Apr-26 (col S)</t>
        </r>
      </text>
    </comment>
    <comment ref="P7" authorId="0" shapeId="0" xr:uid="{D56E8A05-3E0E-3448-8B11-B6913E02591F}">
      <text>
        <r>
          <rPr>
            <b/>
            <sz val="10"/>
            <color rgb="FF000000"/>
            <rFont val="Tahoma"/>
            <family val="2"/>
          </rPr>
          <t>Abhishek Poduri:</t>
        </r>
        <r>
          <rPr>
            <sz val="10"/>
            <color rgb="FF000000"/>
            <rFont val="Tahoma"/>
            <family val="2"/>
          </rPr>
          <t xml:space="preserve">
</t>
        </r>
        <r>
          <rPr>
            <sz val="10"/>
            <color rgb="FF000000"/>
            <rFont val="Tahoma"/>
            <family val="2"/>
          </rPr>
          <t xml:space="preserve">Abhishek Poduri:
</t>
        </r>
        <r>
          <rPr>
            <sz val="10"/>
            <color rgb="FF000000"/>
            <rFont val="Tahoma"/>
            <family val="2"/>
          </rPr>
          <t>Actual = OP Revenue + OP Pharmacy + Ayurveda. Source: Profit_and_Loss_Statement_FY27 May 26.xlsx, PL_Consol, May-26 (col T)</t>
        </r>
      </text>
    </comment>
    <comment ref="L12" authorId="0" shapeId="0" xr:uid="{A05445CD-3667-A645-8AFB-B6986E034553}">
      <text>
        <r>
          <rPr>
            <b/>
            <sz val="10"/>
            <color rgb="FF000000"/>
            <rFont val="Tahoma"/>
            <family val="2"/>
          </rPr>
          <t>Abhishek Poduri:</t>
        </r>
        <r>
          <rPr>
            <sz val="10"/>
            <color rgb="FF000000"/>
            <rFont val="Tahoma"/>
            <family val="2"/>
          </rPr>
          <t xml:space="preserve">
</t>
        </r>
        <r>
          <rPr>
            <sz val="10"/>
            <color rgb="FF000000"/>
            <rFont val="Tahoma"/>
            <family val="2"/>
          </rPr>
          <t>Material Cost. Source: Profit_and_Loss_Statement_FY27 April.xlsx, PL_Consol, Apr-26 (col S)</t>
        </r>
      </text>
    </comment>
    <comment ref="P12" authorId="0" shapeId="0" xr:uid="{A4089A7E-E5E2-C943-B9FF-B65FC20D03E6}">
      <text>
        <r>
          <rPr>
            <b/>
            <sz val="10"/>
            <color rgb="FF000000"/>
            <rFont val="Tahoma"/>
            <family val="2"/>
          </rPr>
          <t>Abhishek Poduri:</t>
        </r>
        <r>
          <rPr>
            <sz val="10"/>
            <color rgb="FF000000"/>
            <rFont val="Tahoma"/>
            <family val="2"/>
          </rPr>
          <t xml:space="preserve">
</t>
        </r>
        <r>
          <rPr>
            <sz val="10"/>
            <color rgb="FF000000"/>
            <rFont val="Tahoma"/>
            <family val="2"/>
          </rPr>
          <t xml:space="preserve">Abhishek Poduri:
</t>
        </r>
        <r>
          <rPr>
            <sz val="10"/>
            <color rgb="FF000000"/>
            <rFont val="Tahoma"/>
            <family val="2"/>
          </rPr>
          <t>Material Cost. Source: Profit_and_Loss_Statement_FY27 May 26.xlsx, PL_Consol, May-26 (col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Abhishek Poduri</author>
    <author>USER</author>
  </authors>
  <commentList>
    <comment ref="L12" authorId="0" shapeId="0" xr:uid="{E95C585C-A663-0A42-92EC-91E8A4F2B571}">
      <text>
        <r>
          <rPr>
            <b/>
            <sz val="10"/>
            <color rgb="FF000000"/>
            <rFont val="Tahoma"/>
            <family val="2"/>
          </rPr>
          <t>Abhishek Poduri:</t>
        </r>
        <r>
          <rPr>
            <sz val="10"/>
            <color rgb="FF000000"/>
            <rFont val="Tahoma"/>
            <family val="2"/>
          </rPr>
          <t xml:space="preserve">
Material cost replanned to 26.5% of FY27 revenue (from 27.37%). Each month scaled x0.96837 to preserve seasonality. Basis: AOP revision.</t>
        </r>
      </text>
    </comment>
    <comment ref="L19" authorId="0" shapeId="0" xr:uid="{AA617294-F624-2A4F-86B8-196B70D9AEFF}">
      <text>
        <r>
          <rPr>
            <b/>
            <sz val="10"/>
            <color rgb="FF000000"/>
            <rFont val="Tahoma"/>
            <family val="2"/>
          </rPr>
          <t>Abhishek Poduri:</t>
        </r>
        <r>
          <rPr>
            <sz val="10"/>
            <color rgb="FF000000"/>
            <rFont val="Tahoma"/>
            <family val="2"/>
          </rPr>
          <t xml:space="preserve">
Manpower reduced by ₹250 L (₹2.5 cr) p.a. vs prior plan, spread evenly across 12 months. Basis: AOP revision.</t>
        </r>
      </text>
    </comment>
    <comment ref="A97" authorId="1" shapeId="0" xr:uid="{3138B814-D622-4CA9-B53C-A6FF0C5EF1CD}">
      <text>
        <r>
          <rPr>
            <b/>
            <sz val="9"/>
            <color indexed="81"/>
            <rFont val="Tahoma"/>
            <family val="2"/>
          </rPr>
          <t>USER:</t>
        </r>
        <r>
          <rPr>
            <sz val="9"/>
            <color indexed="81"/>
            <rFont val="Tahoma"/>
            <family val="2"/>
          </rPr>
          <t xml:space="preserve">
Gross uplift only: sum of revenue initiatives (row 95) + cost-saving initiatives (row 96). NOT comparable to P&amp;L EBITDA. To reconcile to net EBITDA contribution, deduct incremental opex in rows 100-104 (Marketing, Professional Fee, Employee, Doctor, R&amp;M). Net contribution shown in P107.</t>
        </r>
      </text>
    </comment>
  </commentList>
</comments>
</file>

<file path=xl/sharedStrings.xml><?xml version="1.0" encoding="utf-8"?>
<sst xmlns="http://schemas.openxmlformats.org/spreadsheetml/2006/main" count="322" uniqueCount="208">
  <si>
    <t>REVENUE — PRICING &amp; YIELD</t>
  </si>
  <si>
    <t>R-01</t>
  </si>
  <si>
    <t>Apr-26</t>
  </si>
  <si>
    <t>R-02</t>
  </si>
  <si>
    <t>R-03</t>
  </si>
  <si>
    <t>REVENUE — NETWORK EXPANSION</t>
  </si>
  <si>
    <t>R-04</t>
  </si>
  <si>
    <t>May-26</t>
  </si>
  <si>
    <t>R-05</t>
  </si>
  <si>
    <t>R-06</t>
  </si>
  <si>
    <t>REVENUE — REFERRAL DEVELOPMENT</t>
  </si>
  <si>
    <t>R-07</t>
  </si>
  <si>
    <t>R-08</t>
  </si>
  <si>
    <t>R-09</t>
  </si>
  <si>
    <t>R-10</t>
  </si>
  <si>
    <t>REVENUE — HIGH-VALUE SERVICES</t>
  </si>
  <si>
    <t>R-11</t>
  </si>
  <si>
    <t>R-12</t>
  </si>
  <si>
    <t>R-13</t>
  </si>
  <si>
    <t>R-14</t>
  </si>
  <si>
    <t>Sep-26</t>
  </si>
  <si>
    <t>R-15</t>
  </si>
  <si>
    <t>C-01</t>
  </si>
  <si>
    <t>C-02</t>
  </si>
  <si>
    <t>C-03</t>
  </si>
  <si>
    <t>C-04</t>
  </si>
  <si>
    <t>Jun-26</t>
  </si>
  <si>
    <t>C-05</t>
  </si>
  <si>
    <t>C-06</t>
  </si>
  <si>
    <t>C-07</t>
  </si>
  <si>
    <t>COST — PAYROLL</t>
  </si>
  <si>
    <t>C-08</t>
  </si>
  <si>
    <t>C-09</t>
  </si>
  <si>
    <t>C-10</t>
  </si>
  <si>
    <t>C-11</t>
  </si>
  <si>
    <t>COST — MISCELLANEOUS</t>
  </si>
  <si>
    <t>C-12</t>
  </si>
  <si>
    <t>CLINICAL EXCELLENCE</t>
  </si>
  <si>
    <t>CL-01</t>
  </si>
  <si>
    <t>CL-02</t>
  </si>
  <si>
    <t>CL-03</t>
  </si>
  <si>
    <t>CL-04</t>
  </si>
  <si>
    <t>CL-05</t>
  </si>
  <si>
    <t>VPS LAKESHORE HOSPITAL  —  MONTHLY PROFIT &amp; LOSS  |  FY 2026–27  (Annual Operating Plan — Single Growth Plan)</t>
  </si>
  <si>
    <t>P&amp;L Line</t>
  </si>
  <si>
    <t>FY26 Actual</t>
  </si>
  <si>
    <t>FY27 Plan</t>
  </si>
  <si>
    <t>Jul-26</t>
  </si>
  <si>
    <t>Aug-26</t>
  </si>
  <si>
    <t>Oct-26</t>
  </si>
  <si>
    <t>Nov-26</t>
  </si>
  <si>
    <t>Dec-26</t>
  </si>
  <si>
    <t>Jan-27</t>
  </si>
  <si>
    <t>Feb-27</t>
  </si>
  <si>
    <t>Mar-27</t>
  </si>
  <si>
    <t>FY27 Total</t>
  </si>
  <si>
    <t>REVENUE</t>
  </si>
  <si>
    <t>IP Revenue</t>
  </si>
  <si>
    <t>OP Revenue</t>
  </si>
  <si>
    <t>F&amp;B / VPS Gourmet</t>
  </si>
  <si>
    <t>Other Income</t>
  </si>
  <si>
    <t>Total Revenue</t>
  </si>
  <si>
    <t>VARIABLE COSTS</t>
  </si>
  <si>
    <t xml:space="preserve">  (-) Consumption / Drug &amp; Consumables</t>
  </si>
  <si>
    <t xml:space="preserve">  (-) Doctor Cost</t>
  </si>
  <si>
    <t>Total Variable Cost</t>
  </si>
  <si>
    <t>Contribution</t>
  </si>
  <si>
    <t xml:space="preserve">    Contribution Margin %</t>
  </si>
  <si>
    <t>FIXED COSTS</t>
  </si>
  <si>
    <t xml:space="preserve">  Employee Cost</t>
  </si>
  <si>
    <t xml:space="preserve">  Utilities &amp; Power</t>
  </si>
  <si>
    <t xml:space="preserve">  Lab Test Charges</t>
  </si>
  <si>
    <t xml:space="preserve">  Rent Paid</t>
  </si>
  <si>
    <t xml:space="preserve">  Repair &amp; Maintenance</t>
  </si>
  <si>
    <t xml:space="preserve">  Housekeeping</t>
  </si>
  <si>
    <t xml:space="preserve">  Security</t>
  </si>
  <si>
    <t xml:space="preserve">  Printing &amp; Stationery</t>
  </si>
  <si>
    <t xml:space="preserve">  Insurance</t>
  </si>
  <si>
    <t xml:space="preserve">  Rates &amp; Taxes</t>
  </si>
  <si>
    <t xml:space="preserve">  Professional Fee</t>
  </si>
  <si>
    <t xml:space="preserve">  Quality &amp; Infection</t>
  </si>
  <si>
    <t xml:space="preserve">  Bad Debts Provision</t>
  </si>
  <si>
    <t xml:space="preserve">  Marketing</t>
  </si>
  <si>
    <t xml:space="preserve">  Communication</t>
  </si>
  <si>
    <t xml:space="preserve">  Business Travel</t>
  </si>
  <si>
    <t xml:space="preserve">  Miscellaneous</t>
  </si>
  <si>
    <t xml:space="preserve">  CSR</t>
  </si>
  <si>
    <t>Total Fixed Cost</t>
  </si>
  <si>
    <t>EBITDA</t>
  </si>
  <si>
    <t xml:space="preserve">    EBITDA Margin %</t>
  </si>
  <si>
    <t xml:space="preserve">  (-) Depreciation</t>
  </si>
  <si>
    <t xml:space="preserve">  (-) Finance Cost</t>
  </si>
  <si>
    <t>PBT</t>
  </si>
  <si>
    <t xml:space="preserve">  (-) Tax @ 25.89%</t>
  </si>
  <si>
    <t>PAT</t>
  </si>
  <si>
    <t xml:space="preserve">    PAT Margin %</t>
  </si>
  <si>
    <t>Initiative</t>
  </si>
  <si>
    <t>Type</t>
  </si>
  <si>
    <t>Full-Year ₹L</t>
  </si>
  <si>
    <t>Total ₹L</t>
  </si>
  <si>
    <t>R-01 — Annual Rate Revision Policy</t>
  </si>
  <si>
    <t>Revenue uplift</t>
  </si>
  <si>
    <t>R-02 — Procedure Contribution Framework</t>
  </si>
  <si>
    <t>R-03 — Insurance Renegotiation &amp; Empanelment</t>
  </si>
  <si>
    <t>R-04 — Distributed Healthcare Network</t>
  </si>
  <si>
    <t>R-05 — Corporate Health Programme</t>
  </si>
  <si>
    <t>R-06 — Residential &amp; Community Outreach</t>
  </si>
  <si>
    <t>R-07 — International Medical Value Travel</t>
  </si>
  <si>
    <t>R-08 — Govt Scheme Empanelment</t>
  </si>
  <si>
    <t>R-09 — Scaled BD Organisation &amp; Referral</t>
  </si>
  <si>
    <t>R-10 — OP-IP Conversion &amp; Follow-Up</t>
  </si>
  <si>
    <t>R-11 — Dept Organic Growth Initiative</t>
  </si>
  <si>
    <t>R-12 — New Specialties &amp; Packages</t>
  </si>
  <si>
    <t>R-13 — Clinician Recruitment</t>
  </si>
  <si>
    <t>REVENUE — MARKETING</t>
  </si>
  <si>
    <t>R-14 — Quarterly Health Events</t>
  </si>
  <si>
    <t>R-15 — Patient Acquisition &amp; Digital</t>
  </si>
  <si>
    <t>COST — MATERIALS/COGS</t>
  </si>
  <si>
    <t>C-01 — Drug Brand Substitution</t>
  </si>
  <si>
    <t>Cost saving</t>
  </si>
  <si>
    <t>C-02 — Manufacturer Rate Contract</t>
  </si>
  <si>
    <t>C-03 — Distributor Consolidation</t>
  </si>
  <si>
    <t>C-04 — Surgical BOQ Standardisation</t>
  </si>
  <si>
    <t>C-05 — Inventory &amp; Wastage Control</t>
  </si>
  <si>
    <t>C-06 — Laundry Cost Reduction</t>
  </si>
  <si>
    <t>C-07 — AMC Renegotiation</t>
  </si>
  <si>
    <t>C-08 — Nursing Headcount Norm</t>
  </si>
  <si>
    <t>C-09 — Pharmacy Headcount Auto</t>
  </si>
  <si>
    <t>C-10 — PCS Reduction via EMR</t>
  </si>
  <si>
    <t>C-11 — Contract Staff Rebid</t>
  </si>
  <si>
    <t>CL-01 — Research &amp; Publications</t>
  </si>
  <si>
    <t>Clinical/Brand</t>
  </si>
  <si>
    <t>CL-02 — Patient Care &amp; Experience</t>
  </si>
  <si>
    <t>CL-03 — Academic Excellence &amp; Med Ed</t>
  </si>
  <si>
    <t>CL-04 — Rare &amp; Complex Care</t>
  </si>
  <si>
    <t>CL-05 — Awards &amp; Accreditations</t>
  </si>
  <si>
    <t>TOTAL REVENUE INITIATIVE IMPACT (₹L)</t>
  </si>
  <si>
    <t>TOTAL COST SAVING IMPACT (₹L)</t>
  </si>
  <si>
    <t>All figures ₹ Lakhs</t>
  </si>
  <si>
    <t>Marketing Cost</t>
  </si>
  <si>
    <t>Professional Fee</t>
  </si>
  <si>
    <t>Employee Cost</t>
  </si>
  <si>
    <t>Doctor Cost</t>
  </si>
  <si>
    <t>Repair &amp; Maintenance</t>
  </si>
  <si>
    <t>REVENUE —FINANCIAL INCOME</t>
  </si>
  <si>
    <t>R-16</t>
  </si>
  <si>
    <t>Additional Cost to create Revenue Impact, the effect of which has to be adjusted in the above to reach the EBITDA</t>
  </si>
  <si>
    <t>INITIATIVE CONTRIBUTION — Monthly Phased Impact (₹L)  |  How  revenue growth and cost savings are built up month-by-month</t>
  </si>
  <si>
    <t>R-16 — Cash Portfolio Optimisation &amp; Treasury Income</t>
  </si>
  <si>
    <t>GROSS INITIATIVE IMPACT — Revenue + Cost Savings (₹L)</t>
  </si>
  <si>
    <t>C-12 — Expense Analysis &amp; Discipline</t>
  </si>
  <si>
    <t>Plan</t>
  </si>
  <si>
    <t>Actual</t>
  </si>
  <si>
    <t>% Achv</t>
  </si>
  <si>
    <t>YTD FY27</t>
  </si>
  <si>
    <t>% Achieved</t>
  </si>
  <si>
    <t>VPS LAKESHORE — MONTHLY PERFORMANCE TRACKER  |  FY 2026–27</t>
  </si>
  <si>
    <t>All figures ₹ Lakhs   |   Plan linked from 'Monthly P&amp;L'   |   enter Actuals in blue columns   |   % Rev = line ÷ Total Revenue</t>
  </si>
  <si>
    <t>FY27 Plan % Rev</t>
  </si>
  <si>
    <t>YTD % Rev</t>
  </si>
  <si>
    <t>% Rev</t>
  </si>
  <si>
    <t>Contribution Margin %</t>
  </si>
  <si>
    <t>Utilities &amp; Power</t>
  </si>
  <si>
    <t>Lab Test Charges</t>
  </si>
  <si>
    <t>Rent Paid</t>
  </si>
  <si>
    <t>Housekeeping</t>
  </si>
  <si>
    <t>Security</t>
  </si>
  <si>
    <t>Printing &amp; Stationery</t>
  </si>
  <si>
    <t>Insurance</t>
  </si>
  <si>
    <t>Rates &amp; Taxes</t>
  </si>
  <si>
    <t>Quality &amp; Infection</t>
  </si>
  <si>
    <t>Bad Debts Provision</t>
  </si>
  <si>
    <t>Marketing</t>
  </si>
  <si>
    <t>Communication</t>
  </si>
  <si>
    <t>Business Travel</t>
  </si>
  <si>
    <t>Miscellaneous</t>
  </si>
  <si>
    <t>CSR</t>
  </si>
  <si>
    <t>EBITDA Margin %</t>
  </si>
  <si>
    <t>(-) Depreciation</t>
  </si>
  <si>
    <t>(-) Finance Cost</t>
  </si>
  <si>
    <t>(-) Tax @ 25.89%</t>
  </si>
  <si>
    <t>PAT Margin %</t>
  </si>
  <si>
    <t>Consumption / Drug &amp; Consumables</t>
  </si>
  <si>
    <t>VPS LAKESHORE — PERFORMANCE DASHBOARD  |  FY 2026–27</t>
  </si>
  <si>
    <t>All figures ₹ Lakhs   |   linked from 'Performance Tracker'   |   YTD = months with actuals entered</t>
  </si>
  <si>
    <t>TOTAL REVENUE (YTD)</t>
  </si>
  <si>
    <t>EBITDA (YTD)</t>
  </si>
  <si>
    <t>PAT (YTD)</t>
  </si>
  <si>
    <t>CONTRIBUTION (YTD)</t>
  </si>
  <si>
    <t>CHART DATA (linked to Performance Tracker)</t>
  </si>
  <si>
    <t>Month</t>
  </si>
  <si>
    <t>Revenue Plan</t>
  </si>
  <si>
    <t>Revenue Actual</t>
  </si>
  <si>
    <t>EBITDA Plan</t>
  </si>
  <si>
    <t>EBITDA Actual</t>
  </si>
  <si>
    <t>Revenue Mix (FY27 Plan)</t>
  </si>
  <si>
    <t>₹ Lakhs</t>
  </si>
  <si>
    <t>Revenue Allocation (FY27 Plan)</t>
  </si>
  <si>
    <t>Variable Cost</t>
  </si>
  <si>
    <t>Fixed Cost</t>
  </si>
  <si>
    <t>Margins</t>
  </si>
  <si>
    <t>YTD Actual</t>
  </si>
  <si>
    <t>Contribution %</t>
  </si>
  <si>
    <t>EBITDA %</t>
  </si>
  <si>
    <t>PAT %</t>
  </si>
  <si>
    <t>YTD Plan</t>
  </si>
  <si>
    <t>% Ach. vs YTD Plan</t>
  </si>
  <si>
    <t>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</si>
</sst>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
    <numFmt numFmtId="166" formatCode="0.0%"/>
    <numFmt numFmtId="167" formatCode="_ * #,##0.0_ ;_ * \-#,##0.0_ ;_ * &quot;-&quot;??_ ;_ @_ "/>
    <numFmt numFmtId="168" formatCode="\₹#,##0"/>
  </numFmts>
  <fonts count="37" x14ac:knownFonts="1">
    <font>
      <sz val="11"/>
      <color theme="1"/>
      <name val="Calibri"/>
      <family val="2"/>
      <scheme val="minor"/>
    </font>
    <font>
      <b/>
      <sz val="13"/>
      <color rgb="FFFFFFFF"/>
      <name val="Calibri"/>
      <family val="2"/>
    </font>
    <font>
      <i/>
      <sz val="8"/>
      <color rgb="FFFFFFFF"/>
      <name val="Calibri"/>
      <family val="2"/>
    </font>
    <font>
      <b/>
      <sz val="9"/>
      <color rgb="FFFFFFFF"/>
      <name val="Calibri"/>
      <family val="2"/>
    </font>
    <font>
      <b/>
      <sz val="8"/>
      <color rgb="FFFFFFFF"/>
      <name val="Calibri"/>
      <family val="2"/>
    </font>
    <font>
      <sz val="9"/>
      <color rgb="FF000000"/>
      <name val="Calibri"/>
      <family val="2"/>
    </font>
    <font>
      <b/>
      <sz val="9"/>
      <color rgb="FF000000"/>
      <name val="Calibri"/>
      <family val="2"/>
    </font>
    <font>
      <sz val="9"/>
      <color rgb="FF595959"/>
      <name val="Calibri"/>
      <family val="2"/>
    </font>
    <font>
      <b/>
      <sz val="9"/>
      <color rgb="FF1F3864"/>
      <name val="Calibri"/>
      <family val="2"/>
    </font>
    <font>
      <b/>
      <sz val="9"/>
      <color rgb="FF007820"/>
      <name val="Calibri"/>
      <family val="2"/>
    </font>
    <font>
      <b/>
      <sz val="10"/>
      <color rgb="FFFFFFFF"/>
      <name val="Calibri"/>
      <family val="2"/>
    </font>
    <font>
      <sz val="8"/>
      <color rgb="FF595959"/>
      <name val="Calibri"/>
      <family val="2"/>
    </font>
    <font>
      <sz val="9"/>
      <color rgb="FF1F3864"/>
      <name val="Calibri"/>
      <family val="2"/>
    </font>
    <font>
      <sz val="9"/>
      <color rgb="FF007820"/>
      <name val="Calibri"/>
      <family val="2"/>
    </font>
    <font>
      <b/>
      <sz val="9"/>
      <color rgb="FF595959"/>
      <name val="Calibri"/>
      <family val="2"/>
    </font>
    <font>
      <b/>
      <sz val="11"/>
      <color theme="1"/>
      <name val="Calibri"/>
      <family val="2"/>
      <scheme val="minor"/>
    </font>
    <font>
      <sz val="11"/>
      <color theme="1"/>
      <name val="Calibri"/>
      <family val="2"/>
      <scheme val="minor"/>
    </font>
    <font>
      <b/>
      <u/>
      <sz val="11"/>
      <color theme="1"/>
      <name val="Calibri"/>
      <family val="2"/>
      <scheme val="minor"/>
    </font>
    <font>
      <b/>
      <sz val="11"/>
      <color theme="0"/>
      <name val="Calibri"/>
      <family val="2"/>
      <scheme val="minor"/>
    </font>
    <font>
      <sz val="9"/>
      <color indexed="81"/>
      <name val="Tahoma"/>
      <family val="2"/>
    </font>
    <font>
      <b/>
      <sz val="9"/>
      <color indexed="81"/>
      <name val="Tahoma"/>
      <family val="2"/>
    </font>
    <font>
      <i/>
      <sz val="9"/>
      <color rgb="FFFFFFFF"/>
      <name val="Calibri"/>
      <family val="2"/>
      <scheme val="minor"/>
    </font>
    <font>
      <sz val="10"/>
      <color rgb="FF000000"/>
      <name val="Tahoma"/>
      <family val="2"/>
    </font>
    <font>
      <b/>
      <sz val="10"/>
      <color rgb="FF000000"/>
      <name val="Tahoma"/>
      <family val="2"/>
    </font>
    <font>
      <b/>
      <sz val="10"/>
      <color rgb="FFFFFFFF"/>
      <name val="Aptos"/>
    </font>
    <font>
      <sz val="10"/>
      <color theme="1"/>
      <name val="Aptos"/>
    </font>
    <font>
      <i/>
      <sz val="10"/>
      <color rgb="FFFFFFFF"/>
      <name val="Aptos"/>
    </font>
    <font>
      <sz val="10"/>
      <color rgb="FF0071B8"/>
      <name val="Aptos"/>
    </font>
    <font>
      <b/>
      <sz val="10"/>
      <color theme="1"/>
      <name val="Aptos"/>
    </font>
    <font>
      <b/>
      <sz val="10"/>
      <color rgb="FF0071B8"/>
      <name val="Aptos"/>
    </font>
    <font>
      <b/>
      <sz val="16"/>
      <color rgb="FFFFFFFF"/>
      <name val="Calibri"/>
      <family val="2"/>
      <scheme val="minor"/>
    </font>
    <font>
      <b/>
      <sz val="9"/>
      <color rgb="FFFFFFFF"/>
      <name val="Calibri"/>
      <family val="2"/>
      <scheme val="minor"/>
    </font>
    <font>
      <b/>
      <sz val="18"/>
      <color rgb="FF1F4E78"/>
      <name val="Calibri"/>
      <family val="2"/>
      <scheme val="minor"/>
    </font>
    <font>
      <sz val="8"/>
      <color rgb="FF444444"/>
      <name val="Calibri"/>
      <family val="2"/>
      <scheme val="minor"/>
    </font>
    <font>
      <b/>
      <sz val="9"/>
      <color rgb="FF808080"/>
      <name val="Calibri"/>
      <family val="2"/>
      <scheme val="minor"/>
    </font>
    <font>
      <sz val="10"/>
      <color rgb="FF000000"/>
      <name val="Aptos"/>
    </font>
    <font>
      <b/>
      <sz val="10"/>
      <color rgb="FF000000"/>
      <name val="Aptos"/>
    </font>
  </fonts>
  <fills count="23">
    <fill>
      <patternFill patternType="none"/>
    </fill>
    <fill>
      <patternFill patternType="gray125"/>
    </fill>
    <fill>
      <patternFill patternType="solid">
        <fgColor rgb="FF1F3864"/>
      </patternFill>
    </fill>
    <fill>
      <patternFill patternType="solid">
        <fgColor rgb="FF2E5F8A"/>
      </patternFill>
    </fill>
    <fill>
      <patternFill patternType="solid">
        <fgColor rgb="FFFFFFFF"/>
      </patternFill>
    </fill>
    <fill>
      <patternFill patternType="solid">
        <fgColor rgb="FFDEEAF1"/>
      </patternFill>
    </fill>
    <fill>
      <patternFill patternType="solid">
        <fgColor rgb="FF2E7A2E"/>
      </patternFill>
    </fill>
    <fill>
      <patternFill patternType="solid">
        <fgColor rgb="FFD9EAD3"/>
      </patternFill>
    </fill>
    <fill>
      <patternFill patternType="solid">
        <fgColor rgb="FF967220"/>
      </patternFill>
    </fill>
    <fill>
      <patternFill patternType="solid">
        <fgColor rgb="FFFFF8DC"/>
      </patternFill>
    </fill>
    <fill>
      <patternFill patternType="solid">
        <fgColor rgb="FFBDD7EE"/>
      </patternFill>
    </fill>
    <fill>
      <patternFill patternType="solid">
        <fgColor rgb="FF595959"/>
      </patternFill>
    </fill>
    <fill>
      <patternFill patternType="solid">
        <fgColor rgb="FFF2F8FC"/>
      </patternFill>
    </fill>
    <fill>
      <patternFill patternType="solid">
        <fgColor rgb="FFF2F2F2"/>
      </patternFill>
    </fill>
    <fill>
      <patternFill patternType="solid">
        <fgColor rgb="FFD5EDD5"/>
      </patternFill>
    </fill>
    <fill>
      <patternFill patternType="solid">
        <fgColor rgb="FFA5A5A5"/>
      </patternFill>
    </fill>
    <fill>
      <patternFill patternType="solid">
        <fgColor rgb="FF9F003A"/>
        <bgColor indexed="64"/>
      </patternFill>
    </fill>
    <fill>
      <patternFill patternType="solid">
        <fgColor rgb="FF0071B8"/>
        <bgColor indexed="64"/>
      </patternFill>
    </fill>
    <fill>
      <patternFill patternType="solid">
        <fgColor rgb="FF1F4E78"/>
        <bgColor indexed="64"/>
      </patternFill>
    </fill>
    <fill>
      <patternFill patternType="solid">
        <fgColor rgb="FF2E75B6"/>
        <bgColor indexed="64"/>
      </patternFill>
    </fill>
    <fill>
      <patternFill patternType="solid">
        <fgColor rgb="FFDDEBF7"/>
        <bgColor indexed="64"/>
      </patternFill>
    </fill>
    <fill>
      <patternFill patternType="solid">
        <fgColor rgb="FFD9D9D9"/>
        <bgColor indexed="64"/>
      </patternFill>
    </fill>
    <fill>
      <patternFill patternType="solid">
        <fgColor rgb="FFFCE4D6"/>
        <bgColor indexed="64"/>
      </patternFill>
    </fill>
  </fills>
  <borders count="45">
    <border>
      <left/>
      <right/>
      <top/>
      <bottom/>
      <diagonal/>
    </border>
    <border>
      <left style="double">
        <color rgb="FF3F3F3F"/>
      </left>
      <right style="double">
        <color rgb="FF3F3F3F"/>
      </right>
      <top style="double">
        <color rgb="FF3F3F3F"/>
      </top>
      <bottom style="double">
        <color rgb="FF3F3F3F"/>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rgb="FF404040"/>
      </left>
      <right style="thin">
        <color rgb="FFD9D9D9"/>
      </right>
      <top/>
      <bottom style="thin">
        <color rgb="FFD9D9D9"/>
      </bottom>
      <diagonal/>
    </border>
    <border>
      <left style="medium">
        <color rgb="FF404040"/>
      </left>
      <right/>
      <top/>
      <bottom/>
      <diagonal/>
    </border>
    <border>
      <left style="medium">
        <color rgb="FF404040"/>
      </left>
      <right style="thin">
        <color rgb="FFD9D9D9"/>
      </right>
      <top style="thin">
        <color rgb="FFD9D9D9"/>
      </top>
      <bottom style="thin">
        <color rgb="FFD9D9D9"/>
      </bottom>
      <diagonal/>
    </border>
    <border>
      <left/>
      <right style="medium">
        <color rgb="FF404040"/>
      </right>
      <top/>
      <bottom/>
      <diagonal/>
    </border>
    <border>
      <left style="thin">
        <color rgb="FFD9D9D9"/>
      </left>
      <right style="medium">
        <color rgb="FF404040"/>
      </right>
      <top style="thin">
        <color rgb="FFD9D9D9"/>
      </top>
      <bottom style="thin">
        <color rgb="FFD9D9D9"/>
      </bottom>
      <diagonal/>
    </border>
    <border>
      <left style="thin">
        <color rgb="FFD9D9D9"/>
      </left>
      <right style="medium">
        <color rgb="FF404040"/>
      </right>
      <top/>
      <bottom style="thin">
        <color rgb="FFD9D9D9"/>
      </bottom>
      <diagonal/>
    </border>
    <border>
      <left style="thin">
        <color rgb="FFD9D9D9"/>
      </left>
      <right style="medium">
        <color rgb="FF404040"/>
      </right>
      <top style="medium">
        <color rgb="FF404040"/>
      </top>
      <bottom style="thin">
        <color rgb="FFD9D9D9"/>
      </bottom>
      <diagonal/>
    </border>
    <border>
      <left style="thin">
        <color rgb="FFD9D9D9"/>
      </left>
      <right/>
      <top style="medium">
        <color rgb="FF404040"/>
      </top>
      <bottom style="thin">
        <color rgb="FFD9D9D9"/>
      </bottom>
      <diagonal/>
    </border>
    <border>
      <left style="medium">
        <color rgb="FF404040"/>
      </left>
      <right style="thin">
        <color rgb="FFD9D9D9"/>
      </right>
      <top style="medium">
        <color rgb="FF404040"/>
      </top>
      <bottom style="thin">
        <color rgb="FFD9D9D9"/>
      </bottom>
      <diagonal/>
    </border>
    <border>
      <left style="thin">
        <color rgb="FFD9D9D9"/>
      </left>
      <right style="thin">
        <color rgb="FFD9D9D9"/>
      </right>
      <top style="medium">
        <color rgb="FF404040"/>
      </top>
      <bottom style="thin">
        <color rgb="FFD9D9D9"/>
      </bottom>
      <diagonal/>
    </border>
    <border>
      <left style="medium">
        <color rgb="FF404040"/>
      </left>
      <right style="thin">
        <color rgb="FFD9D9D9"/>
      </right>
      <top style="thin">
        <color rgb="FFD9D9D9"/>
      </top>
      <bottom/>
      <diagonal/>
    </border>
    <border>
      <left style="thin">
        <color rgb="FFD9D9D9"/>
      </left>
      <right style="medium">
        <color rgb="FF404040"/>
      </right>
      <top style="thin">
        <color rgb="FFD9D9D9"/>
      </top>
      <bottom/>
      <diagonal/>
    </border>
    <border>
      <left style="thin">
        <color rgb="FFD9D9D9"/>
      </left>
      <right style="medium">
        <color rgb="FF404040"/>
      </right>
      <top style="thin">
        <color rgb="FFD9D9D9"/>
      </top>
      <bottom style="medium">
        <color rgb="FF404040"/>
      </bottom>
      <diagonal/>
    </border>
    <border>
      <left style="thin">
        <color rgb="FFD9D9D9"/>
      </left>
      <right/>
      <top style="thin">
        <color rgb="FFD9D9D9"/>
      </top>
      <bottom style="medium">
        <color rgb="FF404040"/>
      </bottom>
      <diagonal/>
    </border>
    <border>
      <left style="medium">
        <color rgb="FF404040"/>
      </left>
      <right style="thin">
        <color rgb="FFD9D9D9"/>
      </right>
      <top style="thin">
        <color rgb="FFD9D9D9"/>
      </top>
      <bottom style="medium">
        <color rgb="FF404040"/>
      </bottom>
      <diagonal/>
    </border>
    <border>
      <left style="thin">
        <color rgb="FFD9D9D9"/>
      </left>
      <right style="thin">
        <color rgb="FFD9D9D9"/>
      </right>
      <top style="thin">
        <color rgb="FFD9D9D9"/>
      </top>
      <bottom style="medium">
        <color rgb="FF404040"/>
      </bottom>
      <diagonal/>
    </border>
    <border>
      <left/>
      <right/>
      <top style="medium">
        <color rgb="FF404040"/>
      </top>
      <bottom style="thin">
        <color rgb="FFD9D9D9"/>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D9D9D9"/>
      </top>
      <bottom style="medium">
        <color rgb="FF404040"/>
      </bottom>
      <diagonal/>
    </border>
    <border>
      <left/>
      <right style="thin">
        <color rgb="FFD9D9D9"/>
      </right>
      <top style="medium">
        <color rgb="FF404040"/>
      </top>
      <bottom style="thin">
        <color rgb="FFD9D9D9"/>
      </bottom>
      <diagonal/>
    </border>
    <border>
      <left/>
      <right style="thin">
        <color rgb="FFD9D9D9"/>
      </right>
      <top style="thin">
        <color rgb="FFD9D9D9"/>
      </top>
      <bottom style="medium">
        <color rgb="FF404040"/>
      </bottom>
      <diagonal/>
    </border>
    <border>
      <left/>
      <right style="medium">
        <color rgb="FF404040"/>
      </right>
      <top/>
      <bottom style="medium">
        <color rgb="FF404040"/>
      </bottom>
      <diagonal/>
    </border>
    <border>
      <left/>
      <right style="medium">
        <color rgb="FF404040"/>
      </right>
      <top style="medium">
        <color rgb="FF404040"/>
      </top>
      <bottom style="thin">
        <color rgb="FFD9D9D9"/>
      </bottom>
      <diagonal/>
    </border>
    <border>
      <left/>
      <right style="medium">
        <color rgb="FF404040"/>
      </right>
      <top/>
      <bottom style="thin">
        <color rgb="FFD9D9D9"/>
      </bottom>
      <diagonal/>
    </border>
    <border>
      <left/>
      <right style="medium">
        <color rgb="FF404040"/>
      </right>
      <top style="thin">
        <color rgb="FFD9D9D9"/>
      </top>
      <bottom style="thin">
        <color rgb="FFD9D9D9"/>
      </bottom>
      <diagonal/>
    </border>
    <border>
      <left/>
      <right style="medium">
        <color rgb="FF404040"/>
      </right>
      <top style="thin">
        <color rgb="FFD9D9D9"/>
      </top>
      <bottom/>
      <diagonal/>
    </border>
    <border>
      <left/>
      <right style="medium">
        <color rgb="FF404040"/>
      </right>
      <top style="thin">
        <color rgb="FFD9D9D9"/>
      </top>
      <bottom style="medium">
        <color rgb="FF404040"/>
      </bottom>
      <diagonal/>
    </border>
    <border>
      <left/>
      <right/>
      <top/>
      <bottom style="medium">
        <color rgb="FF404040"/>
      </bottom>
      <diagonal/>
    </border>
    <border>
      <left style="medium">
        <color rgb="FF404040"/>
      </left>
      <right style="thin">
        <color rgb="FFD9D9D9"/>
      </right>
      <top/>
      <bottom/>
      <diagonal/>
    </border>
    <border>
      <left style="thin">
        <color rgb="FFD9D9D9"/>
      </left>
      <right style="thin">
        <color rgb="FFD9D9D9"/>
      </right>
      <top/>
      <bottom/>
      <diagonal/>
    </border>
    <border>
      <left style="thin">
        <color rgb="FFD9D9D9"/>
      </left>
      <right style="medium">
        <color rgb="FF404040"/>
      </right>
      <top/>
      <bottom/>
      <diagonal/>
    </border>
    <border>
      <left style="thin">
        <color rgb="FFD9D9D9"/>
      </left>
      <right style="thin">
        <color rgb="FFD9D9D9"/>
      </right>
      <top/>
      <bottom style="medium">
        <color rgb="FF404040"/>
      </bottom>
      <diagonal/>
    </border>
  </borders>
  <cellStyleXfs count="7">
    <xf numFmtId="0" fontId="0" fillId="0" borderId="0"/>
    <xf numFmtId="164" fontId="16" fillId="0" borderId="0" applyFont="0" applyFill="0" applyBorder="0" applyAlignment="0" applyProtection="0"/>
    <xf numFmtId="9" fontId="16" fillId="0" borderId="0" applyFont="0" applyFill="0" applyBorder="0" applyAlignment="0" applyProtection="0"/>
    <xf numFmtId="0" fontId="18" fillId="15" borderId="1" applyNumberFormat="0" applyAlignment="0" applyProtection="0"/>
    <xf numFmtId="0" fontId="16" fillId="0" borderId="0"/>
    <xf numFmtId="9" fontId="16" fillId="0" borderId="0" applyFont="0" applyFill="0" applyBorder="0" applyAlignment="0" applyProtection="0"/>
    <xf numFmtId="164" fontId="16" fillId="0" borderId="0" applyFont="0" applyFill="0" applyBorder="0" applyAlignment="0" applyProtection="0"/>
  </cellStyleXfs>
  <cellXfs count="209">
    <xf numFmtId="0" fontId="0" fillId="0" borderId="0" xfId="0"/>
    <xf numFmtId="0" fontId="4" fillId="11" borderId="0" xfId="0" applyFont="1" applyFill="1" applyAlignment="1">
      <alignment vertical="center"/>
    </xf>
    <xf numFmtId="0" fontId="15" fillId="0" borderId="0" xfId="0" applyFont="1"/>
    <xf numFmtId="164" fontId="0" fillId="0" borderId="0" xfId="1" applyFont="1"/>
    <xf numFmtId="164" fontId="0" fillId="0" borderId="0" xfId="0" applyNumberFormat="1"/>
    <xf numFmtId="0" fontId="3" fillId="2" borderId="0" xfId="0" applyFont="1" applyFill="1" applyAlignment="1">
      <alignment vertical="center"/>
    </xf>
    <xf numFmtId="0" fontId="5" fillId="5" borderId="0" xfId="0" applyFont="1" applyFill="1" applyAlignment="1">
      <alignment vertical="center"/>
    </xf>
    <xf numFmtId="165" fontId="5" fillId="5" borderId="0" xfId="0" applyNumberFormat="1" applyFont="1" applyFill="1" applyAlignment="1">
      <alignment vertical="center"/>
    </xf>
    <xf numFmtId="165" fontId="0" fillId="0" borderId="0" xfId="0" applyNumberFormat="1"/>
    <xf numFmtId="0" fontId="8" fillId="10" borderId="0" xfId="0" applyFont="1" applyFill="1" applyAlignment="1">
      <alignment vertical="center"/>
    </xf>
    <xf numFmtId="165" fontId="8" fillId="10" borderId="0" xfId="0" applyNumberFormat="1" applyFont="1" applyFill="1" applyAlignment="1">
      <alignment vertical="center"/>
    </xf>
    <xf numFmtId="0" fontId="5" fillId="4" borderId="0" xfId="0" applyFont="1" applyFill="1" applyAlignment="1">
      <alignment vertical="center"/>
    </xf>
    <xf numFmtId="165" fontId="5" fillId="4" borderId="0" xfId="0" applyNumberFormat="1" applyFont="1" applyFill="1" applyAlignment="1">
      <alignment vertical="center"/>
    </xf>
    <xf numFmtId="0" fontId="5" fillId="12" borderId="0" xfId="0" applyFont="1" applyFill="1" applyAlignment="1">
      <alignment vertical="center"/>
    </xf>
    <xf numFmtId="165" fontId="5" fillId="12" borderId="0" xfId="0" applyNumberFormat="1" applyFont="1" applyFill="1" applyAlignment="1">
      <alignment vertical="center"/>
    </xf>
    <xf numFmtId="0" fontId="6" fillId="13" borderId="0" xfId="0" applyFont="1" applyFill="1" applyAlignment="1">
      <alignment vertical="center"/>
    </xf>
    <xf numFmtId="165" fontId="6" fillId="13" borderId="0" xfId="0" applyNumberFormat="1" applyFont="1" applyFill="1" applyAlignment="1">
      <alignment vertical="center"/>
    </xf>
    <xf numFmtId="166" fontId="5" fillId="5" borderId="0" xfId="0" applyNumberFormat="1" applyFont="1" applyFill="1" applyAlignment="1">
      <alignment vertical="center"/>
    </xf>
    <xf numFmtId="0" fontId="3" fillId="3" borderId="0" xfId="0" applyFont="1" applyFill="1" applyAlignment="1">
      <alignment vertical="center"/>
    </xf>
    <xf numFmtId="0" fontId="11" fillId="5" borderId="0" xfId="0" applyFont="1" applyFill="1" applyAlignment="1">
      <alignment vertical="center"/>
    </xf>
    <xf numFmtId="165" fontId="8" fillId="5" borderId="0" xfId="0" applyNumberFormat="1" applyFont="1" applyFill="1" applyAlignment="1">
      <alignment vertical="center"/>
    </xf>
    <xf numFmtId="165" fontId="12" fillId="5" borderId="0" xfId="0" applyNumberFormat="1" applyFont="1" applyFill="1" applyAlignment="1">
      <alignment vertical="center"/>
    </xf>
    <xf numFmtId="0" fontId="11" fillId="4" borderId="0" xfId="0" applyFont="1" applyFill="1" applyAlignment="1">
      <alignment vertical="center"/>
    </xf>
    <xf numFmtId="0" fontId="5" fillId="7" borderId="0" xfId="0" applyFont="1" applyFill="1" applyAlignment="1">
      <alignment vertical="center"/>
    </xf>
    <xf numFmtId="0" fontId="11" fillId="7" borderId="0" xfId="0" applyFont="1" applyFill="1" applyAlignment="1">
      <alignment vertical="center"/>
    </xf>
    <xf numFmtId="165" fontId="9" fillId="7" borderId="0" xfId="0" applyNumberFormat="1" applyFont="1" applyFill="1" applyAlignment="1">
      <alignment vertical="center"/>
    </xf>
    <xf numFmtId="165" fontId="13" fillId="7" borderId="0" xfId="0" applyNumberFormat="1" applyFont="1" applyFill="1" applyAlignment="1">
      <alignment vertical="center"/>
    </xf>
    <xf numFmtId="165" fontId="14" fillId="4" borderId="0" xfId="0" applyNumberFormat="1" applyFont="1" applyFill="1" applyAlignment="1">
      <alignment vertical="center"/>
    </xf>
    <xf numFmtId="165" fontId="7" fillId="4" borderId="0" xfId="0" applyNumberFormat="1" applyFont="1" applyFill="1" applyAlignment="1">
      <alignment vertical="center"/>
    </xf>
    <xf numFmtId="0" fontId="5" fillId="9" borderId="0" xfId="0" applyFont="1" applyFill="1" applyAlignment="1">
      <alignment vertical="center"/>
    </xf>
    <xf numFmtId="0" fontId="11" fillId="9" borderId="0" xfId="0" applyFont="1" applyFill="1" applyAlignment="1">
      <alignment vertical="center"/>
    </xf>
    <xf numFmtId="165" fontId="14" fillId="9" borderId="0" xfId="0" applyNumberFormat="1" applyFont="1" applyFill="1" applyAlignment="1">
      <alignment vertical="center"/>
    </xf>
    <xf numFmtId="165" fontId="7" fillId="9" borderId="0" xfId="0" applyNumberFormat="1" applyFont="1" applyFill="1" applyAlignment="1">
      <alignment vertical="center"/>
    </xf>
    <xf numFmtId="0" fontId="0" fillId="10" borderId="0" xfId="0" applyFill="1"/>
    <xf numFmtId="0" fontId="9" fillId="14" borderId="0" xfId="0" applyFont="1" applyFill="1" applyAlignment="1">
      <alignment vertical="center"/>
    </xf>
    <xf numFmtId="0" fontId="0" fillId="14" borderId="0" xfId="0" applyFill="1"/>
    <xf numFmtId="0" fontId="0" fillId="2" borderId="0" xfId="0" applyFill="1"/>
    <xf numFmtId="165" fontId="3" fillId="2" borderId="0" xfId="0" applyNumberFormat="1" applyFont="1" applyFill="1" applyAlignment="1">
      <alignment vertical="center"/>
    </xf>
    <xf numFmtId="0" fontId="4" fillId="6" borderId="0" xfId="0" applyFont="1" applyFill="1" applyAlignment="1">
      <alignment vertical="center"/>
    </xf>
    <xf numFmtId="0" fontId="4" fillId="8" borderId="0" xfId="0" applyFont="1" applyFill="1" applyAlignment="1">
      <alignment vertical="center"/>
    </xf>
    <xf numFmtId="0" fontId="4" fillId="3" borderId="0" xfId="0" applyFont="1" applyFill="1" applyAlignment="1">
      <alignment vertical="center"/>
    </xf>
    <xf numFmtId="164" fontId="3" fillId="2" borderId="0" xfId="1" applyFont="1" applyFill="1" applyAlignment="1">
      <alignment vertical="center"/>
    </xf>
    <xf numFmtId="164" fontId="5" fillId="5" borderId="0" xfId="1" applyFont="1" applyFill="1" applyAlignment="1">
      <alignment vertical="center"/>
    </xf>
    <xf numFmtId="164" fontId="8" fillId="10" borderId="0" xfId="1" applyFont="1" applyFill="1" applyAlignment="1">
      <alignment vertical="center"/>
    </xf>
    <xf numFmtId="164" fontId="5" fillId="4" borderId="0" xfId="1" applyFont="1" applyFill="1" applyAlignment="1">
      <alignment vertical="center"/>
    </xf>
    <xf numFmtId="164" fontId="5" fillId="12" borderId="0" xfId="1" applyFont="1" applyFill="1" applyAlignment="1">
      <alignment vertical="center"/>
    </xf>
    <xf numFmtId="164" fontId="6" fillId="13" borderId="0" xfId="1" applyFont="1" applyFill="1" applyAlignment="1">
      <alignment vertical="center"/>
    </xf>
    <xf numFmtId="164" fontId="3" fillId="3" borderId="0" xfId="1" applyFont="1" applyFill="1" applyAlignment="1">
      <alignment vertical="center"/>
    </xf>
    <xf numFmtId="164" fontId="8" fillId="5" borderId="0" xfId="1" applyFont="1" applyFill="1" applyAlignment="1">
      <alignment vertical="center"/>
    </xf>
    <xf numFmtId="164" fontId="9" fillId="7" borderId="0" xfId="1" applyFont="1" applyFill="1" applyAlignment="1">
      <alignment vertical="center"/>
    </xf>
    <xf numFmtId="164" fontId="9" fillId="14" borderId="0" xfId="1" applyFont="1" applyFill="1" applyAlignment="1">
      <alignment vertical="center"/>
    </xf>
    <xf numFmtId="10" fontId="5" fillId="5" borderId="0" xfId="2" applyNumberFormat="1" applyFont="1" applyFill="1" applyAlignment="1">
      <alignment vertical="center"/>
    </xf>
    <xf numFmtId="0" fontId="17" fillId="0" borderId="0" xfId="0" applyFont="1"/>
    <xf numFmtId="9" fontId="0" fillId="0" borderId="0" xfId="2" applyFont="1"/>
    <xf numFmtId="164" fontId="18" fillId="15" borderId="1" xfId="3" applyNumberFormat="1"/>
    <xf numFmtId="167" fontId="8" fillId="10" borderId="0" xfId="1" applyNumberFormat="1" applyFont="1" applyFill="1" applyAlignment="1">
      <alignment vertical="center"/>
    </xf>
    <xf numFmtId="167" fontId="9" fillId="14" borderId="0" xfId="1" applyNumberFormat="1" applyFont="1" applyFill="1" applyAlignment="1">
      <alignment vertical="center"/>
    </xf>
    <xf numFmtId="167" fontId="3" fillId="2" borderId="0" xfId="0" applyNumberFormat="1" applyFont="1" applyFill="1" applyAlignment="1">
      <alignment vertical="center"/>
    </xf>
    <xf numFmtId="0" fontId="25" fillId="0" borderId="0" xfId="0" applyFont="1"/>
    <xf numFmtId="0" fontId="24" fillId="16" borderId="12" xfId="0" applyFont="1" applyFill="1" applyBorder="1" applyAlignment="1">
      <alignment horizontal="center"/>
    </xf>
    <xf numFmtId="0" fontId="24" fillId="16" borderId="0" xfId="0" applyFont="1" applyFill="1" applyAlignment="1">
      <alignment horizontal="center"/>
    </xf>
    <xf numFmtId="0" fontId="24" fillId="16" borderId="14" xfId="0" applyFont="1" applyFill="1" applyBorder="1" applyAlignment="1">
      <alignment horizontal="center"/>
    </xf>
    <xf numFmtId="0" fontId="25" fillId="0" borderId="4" xfId="0" applyFont="1" applyBorder="1" applyAlignment="1">
      <alignment horizontal="left"/>
    </xf>
    <xf numFmtId="166" fontId="25" fillId="0" borderId="4" xfId="0" applyNumberFormat="1" applyFont="1" applyBorder="1" applyAlignment="1">
      <alignment horizontal="center"/>
    </xf>
    <xf numFmtId="166" fontId="25" fillId="0" borderId="3" xfId="0" applyNumberFormat="1" applyFont="1" applyBorder="1" applyAlignment="1">
      <alignment horizontal="center"/>
    </xf>
    <xf numFmtId="9" fontId="25" fillId="0" borderId="4" xfId="0" applyNumberFormat="1" applyFont="1" applyBorder="1" applyAlignment="1">
      <alignment horizontal="center"/>
    </xf>
    <xf numFmtId="9" fontId="25" fillId="0" borderId="3" xfId="0" applyNumberFormat="1" applyFont="1" applyBorder="1" applyAlignment="1">
      <alignment horizontal="center"/>
    </xf>
    <xf numFmtId="166" fontId="25" fillId="0" borderId="16" xfId="0" applyNumberFormat="1" applyFont="1" applyBorder="1" applyAlignment="1">
      <alignment horizontal="center"/>
    </xf>
    <xf numFmtId="0" fontId="25" fillId="0" borderId="7" xfId="0" applyFont="1" applyBorder="1" applyAlignment="1">
      <alignment horizontal="left"/>
    </xf>
    <xf numFmtId="166" fontId="25" fillId="0" borderId="7" xfId="0" applyNumberFormat="1" applyFont="1" applyBorder="1" applyAlignment="1">
      <alignment horizontal="center"/>
    </xf>
    <xf numFmtId="166" fontId="25" fillId="0" borderId="6" xfId="0" applyNumberFormat="1" applyFont="1" applyBorder="1" applyAlignment="1">
      <alignment horizontal="center"/>
    </xf>
    <xf numFmtId="9" fontId="25" fillId="0" borderId="7" xfId="0" applyNumberFormat="1" applyFont="1" applyBorder="1" applyAlignment="1">
      <alignment horizontal="center"/>
    </xf>
    <xf numFmtId="9" fontId="25" fillId="0" borderId="6" xfId="0" applyNumberFormat="1" applyFont="1" applyBorder="1" applyAlignment="1">
      <alignment horizontal="center"/>
    </xf>
    <xf numFmtId="166" fontId="25" fillId="0" borderId="15" xfId="0" applyNumberFormat="1" applyFont="1" applyBorder="1" applyAlignment="1">
      <alignment horizontal="center"/>
    </xf>
    <xf numFmtId="0" fontId="30" fillId="18" borderId="0" xfId="0" applyFont="1" applyFill="1" applyAlignment="1">
      <alignment horizontal="left"/>
    </xf>
    <xf numFmtId="0" fontId="21" fillId="18" borderId="0" xfId="0" applyFont="1" applyFill="1"/>
    <xf numFmtId="0" fontId="31" fillId="19" borderId="0" xfId="0" applyFont="1" applyFill="1" applyAlignment="1">
      <alignment horizontal="center"/>
    </xf>
    <xf numFmtId="168" fontId="32" fillId="20" borderId="0" xfId="0" applyNumberFormat="1" applyFont="1" applyFill="1" applyAlignment="1">
      <alignment horizontal="center"/>
    </xf>
    <xf numFmtId="0" fontId="33" fillId="20" borderId="0" xfId="0" applyFont="1" applyFill="1" applyAlignment="1">
      <alignment horizontal="center"/>
    </xf>
    <xf numFmtId="0" fontId="34" fillId="0" borderId="0" xfId="0" applyFont="1"/>
    <xf numFmtId="0" fontId="15" fillId="21" borderId="0" xfId="0" applyFont="1" applyFill="1"/>
    <xf numFmtId="0" fontId="15" fillId="21" borderId="0" xfId="0" applyFont="1" applyFill="1" applyAlignment="1">
      <alignment horizontal="right"/>
    </xf>
    <xf numFmtId="166" fontId="0" fillId="0" borderId="0" xfId="0" applyNumberFormat="1"/>
    <xf numFmtId="9" fontId="35" fillId="0" borderId="36" xfId="0" applyNumberFormat="1" applyFont="1" applyBorder="1" applyAlignment="1">
      <alignment horizontal="center"/>
    </xf>
    <xf numFmtId="9" fontId="35" fillId="0" borderId="37" xfId="0" applyNumberFormat="1" applyFont="1" applyBorder="1" applyAlignment="1">
      <alignment horizontal="center"/>
    </xf>
    <xf numFmtId="9" fontId="35" fillId="0" borderId="38" xfId="0" applyNumberFormat="1" applyFont="1" applyBorder="1" applyAlignment="1">
      <alignment horizontal="center"/>
    </xf>
    <xf numFmtId="9" fontId="35" fillId="0" borderId="39" xfId="0" applyNumberFormat="1" applyFont="1" applyBorder="1" applyAlignment="1">
      <alignment horizontal="center"/>
    </xf>
    <xf numFmtId="166" fontId="35" fillId="0" borderId="3" xfId="0" applyNumberFormat="1" applyFont="1" applyBorder="1" applyAlignment="1">
      <alignment horizontal="center"/>
    </xf>
    <xf numFmtId="166" fontId="35" fillId="0" borderId="6" xfId="0" applyNumberFormat="1" applyFont="1" applyBorder="1" applyAlignment="1">
      <alignment horizontal="center"/>
    </xf>
    <xf numFmtId="3" fontId="35" fillId="20" borderId="3" xfId="0" applyNumberFormat="1" applyFont="1" applyFill="1" applyBorder="1" applyAlignment="1">
      <alignment horizontal="center"/>
    </xf>
    <xf numFmtId="3" fontId="35" fillId="20" borderId="6" xfId="0" applyNumberFormat="1" applyFont="1" applyFill="1" applyBorder="1" applyAlignment="1">
      <alignment horizontal="center"/>
    </xf>
    <xf numFmtId="3" fontId="36" fillId="20" borderId="9" xfId="0" applyNumberFormat="1" applyFont="1" applyFill="1" applyBorder="1" applyAlignment="1">
      <alignment horizontal="center"/>
    </xf>
    <xf numFmtId="3" fontId="36" fillId="20" borderId="6" xfId="0" applyNumberFormat="1" applyFont="1" applyFill="1" applyBorder="1" applyAlignment="1">
      <alignment horizontal="center"/>
    </xf>
    <xf numFmtId="9" fontId="35" fillId="20" borderId="9" xfId="0" applyNumberFormat="1" applyFont="1" applyFill="1" applyBorder="1" applyAlignment="1">
      <alignment horizontal="center"/>
    </xf>
    <xf numFmtId="3" fontId="36" fillId="20" borderId="20" xfId="0" applyNumberFormat="1" applyFont="1" applyFill="1" applyBorder="1" applyAlignment="1">
      <alignment horizontal="center"/>
    </xf>
    <xf numFmtId="9" fontId="35" fillId="20" borderId="3" xfId="0" applyNumberFormat="1" applyFont="1" applyFill="1" applyBorder="1" applyAlignment="1">
      <alignment horizontal="center"/>
    </xf>
    <xf numFmtId="9" fontId="35" fillId="20" borderId="26" xfId="0" applyNumberFormat="1" applyFont="1" applyFill="1" applyBorder="1" applyAlignment="1">
      <alignment horizontal="center"/>
    </xf>
    <xf numFmtId="3" fontId="35" fillId="20" borderId="28" xfId="0" applyNumberFormat="1" applyFont="1" applyFill="1" applyBorder="1" applyAlignment="1">
      <alignment horizontal="center"/>
    </xf>
    <xf numFmtId="3" fontId="35" fillId="20" borderId="29" xfId="0" applyNumberFormat="1" applyFont="1" applyFill="1" applyBorder="1" applyAlignment="1">
      <alignment horizontal="center"/>
    </xf>
    <xf numFmtId="3" fontId="36" fillId="20" borderId="30" xfId="0" applyNumberFormat="1" applyFont="1" applyFill="1" applyBorder="1" applyAlignment="1">
      <alignment horizontal="center"/>
    </xf>
    <xf numFmtId="3" fontId="36" fillId="20" borderId="29" xfId="0" applyNumberFormat="1" applyFont="1" applyFill="1" applyBorder="1" applyAlignment="1">
      <alignment horizontal="center"/>
    </xf>
    <xf numFmtId="3" fontId="36" fillId="20" borderId="27" xfId="0" applyNumberFormat="1" applyFont="1" applyFill="1" applyBorder="1" applyAlignment="1">
      <alignment horizontal="center"/>
    </xf>
    <xf numFmtId="3" fontId="35" fillId="20" borderId="31" xfId="0" applyNumberFormat="1" applyFont="1" applyFill="1" applyBorder="1" applyAlignment="1">
      <alignment horizontal="center"/>
    </xf>
    <xf numFmtId="3" fontId="35" fillId="22" borderId="11" xfId="0" applyNumberFormat="1" applyFont="1" applyFill="1" applyBorder="1" applyAlignment="1">
      <alignment horizontal="center"/>
    </xf>
    <xf numFmtId="3" fontId="35" fillId="22" borderId="13" xfId="0" applyNumberFormat="1" applyFont="1" applyFill="1" applyBorder="1" applyAlignment="1">
      <alignment horizontal="center"/>
    </xf>
    <xf numFmtId="3" fontId="36" fillId="22" borderId="21" xfId="0" applyNumberFormat="1" applyFont="1" applyFill="1" applyBorder="1" applyAlignment="1">
      <alignment horizontal="center"/>
    </xf>
    <xf numFmtId="3" fontId="36" fillId="22" borderId="13" xfId="0" applyNumberFormat="1" applyFont="1" applyFill="1" applyBorder="1" applyAlignment="1">
      <alignment horizontal="center"/>
    </xf>
    <xf numFmtId="9" fontId="35" fillId="22" borderId="21" xfId="0" applyNumberFormat="1" applyFont="1" applyFill="1" applyBorder="1" applyAlignment="1">
      <alignment horizontal="center"/>
    </xf>
    <xf numFmtId="3" fontId="36" fillId="22" borderId="19" xfId="0" applyNumberFormat="1" applyFont="1" applyFill="1" applyBorder="1" applyAlignment="1">
      <alignment horizontal="center"/>
    </xf>
    <xf numFmtId="9" fontId="35" fillId="22" borderId="11" xfId="0" applyNumberFormat="1" applyFont="1" applyFill="1" applyBorder="1" applyAlignment="1">
      <alignment horizontal="center"/>
    </xf>
    <xf numFmtId="9" fontId="35" fillId="22" borderId="25" xfId="0" applyNumberFormat="1" applyFont="1" applyFill="1" applyBorder="1" applyAlignment="1">
      <alignment horizontal="center"/>
    </xf>
    <xf numFmtId="3" fontId="25" fillId="22" borderId="2" xfId="0" applyNumberFormat="1" applyFont="1" applyFill="1" applyBorder="1" applyAlignment="1">
      <alignment horizontal="center"/>
    </xf>
    <xf numFmtId="3" fontId="25" fillId="22" borderId="5" xfId="0" applyNumberFormat="1" applyFont="1" applyFill="1" applyBorder="1" applyAlignment="1">
      <alignment horizontal="center"/>
    </xf>
    <xf numFmtId="3" fontId="28" fillId="22" borderId="8" xfId="0" applyNumberFormat="1" applyFont="1" applyFill="1" applyBorder="1" applyAlignment="1">
      <alignment horizontal="center"/>
    </xf>
    <xf numFmtId="3" fontId="28" fillId="22" borderId="5" xfId="0" applyNumberFormat="1" applyFont="1" applyFill="1" applyBorder="1" applyAlignment="1">
      <alignment horizontal="center"/>
    </xf>
    <xf numFmtId="9" fontId="25" fillId="22" borderId="8" xfId="0" applyNumberFormat="1" applyFont="1" applyFill="1" applyBorder="1" applyAlignment="1">
      <alignment horizontal="center"/>
    </xf>
    <xf numFmtId="3" fontId="28" fillId="22" borderId="32" xfId="0" applyNumberFormat="1" applyFont="1" applyFill="1" applyBorder="1" applyAlignment="1">
      <alignment horizontal="center"/>
    </xf>
    <xf numFmtId="9" fontId="25" fillId="22" borderId="2" xfId="0" applyNumberFormat="1" applyFont="1" applyFill="1" applyBorder="1" applyAlignment="1">
      <alignment horizontal="center"/>
    </xf>
    <xf numFmtId="9" fontId="25" fillId="22" borderId="33" xfId="0" applyNumberFormat="1" applyFont="1" applyFill="1" applyBorder="1" applyAlignment="1">
      <alignment horizontal="center"/>
    </xf>
    <xf numFmtId="3" fontId="27" fillId="22" borderId="3" xfId="0" applyNumberFormat="1" applyFont="1" applyFill="1" applyBorder="1" applyAlignment="1">
      <alignment horizontal="center"/>
    </xf>
    <xf numFmtId="3" fontId="27" fillId="22" borderId="6" xfId="0" applyNumberFormat="1" applyFont="1" applyFill="1" applyBorder="1" applyAlignment="1">
      <alignment horizontal="center"/>
    </xf>
    <xf numFmtId="3" fontId="29" fillId="22" borderId="9" xfId="0" applyNumberFormat="1" applyFont="1" applyFill="1" applyBorder="1" applyAlignment="1">
      <alignment horizontal="center"/>
    </xf>
    <xf numFmtId="3" fontId="29" fillId="22" borderId="6" xfId="0" applyNumberFormat="1" applyFont="1" applyFill="1" applyBorder="1" applyAlignment="1">
      <alignment horizontal="center"/>
    </xf>
    <xf numFmtId="9" fontId="27" fillId="22" borderId="9" xfId="0" applyNumberFormat="1" applyFont="1" applyFill="1" applyBorder="1" applyAlignment="1">
      <alignment horizontal="center"/>
    </xf>
    <xf numFmtId="3" fontId="29" fillId="22" borderId="20" xfId="0" applyNumberFormat="1" applyFont="1" applyFill="1" applyBorder="1" applyAlignment="1">
      <alignment horizontal="center"/>
    </xf>
    <xf numFmtId="9" fontId="27" fillId="22" borderId="3" xfId="0" applyNumberFormat="1" applyFont="1" applyFill="1" applyBorder="1" applyAlignment="1">
      <alignment horizontal="center"/>
    </xf>
    <xf numFmtId="9" fontId="27" fillId="22" borderId="26" xfId="0" applyNumberFormat="1" applyFont="1" applyFill="1" applyBorder="1" applyAlignment="1">
      <alignment horizontal="center"/>
    </xf>
    <xf numFmtId="166" fontId="36" fillId="0" borderId="9" xfId="0" applyNumberFormat="1" applyFont="1" applyBorder="1" applyAlignment="1">
      <alignment horizontal="center"/>
    </xf>
    <xf numFmtId="166" fontId="28" fillId="0" borderId="22" xfId="0" applyNumberFormat="1" applyFont="1" applyBorder="1" applyAlignment="1">
      <alignment horizontal="center"/>
    </xf>
    <xf numFmtId="9" fontId="36" fillId="0" borderId="38" xfId="0" applyNumberFormat="1" applyFont="1" applyBorder="1" applyAlignment="1">
      <alignment horizontal="center"/>
    </xf>
    <xf numFmtId="166" fontId="28" fillId="0" borderId="9" xfId="0" applyNumberFormat="1" applyFont="1" applyBorder="1" applyAlignment="1">
      <alignment horizontal="center"/>
    </xf>
    <xf numFmtId="9" fontId="28" fillId="0" borderId="10" xfId="0" applyNumberFormat="1" applyFont="1" applyBorder="1" applyAlignment="1">
      <alignment horizontal="center"/>
    </xf>
    <xf numFmtId="9" fontId="28" fillId="0" borderId="9" xfId="0" applyNumberFormat="1" applyFont="1" applyBorder="1" applyAlignment="1">
      <alignment horizontal="center"/>
    </xf>
    <xf numFmtId="166" fontId="28" fillId="0" borderId="10" xfId="0" applyNumberFormat="1" applyFont="1" applyBorder="1" applyAlignment="1">
      <alignment horizontal="center"/>
    </xf>
    <xf numFmtId="166" fontId="36" fillId="0" borderId="6" xfId="0" applyNumberFormat="1" applyFont="1" applyBorder="1" applyAlignment="1">
      <alignment horizontal="center"/>
    </xf>
    <xf numFmtId="166" fontId="28" fillId="0" borderId="15" xfId="0" applyNumberFormat="1" applyFont="1" applyBorder="1" applyAlignment="1">
      <alignment horizontal="center"/>
    </xf>
    <xf numFmtId="166" fontId="28" fillId="0" borderId="6" xfId="0" applyNumberFormat="1" applyFont="1" applyBorder="1" applyAlignment="1">
      <alignment horizontal="center"/>
    </xf>
    <xf numFmtId="9" fontId="28" fillId="0" borderId="7" xfId="0" applyNumberFormat="1" applyFont="1" applyBorder="1" applyAlignment="1">
      <alignment horizontal="center"/>
    </xf>
    <xf numFmtId="9" fontId="28" fillId="0" borderId="6" xfId="0" applyNumberFormat="1" applyFont="1" applyBorder="1" applyAlignment="1">
      <alignment horizontal="center"/>
    </xf>
    <xf numFmtId="166" fontId="28" fillId="0" borderId="7" xfId="0" applyNumberFormat="1" applyFont="1" applyBorder="1" applyAlignment="1">
      <alignment horizontal="center"/>
    </xf>
    <xf numFmtId="166" fontId="35" fillId="0" borderId="9" xfId="0" applyNumberFormat="1" applyFont="1" applyBorder="1" applyAlignment="1">
      <alignment horizontal="center"/>
    </xf>
    <xf numFmtId="9" fontId="25" fillId="0" borderId="22" xfId="0" applyNumberFormat="1" applyFont="1" applyBorder="1" applyAlignment="1">
      <alignment horizontal="center"/>
    </xf>
    <xf numFmtId="9" fontId="25" fillId="0" borderId="9" xfId="0" applyNumberFormat="1" applyFont="1" applyBorder="1" applyAlignment="1">
      <alignment horizontal="center"/>
    </xf>
    <xf numFmtId="9" fontId="25" fillId="0" borderId="10" xfId="0" applyNumberFormat="1" applyFont="1" applyBorder="1" applyAlignment="1">
      <alignment horizontal="center"/>
    </xf>
    <xf numFmtId="166" fontId="36" fillId="0" borderId="20" xfId="0" applyNumberFormat="1" applyFont="1" applyBorder="1" applyAlignment="1">
      <alignment horizontal="center"/>
    </xf>
    <xf numFmtId="166" fontId="28" fillId="0" borderId="17" xfId="0" applyNumberFormat="1" applyFont="1" applyBorder="1" applyAlignment="1">
      <alignment horizontal="center"/>
    </xf>
    <xf numFmtId="166" fontId="28" fillId="0" borderId="20" xfId="0" applyNumberFormat="1" applyFont="1" applyBorder="1" applyAlignment="1">
      <alignment horizontal="center"/>
    </xf>
    <xf numFmtId="9" fontId="28" fillId="0" borderId="18" xfId="0" applyNumberFormat="1" applyFont="1" applyBorder="1" applyAlignment="1">
      <alignment horizontal="center"/>
    </xf>
    <xf numFmtId="9" fontId="28" fillId="0" borderId="20" xfId="0" applyNumberFormat="1" applyFont="1" applyBorder="1" applyAlignment="1">
      <alignment horizontal="center"/>
    </xf>
    <xf numFmtId="166" fontId="28" fillId="0" borderId="18" xfId="0" applyNumberFormat="1" applyFont="1" applyBorder="1" applyAlignment="1">
      <alignment horizontal="center"/>
    </xf>
    <xf numFmtId="9" fontId="25" fillId="0" borderId="16" xfId="0" applyNumberFormat="1" applyFont="1" applyBorder="1" applyAlignment="1">
      <alignment horizontal="center"/>
    </xf>
    <xf numFmtId="166" fontId="35" fillId="0" borderId="26" xfId="0" applyNumberFormat="1" applyFont="1" applyBorder="1" applyAlignment="1">
      <alignment horizontal="center"/>
    </xf>
    <xf numFmtId="9" fontId="25" fillId="0" borderId="23" xfId="0" applyNumberFormat="1" applyFont="1" applyBorder="1" applyAlignment="1">
      <alignment horizontal="center"/>
    </xf>
    <xf numFmtId="9" fontId="25" fillId="0" borderId="26" xfId="0" applyNumberFormat="1" applyFont="1" applyBorder="1" applyAlignment="1">
      <alignment horizontal="center"/>
    </xf>
    <xf numFmtId="9" fontId="25" fillId="0" borderId="24" xfId="0" applyNumberFormat="1" applyFont="1" applyBorder="1" applyAlignment="1">
      <alignment horizontal="center"/>
    </xf>
    <xf numFmtId="0" fontId="28" fillId="0" borderId="10" xfId="0" applyFont="1" applyBorder="1" applyAlignment="1">
      <alignment horizontal="left"/>
    </xf>
    <xf numFmtId="0" fontId="28" fillId="0" borderId="7" xfId="0" applyFont="1" applyBorder="1" applyAlignment="1">
      <alignment horizontal="left"/>
    </xf>
    <xf numFmtId="0" fontId="25" fillId="0" borderId="10" xfId="0" applyFont="1" applyBorder="1" applyAlignment="1">
      <alignment horizontal="left"/>
    </xf>
    <xf numFmtId="0" fontId="28" fillId="0" borderId="18" xfId="0" applyFont="1" applyBorder="1" applyAlignment="1">
      <alignment horizontal="left"/>
    </xf>
    <xf numFmtId="0" fontId="25" fillId="0" borderId="24" xfId="0" applyFont="1" applyBorder="1" applyAlignment="1">
      <alignment horizontal="left"/>
    </xf>
    <xf numFmtId="9" fontId="35" fillId="20" borderId="30" xfId="0" applyNumberFormat="1" applyFont="1" applyFill="1" applyBorder="1" applyAlignment="1">
      <alignment horizontal="center"/>
    </xf>
    <xf numFmtId="3" fontId="35" fillId="20" borderId="11" xfId="0" applyNumberFormat="1" applyFont="1" applyFill="1" applyBorder="1" applyAlignment="1">
      <alignment horizontal="center"/>
    </xf>
    <xf numFmtId="3" fontId="35" fillId="20" borderId="13" xfId="0" applyNumberFormat="1" applyFont="1" applyFill="1" applyBorder="1" applyAlignment="1">
      <alignment horizontal="center"/>
    </xf>
    <xf numFmtId="3" fontId="36" fillId="20" borderId="21" xfId="0" applyNumberFormat="1" applyFont="1" applyFill="1" applyBorder="1" applyAlignment="1">
      <alignment horizontal="center"/>
    </xf>
    <xf numFmtId="3" fontId="36" fillId="20" borderId="13" xfId="0" applyNumberFormat="1" applyFont="1" applyFill="1" applyBorder="1" applyAlignment="1">
      <alignment horizontal="center"/>
    </xf>
    <xf numFmtId="9" fontId="35" fillId="20" borderId="21" xfId="0" applyNumberFormat="1" applyFont="1" applyFill="1" applyBorder="1" applyAlignment="1">
      <alignment horizontal="center"/>
    </xf>
    <xf numFmtId="3" fontId="36" fillId="20" borderId="19" xfId="0" applyNumberFormat="1" applyFont="1" applyFill="1" applyBorder="1" applyAlignment="1">
      <alignment horizontal="center"/>
    </xf>
    <xf numFmtId="9" fontId="35" fillId="20" borderId="11" xfId="0" applyNumberFormat="1" applyFont="1" applyFill="1" applyBorder="1" applyAlignment="1">
      <alignment horizontal="center"/>
    </xf>
    <xf numFmtId="9" fontId="35" fillId="20" borderId="25" xfId="0" applyNumberFormat="1" applyFont="1" applyFill="1" applyBorder="1" applyAlignment="1">
      <alignment horizontal="center"/>
    </xf>
    <xf numFmtId="9" fontId="36" fillId="0" borderId="37" xfId="0" applyNumberFormat="1" applyFont="1" applyBorder="1" applyAlignment="1">
      <alignment horizontal="center"/>
    </xf>
    <xf numFmtId="9" fontId="36" fillId="0" borderId="35" xfId="0" applyNumberFormat="1" applyFont="1" applyBorder="1" applyAlignment="1">
      <alignment horizontal="center"/>
    </xf>
    <xf numFmtId="0" fontId="24" fillId="16" borderId="0" xfId="0" applyFont="1" applyFill="1" applyAlignment="1">
      <alignment horizontal="left" vertical="center"/>
    </xf>
    <xf numFmtId="0" fontId="25" fillId="0" borderId="0" xfId="0" applyFont="1"/>
    <xf numFmtId="0" fontId="26" fillId="17" borderId="0" xfId="0" applyFont="1" applyFill="1" applyAlignment="1">
      <alignment vertical="center"/>
    </xf>
    <xf numFmtId="0" fontId="24" fillId="17" borderId="0" xfId="0" applyFont="1" applyFill="1" applyAlignment="1">
      <alignment horizontal="center" vertical="center" wrapText="1"/>
    </xf>
    <xf numFmtId="16" fontId="24" fillId="17" borderId="12" xfId="0" applyNumberFormat="1" applyFont="1" applyFill="1" applyBorder="1" applyAlignment="1">
      <alignment horizontal="center" vertical="center" wrapText="1"/>
    </xf>
    <xf numFmtId="16" fontId="24" fillId="17" borderId="0" xfId="0" applyNumberFormat="1" applyFont="1" applyFill="1" applyAlignment="1">
      <alignment horizontal="center" vertical="center" wrapText="1"/>
    </xf>
    <xf numFmtId="0" fontId="24" fillId="17" borderId="40" xfId="0" applyFont="1" applyFill="1" applyBorder="1" applyAlignment="1">
      <alignment horizontal="center" vertical="center" wrapText="1"/>
    </xf>
    <xf numFmtId="0" fontId="24" fillId="17" borderId="14" xfId="0" applyFont="1" applyFill="1" applyBorder="1" applyAlignment="1">
      <alignment horizontal="center" vertical="center" wrapText="1"/>
    </xf>
    <xf numFmtId="0" fontId="24" fillId="17" borderId="34" xfId="0" applyFont="1" applyFill="1" applyBorder="1" applyAlignment="1">
      <alignment horizontal="center" vertical="center" wrapText="1"/>
    </xf>
    <xf numFmtId="0" fontId="24" fillId="17" borderId="42" xfId="0" applyFont="1" applyFill="1" applyBorder="1" applyAlignment="1">
      <alignment horizontal="center" vertical="center" wrapText="1"/>
    </xf>
    <xf numFmtId="0" fontId="24" fillId="17" borderId="44" xfId="0" applyFont="1" applyFill="1" applyBorder="1" applyAlignment="1">
      <alignment horizontal="center" vertical="center" wrapText="1"/>
    </xf>
    <xf numFmtId="16" fontId="24" fillId="17" borderId="14" xfId="0" applyNumberFormat="1" applyFont="1" applyFill="1" applyBorder="1" applyAlignment="1">
      <alignment horizontal="center" vertical="center" wrapText="1"/>
    </xf>
    <xf numFmtId="0" fontId="24" fillId="17" borderId="18" xfId="0" applyFont="1" applyFill="1" applyBorder="1" applyAlignment="1">
      <alignment horizontal="left"/>
    </xf>
    <xf numFmtId="3" fontId="35" fillId="22" borderId="19" xfId="0" applyNumberFormat="1" applyFont="1" applyFill="1" applyBorder="1" applyAlignment="1">
      <alignment horizontal="center"/>
    </xf>
    <xf numFmtId="166" fontId="35" fillId="0" borderId="20" xfId="0" applyNumberFormat="1" applyFont="1" applyBorder="1" applyAlignment="1">
      <alignment horizontal="center"/>
    </xf>
    <xf numFmtId="3" fontId="35" fillId="20" borderId="20" xfId="0" applyNumberFormat="1" applyFont="1" applyFill="1" applyBorder="1" applyAlignment="1">
      <alignment horizontal="center"/>
    </xf>
    <xf numFmtId="166" fontId="25" fillId="0" borderId="17" xfId="0" applyNumberFormat="1" applyFont="1" applyBorder="1" applyAlignment="1">
      <alignment horizontal="center"/>
    </xf>
    <xf numFmtId="166" fontId="35" fillId="20" borderId="27" xfId="0" applyNumberFormat="1" applyFont="1" applyFill="1" applyBorder="1" applyAlignment="1">
      <alignment horizontal="center"/>
    </xf>
    <xf numFmtId="166" fontId="35" fillId="0" borderId="35" xfId="0" applyNumberFormat="1" applyFont="1" applyBorder="1" applyAlignment="1">
      <alignment horizontal="center"/>
    </xf>
    <xf numFmtId="3" fontId="25" fillId="22" borderId="32" xfId="0" applyNumberFormat="1" applyFont="1" applyFill="1" applyBorder="1" applyAlignment="1">
      <alignment horizontal="center"/>
    </xf>
    <xf numFmtId="166" fontId="25" fillId="0" borderId="20" xfId="0" applyNumberFormat="1" applyFont="1" applyBorder="1" applyAlignment="1">
      <alignment horizontal="center"/>
    </xf>
    <xf numFmtId="9" fontId="25" fillId="0" borderId="18" xfId="0" applyNumberFormat="1" applyFont="1" applyBorder="1" applyAlignment="1">
      <alignment horizontal="center"/>
    </xf>
    <xf numFmtId="3" fontId="35" fillId="20" borderId="19" xfId="0" applyNumberFormat="1" applyFont="1" applyFill="1" applyBorder="1" applyAlignment="1">
      <alignment horizontal="center"/>
    </xf>
    <xf numFmtId="3" fontId="27" fillId="22" borderId="20" xfId="0" applyNumberFormat="1" applyFont="1" applyFill="1" applyBorder="1" applyAlignment="1">
      <alignment horizontal="center"/>
    </xf>
    <xf numFmtId="9" fontId="25" fillId="0" borderId="20" xfId="0" applyNumberFormat="1" applyFont="1" applyBorder="1" applyAlignment="1">
      <alignment horizontal="center"/>
    </xf>
    <xf numFmtId="166" fontId="25" fillId="0" borderId="18" xfId="0" applyNumberFormat="1" applyFont="1" applyBorder="1" applyAlignment="1">
      <alignment horizontal="center"/>
    </xf>
    <xf numFmtId="3" fontId="35" fillId="20" borderId="27" xfId="0" applyNumberFormat="1" applyFont="1" applyFill="1" applyBorder="1" applyAlignment="1">
      <alignment horizontal="center"/>
    </xf>
    <xf numFmtId="9" fontId="35" fillId="0" borderId="35" xfId="0" applyNumberFormat="1" applyFont="1" applyBorder="1" applyAlignment="1">
      <alignment horizontal="center"/>
    </xf>
    <xf numFmtId="0" fontId="24" fillId="17" borderId="41" xfId="0" applyFont="1" applyFill="1" applyBorder="1" applyAlignment="1">
      <alignment horizontal="center" vertical="center" wrapText="1"/>
    </xf>
    <xf numFmtId="0" fontId="25" fillId="0" borderId="41" xfId="0" applyFont="1" applyBorder="1"/>
    <xf numFmtId="0" fontId="25" fillId="0" borderId="42" xfId="0" applyFont="1" applyBorder="1"/>
    <xf numFmtId="0" fontId="24" fillId="17" borderId="43" xfId="0" applyFont="1" applyFill="1" applyBorder="1" applyAlignment="1">
      <alignment horizontal="center" vertical="center" wrapText="1"/>
    </xf>
    <xf numFmtId="0" fontId="25" fillId="0" borderId="43" xfId="0" applyFont="1" applyBorder="1"/>
    <xf numFmtId="0" fontId="1" fillId="2" borderId="0" xfId="0" applyFont="1" applyFill="1" applyAlignment="1">
      <alignment vertical="center"/>
    </xf>
    <xf numFmtId="0" fontId="0" fillId="0" borderId="0" xfId="0"/>
    <xf numFmtId="0" fontId="2" fillId="3" borderId="0" xfId="0" applyFont="1" applyFill="1" applyAlignment="1">
      <alignment vertical="center"/>
    </xf>
    <xf numFmtId="0" fontId="4" fillId="3" borderId="0" xfId="0" applyFont="1" applyFill="1" applyAlignment="1">
      <alignment vertical="center"/>
    </xf>
    <xf numFmtId="0" fontId="10" fillId="2" borderId="0" xfId="0" applyFont="1" applyFill="1" applyAlignment="1">
      <alignment vertical="center"/>
    </xf>
  </cellXfs>
  <cellStyles count="7">
    <cellStyle name="Check Cell" xfId="3" builtinId="23"/>
    <cellStyle name="Comma" xfId="1" builtinId="3"/>
    <cellStyle name="Comma 3" xfId="6" xr:uid="{18E6BE14-5C8E-42C9-A663-9F7C3931D15C}"/>
    <cellStyle name="Normal" xfId="0" builtinId="0"/>
    <cellStyle name="Normal 2 2" xfId="4" xr:uid="{783FEE47-548A-49D8-8912-6E4BEA8CF741}"/>
    <cellStyle name="Per cent" xfId="2" builtinId="5"/>
    <cellStyle name="Percent 2" xfId="5" xr:uid="{E12B6D62-27E1-408C-91C8-D29F1035985D}"/>
  </cellStyles>
  <dxfs count="122">
    <dxf>
      <font>
        <color rgb="FF008000"/>
      </font>
    </dxf>
    <dxf>
      <font>
        <color rgb="FFFF0000"/>
      </font>
    </dxf>
    <dxf>
      <font>
        <color rgb="FF008000"/>
      </font>
    </dxf>
    <dxf>
      <font>
        <color rgb="FFFF0000"/>
      </font>
    </dxf>
    <dxf>
      <font>
        <color rgb="FFFF0000"/>
      </font>
    </dxf>
    <dxf>
      <font>
        <color rgb="FF008000"/>
      </font>
    </dxf>
    <dxf>
      <font>
        <color rgb="FFFF0000"/>
      </font>
    </dxf>
    <dxf>
      <font>
        <color rgb="FF008000"/>
      </font>
    </dxf>
    <dxf>
      <font>
        <color rgb="FF008000"/>
      </font>
    </dxf>
    <dxf>
      <font>
        <color rgb="FFFF0000"/>
      </font>
    </dxf>
    <dxf>
      <font>
        <color rgb="FF008000"/>
      </font>
    </dxf>
    <dxf>
      <font>
        <color rgb="FFFF0000"/>
      </font>
    </dxf>
    <dxf>
      <font>
        <color rgb="FFFF0000"/>
      </font>
    </dxf>
    <dxf>
      <font>
        <color rgb="FF008000"/>
      </font>
    </dxf>
    <dxf>
      <font>
        <color rgb="FF008000"/>
      </font>
    </dxf>
    <dxf>
      <font>
        <color rgb="FFFF0000"/>
      </font>
    </dxf>
    <dxf>
      <font>
        <color rgb="FFFF0000"/>
      </font>
    </dxf>
    <dxf>
      <font>
        <color rgb="FF008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FF0000"/>
      </font>
    </dxf>
    <dxf>
      <font>
        <color rgb="FF008000"/>
      </font>
    </dxf>
    <dxf>
      <font>
        <color rgb="FFFF0000"/>
      </font>
    </dxf>
    <dxf>
      <font>
        <color rgb="FF008000"/>
      </font>
    </dxf>
    <dxf>
      <font>
        <color rgb="FF008000"/>
      </font>
    </dxf>
    <dxf>
      <font>
        <color rgb="FFFF0000"/>
      </font>
    </dxf>
    <dxf>
      <font>
        <color rgb="FF008000"/>
      </font>
    </dxf>
    <dxf>
      <font>
        <color rgb="FFFF0000"/>
      </font>
    </dxf>
    <dxf>
      <font>
        <color rgb="FFFF0000"/>
      </font>
    </dxf>
    <dxf>
      <font>
        <color rgb="FF008000"/>
      </font>
    </dxf>
    <dxf>
      <font>
        <color rgb="FFFF0000"/>
      </font>
    </dxf>
    <dxf>
      <font>
        <color rgb="FF008000"/>
      </font>
    </dxf>
    <dxf>
      <font>
        <color rgb="FF008000"/>
      </font>
    </dxf>
    <dxf>
      <font>
        <color rgb="FFFF0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008000"/>
      </font>
    </dxf>
    <dxf>
      <font>
        <color rgb="FFFF0000"/>
      </font>
    </dxf>
    <dxf>
      <font>
        <color rgb="FF008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008000"/>
      </font>
    </dxf>
    <dxf>
      <font>
        <color rgb="FFFF0000"/>
      </font>
    </dxf>
    <dxf>
      <font>
        <color rgb="FFFF0000"/>
      </font>
    </dxf>
    <dxf>
      <font>
        <color rgb="FF008000"/>
      </font>
    </dxf>
    <dxf>
      <font>
        <color rgb="FFFF0000"/>
      </font>
    </dxf>
    <dxf>
      <font>
        <color rgb="FF008000"/>
      </font>
    </dxf>
    <dxf>
      <font>
        <color rgb="FF008000"/>
      </font>
    </dxf>
    <dxf>
      <font>
        <color rgb="FFFF0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color rgb="FFFF0000"/>
      </font>
    </dxf>
    <dxf>
      <font>
        <color rgb="FF008000"/>
      </font>
    </dxf>
    <dxf>
      <font>
        <color rgb="FF008000"/>
      </font>
    </dxf>
    <dxf>
      <font>
        <color rgb="FFFF0000"/>
      </font>
    </dxf>
    <dxf>
      <font>
        <color rgb="FFFF0000"/>
      </font>
    </dxf>
    <dxf>
      <font>
        <color rgb="FF008000"/>
      </font>
    </dxf>
    <dxf>
      <font>
        <color rgb="FF008000"/>
      </font>
    </dxf>
    <dxf>
      <font>
        <color rgb="FFFF0000"/>
      </font>
    </dxf>
    <dxf>
      <font>
        <color rgb="FFFF0000"/>
      </font>
    </dxf>
    <dxf>
      <font>
        <color rgb="FF008000"/>
      </font>
    </dxf>
    <dxf>
      <font>
        <color rgb="FF008000"/>
      </font>
    </dxf>
    <dxf>
      <font>
        <color rgb="FFFF0000"/>
      </font>
    </dxf>
    <dxf>
      <font>
        <color rgb="FFFF0000"/>
      </font>
    </dxf>
    <dxf>
      <font>
        <color rgb="FF008000"/>
      </font>
    </dxf>
    <dxf>
      <font>
        <color rgb="FF00800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Revenue: Plan vs Actual (₹ Lakhs)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Dashboard!$B$41</c:f>
              <c:strCache>
                <c:ptCount val="1"/>
                <c:pt idx="0">
                  <c:v>Revenue Plan</c:v>
                </c:pt>
              </c:strCache>
            </c:strRef>
          </c:tx>
          <c:spPr>
            <a:solidFill>
              <a:srgbClr val="BDD7EE"/>
            </a:solidFill>
            <a:ln>
              <a:noFill/>
            </a:ln>
            <a:effectLst/>
          </c:spPr>
          <c:invertIfNegative val="0"/>
          <c:cat>
            <c:strRef>
              <c:f>Dashboard!$A$42:$A$53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Dashboard!$B$42:$B$53</c:f>
              <c:numCache>
                <c:formatCode>General</c:formatCode>
                <c:ptCount val="12"/>
                <c:pt idx="0">
                  <c:v>4217.5367316528091</c:v>
                </c:pt>
                <c:pt idx="1">
                  <c:v>4685.5584202392947</c:v>
                </c:pt>
                <c:pt idx="2">
                  <c:v>4217.3576134568812</c:v>
                </c:pt>
                <c:pt idx="3">
                  <c:v>4913.2364202437093</c:v>
                </c:pt>
                <c:pt idx="4">
                  <c:v>5057.0031710756202</c:v>
                </c:pt>
                <c:pt idx="5">
                  <c:v>4965.4385436560005</c:v>
                </c:pt>
                <c:pt idx="6">
                  <c:v>4950.2358799375152</c:v>
                </c:pt>
                <c:pt idx="7">
                  <c:v>4421.2586961297511</c:v>
                </c:pt>
                <c:pt idx="8">
                  <c:v>4680.50644852812</c:v>
                </c:pt>
                <c:pt idx="9">
                  <c:v>5394.4251067568248</c:v>
                </c:pt>
                <c:pt idx="10">
                  <c:v>5063.9887040221465</c:v>
                </c:pt>
                <c:pt idx="11">
                  <c:v>4954.8709405013224</c:v>
                </c:pt>
              </c:numCache>
            </c:numRef>
          </c:val>
          <c:extLst>
            <c:ext xmlns:c16="http://schemas.microsoft.com/office/drawing/2014/chart" uri="{C3380CC4-5D6E-409C-BE32-E72D297353CC}">
              <c16:uniqueId val="{00000000-AB45-C44D-86A7-3AEC5E0940A0}"/>
            </c:ext>
          </c:extLst>
        </c:ser>
        <c:ser>
          <c:idx val="1"/>
          <c:order val="1"/>
          <c:tx>
            <c:strRef>
              <c:f>Dashboard!$C$41</c:f>
              <c:strCache>
                <c:ptCount val="1"/>
                <c:pt idx="0">
                  <c:v>Revenue Actual</c:v>
                </c:pt>
              </c:strCache>
            </c:strRef>
          </c:tx>
          <c:spPr>
            <a:solidFill>
              <a:srgbClr val="1F4E78"/>
            </a:solidFill>
            <a:ln>
              <a:noFill/>
            </a:ln>
            <a:effectLst/>
          </c:spPr>
          <c:invertIfNegative val="0"/>
          <c:cat>
            <c:strRef>
              <c:f>Dashboard!$A$42:$A$53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Dashboard!$C$42:$C$53</c:f>
              <c:numCache>
                <c:formatCode>General</c:formatCode>
                <c:ptCount val="12"/>
                <c:pt idx="0">
                  <c:v>4278.8806181</c:v>
                </c:pt>
                <c:pt idx="1">
                  <c:v>4425.9494432000001</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AB45-C44D-86A7-3AEC5E0940A0}"/>
            </c:ext>
          </c:extLst>
        </c:ser>
        <c:dLbls>
          <c:showLegendKey val="0"/>
          <c:showVal val="0"/>
          <c:showCatName val="0"/>
          <c:showSerName val="0"/>
          <c:showPercent val="0"/>
          <c:showBubbleSize val="0"/>
        </c:dLbls>
        <c:gapWidth val="219"/>
        <c:overlap val="-27"/>
        <c:axId val="1746197056"/>
        <c:axId val="1746198848"/>
      </c:barChart>
      <c:catAx>
        <c:axId val="174619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98848"/>
        <c:crosses val="autoZero"/>
        <c:auto val="1"/>
        <c:lblAlgn val="ctr"/>
        <c:lblOffset val="100"/>
        <c:noMultiLvlLbl val="0"/>
      </c:catAx>
      <c:valAx>
        <c:axId val="174619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9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EBITDA: Plan vs Actual (₹ Lakhs)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Dashboard!$F$41</c:f>
              <c:strCache>
                <c:ptCount val="1"/>
                <c:pt idx="0">
                  <c:v>EBITDA Plan</c:v>
                </c:pt>
              </c:strCache>
            </c:strRef>
          </c:tx>
          <c:spPr>
            <a:solidFill>
              <a:srgbClr val="C6E0B4"/>
            </a:solidFill>
            <a:ln>
              <a:noFill/>
            </a:ln>
            <a:effectLst/>
          </c:spPr>
          <c:invertIfNegative val="0"/>
          <c:cat>
            <c:strRef>
              <c:f>Dashboard!$E$42:$E$53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Dashboard!$F$42:$F$53</c:f>
              <c:numCache>
                <c:formatCode>General</c:formatCode>
                <c:ptCount val="12"/>
                <c:pt idx="0">
                  <c:v>1085.3963729601114</c:v>
                </c:pt>
                <c:pt idx="1">
                  <c:v>1209.2662413813462</c:v>
                </c:pt>
                <c:pt idx="2">
                  <c:v>719.47777047890577</c:v>
                </c:pt>
                <c:pt idx="3">
                  <c:v>1251.1426865176491</c:v>
                </c:pt>
                <c:pt idx="4">
                  <c:v>1436.4236409991086</c:v>
                </c:pt>
                <c:pt idx="5">
                  <c:v>1370.5764671896543</c:v>
                </c:pt>
                <c:pt idx="6">
                  <c:v>1235.1246706957929</c:v>
                </c:pt>
                <c:pt idx="7">
                  <c:v>994.02375631787731</c:v>
                </c:pt>
                <c:pt idx="8">
                  <c:v>1137.0728182393814</c:v>
                </c:pt>
                <c:pt idx="9">
                  <c:v>1785.5173065676674</c:v>
                </c:pt>
                <c:pt idx="10">
                  <c:v>1315.2220826346907</c:v>
                </c:pt>
                <c:pt idx="11">
                  <c:v>1240.7157841168384</c:v>
                </c:pt>
              </c:numCache>
            </c:numRef>
          </c:val>
          <c:extLst>
            <c:ext xmlns:c16="http://schemas.microsoft.com/office/drawing/2014/chart" uri="{C3380CC4-5D6E-409C-BE32-E72D297353CC}">
              <c16:uniqueId val="{00000000-BCAB-2E4D-9EDC-AC52260BC24B}"/>
            </c:ext>
          </c:extLst>
        </c:ser>
        <c:ser>
          <c:idx val="1"/>
          <c:order val="1"/>
          <c:tx>
            <c:strRef>
              <c:f>Dashboard!$G$41</c:f>
              <c:strCache>
                <c:ptCount val="1"/>
                <c:pt idx="0">
                  <c:v>EBITDA Actual</c:v>
                </c:pt>
              </c:strCache>
            </c:strRef>
          </c:tx>
          <c:spPr>
            <a:solidFill>
              <a:srgbClr val="548235"/>
            </a:solidFill>
            <a:ln>
              <a:noFill/>
            </a:ln>
            <a:effectLst/>
          </c:spPr>
          <c:invertIfNegative val="0"/>
          <c:cat>
            <c:strRef>
              <c:f>Dashboard!$E$42:$E$53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Dashboard!$G$42:$G$53</c:f>
              <c:numCache>
                <c:formatCode>General</c:formatCode>
                <c:ptCount val="12"/>
                <c:pt idx="0">
                  <c:v>1110.229698334954</c:v>
                </c:pt>
                <c:pt idx="1">
                  <c:v>1230.8786244249943</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BCAB-2E4D-9EDC-AC52260BC24B}"/>
            </c:ext>
          </c:extLst>
        </c:ser>
        <c:dLbls>
          <c:showLegendKey val="0"/>
          <c:showVal val="0"/>
          <c:showCatName val="0"/>
          <c:showSerName val="0"/>
          <c:showPercent val="0"/>
          <c:showBubbleSize val="0"/>
        </c:dLbls>
        <c:gapWidth val="219"/>
        <c:overlap val="-27"/>
        <c:axId val="1746215232"/>
        <c:axId val="1746191232"/>
      </c:barChart>
      <c:catAx>
        <c:axId val="17462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91232"/>
        <c:crosses val="autoZero"/>
        <c:auto val="1"/>
        <c:lblAlgn val="ctr"/>
        <c:lblOffset val="100"/>
        <c:noMultiLvlLbl val="0"/>
      </c:catAx>
      <c:valAx>
        <c:axId val="174619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215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Revenue Mix (FY27 Plan)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63-864D-81F5-E40DDB01C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63-864D-81F5-E40DDB01C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63-864D-81F5-E40DDB01C2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63-864D-81F5-E40DDB01C2C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Dashboard!$A$56:$A$59</c:f>
              <c:strCache>
                <c:ptCount val="4"/>
                <c:pt idx="0">
                  <c:v>IP Revenue</c:v>
                </c:pt>
                <c:pt idx="1">
                  <c:v>OP Revenue</c:v>
                </c:pt>
                <c:pt idx="2">
                  <c:v>F&amp;B / VPS Gourmet</c:v>
                </c:pt>
                <c:pt idx="3">
                  <c:v>Other Income</c:v>
                </c:pt>
              </c:strCache>
            </c:strRef>
          </c:cat>
          <c:val>
            <c:numRef>
              <c:f>Dashboard!$B$56:$B$59</c:f>
              <c:numCache>
                <c:formatCode>General</c:formatCode>
                <c:ptCount val="4"/>
                <c:pt idx="0">
                  <c:v>39854.1</c:v>
                </c:pt>
                <c:pt idx="1">
                  <c:v>14519.5</c:v>
                </c:pt>
                <c:pt idx="2">
                  <c:v>2222.6999999999998</c:v>
                </c:pt>
                <c:pt idx="3">
                  <c:v>925.1</c:v>
                </c:pt>
              </c:numCache>
            </c:numRef>
          </c:val>
          <c:extLst>
            <c:ext xmlns:c16="http://schemas.microsoft.com/office/drawing/2014/chart" uri="{C3380CC4-5D6E-409C-BE32-E72D297353CC}">
              <c16:uniqueId val="{00000000-FB57-C24F-96F9-84984F45DF2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Revenue Allocation (FY27 Plan)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1-944F-913C-3C49D29463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1-944F-913C-3C49D29463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51-944F-913C-3C49D294637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Dashboard!$E$56:$E$58</c:f>
              <c:strCache>
                <c:ptCount val="3"/>
                <c:pt idx="0">
                  <c:v>Variable Cost</c:v>
                </c:pt>
                <c:pt idx="1">
                  <c:v>Fixed Cost</c:v>
                </c:pt>
                <c:pt idx="2">
                  <c:v>EBITDA</c:v>
                </c:pt>
              </c:strCache>
            </c:strRef>
          </c:cat>
          <c:val>
            <c:numRef>
              <c:f>Dashboard!$F$56:$F$58</c:f>
              <c:numCache>
                <c:formatCode>General</c:formatCode>
                <c:ptCount val="3"/>
                <c:pt idx="0">
                  <c:v>24243.166426100972</c:v>
                </c:pt>
                <c:pt idx="1">
                  <c:v>18498.290651999996</c:v>
                </c:pt>
                <c:pt idx="2">
                  <c:v>14779.942921899026</c:v>
                </c:pt>
              </c:numCache>
            </c:numRef>
          </c:val>
          <c:extLst>
            <c:ext xmlns:c16="http://schemas.microsoft.com/office/drawing/2014/chart" uri="{C3380CC4-5D6E-409C-BE32-E72D297353CC}">
              <c16:uniqueId val="{00000000-33E1-0B45-8F9A-8D1552D021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Margins: Plan vs YTD Actual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Dashboard!$B$61</c:f>
              <c:strCache>
                <c:ptCount val="1"/>
                <c:pt idx="0">
                  <c:v>Plan</c:v>
                </c:pt>
              </c:strCache>
            </c:strRef>
          </c:tx>
          <c:spPr>
            <a:solidFill>
              <a:srgbClr val="F4B183"/>
            </a:solidFill>
            <a:ln>
              <a:noFill/>
            </a:ln>
            <a:effectLst/>
          </c:spPr>
          <c:invertIfNegative val="0"/>
          <c:cat>
            <c:strRef>
              <c:f>Dashboard!$A$62:$A$64</c:f>
              <c:strCache>
                <c:ptCount val="3"/>
                <c:pt idx="0">
                  <c:v>Contribution %</c:v>
                </c:pt>
                <c:pt idx="1">
                  <c:v>EBITDA %</c:v>
                </c:pt>
                <c:pt idx="2">
                  <c:v>PAT %</c:v>
                </c:pt>
              </c:strCache>
            </c:strRef>
          </c:cat>
          <c:val>
            <c:numRef>
              <c:f>Dashboard!$B$62:$B$64</c:f>
              <c:numCache>
                <c:formatCode>0.0%</c:formatCode>
                <c:ptCount val="3"/>
                <c:pt idx="0">
                  <c:v>0.57853657202187403</c:v>
                </c:pt>
                <c:pt idx="1">
                  <c:v>0.25694685668114869</c:v>
                </c:pt>
                <c:pt idx="2">
                  <c:v>0.15769452580935137</c:v>
                </c:pt>
              </c:numCache>
            </c:numRef>
          </c:val>
          <c:extLst>
            <c:ext xmlns:c16="http://schemas.microsoft.com/office/drawing/2014/chart" uri="{C3380CC4-5D6E-409C-BE32-E72D297353CC}">
              <c16:uniqueId val="{00000000-D05E-9F4F-9172-AF236EAE6C0E}"/>
            </c:ext>
          </c:extLst>
        </c:ser>
        <c:ser>
          <c:idx val="1"/>
          <c:order val="1"/>
          <c:tx>
            <c:strRef>
              <c:f>Dashboard!$C$61</c:f>
              <c:strCache>
                <c:ptCount val="1"/>
                <c:pt idx="0">
                  <c:v>YTD Actual</c:v>
                </c:pt>
              </c:strCache>
            </c:strRef>
          </c:tx>
          <c:spPr>
            <a:solidFill>
              <a:srgbClr val="C55A11"/>
            </a:solidFill>
            <a:ln>
              <a:noFill/>
            </a:ln>
            <a:effectLst/>
          </c:spPr>
          <c:invertIfNegative val="0"/>
          <c:cat>
            <c:strRef>
              <c:f>Dashboard!$A$62:$A$64</c:f>
              <c:strCache>
                <c:ptCount val="3"/>
                <c:pt idx="0">
                  <c:v>Contribution %</c:v>
                </c:pt>
                <c:pt idx="1">
                  <c:v>EBITDA %</c:v>
                </c:pt>
                <c:pt idx="2">
                  <c:v>PAT %</c:v>
                </c:pt>
              </c:strCache>
            </c:strRef>
          </c:cat>
          <c:val>
            <c:numRef>
              <c:f>Dashboard!$C$62:$C$64</c:f>
              <c:numCache>
                <c:formatCode>0.0%</c:formatCode>
                <c:ptCount val="3"/>
                <c:pt idx="0">
                  <c:v>0.54059823191273848</c:v>
                </c:pt>
                <c:pt idx="1">
                  <c:v>0.26894359870022805</c:v>
                </c:pt>
                <c:pt idx="2">
                  <c:v>0.1653120885837451</c:v>
                </c:pt>
              </c:numCache>
            </c:numRef>
          </c:val>
          <c:extLst>
            <c:ext xmlns:c16="http://schemas.microsoft.com/office/drawing/2014/chart" uri="{C3380CC4-5D6E-409C-BE32-E72D297353CC}">
              <c16:uniqueId val="{00000001-D05E-9F4F-9172-AF236EAE6C0E}"/>
            </c:ext>
          </c:extLst>
        </c:ser>
        <c:dLbls>
          <c:showLegendKey val="0"/>
          <c:showVal val="0"/>
          <c:showCatName val="0"/>
          <c:showSerName val="0"/>
          <c:showPercent val="0"/>
          <c:showBubbleSize val="0"/>
        </c:dLbls>
        <c:gapWidth val="219"/>
        <c:overlap val="-27"/>
        <c:axId val="1746152832"/>
        <c:axId val="1746154624"/>
      </c:barChart>
      <c:catAx>
        <c:axId val="174615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54624"/>
        <c:crosses val="autoZero"/>
        <c:auto val="1"/>
        <c:lblAlgn val="ctr"/>
        <c:lblOffset val="100"/>
        <c:noMultiLvlLbl val="0"/>
      </c:catAx>
      <c:valAx>
        <c:axId val="1746154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5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0</xdr:colOff>
      <xdr:row>23</xdr:row>
      <xdr:rowOff>0</xdr:rowOff>
    </xdr:to>
    <xdr:graphicFrame macro="">
      <xdr:nvGraphicFramePr>
        <xdr:cNvPr id="2" name="Chart 1">
          <a:extLst>
            <a:ext uri="{FF2B5EF4-FFF2-40B4-BE49-F238E27FC236}">
              <a16:creationId xmlns:a16="http://schemas.microsoft.com/office/drawing/2014/main" id="{5E388676-AA6C-EB8A-AA64-CEEB10E94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0</xdr:rowOff>
    </xdr:from>
    <xdr:to>
      <xdr:col>13</xdr:col>
      <xdr:colOff>0</xdr:colOff>
      <xdr:row>23</xdr:row>
      <xdr:rowOff>0</xdr:rowOff>
    </xdr:to>
    <xdr:graphicFrame macro="">
      <xdr:nvGraphicFramePr>
        <xdr:cNvPr id="3" name="Chart 2">
          <a:extLst>
            <a:ext uri="{FF2B5EF4-FFF2-40B4-BE49-F238E27FC236}">
              <a16:creationId xmlns:a16="http://schemas.microsoft.com/office/drawing/2014/main" id="{96A1B077-3B83-1EDF-6300-69D4C14AE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4</xdr:col>
      <xdr:colOff>0</xdr:colOff>
      <xdr:row>39</xdr:row>
      <xdr:rowOff>0</xdr:rowOff>
    </xdr:to>
    <xdr:graphicFrame macro="">
      <xdr:nvGraphicFramePr>
        <xdr:cNvPr id="4" name="Chart 3">
          <a:extLst>
            <a:ext uri="{FF2B5EF4-FFF2-40B4-BE49-F238E27FC236}">
              <a16:creationId xmlns:a16="http://schemas.microsoft.com/office/drawing/2014/main" id="{D3D0E85A-5A41-F691-4A89-480C4D310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24</xdr:row>
      <xdr:rowOff>0</xdr:rowOff>
    </xdr:from>
    <xdr:to>
      <xdr:col>8</xdr:col>
      <xdr:colOff>0</xdr:colOff>
      <xdr:row>39</xdr:row>
      <xdr:rowOff>0</xdr:rowOff>
    </xdr:to>
    <xdr:graphicFrame macro="">
      <xdr:nvGraphicFramePr>
        <xdr:cNvPr id="5" name="Chart 4">
          <a:extLst>
            <a:ext uri="{FF2B5EF4-FFF2-40B4-BE49-F238E27FC236}">
              <a16:creationId xmlns:a16="http://schemas.microsoft.com/office/drawing/2014/main" id="{53755316-1CBA-D0C1-2BAE-6DFDFBA69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24</xdr:row>
      <xdr:rowOff>0</xdr:rowOff>
    </xdr:from>
    <xdr:to>
      <xdr:col>13</xdr:col>
      <xdr:colOff>0</xdr:colOff>
      <xdr:row>39</xdr:row>
      <xdr:rowOff>0</xdr:rowOff>
    </xdr:to>
    <xdr:graphicFrame macro="">
      <xdr:nvGraphicFramePr>
        <xdr:cNvPr id="6" name="Chart 5">
          <a:extLst>
            <a:ext uri="{FF2B5EF4-FFF2-40B4-BE49-F238E27FC236}">
              <a16:creationId xmlns:a16="http://schemas.microsoft.com/office/drawing/2014/main" id="{59F45374-25A2-F12B-3B87-41E94341E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5EDB917-8686-4ED0-BD69-4FD197674409}">
  <we:reference id="wa200009404" version="1.0.0.8" store="en-US" storeType="OMEX"/>
  <we:alternateReferences>
    <we:reference id="WA200009404" version="1.0.0.8" store="" storeType="OMEX"/>
  </we:alternateReferences>
  <we:properties>
    <we:property name="claude.fileId" value="&quot;be5c7932-3d8d-4f66-87bb-8c178c2bca1e&quot;"/>
  </we:properties>
  <we:bindings/>
  <we:snapshot xmlns:r="http://schemas.openxmlformats.org/officeDocument/2006/relationships"/>
</we:webextension>
</file>

<file path=xl/webextensions/webextension2.xml><?xml version="1.0" encoding="utf-8"?>
<we:webextension xmlns:we="http://schemas.microsoft.com/office/webextensions/webextension/2010/11" id="{D79DBB48-FB41-244F-817C-7FC8DFEF2831}">
  <we:reference id="WA200010725" version="1.0.0.1" store="Omex" storeType="OMEX"/>
  <we:alternateReferences>
    <we:reference id="WA200010725" version="1.0.0.1" store="WA200010725" storeType="OMEX"/>
  </we:alternateReferences>
  <we:properties>
    <we:property name="claude.fileId" value="&quot;0a2a91c5-7380-4dce-82d3-a3261b1d376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00F2-FF90-5840-9153-602CEB7F5652}">
  <dimension ref="A1:BF44"/>
  <sheetViews>
    <sheetView tabSelected="1" zoomScale="190" zoomScaleNormal="190" workbookViewId="0">
      <pane xSplit="1" ySplit="5" topLeftCell="F6" activePane="bottomRight" state="frozen"/>
      <selection pane="topRight" activeCell="B1" sqref="B1"/>
      <selection pane="bottomLeft" activeCell="A6" sqref="A6"/>
      <selection pane="bottomRight" activeCell="H10" sqref="H10"/>
    </sheetView>
  </sheetViews>
  <sheetFormatPr baseColWidth="10" defaultRowHeight="14" x14ac:dyDescent="0.2"/>
  <cols>
    <col min="1" max="1" width="35" style="58" customWidth="1"/>
    <col min="2" max="4" width="7.6640625" style="58" customWidth="1"/>
    <col min="5" max="7" width="8.6640625" style="58" customWidth="1"/>
    <col min="8" max="58" width="7.6640625" style="58" customWidth="1"/>
    <col min="59" max="16384" width="10.83203125" style="58"/>
  </cols>
  <sheetData>
    <row r="1" spans="1:58" x14ac:dyDescent="0.2">
      <c r="A1" s="171" t="s">
        <v>156</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2"/>
      <c r="AR1" s="172"/>
      <c r="AS1" s="172"/>
      <c r="AT1" s="172"/>
      <c r="AU1" s="172"/>
      <c r="AV1" s="172"/>
      <c r="AW1" s="172"/>
      <c r="AX1" s="172"/>
      <c r="AY1" s="172"/>
      <c r="AZ1" s="172"/>
      <c r="BA1" s="172"/>
      <c r="BB1" s="172"/>
      <c r="BC1" s="172"/>
      <c r="BD1" s="172"/>
      <c r="BE1" s="172"/>
      <c r="BF1" s="172"/>
    </row>
    <row r="2" spans="1:58" x14ac:dyDescent="0.2">
      <c r="A2" s="173" t="s">
        <v>157</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row>
    <row r="3" spans="1:58" ht="16" customHeight="1" x14ac:dyDescent="0.2">
      <c r="A3" s="174"/>
      <c r="B3" s="199" t="s">
        <v>45</v>
      </c>
      <c r="C3" s="180" t="s">
        <v>207</v>
      </c>
      <c r="D3" s="180" t="s">
        <v>46</v>
      </c>
      <c r="E3" s="202" t="s">
        <v>158</v>
      </c>
      <c r="F3" s="174" t="s">
        <v>205</v>
      </c>
      <c r="G3" s="178" t="s">
        <v>206</v>
      </c>
      <c r="H3" s="174" t="s">
        <v>154</v>
      </c>
      <c r="I3" s="174" t="s">
        <v>159</v>
      </c>
      <c r="J3" s="174" t="s">
        <v>155</v>
      </c>
      <c r="K3" s="175">
        <v>46138</v>
      </c>
      <c r="L3" s="176"/>
      <c r="M3" s="176"/>
      <c r="N3" s="176"/>
      <c r="O3" s="175">
        <v>46168</v>
      </c>
      <c r="P3" s="176"/>
      <c r="Q3" s="176"/>
      <c r="R3" s="176"/>
      <c r="S3" s="175">
        <v>46199</v>
      </c>
      <c r="T3" s="176"/>
      <c r="U3" s="176"/>
      <c r="V3" s="176"/>
      <c r="W3" s="175">
        <v>46229</v>
      </c>
      <c r="X3" s="176"/>
      <c r="Y3" s="176"/>
      <c r="Z3" s="176"/>
      <c r="AA3" s="175">
        <v>46260</v>
      </c>
      <c r="AB3" s="176"/>
      <c r="AC3" s="176"/>
      <c r="AD3" s="176"/>
      <c r="AE3" s="175">
        <v>46291</v>
      </c>
      <c r="AF3" s="176"/>
      <c r="AG3" s="176"/>
      <c r="AH3" s="176"/>
      <c r="AI3" s="175">
        <v>46321</v>
      </c>
      <c r="AJ3" s="176"/>
      <c r="AK3" s="176"/>
      <c r="AL3" s="176"/>
      <c r="AM3" s="175">
        <v>46352</v>
      </c>
      <c r="AN3" s="176"/>
      <c r="AO3" s="176"/>
      <c r="AP3" s="176"/>
      <c r="AQ3" s="175">
        <v>46382</v>
      </c>
      <c r="AR3" s="176"/>
      <c r="AS3" s="176"/>
      <c r="AT3" s="176"/>
      <c r="AU3" s="175">
        <v>46049</v>
      </c>
      <c r="AV3" s="176"/>
      <c r="AW3" s="176"/>
      <c r="AX3" s="176"/>
      <c r="AY3" s="175">
        <v>46080</v>
      </c>
      <c r="AZ3" s="176"/>
      <c r="BA3" s="176"/>
      <c r="BB3" s="176"/>
      <c r="BC3" s="175">
        <v>46108</v>
      </c>
      <c r="BD3" s="176"/>
      <c r="BE3" s="176"/>
      <c r="BF3" s="182"/>
    </row>
    <row r="4" spans="1:58" ht="16" customHeight="1" thickBot="1" x14ac:dyDescent="0.25">
      <c r="A4" s="172"/>
      <c r="B4" s="200"/>
      <c r="C4" s="181"/>
      <c r="D4" s="201"/>
      <c r="E4" s="203"/>
      <c r="F4" s="177"/>
      <c r="G4" s="179"/>
      <c r="H4" s="172"/>
      <c r="I4" s="172"/>
      <c r="J4" s="172"/>
      <c r="K4" s="59" t="s">
        <v>151</v>
      </c>
      <c r="L4" s="60" t="s">
        <v>152</v>
      </c>
      <c r="M4" s="60" t="s">
        <v>153</v>
      </c>
      <c r="N4" s="60" t="s">
        <v>160</v>
      </c>
      <c r="O4" s="59" t="s">
        <v>151</v>
      </c>
      <c r="P4" s="60" t="s">
        <v>152</v>
      </c>
      <c r="Q4" s="60" t="s">
        <v>153</v>
      </c>
      <c r="R4" s="60" t="s">
        <v>160</v>
      </c>
      <c r="S4" s="59" t="s">
        <v>151</v>
      </c>
      <c r="T4" s="60" t="s">
        <v>152</v>
      </c>
      <c r="U4" s="60" t="s">
        <v>153</v>
      </c>
      <c r="V4" s="60" t="s">
        <v>160</v>
      </c>
      <c r="W4" s="59" t="s">
        <v>151</v>
      </c>
      <c r="X4" s="60" t="s">
        <v>152</v>
      </c>
      <c r="Y4" s="60" t="s">
        <v>153</v>
      </c>
      <c r="Z4" s="60" t="s">
        <v>160</v>
      </c>
      <c r="AA4" s="59" t="s">
        <v>151</v>
      </c>
      <c r="AB4" s="60" t="s">
        <v>152</v>
      </c>
      <c r="AC4" s="60" t="s">
        <v>153</v>
      </c>
      <c r="AD4" s="60" t="s">
        <v>160</v>
      </c>
      <c r="AE4" s="59" t="s">
        <v>151</v>
      </c>
      <c r="AF4" s="60" t="s">
        <v>152</v>
      </c>
      <c r="AG4" s="60" t="s">
        <v>153</v>
      </c>
      <c r="AH4" s="60" t="s">
        <v>160</v>
      </c>
      <c r="AI4" s="59" t="s">
        <v>151</v>
      </c>
      <c r="AJ4" s="60" t="s">
        <v>152</v>
      </c>
      <c r="AK4" s="60" t="s">
        <v>153</v>
      </c>
      <c r="AL4" s="60" t="s">
        <v>160</v>
      </c>
      <c r="AM4" s="59" t="s">
        <v>151</v>
      </c>
      <c r="AN4" s="60" t="s">
        <v>152</v>
      </c>
      <c r="AO4" s="60" t="s">
        <v>153</v>
      </c>
      <c r="AP4" s="60" t="s">
        <v>160</v>
      </c>
      <c r="AQ4" s="59" t="s">
        <v>151</v>
      </c>
      <c r="AR4" s="60" t="s">
        <v>152</v>
      </c>
      <c r="AS4" s="60" t="s">
        <v>153</v>
      </c>
      <c r="AT4" s="60" t="s">
        <v>160</v>
      </c>
      <c r="AU4" s="59" t="s">
        <v>151</v>
      </c>
      <c r="AV4" s="60" t="s">
        <v>152</v>
      </c>
      <c r="AW4" s="60" t="s">
        <v>153</v>
      </c>
      <c r="AX4" s="60" t="s">
        <v>160</v>
      </c>
      <c r="AY4" s="59" t="s">
        <v>151</v>
      </c>
      <c r="AZ4" s="60" t="s">
        <v>152</v>
      </c>
      <c r="BA4" s="60" t="s">
        <v>153</v>
      </c>
      <c r="BB4" s="60" t="s">
        <v>160</v>
      </c>
      <c r="BC4" s="59" t="s">
        <v>151</v>
      </c>
      <c r="BD4" s="60" t="s">
        <v>152</v>
      </c>
      <c r="BE4" s="60" t="s">
        <v>153</v>
      </c>
      <c r="BF4" s="61" t="s">
        <v>160</v>
      </c>
    </row>
    <row r="5" spans="1:58" x14ac:dyDescent="0.2">
      <c r="A5" s="183" t="s">
        <v>56</v>
      </c>
      <c r="B5" s="184"/>
      <c r="C5" s="185"/>
      <c r="D5" s="186"/>
      <c r="E5" s="187"/>
      <c r="F5" s="188"/>
      <c r="G5" s="189"/>
      <c r="H5" s="190"/>
      <c r="I5" s="191"/>
      <c r="J5" s="192"/>
      <c r="K5" s="193"/>
      <c r="L5" s="194"/>
      <c r="M5" s="195"/>
      <c r="N5" s="196"/>
      <c r="O5" s="193"/>
      <c r="P5" s="194"/>
      <c r="Q5" s="195"/>
      <c r="R5" s="196"/>
      <c r="S5" s="193"/>
      <c r="T5" s="194"/>
      <c r="U5" s="195"/>
      <c r="V5" s="196"/>
      <c r="W5" s="193"/>
      <c r="X5" s="194"/>
      <c r="Y5" s="195"/>
      <c r="Z5" s="196"/>
      <c r="AA5" s="193"/>
      <c r="AB5" s="194"/>
      <c r="AC5" s="195"/>
      <c r="AD5" s="196"/>
      <c r="AE5" s="193"/>
      <c r="AF5" s="194"/>
      <c r="AG5" s="195"/>
      <c r="AH5" s="196"/>
      <c r="AI5" s="193"/>
      <c r="AJ5" s="194"/>
      <c r="AK5" s="195"/>
      <c r="AL5" s="196"/>
      <c r="AM5" s="193"/>
      <c r="AN5" s="194"/>
      <c r="AO5" s="195"/>
      <c r="AP5" s="196"/>
      <c r="AQ5" s="193"/>
      <c r="AR5" s="194"/>
      <c r="AS5" s="195"/>
      <c r="AT5" s="196"/>
      <c r="AU5" s="193"/>
      <c r="AV5" s="194"/>
      <c r="AW5" s="195"/>
      <c r="AX5" s="196"/>
      <c r="AY5" s="193"/>
      <c r="AZ5" s="194"/>
      <c r="BA5" s="195"/>
      <c r="BB5" s="196"/>
      <c r="BC5" s="193"/>
      <c r="BD5" s="194"/>
      <c r="BE5" s="192"/>
      <c r="BF5" s="187"/>
    </row>
    <row r="6" spans="1:58" x14ac:dyDescent="0.2">
      <c r="A6" s="62" t="s">
        <v>57</v>
      </c>
      <c r="B6" s="103">
        <f>'Monthly P&amp;L'!B5</f>
        <v>31154.530348400003</v>
      </c>
      <c r="C6" s="87">
        <f>IF(OR(B6=0,B6=""),"",D6/B6-1)</f>
        <v>0.27923931300883109</v>
      </c>
      <c r="D6" s="89">
        <f>'Monthly P&amp;L'!C5</f>
        <v>39854.1</v>
      </c>
      <c r="E6" s="67">
        <f>IF(D$10=0,"",D6/D$10)</f>
        <v>0.69285691933784643</v>
      </c>
      <c r="F6" s="97">
        <f>IF(H6="","",K6*(L6&lt;&gt;"")+O6*(P6&lt;&gt;"")+S6*(T6&lt;&gt;"")+W6*(X6&lt;&gt;"")+AA6*(AB6&lt;&gt;"")+AE6*(AF6&lt;&gt;"")+AI6*(AJ6&lt;&gt;"")+AM6*(AN6&lt;&gt;"")+AQ6*(AR6&lt;&gt;"")+AU6*(AV6&lt;&gt;"")+AY6*(AZ6&lt;&gt;"")+BC6*(BD6&lt;&gt;""))</f>
        <v>6102.0628404438758</v>
      </c>
      <c r="G6" s="83">
        <f>IF(OR(F6=0,F6="",H6=""),"",H6/F6)</f>
        <v>1.033846257947707</v>
      </c>
      <c r="H6" s="111">
        <f>IF(SUM(L6,P6,T6,X6,AB6,AF6,AJ6,AN6,AR6,AV6,AZ6,BD6)=0,"",SUM(L6,P6,T6,X6,AB6,AF6,AJ6,AN6,AR6,AV6,AZ6,BD6))</f>
        <v>6308.5948333546567</v>
      </c>
      <c r="I6" s="64">
        <f>IF(OR(H$10="",H$10=0,H6=""),"",H6/H$10)</f>
        <v>0.72472349131793579</v>
      </c>
      <c r="J6" s="65">
        <f>IF(OR(D6=0,H6=""),"",H6/D6)</f>
        <v>0.15829224178578005</v>
      </c>
      <c r="K6" s="161">
        <f>'Monthly P&amp;L'!D5</f>
        <v>2876.8073824068242</v>
      </c>
      <c r="L6" s="119">
        <v>3091.9409971546561</v>
      </c>
      <c r="M6" s="66">
        <f>IF(OR(L6="",K6=0),"",L6/K6)</f>
        <v>1.0747820712862064</v>
      </c>
      <c r="N6" s="63">
        <f>IF(OR(L6="",L$10="",L$10=0),"",L6/L$10)</f>
        <v>0.72260510940069311</v>
      </c>
      <c r="O6" s="161">
        <f>'Monthly P&amp;L'!E5</f>
        <v>3225.2554580370515</v>
      </c>
      <c r="P6" s="119">
        <v>3216.6538362000001</v>
      </c>
      <c r="Q6" s="66">
        <f>IF(OR(P6="",O6=0),"",P6/O6)</f>
        <v>0.99733304169267678</v>
      </c>
      <c r="R6" s="63">
        <f>IF(OR(P6="",P$10="",P$10=0),"",P6/P$10)</f>
        <v>0.7267714820245057</v>
      </c>
      <c r="S6" s="161">
        <f>'Monthly P&amp;L'!F5</f>
        <v>2894.7614477916386</v>
      </c>
      <c r="T6" s="119"/>
      <c r="U6" s="66" t="str">
        <f>IF(OR(T6="",S6=0),"",T6/S6)</f>
        <v/>
      </c>
      <c r="V6" s="63" t="str">
        <f>IF(OR(T6="",T$10="",T$10=0),"",T6/T$10)</f>
        <v/>
      </c>
      <c r="W6" s="161">
        <f>'Monthly P&amp;L'!G5</f>
        <v>3395.9549773212593</v>
      </c>
      <c r="X6" s="119"/>
      <c r="Y6" s="66" t="str">
        <f>IF(OR(X6="",W6=0),"",X6/W6)</f>
        <v/>
      </c>
      <c r="Z6" s="63" t="str">
        <f>IF(OR(X6="",X$10="",X$10=0),"",X6/X$10)</f>
        <v/>
      </c>
      <c r="AA6" s="161">
        <f>'Monthly P&amp;L'!H5</f>
        <v>3520.9665106044749</v>
      </c>
      <c r="AB6" s="119"/>
      <c r="AC6" s="66" t="str">
        <f>IF(OR(AB6="",AA6=0),"",AB6/AA6)</f>
        <v/>
      </c>
      <c r="AD6" s="63" t="str">
        <f>IF(OR(AB6="",AB$10="",AB$10=0),"",AB6/AB$10)</f>
        <v/>
      </c>
      <c r="AE6" s="161">
        <f>'Monthly P&amp;L'!I5</f>
        <v>3502.6116936469043</v>
      </c>
      <c r="AF6" s="119"/>
      <c r="AG6" s="66" t="str">
        <f>IF(OR(AF6="",AE6=0),"",AF6/AE6)</f>
        <v/>
      </c>
      <c r="AH6" s="63" t="str">
        <f>IF(OR(AF6="",AF$10="",AF$10=0),"",AF6/AF$10)</f>
        <v/>
      </c>
      <c r="AI6" s="161">
        <f>'Monthly P&amp;L'!J5</f>
        <v>3472.1809702639557</v>
      </c>
      <c r="AJ6" s="119"/>
      <c r="AK6" s="66" t="str">
        <f>IF(OR(AJ6="",AI6=0),"",AJ6/AI6)</f>
        <v/>
      </c>
      <c r="AL6" s="63" t="str">
        <f>IF(OR(AJ6="",AJ$10="",AJ$10=0),"",AJ6/AJ$10)</f>
        <v/>
      </c>
      <c r="AM6" s="161">
        <f>'Monthly P&amp;L'!K5</f>
        <v>3091.2843387338398</v>
      </c>
      <c r="AN6" s="119"/>
      <c r="AO6" s="66" t="str">
        <f>IF(OR(AN6="",AM6=0),"",AN6/AM6)</f>
        <v/>
      </c>
      <c r="AP6" s="63" t="str">
        <f>IF(OR(AN6="",AN$10="",AN$10=0),"",AN6/AN$10)</f>
        <v/>
      </c>
      <c r="AQ6" s="161">
        <f>'Monthly P&amp;L'!L5</f>
        <v>3298.0824801986173</v>
      </c>
      <c r="AR6" s="119"/>
      <c r="AS6" s="66" t="str">
        <f>IF(OR(AR6="",AQ6=0),"",AR6/AQ6)</f>
        <v/>
      </c>
      <c r="AT6" s="63" t="str">
        <f>IF(OR(AR6="",AR$10="",AR$10=0),"",AR6/AR$10)</f>
        <v/>
      </c>
      <c r="AU6" s="161">
        <f>'Monthly P&amp;L'!M5</f>
        <v>3813.4737120204245</v>
      </c>
      <c r="AV6" s="119"/>
      <c r="AW6" s="66" t="str">
        <f>IF(OR(AV6="",AU6=0),"",AV6/AU6)</f>
        <v/>
      </c>
      <c r="AX6" s="63" t="str">
        <f>IF(OR(AV6="",AV$10="",AV$10=0),"",AV6/AV$10)</f>
        <v/>
      </c>
      <c r="AY6" s="161">
        <f>'Monthly P&amp;L'!N5</f>
        <v>3468.5768161547762</v>
      </c>
      <c r="AZ6" s="119"/>
      <c r="BA6" s="66" t="str">
        <f>IF(OR(AZ6="",AY6=0),"",AZ6/AY6)</f>
        <v/>
      </c>
      <c r="BB6" s="63" t="str">
        <f>IF(OR(AZ6="",AZ$10="",AZ$10=0),"",AZ6/AZ$10)</f>
        <v/>
      </c>
      <c r="BC6" s="161">
        <f>'Monthly P&amp;L'!O5</f>
        <v>3294.1442128202261</v>
      </c>
      <c r="BD6" s="119"/>
      <c r="BE6" s="65" t="str">
        <f>IF(OR(BD6="",BC6=0),"",BD6/BC6)</f>
        <v/>
      </c>
      <c r="BF6" s="67" t="str">
        <f>IF(OR(BD6="",BD$10="",BD$10=0),"",BD6/BD$10)</f>
        <v/>
      </c>
    </row>
    <row r="7" spans="1:58" x14ac:dyDescent="0.2">
      <c r="A7" s="68" t="s">
        <v>58</v>
      </c>
      <c r="B7" s="104">
        <f>'Monthly P&amp;L'!B6</f>
        <v>12160.815632200001</v>
      </c>
      <c r="C7" s="88">
        <f>IF(OR(B7=0,B7=""),"",D7/B7-1)</f>
        <v>0.19395774421203771</v>
      </c>
      <c r="D7" s="90">
        <f>'Monthly P&amp;L'!C6</f>
        <v>14519.5</v>
      </c>
      <c r="E7" s="73">
        <f>IF(D$10=0,"",D7/D$10)</f>
        <v>0.25241909967420822</v>
      </c>
      <c r="F7" s="98">
        <f>IF(H7="","",K7*(L7&lt;&gt;"")+O7*(P7&lt;&gt;"")+S7*(T7&lt;&gt;"")+W7*(X7&lt;&gt;"")+AA7*(AB7&lt;&gt;"")+AE7*(AF7&lt;&gt;"")+AI7*(AJ7&lt;&gt;"")+AM7*(AN7&lt;&gt;"")+AQ7*(AR7&lt;&gt;"")+AU7*(AV7&lt;&gt;"")+AY7*(AZ7&lt;&gt;"")+BC7*(BD7&lt;&gt;""))</f>
        <v>2348.5125812424922</v>
      </c>
      <c r="G7" s="84">
        <f>IF(OR(F7=0,F7="",H7=""),"",H7/F7)</f>
        <v>0.85387822825569948</v>
      </c>
      <c r="H7" s="112">
        <f>IF(SUM(L7,P7,T7,X7,AB7,AF7,AJ7,AN7,AR7,AV7,AZ7,BD7)=0,"",SUM(L7,P7,T7,X7,AB7,AF7,AJ7,AN7,AR7,AV7,AZ7,BD7))</f>
        <v>2005.3437619075587</v>
      </c>
      <c r="I7" s="70">
        <f>IF(OR(H$10="",H$10=0,H7=""),"",H7/H$10)</f>
        <v>0.23037138551652278</v>
      </c>
      <c r="J7" s="71">
        <f>IF(OR(D7=0,H7=""),"",H7/D7)</f>
        <v>0.13811383049743853</v>
      </c>
      <c r="K7" s="162">
        <f>'Monthly P&amp;L'!D6</f>
        <v>1144.8244794682848</v>
      </c>
      <c r="L7" s="120">
        <v>980.77008200755881</v>
      </c>
      <c r="M7" s="72">
        <f>IF(OR(L7="",K7=0),"",L7/K7)</f>
        <v>0.85669908321935839</v>
      </c>
      <c r="N7" s="69">
        <f>IF(OR(L7="",L$10="",L$10=0),"",L7/L$10)</f>
        <v>0.22921183588502669</v>
      </c>
      <c r="O7" s="162">
        <f>'Monthly P&amp;L'!E6</f>
        <v>1203.6881017742076</v>
      </c>
      <c r="P7" s="120">
        <v>1024.5736798999999</v>
      </c>
      <c r="Q7" s="72">
        <f>IF(OR(P7="",O7=0),"",P7/O7)</f>
        <v>0.85119532077271742</v>
      </c>
      <c r="R7" s="69">
        <f>IF(OR(P7="",P$10="",P$10=0),"",P7/P$10)</f>
        <v>0.23149240474812657</v>
      </c>
      <c r="S7" s="162">
        <f>'Monthly P&amp;L'!F6</f>
        <v>1086.5150602475201</v>
      </c>
      <c r="T7" s="120"/>
      <c r="U7" s="72" t="str">
        <f>IF(OR(T7="",S7=0),"",T7/S7)</f>
        <v/>
      </c>
      <c r="V7" s="69" t="str">
        <f>IF(OR(T7="",T$10="",T$10=0),"",T7/T$10)</f>
        <v/>
      </c>
      <c r="W7" s="162">
        <f>'Monthly P&amp;L'!G6</f>
        <v>1302.6031505409135</v>
      </c>
      <c r="X7" s="120"/>
      <c r="Y7" s="72" t="str">
        <f>IF(OR(X7="",W7=0),"",X7/W7)</f>
        <v/>
      </c>
      <c r="Z7" s="69" t="str">
        <f>IF(OR(X7="",X$10="",X$10=0),"",X7/X$10)</f>
        <v/>
      </c>
      <c r="AA7" s="162">
        <f>'Monthly P&amp;L'!H6</f>
        <v>1314.8004798736995</v>
      </c>
      <c r="AB7" s="120"/>
      <c r="AC7" s="72" t="str">
        <f>IF(OR(AB7="",AA7=0),"",AB7/AA7)</f>
        <v/>
      </c>
      <c r="AD7" s="69" t="str">
        <f>IF(OR(AB7="",AB$10="",AB$10=0),"",AB7/AB$10)</f>
        <v/>
      </c>
      <c r="AE7" s="162">
        <f>'Monthly P&amp;L'!I6</f>
        <v>1244.6990833569434</v>
      </c>
      <c r="AF7" s="120"/>
      <c r="AG7" s="72" t="str">
        <f>IF(OR(AF7="",AE7=0),"",AF7/AE7)</f>
        <v/>
      </c>
      <c r="AH7" s="69" t="str">
        <f>IF(OR(AF7="",AF$10="",AF$10=0),"",AF7/AF$10)</f>
        <v/>
      </c>
      <c r="AI7" s="162">
        <f>'Monthly P&amp;L'!J6</f>
        <v>1242.9216700105303</v>
      </c>
      <c r="AJ7" s="120"/>
      <c r="AK7" s="72" t="str">
        <f>IF(OR(AJ7="",AI7=0),"",AJ7/AI7)</f>
        <v/>
      </c>
      <c r="AL7" s="69" t="str">
        <f>IF(OR(AJ7="",AJ$10="",AJ$10=0),"",AJ7/AJ$10)</f>
        <v/>
      </c>
      <c r="AM7" s="162">
        <f>'Monthly P&amp;L'!K6</f>
        <v>1120.6706596207102</v>
      </c>
      <c r="AN7" s="120"/>
      <c r="AO7" s="72" t="str">
        <f>IF(OR(AN7="",AM7=0),"",AN7/AM7)</f>
        <v/>
      </c>
      <c r="AP7" s="69" t="str">
        <f>IF(OR(AN7="",AN$10="",AN$10=0),"",AN7/AN$10)</f>
        <v/>
      </c>
      <c r="AQ7" s="162">
        <f>'Monthly P&amp;L'!L6</f>
        <v>1184.9459580857181</v>
      </c>
      <c r="AR7" s="120"/>
      <c r="AS7" s="72" t="str">
        <f>IF(OR(AR7="",AQ7=0),"",AR7/AQ7)</f>
        <v/>
      </c>
      <c r="AT7" s="69" t="str">
        <f>IF(OR(AR7="",AR$10="",AR$10=0),"",AR7/AR$10)</f>
        <v/>
      </c>
      <c r="AU7" s="162">
        <f>'Monthly P&amp;L'!M6</f>
        <v>1326.6257205700415</v>
      </c>
      <c r="AV7" s="120"/>
      <c r="AW7" s="72" t="str">
        <f>IF(OR(AV7="",AU7=0),"",AV7/AU7)</f>
        <v/>
      </c>
      <c r="AX7" s="69" t="str">
        <f>IF(OR(AV7="",AV$10="",AV$10=0),"",AV7/AV$10)</f>
        <v/>
      </c>
      <c r="AY7" s="162">
        <f>'Monthly P&amp;L'!N6</f>
        <v>1191.9089727739643</v>
      </c>
      <c r="AZ7" s="120"/>
      <c r="BA7" s="72" t="str">
        <f>IF(OR(AZ7="",AY7=0),"",AZ7/AY7)</f>
        <v/>
      </c>
      <c r="BB7" s="69" t="str">
        <f>IF(OR(AZ7="",AZ$10="",AZ$10=0),"",AZ7/AZ$10)</f>
        <v/>
      </c>
      <c r="BC7" s="162">
        <f>'Monthly P&amp;L'!O6</f>
        <v>1155.2966636774659</v>
      </c>
      <c r="BD7" s="120"/>
      <c r="BE7" s="71" t="str">
        <f>IF(OR(BD7="",BC7=0),"",BD7/BC7)</f>
        <v/>
      </c>
      <c r="BF7" s="73" t="str">
        <f>IF(OR(BD7="",BD$10="",BD$10=0),"",BD7/BD$10)</f>
        <v/>
      </c>
    </row>
    <row r="8" spans="1:58" x14ac:dyDescent="0.2">
      <c r="A8" s="68" t="s">
        <v>59</v>
      </c>
      <c r="B8" s="104">
        <f>'Monthly P&amp;L'!B7</f>
        <v>1718.1766884000003</v>
      </c>
      <c r="C8" s="88">
        <f>IF(OR(B8=0,B8=""),"",D8/B8-1)</f>
        <v>0.2936387829064433</v>
      </c>
      <c r="D8" s="90">
        <f>'Monthly P&amp;L'!C7</f>
        <v>2222.6999999999998</v>
      </c>
      <c r="E8" s="73">
        <f>IF(D$10=0,"",D8/D$10)</f>
        <v>3.8641270900916874E-2</v>
      </c>
      <c r="F8" s="98">
        <f>IF(H8="","",K8*(L8&lt;&gt;"")+O8*(P8&lt;&gt;"")+S8*(T8&lt;&gt;"")+W8*(X8&lt;&gt;"")+AA8*(AB8&lt;&gt;"")+AE8*(AF8&lt;&gt;"")+AI8*(AJ8&lt;&gt;"")+AM8*(AN8&lt;&gt;"")+AQ8*(AR8&lt;&gt;"")+AU8*(AV8&lt;&gt;"")+AY8*(AZ8&lt;&gt;"")+BC8*(BD8&lt;&gt;""))</f>
        <v>355.90897447469399</v>
      </c>
      <c r="G8" s="84">
        <f>IF(OR(F8=0,F8="",H8=""),"",H8/F8)</f>
        <v>0.91066609904506723</v>
      </c>
      <c r="H8" s="112">
        <f>IF(SUM(L8,P8,T8,X8,AB8,AF8,AJ8,AN8,AR8,AV8,AZ8,BD8)=0,"",SUM(L8,P8,T8,X8,AB8,AF8,AJ8,AN8,AR8,AV8,AZ8,BD8))</f>
        <v>324.11423739999998</v>
      </c>
      <c r="I8" s="70">
        <f>IF(OR(H$10="",H$10=0,H8=""),"",H8/H$10)</f>
        <v>3.723383858358701E-2</v>
      </c>
      <c r="J8" s="71">
        <f>IF(OR(D8=0,H8=""),"",H8/D8)</f>
        <v>0.14582005551806362</v>
      </c>
      <c r="K8" s="162">
        <f>'Monthly P&amp;L'!D7</f>
        <v>172.6427192681611</v>
      </c>
      <c r="L8" s="120">
        <v>157.02992320000001</v>
      </c>
      <c r="M8" s="72">
        <f>IF(OR(L8="",K8=0),"",L8/K8)</f>
        <v>0.90956585870319751</v>
      </c>
      <c r="N8" s="69">
        <f>IF(OR(L8="",L$10="",L$10=0),"",L8/L$10)</f>
        <v>3.6698832525439283E-2</v>
      </c>
      <c r="O8" s="162">
        <f>'Monthly P&amp;L'!E7</f>
        <v>183.26625520653286</v>
      </c>
      <c r="P8" s="120">
        <v>167.08431419999999</v>
      </c>
      <c r="Q8" s="72">
        <f>IF(OR(P8="",O8=0),"",P8/O8)</f>
        <v>0.91170256090900892</v>
      </c>
      <c r="R8" s="69">
        <f>IF(OR(P8="",P$10="",P$10=0),"",P8/P$10)</f>
        <v>3.7751067052224752E-2</v>
      </c>
      <c r="S8" s="162">
        <f>'Monthly P&amp;L'!F7</f>
        <v>169.64179578568647</v>
      </c>
      <c r="T8" s="120"/>
      <c r="U8" s="72" t="str">
        <f>IF(OR(T8="",S8=0),"",T8/S8)</f>
        <v/>
      </c>
      <c r="V8" s="69" t="str">
        <f>IF(OR(T8="",T$10="",T$10=0),"",T8/T$10)</f>
        <v/>
      </c>
      <c r="W8" s="162">
        <f>'Monthly P&amp;L'!G7</f>
        <v>198.3548486630427</v>
      </c>
      <c r="X8" s="120"/>
      <c r="Y8" s="72" t="str">
        <f>IF(OR(X8="",W8=0),"",X8/W8)</f>
        <v/>
      </c>
      <c r="Z8" s="69" t="str">
        <f>IF(OR(X8="",X$10="",X$10=0),"",X8/X$10)</f>
        <v/>
      </c>
      <c r="AA8" s="162">
        <f>'Monthly P&amp;L'!H7</f>
        <v>197.88220440922842</v>
      </c>
      <c r="AB8" s="120"/>
      <c r="AC8" s="72" t="str">
        <f>IF(OR(AB8="",AA8=0),"",AB8/AA8)</f>
        <v/>
      </c>
      <c r="AD8" s="69" t="str">
        <f>IF(OR(AB8="",AB$10="",AB$10=0),"",AB8/AB$10)</f>
        <v/>
      </c>
      <c r="AE8" s="162">
        <f>'Monthly P&amp;L'!I7</f>
        <v>191.14197158313041</v>
      </c>
      <c r="AF8" s="120"/>
      <c r="AG8" s="72" t="str">
        <f>IF(OR(AF8="",AE8=0),"",AF8/AE8)</f>
        <v/>
      </c>
      <c r="AH8" s="69" t="str">
        <f>IF(OR(AF8="",AF$10="",AF$10=0),"",AF8/AF$10)</f>
        <v/>
      </c>
      <c r="AI8" s="162">
        <f>'Monthly P&amp;L'!J7</f>
        <v>190.00750340971155</v>
      </c>
      <c r="AJ8" s="120"/>
      <c r="AK8" s="72" t="str">
        <f>IF(OR(AJ8="",AI8=0),"",AJ8/AI8)</f>
        <v/>
      </c>
      <c r="AL8" s="69" t="str">
        <f>IF(OR(AJ8="",AJ$10="",AJ$10=0),"",AJ8/AJ$10)</f>
        <v/>
      </c>
      <c r="AM8" s="162">
        <f>'Monthly P&amp;L'!K7</f>
        <v>177.99094281911454</v>
      </c>
      <c r="AN8" s="120"/>
      <c r="AO8" s="72" t="str">
        <f>IF(OR(AN8="",AM8=0),"",AN8/AM8)</f>
        <v/>
      </c>
      <c r="AP8" s="69" t="str">
        <f>IF(OR(AN8="",AN$10="",AN$10=0),"",AN8/AN$10)</f>
        <v/>
      </c>
      <c r="AQ8" s="162">
        <f>'Monthly P&amp;L'!L7</f>
        <v>183.43361636061061</v>
      </c>
      <c r="AR8" s="120"/>
      <c r="AS8" s="72" t="str">
        <f>IF(OR(AR8="",AQ8=0),"",AR8/AQ8)</f>
        <v/>
      </c>
      <c r="AT8" s="69" t="str">
        <f>IF(OR(AR8="",AR$10="",AR$10=0),"",AR8/AR$10)</f>
        <v/>
      </c>
      <c r="AU8" s="162">
        <f>'Monthly P&amp;L'!M7</f>
        <v>201.12799275635885</v>
      </c>
      <c r="AV8" s="120"/>
      <c r="AW8" s="72" t="str">
        <f>IF(OR(AV8="",AU8=0),"",AV8/AU8)</f>
        <v/>
      </c>
      <c r="AX8" s="69" t="str">
        <f>IF(OR(AV8="",AV$10="",AV$10=0),"",AV8/AV$10)</f>
        <v/>
      </c>
      <c r="AY8" s="162">
        <f>'Monthly P&amp;L'!N7</f>
        <v>183.82705874421632</v>
      </c>
      <c r="AZ8" s="120"/>
      <c r="BA8" s="72" t="str">
        <f>IF(OR(AZ8="",AY8=0),"",AZ8/AY8)</f>
        <v/>
      </c>
      <c r="BB8" s="69" t="str">
        <f>IF(OR(AZ8="",AZ$10="",AZ$10=0),"",AZ8/AZ$10)</f>
        <v/>
      </c>
      <c r="BC8" s="162">
        <f>'Monthly P&amp;L'!O7</f>
        <v>173.38309099420547</v>
      </c>
      <c r="BD8" s="120"/>
      <c r="BE8" s="71" t="str">
        <f>IF(OR(BD8="",BC8=0),"",BD8/BC8)</f>
        <v/>
      </c>
      <c r="BF8" s="73" t="str">
        <f>IF(OR(BD8="",BD$10="",BD$10=0),"",BD8/BD$10)</f>
        <v/>
      </c>
    </row>
    <row r="9" spans="1:58" x14ac:dyDescent="0.2">
      <c r="A9" s="68" t="s">
        <v>60</v>
      </c>
      <c r="B9" s="104">
        <f>'Monthly P&amp;L'!B8</f>
        <v>875.59769820000008</v>
      </c>
      <c r="C9" s="88">
        <f>IF(OR(B9=0,B9=""),"",D9/B9-1)</f>
        <v>5.6535440764364342E-2</v>
      </c>
      <c r="D9" s="90">
        <f>'Monthly P&amp;L'!C8</f>
        <v>925.1</v>
      </c>
      <c r="E9" s="73">
        <f>IF(D$10=0,"",D9/D$10)</f>
        <v>1.6082710087028482E-2</v>
      </c>
      <c r="F9" s="98">
        <f>IF(H9="","",K9*(L9&lt;&gt;"")+O9*(P9&lt;&gt;"")+S9*(T9&lt;&gt;"")+W9*(X9&lt;&gt;"")+AA9*(AB9&lt;&gt;"")+AE9*(AF9&lt;&gt;"")+AI9*(AJ9&lt;&gt;"")+AM9*(AN9&lt;&gt;"")+AQ9*(AR9&lt;&gt;"")+AU9*(AV9&lt;&gt;"")+AY9*(AZ9&lt;&gt;"")+BC9*(BD9&lt;&gt;""))</f>
        <v>96.610755731039959</v>
      </c>
      <c r="G9" s="84">
        <f>IF(OR(F9=0,F9="",H9=""),"",H9/F9)</f>
        <v>0.69119869865928807</v>
      </c>
      <c r="H9" s="112">
        <f>IF(SUM(L9,P9,T9,X9,AB9,AF9,AJ9,AN9,AR9,AV9,AZ9,BD9)=0,"",SUM(L9,P9,T9,X9,AB9,AF9,AJ9,AN9,AR9,AV9,AZ9,BD9))</f>
        <v>66.777228637785171</v>
      </c>
      <c r="I9" s="70">
        <f>IF(OR(H$10="",H$10=0,H9=""),"",H9/H$10)</f>
        <v>7.671284581954551E-3</v>
      </c>
      <c r="J9" s="71">
        <f>IF(OR(D9=0,H9=""),"",H9/D9)</f>
        <v>7.2183794873835444E-2</v>
      </c>
      <c r="K9" s="162">
        <f>'Monthly P&amp;L'!D8</f>
        <v>23.262150509538245</v>
      </c>
      <c r="L9" s="120">
        <v>49.139615737785171</v>
      </c>
      <c r="M9" s="72">
        <f>IF(OR(L9="",K9=0),"",L9/K9)</f>
        <v>2.1124278994599539</v>
      </c>
      <c r="N9" s="69">
        <f>IF(OR(L9="",L$10="",L$10=0),"",L9/L$10)</f>
        <v>1.1484222188840874E-2</v>
      </c>
      <c r="O9" s="162">
        <f>'Monthly P&amp;L'!E8</f>
        <v>73.348605221501714</v>
      </c>
      <c r="P9" s="120">
        <v>17.637612900000001</v>
      </c>
      <c r="Q9" s="72">
        <f>IF(OR(P9="",O9=0),"",P9/O9)</f>
        <v>0.24046282607197605</v>
      </c>
      <c r="R9" s="69">
        <f>IF(OR(P9="",P$10="",P$10=0),"",P9/P$10)</f>
        <v>3.9850461751428983E-3</v>
      </c>
      <c r="S9" s="162">
        <f>'Monthly P&amp;L'!F8</f>
        <v>66.439309632036085</v>
      </c>
      <c r="T9" s="120"/>
      <c r="U9" s="72" t="str">
        <f>IF(OR(T9="",S9=0),"",T9/S9)</f>
        <v/>
      </c>
      <c r="V9" s="69" t="str">
        <f>IF(OR(T9="",T$10="",T$10=0),"",T9/T$10)</f>
        <v/>
      </c>
      <c r="W9" s="162">
        <f>'Monthly P&amp;L'!G8</f>
        <v>16.323443718493795</v>
      </c>
      <c r="X9" s="120"/>
      <c r="Y9" s="72" t="str">
        <f>IF(OR(X9="",W9=0),"",X9/W9)</f>
        <v/>
      </c>
      <c r="Z9" s="69" t="str">
        <f>IF(OR(X9="",X$10="",X$10=0),"",X9/X$10)</f>
        <v/>
      </c>
      <c r="AA9" s="162">
        <f>'Monthly P&amp;L'!H8</f>
        <v>23.353976188217121</v>
      </c>
      <c r="AB9" s="120"/>
      <c r="AC9" s="72" t="str">
        <f>IF(OR(AB9="",AA9=0),"",AB9/AA9)</f>
        <v/>
      </c>
      <c r="AD9" s="69" t="str">
        <f>IF(OR(AB9="",AB$10="",AB$10=0),"",AB9/AB$10)</f>
        <v/>
      </c>
      <c r="AE9" s="162">
        <f>'Monthly P&amp;L'!I8</f>
        <v>26.985795069021616</v>
      </c>
      <c r="AF9" s="120"/>
      <c r="AG9" s="72" t="str">
        <f>IF(OR(AF9="",AE9=0),"",AF9/AE9)</f>
        <v/>
      </c>
      <c r="AH9" s="69" t="str">
        <f>IF(OR(AF9="",AF$10="",AF$10=0),"",AF9/AF$10)</f>
        <v/>
      </c>
      <c r="AI9" s="162">
        <f>'Monthly P&amp;L'!J8</f>
        <v>45.125736253316994</v>
      </c>
      <c r="AJ9" s="120"/>
      <c r="AK9" s="72" t="str">
        <f>IF(OR(AJ9="",AI9=0),"",AJ9/AI9)</f>
        <v/>
      </c>
      <c r="AL9" s="69" t="str">
        <f>IF(OR(AJ9="",AJ$10="",AJ$10=0),"",AJ9/AJ$10)</f>
        <v/>
      </c>
      <c r="AM9" s="162">
        <f>'Monthly P&amp;L'!K8</f>
        <v>31.312754956086025</v>
      </c>
      <c r="AN9" s="120"/>
      <c r="AO9" s="72" t="str">
        <f>IF(OR(AN9="",AM9=0),"",AN9/AM9)</f>
        <v/>
      </c>
      <c r="AP9" s="69" t="str">
        <f>IF(OR(AN9="",AN$10="",AN$10=0),"",AN9/AN$10)</f>
        <v/>
      </c>
      <c r="AQ9" s="162">
        <f>'Monthly P&amp;L'!L8</f>
        <v>14.044393883174166</v>
      </c>
      <c r="AR9" s="120"/>
      <c r="AS9" s="72" t="str">
        <f>IF(OR(AR9="",AQ9=0),"",AR9/AQ9)</f>
        <v/>
      </c>
      <c r="AT9" s="69" t="str">
        <f>IF(OR(AR9="",AR$10="",AR$10=0),"",AR9/AR$10)</f>
        <v/>
      </c>
      <c r="AU9" s="162">
        <f>'Monthly P&amp;L'!M8</f>
        <v>53.197681410000229</v>
      </c>
      <c r="AV9" s="120"/>
      <c r="AW9" s="72" t="str">
        <f>IF(OR(AV9="",AU9=0),"",AV9/AU9)</f>
        <v/>
      </c>
      <c r="AX9" s="69" t="str">
        <f>IF(OR(AV9="",AV$10="",AV$10=0),"",AV9/AV$10)</f>
        <v/>
      </c>
      <c r="AY9" s="162">
        <f>'Monthly P&amp;L'!N8</f>
        <v>219.67585634918927</v>
      </c>
      <c r="AZ9" s="120"/>
      <c r="BA9" s="72" t="str">
        <f>IF(OR(AZ9="",AY9=0),"",AZ9/AY9)</f>
        <v/>
      </c>
      <c r="BB9" s="69" t="str">
        <f>IF(OR(AZ9="",AZ$10="",AZ$10=0),"",AZ9/AZ$10)</f>
        <v/>
      </c>
      <c r="BC9" s="162">
        <f>'Monthly P&amp;L'!O8</f>
        <v>332.04697300942473</v>
      </c>
      <c r="BD9" s="120"/>
      <c r="BE9" s="71" t="str">
        <f>IF(OR(BD9="",BC9=0),"",BD9/BC9)</f>
        <v/>
      </c>
      <c r="BF9" s="73" t="str">
        <f>IF(OR(BD9="",BD$10="",BD$10=0),"",BD9/BD$10)</f>
        <v/>
      </c>
    </row>
    <row r="10" spans="1:58" ht="15" thickBot="1" x14ac:dyDescent="0.25">
      <c r="A10" s="155" t="s">
        <v>61</v>
      </c>
      <c r="B10" s="105">
        <f>'Monthly P&amp;L'!B9</f>
        <v>45909.120367200005</v>
      </c>
      <c r="C10" s="127">
        <f>IF(OR(B10=0,B10=""),"",D10/B10-1)</f>
        <v>0.25294058217452675</v>
      </c>
      <c r="D10" s="91">
        <f>'Monthly P&amp;L'!C9</f>
        <v>57521.399999999994</v>
      </c>
      <c r="E10" s="128">
        <f>IF(D$10=0,"",D10/D$10)</f>
        <v>1</v>
      </c>
      <c r="F10" s="99">
        <f>IF(H10="","",K10*(L10&lt;&gt;"")+O10*(P10&lt;&gt;"")+S10*(T10&lt;&gt;"")+W10*(X10&lt;&gt;"")+AA10*(AB10&lt;&gt;"")+AE10*(AF10&lt;&gt;"")+AI10*(AJ10&lt;&gt;"")+AM10*(AN10&lt;&gt;"")+AQ10*(AR10&lt;&gt;"")+AU10*(AV10&lt;&gt;"")+AY10*(AZ10&lt;&gt;"")+BC10*(BD10&lt;&gt;""))</f>
        <v>8903.0951518921029</v>
      </c>
      <c r="G10" s="129">
        <f>IF(OR(F10=0,F10="",H10=""),"",H10/F10)</f>
        <v>0.97773076809698389</v>
      </c>
      <c r="H10" s="113">
        <f>IF(SUM(L10,P10,T10,X10,AB10,AF10,AJ10,AN10,AR10,AV10,AZ10,BD10)=0,"",SUM(L10,P10,T10,X10,AB10,AF10,AJ10,AN10,AR10,AV10,AZ10,BD10))</f>
        <v>8704.8300612999992</v>
      </c>
      <c r="I10" s="130">
        <f>IF(OR(H$10="",H$10=0,H10=""),"",H10/H$10)</f>
        <v>1</v>
      </c>
      <c r="J10" s="131">
        <f>IF(OR(D10=0,H10=""),"",H10/D10)</f>
        <v>0.15133202705949439</v>
      </c>
      <c r="K10" s="163">
        <f>'Monthly P&amp;L'!D9</f>
        <v>4217.5367316528091</v>
      </c>
      <c r="L10" s="121">
        <f>IF(SUM(L6:L9)=0,"",SUM(L6:L9))</f>
        <v>4278.8806181</v>
      </c>
      <c r="M10" s="132">
        <f>IF(OR(L10="",K10=0),"",L10/K10)</f>
        <v>1.0145449560609163</v>
      </c>
      <c r="N10" s="133">
        <f>IF(OR(L10="",L$10="",L$10=0),"",L10/L$10)</f>
        <v>1</v>
      </c>
      <c r="O10" s="163">
        <f>'Monthly P&amp;L'!E9</f>
        <v>4685.5584202392947</v>
      </c>
      <c r="P10" s="121">
        <f>IF(SUM(P6:P9)=0,"",SUM(P6:P9))</f>
        <v>4425.9494432000001</v>
      </c>
      <c r="Q10" s="132">
        <f>IF(OR(P10="",O10=0),"",P10/O10)</f>
        <v>0.94459380211376465</v>
      </c>
      <c r="R10" s="133">
        <f>IF(OR(P10="",P$10="",P$10=0),"",P10/P$10)</f>
        <v>1</v>
      </c>
      <c r="S10" s="163">
        <f>'Monthly P&amp;L'!F9</f>
        <v>4217.3576134568812</v>
      </c>
      <c r="T10" s="121" t="str">
        <f>IF(SUM(T6:T9)=0,"",SUM(T6:T9))</f>
        <v/>
      </c>
      <c r="U10" s="132" t="str">
        <f>IF(OR(T10="",S10=0),"",T10/S10)</f>
        <v/>
      </c>
      <c r="V10" s="133" t="str">
        <f>IF(OR(T10="",T$10="",T$10=0),"",T10/T$10)</f>
        <v/>
      </c>
      <c r="W10" s="163">
        <f>'Monthly P&amp;L'!G9</f>
        <v>4913.2364202437093</v>
      </c>
      <c r="X10" s="121" t="str">
        <f>IF(SUM(X6:X9)=0,"",SUM(X6:X9))</f>
        <v/>
      </c>
      <c r="Y10" s="132" t="str">
        <f>IF(OR(X10="",W10=0),"",X10/W10)</f>
        <v/>
      </c>
      <c r="Z10" s="133" t="str">
        <f>IF(OR(X10="",X$10="",X$10=0),"",X10/X$10)</f>
        <v/>
      </c>
      <c r="AA10" s="163">
        <f>'Monthly P&amp;L'!H9</f>
        <v>5057.0031710756202</v>
      </c>
      <c r="AB10" s="121" t="str">
        <f>IF(SUM(AB6:AB9)=0,"",SUM(AB6:AB9))</f>
        <v/>
      </c>
      <c r="AC10" s="132" t="str">
        <f>IF(OR(AB10="",AA10=0),"",AB10/AA10)</f>
        <v/>
      </c>
      <c r="AD10" s="133" t="str">
        <f>IF(OR(AB10="",AB$10="",AB$10=0),"",AB10/AB$10)</f>
        <v/>
      </c>
      <c r="AE10" s="163">
        <f>'Monthly P&amp;L'!I9</f>
        <v>4965.4385436560005</v>
      </c>
      <c r="AF10" s="121" t="str">
        <f>IF(SUM(AF6:AF9)=0,"",SUM(AF6:AF9))</f>
        <v/>
      </c>
      <c r="AG10" s="132" t="str">
        <f>IF(OR(AF10="",AE10=0),"",AF10/AE10)</f>
        <v/>
      </c>
      <c r="AH10" s="133" t="str">
        <f>IF(OR(AF10="",AF$10="",AF$10=0),"",AF10/AF$10)</f>
        <v/>
      </c>
      <c r="AI10" s="163">
        <f>'Monthly P&amp;L'!J9</f>
        <v>4950.2358799375152</v>
      </c>
      <c r="AJ10" s="121" t="str">
        <f>IF(SUM(AJ6:AJ9)=0,"",SUM(AJ6:AJ9))</f>
        <v/>
      </c>
      <c r="AK10" s="132" t="str">
        <f>IF(OR(AJ10="",AI10=0),"",AJ10/AI10)</f>
        <v/>
      </c>
      <c r="AL10" s="133" t="str">
        <f>IF(OR(AJ10="",AJ$10="",AJ$10=0),"",AJ10/AJ$10)</f>
        <v/>
      </c>
      <c r="AM10" s="163">
        <f>'Monthly P&amp;L'!K9</f>
        <v>4421.2586961297511</v>
      </c>
      <c r="AN10" s="121" t="str">
        <f>IF(SUM(AN6:AN9)=0,"",SUM(AN6:AN9))</f>
        <v/>
      </c>
      <c r="AO10" s="132" t="str">
        <f>IF(OR(AN10="",AM10=0),"",AN10/AM10)</f>
        <v/>
      </c>
      <c r="AP10" s="133" t="str">
        <f>IF(OR(AN10="",AN$10="",AN$10=0),"",AN10/AN$10)</f>
        <v/>
      </c>
      <c r="AQ10" s="163">
        <f>'Monthly P&amp;L'!L9</f>
        <v>4680.50644852812</v>
      </c>
      <c r="AR10" s="121" t="str">
        <f>IF(SUM(AR6:AR9)=0,"",SUM(AR6:AR9))</f>
        <v/>
      </c>
      <c r="AS10" s="132" t="str">
        <f>IF(OR(AR10="",AQ10=0),"",AR10/AQ10)</f>
        <v/>
      </c>
      <c r="AT10" s="133" t="str">
        <f>IF(OR(AR10="",AR$10="",AR$10=0),"",AR10/AR$10)</f>
        <v/>
      </c>
      <c r="AU10" s="163">
        <f>'Monthly P&amp;L'!M9</f>
        <v>5394.4251067568248</v>
      </c>
      <c r="AV10" s="121" t="str">
        <f>IF(SUM(AV6:AV9)=0,"",SUM(AV6:AV9))</f>
        <v/>
      </c>
      <c r="AW10" s="132" t="str">
        <f>IF(OR(AV10="",AU10=0),"",AV10/AU10)</f>
        <v/>
      </c>
      <c r="AX10" s="133" t="str">
        <f>IF(OR(AV10="",AV$10="",AV$10=0),"",AV10/AV$10)</f>
        <v/>
      </c>
      <c r="AY10" s="163">
        <f>'Monthly P&amp;L'!N9</f>
        <v>5063.9887040221465</v>
      </c>
      <c r="AZ10" s="121" t="str">
        <f>IF(SUM(AZ6:AZ9)=0,"",SUM(AZ6:AZ9))</f>
        <v/>
      </c>
      <c r="BA10" s="132" t="str">
        <f>IF(OR(AZ10="",AY10=0),"",AZ10/AY10)</f>
        <v/>
      </c>
      <c r="BB10" s="133" t="str">
        <f>IF(OR(AZ10="",AZ$10="",AZ$10=0),"",AZ10/AZ$10)</f>
        <v/>
      </c>
      <c r="BC10" s="163">
        <f>'Monthly P&amp;L'!O9</f>
        <v>4954.8709405013224</v>
      </c>
      <c r="BD10" s="121" t="str">
        <f>IF(SUM(BD6:BD9)=0,"",SUM(BD6:BD9))</f>
        <v/>
      </c>
      <c r="BE10" s="131" t="str">
        <f>IF(OR(BD10="",BC10=0),"",BD10/BC10)</f>
        <v/>
      </c>
      <c r="BF10" s="128" t="str">
        <f>IF(OR(BD10="",BD$10="",BD$10=0),"",BD10/BD$10)</f>
        <v/>
      </c>
    </row>
    <row r="11" spans="1:58" x14ac:dyDescent="0.2">
      <c r="A11" s="183" t="s">
        <v>62</v>
      </c>
      <c r="B11" s="184"/>
      <c r="C11" s="185"/>
      <c r="D11" s="186"/>
      <c r="E11" s="187"/>
      <c r="F11" s="197"/>
      <c r="G11" s="198"/>
      <c r="H11" s="190"/>
      <c r="I11" s="191"/>
      <c r="J11" s="192"/>
      <c r="K11" s="193"/>
      <c r="L11" s="194"/>
      <c r="M11" s="195"/>
      <c r="N11" s="196"/>
      <c r="O11" s="193"/>
      <c r="P11" s="194"/>
      <c r="Q11" s="195"/>
      <c r="R11" s="196"/>
      <c r="S11" s="193"/>
      <c r="T11" s="194"/>
      <c r="U11" s="195"/>
      <c r="V11" s="196"/>
      <c r="W11" s="193"/>
      <c r="X11" s="194"/>
      <c r="Y11" s="195"/>
      <c r="Z11" s="196"/>
      <c r="AA11" s="193"/>
      <c r="AB11" s="194"/>
      <c r="AC11" s="195"/>
      <c r="AD11" s="196"/>
      <c r="AE11" s="193"/>
      <c r="AF11" s="194"/>
      <c r="AG11" s="195"/>
      <c r="AH11" s="196"/>
      <c r="AI11" s="193"/>
      <c r="AJ11" s="194"/>
      <c r="AK11" s="195"/>
      <c r="AL11" s="196"/>
      <c r="AM11" s="193"/>
      <c r="AN11" s="194"/>
      <c r="AO11" s="195"/>
      <c r="AP11" s="196"/>
      <c r="AQ11" s="193"/>
      <c r="AR11" s="194"/>
      <c r="AS11" s="195"/>
      <c r="AT11" s="196"/>
      <c r="AU11" s="193"/>
      <c r="AV11" s="194"/>
      <c r="AW11" s="195"/>
      <c r="AX11" s="196"/>
      <c r="AY11" s="193"/>
      <c r="AZ11" s="194"/>
      <c r="BA11" s="195"/>
      <c r="BB11" s="196"/>
      <c r="BC11" s="193"/>
      <c r="BD11" s="194"/>
      <c r="BE11" s="192"/>
      <c r="BF11" s="187"/>
    </row>
    <row r="12" spans="1:58" x14ac:dyDescent="0.2">
      <c r="A12" s="62" t="s">
        <v>182</v>
      </c>
      <c r="B12" s="103">
        <f>'Monthly P&amp;L'!B12</f>
        <v>13709.978129072511</v>
      </c>
      <c r="C12" s="87">
        <f>IF(OR(B12=0,B12=""),"",D12/B12-1)</f>
        <v>0.11183076117942781</v>
      </c>
      <c r="D12" s="89">
        <f>'Monthly P&amp;L'!C12</f>
        <v>15243.175418999999</v>
      </c>
      <c r="E12" s="67">
        <f>IF(D$10=0,"",D12/D$10)</f>
        <v>0.26500007682358218</v>
      </c>
      <c r="F12" s="97">
        <f>IF(H12="","",K12*(L12&lt;&gt;"")+O12*(P12&lt;&gt;"")+S12*(T12&lt;&gt;"")+W12*(X12&lt;&gt;"")+AA12*(AB12&lt;&gt;"")+AE12*(AF12&lt;&gt;"")+AI12*(AJ12&lt;&gt;"")+AM12*(AN12&lt;&gt;"")+AQ12*(AR12&lt;&gt;"")+AU12*(AV12&lt;&gt;"")+AY12*(AZ12&lt;&gt;"")+BC12*(BD12&lt;&gt;""))</f>
        <v>2235.1849619999998</v>
      </c>
      <c r="G12" s="83">
        <f>IF(OR(F12=0,F12="",H12=""),"",H12/F12)</f>
        <v>1.1593003471958383</v>
      </c>
      <c r="H12" s="111">
        <f>IF(SUM(L12,P12,T12,X12,AB12,AF12,AJ12,AN12,AR12,AV12,AZ12,BD12)=0,"",SUM(L12,P12,T12,X12,AB12,AF12,AJ12,AN12,AR12,AV12,AZ12,BD12))</f>
        <v>2591.2507024935167</v>
      </c>
      <c r="I12" s="64">
        <f>IF(OR(H$10="",H$10=0,H12=""),"",H12/H$10)</f>
        <v>0.2976796427093642</v>
      </c>
      <c r="J12" s="65">
        <f>IF(OR(D12=0,H12=""),"",H12/D12)</f>
        <v>0.16999415353205394</v>
      </c>
      <c r="K12" s="161">
        <f>'Monthly P&amp;L'!D12</f>
        <v>960.94760699999995</v>
      </c>
      <c r="L12" s="119">
        <v>1246.2881536535167</v>
      </c>
      <c r="M12" s="66">
        <f>IF(OR(L12="",K12=0),"",L12/K12)</f>
        <v>1.2969366327310254</v>
      </c>
      <c r="N12" s="63">
        <f>IF(OR(L12="",L$10="",L$10=0),"",L12/L$10)</f>
        <v>0.29126499776170905</v>
      </c>
      <c r="O12" s="161">
        <f>'Monthly P&amp;L'!E12</f>
        <v>1274.237355</v>
      </c>
      <c r="P12" s="119">
        <v>1344.96254884</v>
      </c>
      <c r="Q12" s="66">
        <f>IF(OR(P12="",O12=0),"",P12/O12)</f>
        <v>1.0555039401116912</v>
      </c>
      <c r="R12" s="63">
        <f>IF(OR(P12="",P$10="",P$10=0),"",P12/P$10)</f>
        <v>0.30388113694032171</v>
      </c>
      <c r="S12" s="161">
        <f>'Monthly P&amp;L'!F12</f>
        <v>1245.8601000000001</v>
      </c>
      <c r="T12" s="119"/>
      <c r="U12" s="66" t="str">
        <f>IF(OR(T12="",S12=0),"",T12/S12)</f>
        <v/>
      </c>
      <c r="V12" s="63" t="str">
        <f>IF(OR(T12="",T$10="",T$10=0),"",T12/T$10)</f>
        <v/>
      </c>
      <c r="W12" s="161">
        <f>'Monthly P&amp;L'!G12</f>
        <v>1420.106241</v>
      </c>
      <c r="X12" s="119"/>
      <c r="Y12" s="66" t="str">
        <f>IF(OR(X12="",W12=0),"",X12/W12)</f>
        <v/>
      </c>
      <c r="Z12" s="63" t="str">
        <f>IF(OR(X12="",X$10="",X$10=0),"",X12/X$10)</f>
        <v/>
      </c>
      <c r="AA12" s="161">
        <f>'Monthly P&amp;L'!H12</f>
        <v>1356.520417</v>
      </c>
      <c r="AB12" s="119"/>
      <c r="AC12" s="66" t="str">
        <f>IF(OR(AB12="",AA12=0),"",AB12/AA12)</f>
        <v/>
      </c>
      <c r="AD12" s="63" t="str">
        <f>IF(OR(AB12="",AB$10="",AB$10=0),"",AB12/AB$10)</f>
        <v/>
      </c>
      <c r="AE12" s="161">
        <f>'Monthly P&amp;L'!I12</f>
        <v>1289.8680159999999</v>
      </c>
      <c r="AF12" s="119"/>
      <c r="AG12" s="66" t="str">
        <f>IF(OR(AF12="",AE12=0),"",AF12/AE12)</f>
        <v/>
      </c>
      <c r="AH12" s="63" t="str">
        <f>IF(OR(AF12="",AF$10="",AF$10=0),"",AF12/AF$10)</f>
        <v/>
      </c>
      <c r="AI12" s="161">
        <f>'Monthly P&amp;L'!J12</f>
        <v>1366.010636</v>
      </c>
      <c r="AJ12" s="119"/>
      <c r="AK12" s="66" t="str">
        <f>IF(OR(AJ12="",AI12=0),"",AJ12/AI12)</f>
        <v/>
      </c>
      <c r="AL12" s="63" t="str">
        <f>IF(OR(AJ12="",AJ$10="",AJ$10=0),"",AJ12/AJ$10)</f>
        <v/>
      </c>
      <c r="AM12" s="161">
        <f>'Monthly P&amp;L'!K12</f>
        <v>1200.529072</v>
      </c>
      <c r="AN12" s="119"/>
      <c r="AO12" s="66" t="str">
        <f>IF(OR(AN12="",AM12=0),"",AN12/AM12)</f>
        <v/>
      </c>
      <c r="AP12" s="63" t="str">
        <f>IF(OR(AN12="",AN$10="",AN$10=0),"",AN12/AN$10)</f>
        <v/>
      </c>
      <c r="AQ12" s="161">
        <f>'Monthly P&amp;L'!L12</f>
        <v>1281.6389360000001</v>
      </c>
      <c r="AR12" s="119"/>
      <c r="AS12" s="66" t="str">
        <f>IF(OR(AR12="",AQ12=0),"",AR12/AQ12)</f>
        <v/>
      </c>
      <c r="AT12" s="63" t="str">
        <f>IF(OR(AR12="",AR$10="",AR$10=0),"",AR12/AR$10)</f>
        <v/>
      </c>
      <c r="AU12" s="161">
        <f>'Monthly P&amp;L'!M12</f>
        <v>1380.4565749999999</v>
      </c>
      <c r="AV12" s="119"/>
      <c r="AW12" s="66" t="str">
        <f>IF(OR(AV12="",AU12=0),"",AV12/AU12)</f>
        <v/>
      </c>
      <c r="AX12" s="63" t="str">
        <f>IF(OR(AV12="",AV$10="",AV$10=0),"",AV12/AV$10)</f>
        <v/>
      </c>
      <c r="AY12" s="161">
        <f>'Monthly P&amp;L'!N12</f>
        <v>1301.057624</v>
      </c>
      <c r="AZ12" s="119"/>
      <c r="BA12" s="66" t="str">
        <f>IF(OR(AZ12="",AY12=0),"",AZ12/AY12)</f>
        <v/>
      </c>
      <c r="BB12" s="63" t="str">
        <f>IF(OR(AZ12="",AZ$10="",AZ$10=0),"",AZ12/AZ$10)</f>
        <v/>
      </c>
      <c r="BC12" s="161">
        <f>'Monthly P&amp;L'!O12</f>
        <v>1165.9428399999999</v>
      </c>
      <c r="BD12" s="119"/>
      <c r="BE12" s="65" t="str">
        <f>IF(OR(BD12="",BC12=0),"",BD12/BC12)</f>
        <v/>
      </c>
      <c r="BF12" s="67" t="str">
        <f>IF(OR(BD12="",BD$10="",BD$10=0),"",BD12/BD$10)</f>
        <v/>
      </c>
    </row>
    <row r="13" spans="1:58" x14ac:dyDescent="0.2">
      <c r="A13" s="68" t="s">
        <v>142</v>
      </c>
      <c r="B13" s="104">
        <f>'Monthly P&amp;L'!B13</f>
        <v>7978.2619825000002</v>
      </c>
      <c r="C13" s="88">
        <f>IF(OR(B13=0,B13=""),"",D13/B13-1)</f>
        <v>0.12806411055968003</v>
      </c>
      <c r="D13" s="90">
        <f>'Monthly P&amp;L'!C13</f>
        <v>8999.9910071009726</v>
      </c>
      <c r="E13" s="73">
        <f>IF(D$10=0,"",D13/D$10)</f>
        <v>0.15646335115454377</v>
      </c>
      <c r="F13" s="98">
        <f>IF(H13="","",K13*(L13&lt;&gt;"")+O13*(P13&lt;&gt;"")+S13*(T13&lt;&gt;"")+W13*(X13&lt;&gt;"")+AA13*(AB13&lt;&gt;"")+AE13*(AF13&lt;&gt;"")+AI13*(AJ13&lt;&gt;"")+AM13*(AN13&lt;&gt;"")+AQ13*(AR13&lt;&gt;"")+AU13*(AV13&lt;&gt;"")+AY13*(AZ13&lt;&gt;"")+BC13*(BD13&lt;&gt;""))</f>
        <v>1499.9985011834954</v>
      </c>
      <c r="G13" s="84">
        <f>IF(OR(F13=0,F13="",H13=""),"",H13/F13)</f>
        <v>0.93851001681410107</v>
      </c>
      <c r="H13" s="112">
        <f>IF(SUM(L13,P13,T13,X13,AB13,AF13,AJ13,AN13,AR13,AV13,AZ13,BD13)=0,"",SUM(L13,P13,T13,X13,AB13,AF13,AJ13,AN13,AR13,AV13,AZ13,BD13))</f>
        <v>1407.7636185668487</v>
      </c>
      <c r="I13" s="70">
        <f>IF(OR(H$10="",H$10=0,H13=""),"",H13/H$10)</f>
        <v>0.16172212537789737</v>
      </c>
      <c r="J13" s="71">
        <f>IF(OR(D13=0,H13=""),"",H13/D13)</f>
        <v>0.15641833613568351</v>
      </c>
      <c r="K13" s="162">
        <f>'Monthly P&amp;L'!D13</f>
        <v>749.99925059174768</v>
      </c>
      <c r="L13" s="120">
        <v>715.1693585668487</v>
      </c>
      <c r="M13" s="72">
        <f>IF(OR(L13="",K13=0),"",L13/K13)</f>
        <v>0.95356009756353988</v>
      </c>
      <c r="N13" s="69">
        <f>IF(OR(L13="",L$10="",L$10=0),"",L13/L$10)</f>
        <v>0.16713935778942426</v>
      </c>
      <c r="O13" s="162">
        <f>'Monthly P&amp;L'!E13</f>
        <v>749.99925059174768</v>
      </c>
      <c r="P13" s="120">
        <v>692.59425999999996</v>
      </c>
      <c r="Q13" s="72">
        <f>IF(OR(P13="",O13=0),"",P13/O13)</f>
        <v>0.92345993606466237</v>
      </c>
      <c r="R13" s="69">
        <f>IF(OR(P13="",P$10="",P$10=0),"",P13/P$10)</f>
        <v>0.1564849008982914</v>
      </c>
      <c r="S13" s="162">
        <f>'Monthly P&amp;L'!F13</f>
        <v>749.99925059174768</v>
      </c>
      <c r="T13" s="120"/>
      <c r="U13" s="72" t="str">
        <f>IF(OR(T13="",S13=0),"",T13/S13)</f>
        <v/>
      </c>
      <c r="V13" s="69" t="str">
        <f>IF(OR(T13="",T$10="",T$10=0),"",T13/T$10)</f>
        <v/>
      </c>
      <c r="W13" s="162">
        <f>'Monthly P&amp;L'!G13</f>
        <v>749.99925059174768</v>
      </c>
      <c r="X13" s="120"/>
      <c r="Y13" s="72" t="str">
        <f>IF(OR(X13="",W13=0),"",X13/W13)</f>
        <v/>
      </c>
      <c r="Z13" s="69" t="str">
        <f>IF(OR(X13="",X$10="",X$10=0),"",X13/X$10)</f>
        <v/>
      </c>
      <c r="AA13" s="162">
        <f>'Monthly P&amp;L'!H13</f>
        <v>749.99925059174768</v>
      </c>
      <c r="AB13" s="120"/>
      <c r="AC13" s="72" t="str">
        <f>IF(OR(AB13="",AA13=0),"",AB13/AA13)</f>
        <v/>
      </c>
      <c r="AD13" s="69" t="str">
        <f>IF(OR(AB13="",AB$10="",AB$10=0),"",AB13/AB$10)</f>
        <v/>
      </c>
      <c r="AE13" s="162">
        <f>'Monthly P&amp;L'!I13</f>
        <v>749.99925059174768</v>
      </c>
      <c r="AF13" s="120"/>
      <c r="AG13" s="72" t="str">
        <f>IF(OR(AF13="",AE13=0),"",AF13/AE13)</f>
        <v/>
      </c>
      <c r="AH13" s="69" t="str">
        <f>IF(OR(AF13="",AF$10="",AF$10=0),"",AF13/AF$10)</f>
        <v/>
      </c>
      <c r="AI13" s="162">
        <f>'Monthly P&amp;L'!J13</f>
        <v>749.99925059174768</v>
      </c>
      <c r="AJ13" s="120"/>
      <c r="AK13" s="72" t="str">
        <f>IF(OR(AJ13="",AI13=0),"",AJ13/AI13)</f>
        <v/>
      </c>
      <c r="AL13" s="69" t="str">
        <f>IF(OR(AJ13="",AJ$10="",AJ$10=0),"",AJ13/AJ$10)</f>
        <v/>
      </c>
      <c r="AM13" s="162">
        <f>'Monthly P&amp;L'!K13</f>
        <v>749.99925059174768</v>
      </c>
      <c r="AN13" s="120"/>
      <c r="AO13" s="72" t="str">
        <f>IF(OR(AN13="",AM13=0),"",AN13/AM13)</f>
        <v/>
      </c>
      <c r="AP13" s="69" t="str">
        <f>IF(OR(AN13="",AN$10="",AN$10=0),"",AN13/AN$10)</f>
        <v/>
      </c>
      <c r="AQ13" s="162">
        <f>'Monthly P&amp;L'!L13</f>
        <v>749.99925059174768</v>
      </c>
      <c r="AR13" s="120"/>
      <c r="AS13" s="72" t="str">
        <f>IF(OR(AR13="",AQ13=0),"",AR13/AQ13)</f>
        <v/>
      </c>
      <c r="AT13" s="69" t="str">
        <f>IF(OR(AR13="",AR$10="",AR$10=0),"",AR13/AR$10)</f>
        <v/>
      </c>
      <c r="AU13" s="162">
        <f>'Monthly P&amp;L'!M13</f>
        <v>749.99925059174768</v>
      </c>
      <c r="AV13" s="120"/>
      <c r="AW13" s="72" t="str">
        <f>IF(OR(AV13="",AU13=0),"",AV13/AU13)</f>
        <v/>
      </c>
      <c r="AX13" s="69" t="str">
        <f>IF(OR(AV13="",AV$10="",AV$10=0),"",AV13/AV$10)</f>
        <v/>
      </c>
      <c r="AY13" s="162">
        <f>'Monthly P&amp;L'!N13</f>
        <v>749.99925059174768</v>
      </c>
      <c r="AZ13" s="120"/>
      <c r="BA13" s="72" t="str">
        <f>IF(OR(AZ13="",AY13=0),"",AZ13/AY13)</f>
        <v/>
      </c>
      <c r="BB13" s="69" t="str">
        <f>IF(OR(AZ13="",AZ$10="",AZ$10=0),"",AZ13/AZ$10)</f>
        <v/>
      </c>
      <c r="BC13" s="162">
        <f>'Monthly P&amp;L'!O13</f>
        <v>749.99925059174768</v>
      </c>
      <c r="BD13" s="120"/>
      <c r="BE13" s="71" t="str">
        <f>IF(OR(BD13="",BC13=0),"",BD13/BC13)</f>
        <v/>
      </c>
      <c r="BF13" s="73" t="str">
        <f>IF(OR(BD13="",BD$10="",BD$10=0),"",BD13/BD$10)</f>
        <v/>
      </c>
    </row>
    <row r="14" spans="1:58" x14ac:dyDescent="0.2">
      <c r="A14" s="156" t="s">
        <v>65</v>
      </c>
      <c r="B14" s="106">
        <f>'Monthly P&amp;L'!B14</f>
        <v>21688.240111572512</v>
      </c>
      <c r="C14" s="134">
        <f>IF(OR(B14=0,B14=""),"",D14/B14-1)</f>
        <v>0.11780238052442038</v>
      </c>
      <c r="D14" s="92">
        <f>'Monthly P&amp;L'!C14</f>
        <v>24243.166426100972</v>
      </c>
      <c r="E14" s="135">
        <f>IF(D$10=0,"",D14/D$10)</f>
        <v>0.42146342797812597</v>
      </c>
      <c r="F14" s="100">
        <f>IF(H14="","",K14*(L14&lt;&gt;"")+O14*(P14&lt;&gt;"")+S14*(T14&lt;&gt;"")+W14*(X14&lt;&gt;"")+AA14*(AB14&lt;&gt;"")+AE14*(AF14&lt;&gt;"")+AI14*(AJ14&lt;&gt;"")+AM14*(AN14&lt;&gt;"")+AQ14*(AR14&lt;&gt;"")+AU14*(AV14&lt;&gt;"")+AY14*(AZ14&lt;&gt;"")+BC14*(BD14&lt;&gt;""))</f>
        <v>3735.1834631834954</v>
      </c>
      <c r="G14" s="169">
        <f>IF(OR(F14=0,F14="",H14=""),"",H14/F14)</f>
        <v>1.0706339756741179</v>
      </c>
      <c r="H14" s="114">
        <f>IF(SUM(L14,P14,T14,X14,AB14,AF14,AJ14,AN14,AR14,AV14,AZ14,BD14)=0,"",SUM(L14,P14,T14,X14,AB14,AF14,AJ14,AN14,AR14,AV14,AZ14,BD14))</f>
        <v>3999.0143210603655</v>
      </c>
      <c r="I14" s="136">
        <f>IF(OR(H$10="",H$10=0,H14=""),"",H14/H$10)</f>
        <v>0.45940176808726163</v>
      </c>
      <c r="J14" s="137">
        <f>IF(OR(D14=0,H14=""),"",H14/D14)</f>
        <v>0.16495429065548542</v>
      </c>
      <c r="K14" s="164">
        <f>'Monthly P&amp;L'!D14</f>
        <v>1710.9468575917476</v>
      </c>
      <c r="L14" s="122">
        <f>IF(L$10="","",L12+L13)</f>
        <v>1961.4575122203655</v>
      </c>
      <c r="M14" s="138">
        <f>IF(OR(L14="",K14=0),"",L14/K14)</f>
        <v>1.1464163854751312</v>
      </c>
      <c r="N14" s="139">
        <f>IF(OR(L14="",L$10="",L$10=0),"",L14/L$10)</f>
        <v>0.45840435555113335</v>
      </c>
      <c r="O14" s="164">
        <f>'Monthly P&amp;L'!E14</f>
        <v>2024.2366055917478</v>
      </c>
      <c r="P14" s="122">
        <f>IF(P$10="","",P12+P13)</f>
        <v>2037.55680884</v>
      </c>
      <c r="Q14" s="138">
        <f>IF(OR(P14="",O14=0),"",P14/O14)</f>
        <v>1.0065803588431592</v>
      </c>
      <c r="R14" s="139">
        <f>IF(OR(P14="",P$10="",P$10=0),"",P14/P$10)</f>
        <v>0.46036603783861313</v>
      </c>
      <c r="S14" s="164">
        <f>'Monthly P&amp;L'!F14</f>
        <v>1995.8593505917479</v>
      </c>
      <c r="T14" s="122" t="str">
        <f>IF(T$10="","",T12+T13)</f>
        <v/>
      </c>
      <c r="U14" s="138" t="str">
        <f>IF(OR(T14="",S14=0),"",T14/S14)</f>
        <v/>
      </c>
      <c r="V14" s="139" t="str">
        <f>IF(OR(T14="",T$10="",T$10=0),"",T14/T$10)</f>
        <v/>
      </c>
      <c r="W14" s="164">
        <f>'Monthly P&amp;L'!G14</f>
        <v>2170.1054915917475</v>
      </c>
      <c r="X14" s="122" t="str">
        <f>IF(X$10="","",X12+X13)</f>
        <v/>
      </c>
      <c r="Y14" s="138" t="str">
        <f>IF(OR(X14="",W14=0),"",X14/W14)</f>
        <v/>
      </c>
      <c r="Z14" s="139" t="str">
        <f>IF(OR(X14="",X$10="",X$10=0),"",X14/X$10)</f>
        <v/>
      </c>
      <c r="AA14" s="164">
        <f>'Monthly P&amp;L'!H14</f>
        <v>2106.5196675917477</v>
      </c>
      <c r="AB14" s="122" t="str">
        <f>IF(AB$10="","",AB12+AB13)</f>
        <v/>
      </c>
      <c r="AC14" s="138" t="str">
        <f>IF(OR(AB14="",AA14=0),"",AB14/AA14)</f>
        <v/>
      </c>
      <c r="AD14" s="139" t="str">
        <f>IF(OR(AB14="",AB$10="",AB$10=0),"",AB14/AB$10)</f>
        <v/>
      </c>
      <c r="AE14" s="164">
        <f>'Monthly P&amp;L'!I14</f>
        <v>2039.8672665917475</v>
      </c>
      <c r="AF14" s="122" t="str">
        <f>IF(AF$10="","",AF12+AF13)</f>
        <v/>
      </c>
      <c r="AG14" s="138" t="str">
        <f>IF(OR(AF14="",AE14=0),"",AF14/AE14)</f>
        <v/>
      </c>
      <c r="AH14" s="139" t="str">
        <f>IF(OR(AF14="",AF$10="",AF$10=0),"",AF14/AF$10)</f>
        <v/>
      </c>
      <c r="AI14" s="164">
        <f>'Monthly P&amp;L'!J14</f>
        <v>2116.0098865917475</v>
      </c>
      <c r="AJ14" s="122" t="str">
        <f>IF(AJ$10="","",AJ12+AJ13)</f>
        <v/>
      </c>
      <c r="AK14" s="138" t="str">
        <f>IF(OR(AJ14="",AI14=0),"",AJ14/AI14)</f>
        <v/>
      </c>
      <c r="AL14" s="139" t="str">
        <f>IF(OR(AJ14="",AJ$10="",AJ$10=0),"",AJ14/AJ$10)</f>
        <v/>
      </c>
      <c r="AM14" s="164">
        <f>'Monthly P&amp;L'!K14</f>
        <v>1950.5283225917478</v>
      </c>
      <c r="AN14" s="122" t="str">
        <f>IF(AN$10="","",AN12+AN13)</f>
        <v/>
      </c>
      <c r="AO14" s="138" t="str">
        <f>IF(OR(AN14="",AM14=0),"",AN14/AM14)</f>
        <v/>
      </c>
      <c r="AP14" s="139" t="str">
        <f>IF(OR(AN14="",AN$10="",AN$10=0),"",AN14/AN$10)</f>
        <v/>
      </c>
      <c r="AQ14" s="164">
        <f>'Monthly P&amp;L'!L14</f>
        <v>2031.6381865917479</v>
      </c>
      <c r="AR14" s="122" t="str">
        <f>IF(AR$10="","",AR12+AR13)</f>
        <v/>
      </c>
      <c r="AS14" s="138" t="str">
        <f>IF(OR(AR14="",AQ14=0),"",AR14/AQ14)</f>
        <v/>
      </c>
      <c r="AT14" s="139" t="str">
        <f>IF(OR(AR14="",AR$10="",AR$10=0),"",AR14/AR$10)</f>
        <v/>
      </c>
      <c r="AU14" s="164">
        <f>'Monthly P&amp;L'!M14</f>
        <v>2130.4558255917477</v>
      </c>
      <c r="AV14" s="122" t="str">
        <f>IF(AV$10="","",AV12+AV13)</f>
        <v/>
      </c>
      <c r="AW14" s="138" t="str">
        <f>IF(OR(AV14="",AU14=0),"",AV14/AU14)</f>
        <v/>
      </c>
      <c r="AX14" s="139" t="str">
        <f>IF(OR(AV14="",AV$10="",AV$10=0),"",AV14/AV$10)</f>
        <v/>
      </c>
      <c r="AY14" s="164">
        <f>'Monthly P&amp;L'!N14</f>
        <v>2051.0568745917476</v>
      </c>
      <c r="AZ14" s="122" t="str">
        <f>IF(AZ$10="","",AZ12+AZ13)</f>
        <v/>
      </c>
      <c r="BA14" s="138" t="str">
        <f>IF(OR(AZ14="",AY14=0),"",AZ14/AY14)</f>
        <v/>
      </c>
      <c r="BB14" s="139" t="str">
        <f>IF(OR(AZ14="",AZ$10="",AZ$10=0),"",AZ14/AZ$10)</f>
        <v/>
      </c>
      <c r="BC14" s="164">
        <f>'Monthly P&amp;L'!O14</f>
        <v>1915.9420905917477</v>
      </c>
      <c r="BD14" s="122" t="str">
        <f>IF(BD$10="","",BD12+BD13)</f>
        <v/>
      </c>
      <c r="BE14" s="137" t="str">
        <f>IF(OR(BD14="",BC14=0),"",BD14/BC14)</f>
        <v/>
      </c>
      <c r="BF14" s="135" t="str">
        <f>IF(OR(BD14="",BD$10="",BD$10=0),"",BD14/BD$10)</f>
        <v/>
      </c>
    </row>
    <row r="15" spans="1:58" x14ac:dyDescent="0.2">
      <c r="A15" s="156" t="s">
        <v>66</v>
      </c>
      <c r="B15" s="106">
        <f>'Monthly P&amp;L'!B15</f>
        <v>24220.880255627493</v>
      </c>
      <c r="C15" s="134">
        <f>IF(OR(B15=0,B15=""),"",D15/B15-1)</f>
        <v>0.37394814815481947</v>
      </c>
      <c r="D15" s="92">
        <f>'Monthly P&amp;L'!C15</f>
        <v>33278.233573899022</v>
      </c>
      <c r="E15" s="135">
        <f>IF(D$10=0,"",D15/D$10)</f>
        <v>0.57853657202187403</v>
      </c>
      <c r="F15" s="100">
        <f>IF(H15="","",K15*(L15&lt;&gt;"")+O15*(P15&lt;&gt;"")+S15*(T15&lt;&gt;"")+W15*(X15&lt;&gt;"")+AA15*(AB15&lt;&gt;"")+AE15*(AF15&lt;&gt;"")+AI15*(AJ15&lt;&gt;"")+AM15*(AN15&lt;&gt;"")+AQ15*(AR15&lt;&gt;"")+AU15*(AV15&lt;&gt;"")+AY15*(AZ15&lt;&gt;"")+BC15*(BD15&lt;&gt;""))</f>
        <v>5167.9116887086084</v>
      </c>
      <c r="G15" s="169">
        <f>IF(OR(F15=0,F15="",H15=""),"",H15/F15)</f>
        <v>0.91058362133420179</v>
      </c>
      <c r="H15" s="114">
        <f>IF(SUM(L15,P15,T15,X15,AB15,AF15,AJ15,AN15,AR15,AV15,AZ15,BD15)=0,"",SUM(L15,P15,T15,X15,AB15,AF15,AJ15,AN15,AR15,AV15,AZ15,BD15))</f>
        <v>4705.8157402396346</v>
      </c>
      <c r="I15" s="136">
        <f>IF(OR(H$10="",H$10=0,H15=""),"",H15/H$10)</f>
        <v>0.54059823191273848</v>
      </c>
      <c r="J15" s="137">
        <f>IF(OR(D15=0,H15=""),"",H15/D15)</f>
        <v>0.1414082189726118</v>
      </c>
      <c r="K15" s="164">
        <f>'Monthly P&amp;L'!D15</f>
        <v>2506.5898740610614</v>
      </c>
      <c r="L15" s="122">
        <f>IF(L$10="","",L10-L14)</f>
        <v>2317.4231058796345</v>
      </c>
      <c r="M15" s="138">
        <f>IF(OR(L15="",K15=0),"",L15/K15)</f>
        <v>0.92453222198853469</v>
      </c>
      <c r="N15" s="139">
        <f>IF(OR(L15="",L$10="",L$10=0),"",L15/L$10)</f>
        <v>0.54159564444886665</v>
      </c>
      <c r="O15" s="164">
        <f>'Monthly P&amp;L'!E15</f>
        <v>2661.3218146475469</v>
      </c>
      <c r="P15" s="122">
        <f>IF(P$10="","",P10-P14)</f>
        <v>2388.3926343600001</v>
      </c>
      <c r="Q15" s="138">
        <f>IF(OR(P15="",O15=0),"",P15/O15)</f>
        <v>0.89744600642230399</v>
      </c>
      <c r="R15" s="139">
        <f>IF(OR(P15="",P$10="",P$10=0),"",P15/P$10)</f>
        <v>0.53963396216138682</v>
      </c>
      <c r="S15" s="164">
        <f>'Monthly P&amp;L'!F15</f>
        <v>2221.4982628651333</v>
      </c>
      <c r="T15" s="122" t="str">
        <f>IF(T$10="","",T10-T14)</f>
        <v/>
      </c>
      <c r="U15" s="138" t="str">
        <f>IF(OR(T15="",S15=0),"",T15/S15)</f>
        <v/>
      </c>
      <c r="V15" s="139" t="str">
        <f>IF(OR(T15="",T$10="",T$10=0),"",T15/T$10)</f>
        <v/>
      </c>
      <c r="W15" s="164">
        <f>'Monthly P&amp;L'!G15</f>
        <v>2743.1309286519618</v>
      </c>
      <c r="X15" s="122" t="str">
        <f>IF(X$10="","",X10-X14)</f>
        <v/>
      </c>
      <c r="Y15" s="138" t="str">
        <f>IF(OR(X15="",W15=0),"",X15/W15)</f>
        <v/>
      </c>
      <c r="Z15" s="139" t="str">
        <f>IF(OR(X15="",X$10="",X$10=0),"",X15/X$10)</f>
        <v/>
      </c>
      <c r="AA15" s="164">
        <f>'Monthly P&amp;L'!H15</f>
        <v>2950.4835034838725</v>
      </c>
      <c r="AB15" s="122" t="str">
        <f>IF(AB$10="","",AB10-AB14)</f>
        <v/>
      </c>
      <c r="AC15" s="138" t="str">
        <f>IF(OR(AB15="",AA15=0),"",AB15/AA15)</f>
        <v/>
      </c>
      <c r="AD15" s="139" t="str">
        <f>IF(OR(AB15="",AB$10="",AB$10=0),"",AB15/AB$10)</f>
        <v/>
      </c>
      <c r="AE15" s="164">
        <f>'Monthly P&amp;L'!I15</f>
        <v>2925.5712770642531</v>
      </c>
      <c r="AF15" s="122" t="str">
        <f>IF(AF$10="","",AF10-AF14)</f>
        <v/>
      </c>
      <c r="AG15" s="138" t="str">
        <f>IF(OR(AF15="",AE15=0),"",AF15/AE15)</f>
        <v/>
      </c>
      <c r="AH15" s="139" t="str">
        <f>IF(OR(AF15="",AF$10="",AF$10=0),"",AF15/AF$10)</f>
        <v/>
      </c>
      <c r="AI15" s="164">
        <f>'Monthly P&amp;L'!J15</f>
        <v>2834.2259933457676</v>
      </c>
      <c r="AJ15" s="122" t="str">
        <f>IF(AJ$10="","",AJ10-AJ14)</f>
        <v/>
      </c>
      <c r="AK15" s="138" t="str">
        <f>IF(OR(AJ15="",AI15=0),"",AJ15/AI15)</f>
        <v/>
      </c>
      <c r="AL15" s="139" t="str">
        <f>IF(OR(AJ15="",AJ$10="",AJ$10=0),"",AJ15/AJ$10)</f>
        <v/>
      </c>
      <c r="AM15" s="164">
        <f>'Monthly P&amp;L'!K15</f>
        <v>2470.7303735380033</v>
      </c>
      <c r="AN15" s="122" t="str">
        <f>IF(AN$10="","",AN10-AN14)</f>
        <v/>
      </c>
      <c r="AO15" s="138" t="str">
        <f>IF(OR(AN15="",AM15=0),"",AN15/AM15)</f>
        <v/>
      </c>
      <c r="AP15" s="139" t="str">
        <f>IF(OR(AN15="",AN$10="",AN$10=0),"",AN15/AN$10)</f>
        <v/>
      </c>
      <c r="AQ15" s="164">
        <f>'Monthly P&amp;L'!L15</f>
        <v>2648.8682619363722</v>
      </c>
      <c r="AR15" s="122" t="str">
        <f>IF(AR$10="","",AR10-AR14)</f>
        <v/>
      </c>
      <c r="AS15" s="138" t="str">
        <f>IF(OR(AR15="",AQ15=0),"",AR15/AQ15)</f>
        <v/>
      </c>
      <c r="AT15" s="139" t="str">
        <f>IF(OR(AR15="",AR$10="",AR$10=0),"",AR15/AR$10)</f>
        <v/>
      </c>
      <c r="AU15" s="164">
        <f>'Monthly P&amp;L'!M15</f>
        <v>3263.9692811650771</v>
      </c>
      <c r="AV15" s="122" t="str">
        <f>IF(AV$10="","",AV10-AV14)</f>
        <v/>
      </c>
      <c r="AW15" s="138" t="str">
        <f>IF(OR(AV15="",AU15=0),"",AV15/AU15)</f>
        <v/>
      </c>
      <c r="AX15" s="139" t="str">
        <f>IF(OR(AV15="",AV$10="",AV$10=0),"",AV15/AV$10)</f>
        <v/>
      </c>
      <c r="AY15" s="164">
        <f>'Monthly P&amp;L'!N15</f>
        <v>3012.9318294303989</v>
      </c>
      <c r="AZ15" s="122" t="str">
        <f>IF(AZ$10="","",AZ10-AZ14)</f>
        <v/>
      </c>
      <c r="BA15" s="138" t="str">
        <f>IF(OR(AZ15="",AY15=0),"",AZ15/AY15)</f>
        <v/>
      </c>
      <c r="BB15" s="139" t="str">
        <f>IF(OR(AZ15="",AZ$10="",AZ$10=0),"",AZ15/AZ$10)</f>
        <v/>
      </c>
      <c r="BC15" s="164">
        <f>'Monthly P&amp;L'!O15</f>
        <v>3038.9288499095746</v>
      </c>
      <c r="BD15" s="122" t="str">
        <f>IF(BD$10="","",BD10-BD14)</f>
        <v/>
      </c>
      <c r="BE15" s="137" t="str">
        <f>IF(OR(BD15="",BC15=0),"",BD15/BC15)</f>
        <v/>
      </c>
      <c r="BF15" s="135" t="str">
        <f>IF(OR(BD15="",BD$10="",BD$10=0),"",BD15/BD$10)</f>
        <v/>
      </c>
    </row>
    <row r="16" spans="1:58" ht="15" thickBot="1" x14ac:dyDescent="0.25">
      <c r="A16" s="157" t="s">
        <v>161</v>
      </c>
      <c r="B16" s="107">
        <f>'Monthly P&amp;L'!B16</f>
        <v>0.52758319179062774</v>
      </c>
      <c r="C16" s="140"/>
      <c r="D16" s="93">
        <f>'Monthly P&amp;L'!C16</f>
        <v>0.57853657202187403</v>
      </c>
      <c r="E16" s="141"/>
      <c r="F16" s="160">
        <f>IF($F$10="","",F15/$F$10)</f>
        <v>0.58046236736112089</v>
      </c>
      <c r="G16" s="85"/>
      <c r="H16" s="115">
        <f>IF(H$10="","",H15/H$10)</f>
        <v>0.54059823191273848</v>
      </c>
      <c r="I16" s="142"/>
      <c r="J16" s="143"/>
      <c r="K16" s="165">
        <f>'Monthly P&amp;L'!D16</f>
        <v>0.59432555862501157</v>
      </c>
      <c r="L16" s="123">
        <f>IF(L$10="","",L15/L10)</f>
        <v>0.54159564444886665</v>
      </c>
      <c r="M16" s="142"/>
      <c r="N16" s="143"/>
      <c r="O16" s="165">
        <f>'Monthly P&amp;L'!E16</f>
        <v>0.56798391482047328</v>
      </c>
      <c r="P16" s="123">
        <f>IF(P$10="","",P15/P10)</f>
        <v>0.53963396216138682</v>
      </c>
      <c r="Q16" s="142"/>
      <c r="R16" s="143"/>
      <c r="S16" s="165">
        <f>'Monthly P&amp;L'!F16</f>
        <v>0.52675121876710307</v>
      </c>
      <c r="T16" s="123" t="str">
        <f>IF(T$10="","",T15/T10)</f>
        <v/>
      </c>
      <c r="U16" s="142"/>
      <c r="V16" s="143"/>
      <c r="W16" s="165">
        <f>'Monthly P&amp;L'!G16</f>
        <v>0.55831445793033818</v>
      </c>
      <c r="X16" s="123" t="str">
        <f>IF(X$10="","",X15/X10)</f>
        <v/>
      </c>
      <c r="Y16" s="142"/>
      <c r="Z16" s="143"/>
      <c r="AA16" s="165">
        <f>'Monthly P&amp;L'!H16</f>
        <v>0.58344505701710037</v>
      </c>
      <c r="AB16" s="123" t="str">
        <f>IF(AB$10="","",AB15/AB10)</f>
        <v/>
      </c>
      <c r="AC16" s="142"/>
      <c r="AD16" s="143"/>
      <c r="AE16" s="165">
        <f>'Monthly P&amp;L'!I16</f>
        <v>0.58918688678607334</v>
      </c>
      <c r="AF16" s="123" t="str">
        <f>IF(AF$10="","",AF15/AF10)</f>
        <v/>
      </c>
      <c r="AG16" s="142"/>
      <c r="AH16" s="143"/>
      <c r="AI16" s="165">
        <f>'Monthly P&amp;L'!J16</f>
        <v>0.5725436246043174</v>
      </c>
      <c r="AJ16" s="123" t="str">
        <f>IF(AJ$10="","",AJ15/AJ10)</f>
        <v/>
      </c>
      <c r="AK16" s="142"/>
      <c r="AL16" s="143"/>
      <c r="AM16" s="165">
        <f>'Monthly P&amp;L'!K16</f>
        <v>0.55882963276969366</v>
      </c>
      <c r="AN16" s="123" t="str">
        <f>IF(AN$10="","",AN15/AN10)</f>
        <v/>
      </c>
      <c r="AO16" s="142"/>
      <c r="AP16" s="143"/>
      <c r="AQ16" s="165">
        <f>'Monthly P&amp;L'!L16</f>
        <v>0.56593624879405147</v>
      </c>
      <c r="AR16" s="123" t="str">
        <f>IF(AR$10="","",AR15/AR10)</f>
        <v/>
      </c>
      <c r="AS16" s="142"/>
      <c r="AT16" s="143"/>
      <c r="AU16" s="165">
        <f>'Monthly P&amp;L'!M16</f>
        <v>0.60506341576172218</v>
      </c>
      <c r="AV16" s="123" t="str">
        <f>IF(AV$10="","",AV15/AV10)</f>
        <v/>
      </c>
      <c r="AW16" s="142"/>
      <c r="AX16" s="143"/>
      <c r="AY16" s="165">
        <f>'Monthly P&amp;L'!N16</f>
        <v>0.59497206757932419</v>
      </c>
      <c r="AZ16" s="123" t="str">
        <f>IF(AZ$10="","",AZ15/AZ10)</f>
        <v/>
      </c>
      <c r="BA16" s="142"/>
      <c r="BB16" s="143"/>
      <c r="BC16" s="165">
        <f>'Monthly P&amp;L'!O16</f>
        <v>0.61332149442465655</v>
      </c>
      <c r="BD16" s="123" t="str">
        <f>IF(BD$10="","",BD15/BD10)</f>
        <v/>
      </c>
      <c r="BE16" s="143"/>
      <c r="BF16" s="141"/>
    </row>
    <row r="17" spans="1:58" x14ac:dyDescent="0.2">
      <c r="A17" s="183" t="s">
        <v>68</v>
      </c>
      <c r="B17" s="184"/>
      <c r="C17" s="185"/>
      <c r="D17" s="186"/>
      <c r="E17" s="187"/>
      <c r="F17" s="197"/>
      <c r="G17" s="198"/>
      <c r="H17" s="190"/>
      <c r="I17" s="191"/>
      <c r="J17" s="192"/>
      <c r="K17" s="193"/>
      <c r="L17" s="194"/>
      <c r="M17" s="195"/>
      <c r="N17" s="196"/>
      <c r="O17" s="193"/>
      <c r="P17" s="194"/>
      <c r="Q17" s="195"/>
      <c r="R17" s="196"/>
      <c r="S17" s="193"/>
      <c r="T17" s="194"/>
      <c r="U17" s="195"/>
      <c r="V17" s="196"/>
      <c r="W17" s="193"/>
      <c r="X17" s="194"/>
      <c r="Y17" s="195"/>
      <c r="Z17" s="196"/>
      <c r="AA17" s="193"/>
      <c r="AB17" s="194"/>
      <c r="AC17" s="195"/>
      <c r="AD17" s="196"/>
      <c r="AE17" s="193"/>
      <c r="AF17" s="194"/>
      <c r="AG17" s="195"/>
      <c r="AH17" s="196"/>
      <c r="AI17" s="193"/>
      <c r="AJ17" s="194"/>
      <c r="AK17" s="195"/>
      <c r="AL17" s="196"/>
      <c r="AM17" s="193"/>
      <c r="AN17" s="194"/>
      <c r="AO17" s="195"/>
      <c r="AP17" s="196"/>
      <c r="AQ17" s="193"/>
      <c r="AR17" s="194"/>
      <c r="AS17" s="195"/>
      <c r="AT17" s="196"/>
      <c r="AU17" s="193"/>
      <c r="AV17" s="194"/>
      <c r="AW17" s="195"/>
      <c r="AX17" s="196"/>
      <c r="AY17" s="193"/>
      <c r="AZ17" s="194"/>
      <c r="BA17" s="195"/>
      <c r="BB17" s="196"/>
      <c r="BC17" s="193"/>
      <c r="BD17" s="194"/>
      <c r="BE17" s="192"/>
      <c r="BF17" s="187"/>
    </row>
    <row r="18" spans="1:58" x14ac:dyDescent="0.2">
      <c r="A18" s="62" t="s">
        <v>141</v>
      </c>
      <c r="B18" s="103">
        <f>'Monthly P&amp;L'!B19</f>
        <v>7510.1356062307414</v>
      </c>
      <c r="C18" s="87">
        <f t="shared" ref="C18:C37" si="0">IF(OR(B18=0,B18=""),"",D18/B18-1)</f>
        <v>0.22137616854613396</v>
      </c>
      <c r="D18" s="89">
        <f>'Monthly P&amp;L'!C19</f>
        <v>9172.7006519999995</v>
      </c>
      <c r="E18" s="67">
        <f t="shared" ref="E18:E37" si="1">IF(D$10=0,"",D18/D$10)</f>
        <v>0.15946587968999365</v>
      </c>
      <c r="F18" s="97">
        <f t="shared" ref="F18:F37" si="2">IF(H18="","",K18*(L18&lt;&gt;"")+O18*(P18&lt;&gt;"")+S18*(T18&lt;&gt;"")+W18*(X18&lt;&gt;"")+AA18*(AB18&lt;&gt;"")+AE18*(AF18&lt;&gt;"")+AI18*(AJ18&lt;&gt;"")+AM18*(AN18&lt;&gt;"")+AQ18*(AR18&lt;&gt;"")+AU18*(AV18&lt;&gt;"")+AY18*(AZ18&lt;&gt;"")+BC18*(BD18&lt;&gt;""))</f>
        <v>1528.7834419999999</v>
      </c>
      <c r="G18" s="83">
        <f t="shared" ref="G18:G37" si="3">IF(OR(F18=0,F18="",H18=""),"",H18/F18)</f>
        <v>0.86221676615097087</v>
      </c>
      <c r="H18" s="111">
        <f t="shared" ref="H18:H37" si="4">IF(SUM(L18,P18,T18,X18,AB18,AF18,AJ18,AN18,AR18,AV18,AZ18,BD18)=0,"",SUM(L18,P18,T18,X18,AB18,AF18,AJ18,AN18,AR18,AV18,AZ18,BD18))</f>
        <v>1318.1427155063902</v>
      </c>
      <c r="I18" s="64">
        <f t="shared" ref="I18:I36" si="5">IF(OR(H$10="",H$10=0,H18=""),"",H18/H$10)</f>
        <v>0.15142658802342385</v>
      </c>
      <c r="J18" s="65">
        <f t="shared" ref="J18:J37" si="6">IF(OR(D18=0,H18=""),"",H18/D18)</f>
        <v>0.14370279435849515</v>
      </c>
      <c r="K18" s="161">
        <f>'Monthly P&amp;L'!D19</f>
        <v>764.39172099999996</v>
      </c>
      <c r="L18" s="119">
        <v>658.26274202882826</v>
      </c>
      <c r="M18" s="66">
        <f t="shared" ref="M18:M37" si="7">IF(OR(L18="",K18=0),"",L18/K18)</f>
        <v>0.86115891099352748</v>
      </c>
      <c r="N18" s="63">
        <f t="shared" ref="N18:N37" si="8">IF(OR(L18="",L$10="",L$10=0),"",L18/L$10)</f>
        <v>0.15383994104540458</v>
      </c>
      <c r="O18" s="161">
        <f>'Monthly P&amp;L'!E19</f>
        <v>764.39172099999996</v>
      </c>
      <c r="P18" s="119">
        <v>659.87997347756186</v>
      </c>
      <c r="Q18" s="66">
        <f t="shared" ref="Q18:Q37" si="9">IF(OR(P18="",O18=0),"",P18/O18)</f>
        <v>0.86327462130841404</v>
      </c>
      <c r="R18" s="63">
        <f t="shared" ref="R18:R37" si="10">IF(OR(P18="",P$10="",P$10=0),"",P18/P$10)</f>
        <v>0.14909342773704684</v>
      </c>
      <c r="S18" s="161">
        <f>'Monthly P&amp;L'!F19</f>
        <v>764.39172099999996</v>
      </c>
      <c r="T18" s="119"/>
      <c r="U18" s="66" t="str">
        <f t="shared" ref="U18:U37" si="11">IF(OR(T18="",S18=0),"",T18/S18)</f>
        <v/>
      </c>
      <c r="V18" s="63" t="str">
        <f t="shared" ref="V18:V37" si="12">IF(OR(T18="",T$10="",T$10=0),"",T18/T$10)</f>
        <v/>
      </c>
      <c r="W18" s="161">
        <f>'Monthly P&amp;L'!G19</f>
        <v>764.39172099999996</v>
      </c>
      <c r="X18" s="119"/>
      <c r="Y18" s="66" t="str">
        <f t="shared" ref="Y18:Y37" si="13">IF(OR(X18="",W18=0),"",X18/W18)</f>
        <v/>
      </c>
      <c r="Z18" s="63" t="str">
        <f t="shared" ref="Z18:Z37" si="14">IF(OR(X18="",X$10="",X$10=0),"",X18/X$10)</f>
        <v/>
      </c>
      <c r="AA18" s="161">
        <f>'Monthly P&amp;L'!H19</f>
        <v>764.39172099999996</v>
      </c>
      <c r="AB18" s="119"/>
      <c r="AC18" s="66" t="str">
        <f t="shared" ref="AC18:AC37" si="15">IF(OR(AB18="",AA18=0),"",AB18/AA18)</f>
        <v/>
      </c>
      <c r="AD18" s="63" t="str">
        <f t="shared" ref="AD18:AD37" si="16">IF(OR(AB18="",AB$10="",AB$10=0),"",AB18/AB$10)</f>
        <v/>
      </c>
      <c r="AE18" s="161">
        <f>'Monthly P&amp;L'!I19</f>
        <v>764.39172099999996</v>
      </c>
      <c r="AF18" s="119"/>
      <c r="AG18" s="66" t="str">
        <f t="shared" ref="AG18:AG37" si="17">IF(OR(AF18="",AE18=0),"",AF18/AE18)</f>
        <v/>
      </c>
      <c r="AH18" s="63" t="str">
        <f t="shared" ref="AH18:AH37" si="18">IF(OR(AF18="",AF$10="",AF$10=0),"",AF18/AF$10)</f>
        <v/>
      </c>
      <c r="AI18" s="161">
        <f>'Monthly P&amp;L'!J19</f>
        <v>764.39172099999996</v>
      </c>
      <c r="AJ18" s="119"/>
      <c r="AK18" s="66" t="str">
        <f t="shared" ref="AK18:AK37" si="19">IF(OR(AJ18="",AI18=0),"",AJ18/AI18)</f>
        <v/>
      </c>
      <c r="AL18" s="63" t="str">
        <f t="shared" ref="AL18:AL37" si="20">IF(OR(AJ18="",AJ$10="",AJ$10=0),"",AJ18/AJ$10)</f>
        <v/>
      </c>
      <c r="AM18" s="161">
        <f>'Monthly P&amp;L'!K19</f>
        <v>764.39172099999996</v>
      </c>
      <c r="AN18" s="119"/>
      <c r="AO18" s="66" t="str">
        <f t="shared" ref="AO18:AO37" si="21">IF(OR(AN18="",AM18=0),"",AN18/AM18)</f>
        <v/>
      </c>
      <c r="AP18" s="63" t="str">
        <f t="shared" ref="AP18:AP37" si="22">IF(OR(AN18="",AN$10="",AN$10=0),"",AN18/AN$10)</f>
        <v/>
      </c>
      <c r="AQ18" s="161">
        <f>'Monthly P&amp;L'!L19</f>
        <v>764.39172099999996</v>
      </c>
      <c r="AR18" s="119"/>
      <c r="AS18" s="66" t="str">
        <f t="shared" ref="AS18:AS37" si="23">IF(OR(AR18="",AQ18=0),"",AR18/AQ18)</f>
        <v/>
      </c>
      <c r="AT18" s="63" t="str">
        <f t="shared" ref="AT18:AT37" si="24">IF(OR(AR18="",AR$10="",AR$10=0),"",AR18/AR$10)</f>
        <v/>
      </c>
      <c r="AU18" s="161">
        <f>'Monthly P&amp;L'!M19</f>
        <v>764.39172099999996</v>
      </c>
      <c r="AV18" s="119"/>
      <c r="AW18" s="66" t="str">
        <f t="shared" ref="AW18:AW37" si="25">IF(OR(AV18="",AU18=0),"",AV18/AU18)</f>
        <v/>
      </c>
      <c r="AX18" s="63" t="str">
        <f t="shared" ref="AX18:AX37" si="26">IF(OR(AV18="",AV$10="",AV$10=0),"",AV18/AV$10)</f>
        <v/>
      </c>
      <c r="AY18" s="161">
        <f>'Monthly P&amp;L'!N19</f>
        <v>764.39172099999996</v>
      </c>
      <c r="AZ18" s="119"/>
      <c r="BA18" s="66" t="str">
        <f t="shared" ref="BA18:BA37" si="27">IF(OR(AZ18="",AY18=0),"",AZ18/AY18)</f>
        <v/>
      </c>
      <c r="BB18" s="63" t="str">
        <f t="shared" ref="BB18:BB37" si="28">IF(OR(AZ18="",AZ$10="",AZ$10=0),"",AZ18/AZ$10)</f>
        <v/>
      </c>
      <c r="BC18" s="161">
        <f>'Monthly P&amp;L'!O19</f>
        <v>764.39172099999996</v>
      </c>
      <c r="BD18" s="119"/>
      <c r="BE18" s="65" t="str">
        <f t="shared" ref="BE18:BE37" si="29">IF(OR(BD18="",BC18=0),"",BD18/BC18)</f>
        <v/>
      </c>
      <c r="BF18" s="67" t="str">
        <f t="shared" ref="BF18:BF37" si="30">IF(OR(BD18="",BD$10="",BD$10=0),"",BD18/BD$10)</f>
        <v/>
      </c>
    </row>
    <row r="19" spans="1:58" x14ac:dyDescent="0.2">
      <c r="A19" s="68" t="s">
        <v>162</v>
      </c>
      <c r="B19" s="104">
        <f>'Monthly P&amp;L'!B20</f>
        <v>1190.7440199999999</v>
      </c>
      <c r="C19" s="88">
        <f t="shared" si="0"/>
        <v>0.19748659329819684</v>
      </c>
      <c r="D19" s="90">
        <f>'Monthly P&amp;L'!C20</f>
        <v>1425.8999999999999</v>
      </c>
      <c r="E19" s="73">
        <f t="shared" si="1"/>
        <v>2.4789035037394779E-2</v>
      </c>
      <c r="F19" s="98">
        <f t="shared" si="2"/>
        <v>221.00485687996189</v>
      </c>
      <c r="G19" s="84">
        <f t="shared" si="3"/>
        <v>0.96621736196264241</v>
      </c>
      <c r="H19" s="112">
        <f t="shared" si="4"/>
        <v>213.53872979548811</v>
      </c>
      <c r="I19" s="70">
        <f t="shared" si="5"/>
        <v>2.4531062443693213E-2</v>
      </c>
      <c r="J19" s="71">
        <f t="shared" si="6"/>
        <v>0.14975715673994539</v>
      </c>
      <c r="K19" s="162">
        <f>'Monthly P&amp;L'!D20</f>
        <v>106.51425340752094</v>
      </c>
      <c r="L19" s="120">
        <v>108.9158688254881</v>
      </c>
      <c r="M19" s="72">
        <f t="shared" si="7"/>
        <v>1.02254736188948</v>
      </c>
      <c r="N19" s="69">
        <f t="shared" si="8"/>
        <v>2.5454290162891073E-2</v>
      </c>
      <c r="O19" s="162">
        <f>'Monthly P&amp;L'!E20</f>
        <v>114.49060347244094</v>
      </c>
      <c r="P19" s="120">
        <v>104.62286097</v>
      </c>
      <c r="Q19" s="72">
        <f t="shared" si="9"/>
        <v>0.91381176967229283</v>
      </c>
      <c r="R19" s="69">
        <f t="shared" si="10"/>
        <v>2.3638512439572008E-2</v>
      </c>
      <c r="S19" s="162">
        <f>'Monthly P&amp;L'!F20</f>
        <v>125.70902730307181</v>
      </c>
      <c r="T19" s="120"/>
      <c r="U19" s="72" t="str">
        <f t="shared" si="11"/>
        <v/>
      </c>
      <c r="V19" s="69" t="str">
        <f t="shared" si="12"/>
        <v/>
      </c>
      <c r="W19" s="162">
        <f>'Monthly P&amp;L'!G20</f>
        <v>117.11542223575493</v>
      </c>
      <c r="X19" s="120"/>
      <c r="Y19" s="72" t="str">
        <f t="shared" si="13"/>
        <v/>
      </c>
      <c r="Z19" s="69" t="str">
        <f t="shared" si="14"/>
        <v/>
      </c>
      <c r="AA19" s="162">
        <f>'Monthly P&amp;L'!H20</f>
        <v>108.99724149947905</v>
      </c>
      <c r="AB19" s="120"/>
      <c r="AC19" s="72" t="str">
        <f t="shared" si="15"/>
        <v/>
      </c>
      <c r="AD19" s="69" t="str">
        <f t="shared" si="16"/>
        <v/>
      </c>
      <c r="AE19" s="162">
        <f>'Monthly P&amp;L'!I20</f>
        <v>117.125876293714</v>
      </c>
      <c r="AF19" s="120"/>
      <c r="AG19" s="72" t="str">
        <f t="shared" si="17"/>
        <v/>
      </c>
      <c r="AH19" s="69" t="str">
        <f t="shared" si="18"/>
        <v/>
      </c>
      <c r="AI19" s="162">
        <f>'Monthly P&amp;L'!J20</f>
        <v>130.77549907661884</v>
      </c>
      <c r="AJ19" s="120"/>
      <c r="AK19" s="72" t="str">
        <f t="shared" si="19"/>
        <v/>
      </c>
      <c r="AL19" s="69" t="str">
        <f t="shared" si="20"/>
        <v/>
      </c>
      <c r="AM19" s="162">
        <f>'Monthly P&amp;L'!K20</f>
        <v>106.15132575700001</v>
      </c>
      <c r="AN19" s="120"/>
      <c r="AO19" s="72" t="str">
        <f t="shared" si="21"/>
        <v/>
      </c>
      <c r="AP19" s="69" t="str">
        <f t="shared" si="22"/>
        <v/>
      </c>
      <c r="AQ19" s="162">
        <f>'Monthly P&amp;L'!L20</f>
        <v>118.14685623712819</v>
      </c>
      <c r="AR19" s="120"/>
      <c r="AS19" s="72" t="str">
        <f t="shared" si="23"/>
        <v/>
      </c>
      <c r="AT19" s="69" t="str">
        <f t="shared" si="24"/>
        <v/>
      </c>
      <c r="AU19" s="162">
        <f>'Monthly P&amp;L'!M20</f>
        <v>125.67154776893182</v>
      </c>
      <c r="AV19" s="120"/>
      <c r="AW19" s="72" t="str">
        <f t="shared" si="25"/>
        <v/>
      </c>
      <c r="AX19" s="69" t="str">
        <f t="shared" si="26"/>
        <v/>
      </c>
      <c r="AY19" s="162">
        <f>'Monthly P&amp;L'!N20</f>
        <v>109.14156258370295</v>
      </c>
      <c r="AZ19" s="120"/>
      <c r="BA19" s="72" t="str">
        <f t="shared" si="27"/>
        <v/>
      </c>
      <c r="BB19" s="69" t="str">
        <f t="shared" si="28"/>
        <v/>
      </c>
      <c r="BC19" s="162">
        <f>'Monthly P&amp;L'!O20</f>
        <v>146.06078436463639</v>
      </c>
      <c r="BD19" s="120"/>
      <c r="BE19" s="71" t="str">
        <f t="shared" si="29"/>
        <v/>
      </c>
      <c r="BF19" s="73" t="str">
        <f t="shared" si="30"/>
        <v/>
      </c>
    </row>
    <row r="20" spans="1:58" x14ac:dyDescent="0.2">
      <c r="A20" s="68" t="s">
        <v>163</v>
      </c>
      <c r="B20" s="104">
        <f>'Monthly P&amp;L'!B21</f>
        <v>267.69114920000004</v>
      </c>
      <c r="C20" s="88">
        <f t="shared" si="0"/>
        <v>4.971718654043511E-2</v>
      </c>
      <c r="D20" s="90">
        <f>'Monthly P&amp;L'!C21</f>
        <v>280.99999999999989</v>
      </c>
      <c r="E20" s="73">
        <f t="shared" si="1"/>
        <v>4.8851384006647946E-3</v>
      </c>
      <c r="F20" s="98">
        <f t="shared" si="2"/>
        <v>37.149869129853101</v>
      </c>
      <c r="G20" s="84">
        <f t="shared" si="3"/>
        <v>1.4429022378781522</v>
      </c>
      <c r="H20" s="112">
        <f t="shared" si="4"/>
        <v>53.603629304345525</v>
      </c>
      <c r="I20" s="70">
        <f t="shared" si="5"/>
        <v>6.1579179520869628E-3</v>
      </c>
      <c r="J20" s="71">
        <f t="shared" si="6"/>
        <v>0.19076024663468166</v>
      </c>
      <c r="K20" s="162">
        <f>'Monthly P&amp;L'!D21</f>
        <v>17.614642785507499</v>
      </c>
      <c r="L20" s="120">
        <v>24.101609304345523</v>
      </c>
      <c r="M20" s="72">
        <f t="shared" si="7"/>
        <v>1.3682712501087559</v>
      </c>
      <c r="N20" s="69">
        <f t="shared" si="8"/>
        <v>5.6326902887623995E-3</v>
      </c>
      <c r="O20" s="162">
        <f>'Monthly P&amp;L'!E21</f>
        <v>19.535226344345599</v>
      </c>
      <c r="P20" s="120">
        <v>29.502020000000002</v>
      </c>
      <c r="Q20" s="72">
        <f t="shared" si="9"/>
        <v>1.5101959649696741</v>
      </c>
      <c r="R20" s="69">
        <f t="shared" si="10"/>
        <v>6.665692949865641E-3</v>
      </c>
      <c r="S20" s="162">
        <f>'Monthly P&amp;L'!F21</f>
        <v>22.497811668403102</v>
      </c>
      <c r="T20" s="120"/>
      <c r="U20" s="72" t="str">
        <f t="shared" si="11"/>
        <v/>
      </c>
      <c r="V20" s="69" t="str">
        <f t="shared" si="12"/>
        <v/>
      </c>
      <c r="W20" s="162">
        <f>'Monthly P&amp;L'!G21</f>
        <v>19.284868795355699</v>
      </c>
      <c r="X20" s="120"/>
      <c r="Y20" s="72" t="str">
        <f t="shared" si="13"/>
        <v/>
      </c>
      <c r="Z20" s="69" t="str">
        <f t="shared" si="14"/>
        <v/>
      </c>
      <c r="AA20" s="162">
        <f>'Monthly P&amp;L'!H21</f>
        <v>27.8625173162804</v>
      </c>
      <c r="AB20" s="120"/>
      <c r="AC20" s="72" t="str">
        <f t="shared" si="15"/>
        <v/>
      </c>
      <c r="AD20" s="69" t="str">
        <f t="shared" si="16"/>
        <v/>
      </c>
      <c r="AE20" s="162">
        <f>'Monthly P&amp;L'!I21</f>
        <v>17.6029804275651</v>
      </c>
      <c r="AF20" s="120"/>
      <c r="AG20" s="72" t="str">
        <f t="shared" si="17"/>
        <v/>
      </c>
      <c r="AH20" s="69" t="str">
        <f t="shared" si="18"/>
        <v/>
      </c>
      <c r="AI20" s="162">
        <f>'Monthly P&amp;L'!J21</f>
        <v>23.917081790465101</v>
      </c>
      <c r="AJ20" s="120"/>
      <c r="AK20" s="72" t="str">
        <f t="shared" si="19"/>
        <v/>
      </c>
      <c r="AL20" s="69" t="str">
        <f t="shared" si="20"/>
        <v/>
      </c>
      <c r="AM20" s="162">
        <f>'Monthly P&amp;L'!K21</f>
        <v>9.6772167766538892</v>
      </c>
      <c r="AN20" s="120"/>
      <c r="AO20" s="72" t="str">
        <f t="shared" si="21"/>
        <v/>
      </c>
      <c r="AP20" s="69" t="str">
        <f t="shared" si="22"/>
        <v/>
      </c>
      <c r="AQ20" s="162">
        <f>'Monthly P&amp;L'!L21</f>
        <v>39.487347869325802</v>
      </c>
      <c r="AR20" s="120"/>
      <c r="AS20" s="72" t="str">
        <f t="shared" si="23"/>
        <v/>
      </c>
      <c r="AT20" s="69" t="str">
        <f t="shared" si="24"/>
        <v/>
      </c>
      <c r="AU20" s="162">
        <f>'Monthly P&amp;L'!M21</f>
        <v>31.569099353696501</v>
      </c>
      <c r="AV20" s="120"/>
      <c r="AW20" s="72" t="str">
        <f t="shared" si="25"/>
        <v/>
      </c>
      <c r="AX20" s="69" t="str">
        <f t="shared" si="26"/>
        <v/>
      </c>
      <c r="AY20" s="162">
        <f>'Monthly P&amp;L'!N21</f>
        <v>28.746253221285102</v>
      </c>
      <c r="AZ20" s="120"/>
      <c r="BA20" s="72" t="str">
        <f t="shared" si="27"/>
        <v/>
      </c>
      <c r="BB20" s="69" t="str">
        <f t="shared" si="28"/>
        <v/>
      </c>
      <c r="BC20" s="162">
        <f>'Monthly P&amp;L'!O21</f>
        <v>23.204953651116099</v>
      </c>
      <c r="BD20" s="120"/>
      <c r="BE20" s="71" t="str">
        <f t="shared" si="29"/>
        <v/>
      </c>
      <c r="BF20" s="73" t="str">
        <f t="shared" si="30"/>
        <v/>
      </c>
    </row>
    <row r="21" spans="1:58" x14ac:dyDescent="0.2">
      <c r="A21" s="68" t="s">
        <v>164</v>
      </c>
      <c r="B21" s="104">
        <f>'Monthly P&amp;L'!B22</f>
        <v>279.2730492</v>
      </c>
      <c r="C21" s="88">
        <f t="shared" si="0"/>
        <v>-0.25413497436758725</v>
      </c>
      <c r="D21" s="90">
        <f>'Monthly P&amp;L'!C22</f>
        <v>208.30000000000007</v>
      </c>
      <c r="E21" s="73">
        <f t="shared" si="1"/>
        <v>3.6212609567917347E-3</v>
      </c>
      <c r="F21" s="98">
        <f t="shared" si="2"/>
        <v>32.30553251681264</v>
      </c>
      <c r="G21" s="84">
        <f t="shared" si="3"/>
        <v>1.4168108746227646</v>
      </c>
      <c r="H21" s="112">
        <f t="shared" si="4"/>
        <v>45.770829780299479</v>
      </c>
      <c r="I21" s="70">
        <f t="shared" si="5"/>
        <v>5.2580957305287078E-3</v>
      </c>
      <c r="J21" s="71">
        <f t="shared" si="6"/>
        <v>0.21973514056792828</v>
      </c>
      <c r="K21" s="162">
        <f>'Monthly P&amp;L'!D22</f>
        <v>16.634945621526921</v>
      </c>
      <c r="L21" s="120">
        <v>22.681989780299475</v>
      </c>
      <c r="M21" s="72">
        <f t="shared" si="7"/>
        <v>1.3635145131431752</v>
      </c>
      <c r="N21" s="69">
        <f t="shared" si="8"/>
        <v>5.3009167127385801E-3</v>
      </c>
      <c r="O21" s="162">
        <f>'Monthly P&amp;L'!E22</f>
        <v>15.670586895285721</v>
      </c>
      <c r="P21" s="120">
        <v>23.088840000000001</v>
      </c>
      <c r="Q21" s="72">
        <f t="shared" si="9"/>
        <v>1.4733870629278063</v>
      </c>
      <c r="R21" s="69">
        <f t="shared" si="10"/>
        <v>5.2166976365881322E-3</v>
      </c>
      <c r="S21" s="162">
        <f>'Monthly P&amp;L'!F22</f>
        <v>17.618950432543201</v>
      </c>
      <c r="T21" s="120"/>
      <c r="U21" s="72" t="str">
        <f t="shared" si="11"/>
        <v/>
      </c>
      <c r="V21" s="69" t="str">
        <f t="shared" si="12"/>
        <v/>
      </c>
      <c r="W21" s="162">
        <f>'Monthly P&amp;L'!G22</f>
        <v>12.414811471897689</v>
      </c>
      <c r="X21" s="120"/>
      <c r="Y21" s="72" t="str">
        <f t="shared" si="13"/>
        <v/>
      </c>
      <c r="Z21" s="69" t="str">
        <f t="shared" si="14"/>
        <v/>
      </c>
      <c r="AA21" s="162">
        <f>'Monthly P&amp;L'!H22</f>
        <v>19.68379571085373</v>
      </c>
      <c r="AB21" s="120"/>
      <c r="AC21" s="72" t="str">
        <f t="shared" si="15"/>
        <v/>
      </c>
      <c r="AD21" s="69" t="str">
        <f t="shared" si="16"/>
        <v/>
      </c>
      <c r="AE21" s="162">
        <f>'Monthly P&amp;L'!I22</f>
        <v>19.51310449973775</v>
      </c>
      <c r="AF21" s="120"/>
      <c r="AG21" s="72" t="str">
        <f t="shared" si="17"/>
        <v/>
      </c>
      <c r="AH21" s="69" t="str">
        <f t="shared" si="18"/>
        <v/>
      </c>
      <c r="AI21" s="162">
        <f>'Monthly P&amp;L'!J22</f>
        <v>15.669425807200268</v>
      </c>
      <c r="AJ21" s="120"/>
      <c r="AK21" s="72" t="str">
        <f t="shared" si="19"/>
        <v/>
      </c>
      <c r="AL21" s="69" t="str">
        <f t="shared" si="20"/>
        <v/>
      </c>
      <c r="AM21" s="162">
        <f>'Monthly P&amp;L'!K22</f>
        <v>15.549286866167069</v>
      </c>
      <c r="AN21" s="120"/>
      <c r="AO21" s="72" t="str">
        <f t="shared" si="21"/>
        <v/>
      </c>
      <c r="AP21" s="69" t="str">
        <f t="shared" si="22"/>
        <v/>
      </c>
      <c r="AQ21" s="162">
        <f>'Monthly P&amp;L'!L22</f>
        <v>18.107216054273049</v>
      </c>
      <c r="AR21" s="120"/>
      <c r="AS21" s="72" t="str">
        <f t="shared" si="23"/>
        <v/>
      </c>
      <c r="AT21" s="69" t="str">
        <f t="shared" si="24"/>
        <v/>
      </c>
      <c r="AU21" s="162">
        <f>'Monthly P&amp;L'!M22</f>
        <v>17.154053806277599</v>
      </c>
      <c r="AV21" s="120"/>
      <c r="AW21" s="72" t="str">
        <f t="shared" si="25"/>
        <v/>
      </c>
      <c r="AX21" s="69" t="str">
        <f t="shared" si="26"/>
        <v/>
      </c>
      <c r="AY21" s="162">
        <f>'Monthly P&amp;L'!N22</f>
        <v>17.050805724614797</v>
      </c>
      <c r="AZ21" s="120"/>
      <c r="BA21" s="72" t="str">
        <f t="shared" si="27"/>
        <v/>
      </c>
      <c r="BB21" s="69" t="str">
        <f t="shared" si="28"/>
        <v/>
      </c>
      <c r="BC21" s="162">
        <f>'Monthly P&amp;L'!O22</f>
        <v>23.233017109622281</v>
      </c>
      <c r="BD21" s="120"/>
      <c r="BE21" s="71" t="str">
        <f t="shared" si="29"/>
        <v/>
      </c>
      <c r="BF21" s="73" t="str">
        <f t="shared" si="30"/>
        <v/>
      </c>
    </row>
    <row r="22" spans="1:58" x14ac:dyDescent="0.2">
      <c r="A22" s="68" t="s">
        <v>143</v>
      </c>
      <c r="B22" s="104">
        <f>'Monthly P&amp;L'!B23</f>
        <v>1559.2231366999999</v>
      </c>
      <c r="C22" s="88">
        <f t="shared" si="0"/>
        <v>4.8849238769764769E-2</v>
      </c>
      <c r="D22" s="90">
        <f>'Monthly P&amp;L'!C23</f>
        <v>1635.3899999999999</v>
      </c>
      <c r="E22" s="73">
        <f t="shared" si="1"/>
        <v>2.8430983946844131E-2</v>
      </c>
      <c r="F22" s="98">
        <f t="shared" si="2"/>
        <v>184.52</v>
      </c>
      <c r="G22" s="84">
        <f t="shared" si="3"/>
        <v>1.0516219557237749</v>
      </c>
      <c r="H22" s="112">
        <f t="shared" si="4"/>
        <v>194.04528327015095</v>
      </c>
      <c r="I22" s="70">
        <f t="shared" si="5"/>
        <v>2.2291679665619086E-2</v>
      </c>
      <c r="J22" s="71">
        <f t="shared" si="6"/>
        <v>0.11865382769256934</v>
      </c>
      <c r="K22" s="162">
        <f>'Monthly P&amp;L'!D23</f>
        <v>84.960000000000008</v>
      </c>
      <c r="L22" s="120">
        <v>114.68122087015097</v>
      </c>
      <c r="M22" s="72">
        <f t="shared" si="7"/>
        <v>1.3498260460234339</v>
      </c>
      <c r="N22" s="69">
        <f t="shared" si="8"/>
        <v>2.6801687428492496E-2</v>
      </c>
      <c r="O22" s="162">
        <f>'Monthly P&amp;L'!E23</f>
        <v>99.56</v>
      </c>
      <c r="P22" s="120">
        <v>79.364062399999995</v>
      </c>
      <c r="Q22" s="72">
        <f t="shared" si="9"/>
        <v>0.79714807553234224</v>
      </c>
      <c r="R22" s="69">
        <f t="shared" si="10"/>
        <v>1.7931533881828322E-2</v>
      </c>
      <c r="S22" s="162">
        <f>'Monthly P&amp;L'!F23</f>
        <v>132.21</v>
      </c>
      <c r="T22" s="120"/>
      <c r="U22" s="72" t="str">
        <f t="shared" si="11"/>
        <v/>
      </c>
      <c r="V22" s="69" t="str">
        <f t="shared" si="12"/>
        <v/>
      </c>
      <c r="W22" s="162">
        <f>'Monthly P&amp;L'!G23</f>
        <v>132.29</v>
      </c>
      <c r="X22" s="120"/>
      <c r="Y22" s="72" t="str">
        <f t="shared" si="13"/>
        <v/>
      </c>
      <c r="Z22" s="69" t="str">
        <f t="shared" si="14"/>
        <v/>
      </c>
      <c r="AA22" s="162">
        <f>'Monthly P&amp;L'!H23</f>
        <v>143.62</v>
      </c>
      <c r="AB22" s="120"/>
      <c r="AC22" s="72" t="str">
        <f t="shared" si="15"/>
        <v/>
      </c>
      <c r="AD22" s="69" t="str">
        <f t="shared" si="16"/>
        <v/>
      </c>
      <c r="AE22" s="162">
        <f>'Monthly P&amp;L'!I23</f>
        <v>158.24</v>
      </c>
      <c r="AF22" s="120"/>
      <c r="AG22" s="72" t="str">
        <f t="shared" si="17"/>
        <v/>
      </c>
      <c r="AH22" s="69" t="str">
        <f t="shared" si="18"/>
        <v/>
      </c>
      <c r="AI22" s="162">
        <f>'Monthly P&amp;L'!J23</f>
        <v>163.31</v>
      </c>
      <c r="AJ22" s="120"/>
      <c r="AK22" s="72" t="str">
        <f t="shared" si="19"/>
        <v/>
      </c>
      <c r="AL22" s="69" t="str">
        <f t="shared" si="20"/>
        <v/>
      </c>
      <c r="AM22" s="162">
        <f>'Monthly P&amp;L'!K23</f>
        <v>134.81</v>
      </c>
      <c r="AN22" s="120"/>
      <c r="AO22" s="72" t="str">
        <f t="shared" si="21"/>
        <v/>
      </c>
      <c r="AP22" s="69" t="str">
        <f t="shared" si="22"/>
        <v/>
      </c>
      <c r="AQ22" s="162">
        <f>'Monthly P&amp;L'!L23</f>
        <v>109.05</v>
      </c>
      <c r="AR22" s="120"/>
      <c r="AS22" s="72" t="str">
        <f t="shared" si="23"/>
        <v/>
      </c>
      <c r="AT22" s="69" t="str">
        <f t="shared" si="24"/>
        <v/>
      </c>
      <c r="AU22" s="162">
        <f>'Monthly P&amp;L'!M23</f>
        <v>98.929999999999993</v>
      </c>
      <c r="AV22" s="120"/>
      <c r="AW22" s="72" t="str">
        <f t="shared" si="25"/>
        <v/>
      </c>
      <c r="AX22" s="69" t="str">
        <f t="shared" si="26"/>
        <v/>
      </c>
      <c r="AY22" s="162">
        <f>'Monthly P&amp;L'!N23</f>
        <v>189.56</v>
      </c>
      <c r="AZ22" s="120"/>
      <c r="BA22" s="72" t="str">
        <f t="shared" si="27"/>
        <v/>
      </c>
      <c r="BB22" s="69" t="str">
        <f t="shared" si="28"/>
        <v/>
      </c>
      <c r="BC22" s="162">
        <f>'Monthly P&amp;L'!O23</f>
        <v>188.85</v>
      </c>
      <c r="BD22" s="120"/>
      <c r="BE22" s="71" t="str">
        <f t="shared" si="29"/>
        <v/>
      </c>
      <c r="BF22" s="73" t="str">
        <f t="shared" si="30"/>
        <v/>
      </c>
    </row>
    <row r="23" spans="1:58" x14ac:dyDescent="0.2">
      <c r="A23" s="68" t="s">
        <v>165</v>
      </c>
      <c r="B23" s="104">
        <f>'Monthly P&amp;L'!B24</f>
        <v>1011.1752704</v>
      </c>
      <c r="C23" s="88">
        <f t="shared" si="0"/>
        <v>0.17091471148382942</v>
      </c>
      <c r="D23" s="90">
        <f>'Monthly P&amp;L'!C24</f>
        <v>1183.9999999999993</v>
      </c>
      <c r="E23" s="73">
        <f t="shared" si="1"/>
        <v>2.0583643652623187E-2</v>
      </c>
      <c r="F23" s="98">
        <f t="shared" si="2"/>
        <v>156.935861497904</v>
      </c>
      <c r="G23" s="84">
        <f t="shared" si="3"/>
        <v>1.2959927756763008</v>
      </c>
      <c r="H23" s="112">
        <f t="shared" si="4"/>
        <v>203.38774274582011</v>
      </c>
      <c r="I23" s="70">
        <f t="shared" si="5"/>
        <v>2.3364929735968414E-2</v>
      </c>
      <c r="J23" s="71">
        <f t="shared" si="6"/>
        <v>0.17178018812991572</v>
      </c>
      <c r="K23" s="162">
        <f>'Monthly P&amp;L'!D24</f>
        <v>72.84237072101557</v>
      </c>
      <c r="L23" s="120">
        <v>89.327924645820104</v>
      </c>
      <c r="M23" s="72">
        <f t="shared" si="7"/>
        <v>1.2263181958745384</v>
      </c>
      <c r="N23" s="69">
        <f t="shared" si="8"/>
        <v>2.0876470417977074E-2</v>
      </c>
      <c r="O23" s="162">
        <f>'Monthly P&amp;L'!E24</f>
        <v>84.093490776888444</v>
      </c>
      <c r="P23" s="120">
        <v>114.0598181</v>
      </c>
      <c r="Q23" s="72">
        <f t="shared" si="9"/>
        <v>1.3563453847173061</v>
      </c>
      <c r="R23" s="69">
        <f t="shared" si="10"/>
        <v>2.5770700629045993E-2</v>
      </c>
      <c r="S23" s="162">
        <f>'Monthly P&amp;L'!F24</f>
        <v>101.11201377101999</v>
      </c>
      <c r="T23" s="120"/>
      <c r="U23" s="72" t="str">
        <f t="shared" si="11"/>
        <v/>
      </c>
      <c r="V23" s="69" t="str">
        <f t="shared" si="12"/>
        <v/>
      </c>
      <c r="W23" s="162">
        <f>'Monthly P&amp;L'!G24</f>
        <v>87.150059888173345</v>
      </c>
      <c r="X23" s="120"/>
      <c r="Y23" s="72" t="str">
        <f t="shared" si="13"/>
        <v/>
      </c>
      <c r="Z23" s="69" t="str">
        <f t="shared" si="14"/>
        <v/>
      </c>
      <c r="AA23" s="162">
        <f>'Monthly P&amp;L'!H24</f>
        <v>79.411635490883128</v>
      </c>
      <c r="AB23" s="120"/>
      <c r="AC23" s="72" t="str">
        <f t="shared" si="15"/>
        <v/>
      </c>
      <c r="AD23" s="69" t="str">
        <f t="shared" si="16"/>
        <v/>
      </c>
      <c r="AE23" s="162">
        <f>'Monthly P&amp;L'!I24</f>
        <v>87.829970601306229</v>
      </c>
      <c r="AF23" s="120"/>
      <c r="AG23" s="72" t="str">
        <f t="shared" si="17"/>
        <v/>
      </c>
      <c r="AH23" s="69" t="str">
        <f t="shared" si="18"/>
        <v/>
      </c>
      <c r="AI23" s="162">
        <f>'Monthly P&amp;L'!J24</f>
        <v>103.13467362265089</v>
      </c>
      <c r="AJ23" s="120"/>
      <c r="AK23" s="72" t="str">
        <f t="shared" si="19"/>
        <v/>
      </c>
      <c r="AL23" s="69" t="str">
        <f t="shared" si="20"/>
        <v/>
      </c>
      <c r="AM23" s="162">
        <f>'Monthly P&amp;L'!K24</f>
        <v>74.265621533934123</v>
      </c>
      <c r="AN23" s="120"/>
      <c r="AO23" s="72" t="str">
        <f t="shared" si="21"/>
        <v/>
      </c>
      <c r="AP23" s="69" t="str">
        <f t="shared" si="22"/>
        <v/>
      </c>
      <c r="AQ23" s="162">
        <f>'Monthly P&amp;L'!L24</f>
        <v>79.782964746049217</v>
      </c>
      <c r="AR23" s="120"/>
      <c r="AS23" s="72" t="str">
        <f t="shared" si="23"/>
        <v/>
      </c>
      <c r="AT23" s="69" t="str">
        <f t="shared" si="24"/>
        <v/>
      </c>
      <c r="AU23" s="162">
        <f>'Monthly P&amp;L'!M24</f>
        <v>57.876276797047744</v>
      </c>
      <c r="AV23" s="120"/>
      <c r="AW23" s="72" t="str">
        <f t="shared" si="25"/>
        <v/>
      </c>
      <c r="AX23" s="69" t="str">
        <f t="shared" si="26"/>
        <v/>
      </c>
      <c r="AY23" s="162">
        <f>'Monthly P&amp;L'!N24</f>
        <v>141.54074512619729</v>
      </c>
      <c r="AZ23" s="120"/>
      <c r="BA23" s="72" t="str">
        <f t="shared" si="27"/>
        <v/>
      </c>
      <c r="BB23" s="69" t="str">
        <f t="shared" si="28"/>
        <v/>
      </c>
      <c r="BC23" s="162">
        <f>'Monthly P&amp;L'!O24</f>
        <v>214.96017692483332</v>
      </c>
      <c r="BD23" s="120"/>
      <c r="BE23" s="71" t="str">
        <f t="shared" si="29"/>
        <v/>
      </c>
      <c r="BF23" s="73" t="str">
        <f t="shared" si="30"/>
        <v/>
      </c>
    </row>
    <row r="24" spans="1:58" x14ac:dyDescent="0.2">
      <c r="A24" s="68" t="s">
        <v>166</v>
      </c>
      <c r="B24" s="104">
        <f>'Monthly P&amp;L'!B25</f>
        <v>265.11630049999997</v>
      </c>
      <c r="C24" s="88">
        <f t="shared" si="0"/>
        <v>0.39146479980396376</v>
      </c>
      <c r="D24" s="90">
        <f>'Monthly P&amp;L'!C25</f>
        <v>368.9</v>
      </c>
      <c r="E24" s="73">
        <f t="shared" si="1"/>
        <v>6.4132653238620756E-3</v>
      </c>
      <c r="F24" s="98">
        <f t="shared" si="2"/>
        <v>61.772590919961189</v>
      </c>
      <c r="G24" s="84">
        <f t="shared" si="3"/>
        <v>0.69421189660576776</v>
      </c>
      <c r="H24" s="112">
        <f t="shared" si="4"/>
        <v>42.883267500798489</v>
      </c>
      <c r="I24" s="70">
        <f t="shared" si="5"/>
        <v>4.9263761841198085E-3</v>
      </c>
      <c r="J24" s="71">
        <f t="shared" si="6"/>
        <v>0.11624632014312412</v>
      </c>
      <c r="K24" s="162">
        <f>'Monthly P&amp;L'!D25</f>
        <v>28.914527222742397</v>
      </c>
      <c r="L24" s="120">
        <v>24.095347500798489</v>
      </c>
      <c r="M24" s="72">
        <f t="shared" si="7"/>
        <v>0.83333015667800936</v>
      </c>
      <c r="N24" s="69">
        <f t="shared" si="8"/>
        <v>5.63122686781054E-3</v>
      </c>
      <c r="O24" s="162">
        <f>'Monthly P&amp;L'!E25</f>
        <v>32.858063697218796</v>
      </c>
      <c r="P24" s="120">
        <v>18.78792</v>
      </c>
      <c r="Q24" s="72">
        <f t="shared" si="9"/>
        <v>0.57179023612369051</v>
      </c>
      <c r="R24" s="69">
        <f t="shared" si="10"/>
        <v>4.2449468167481304E-3</v>
      </c>
      <c r="S24" s="162">
        <f>'Monthly P&amp;L'!F25</f>
        <v>32.858063697218796</v>
      </c>
      <c r="T24" s="120"/>
      <c r="U24" s="72" t="str">
        <f t="shared" si="11"/>
        <v/>
      </c>
      <c r="V24" s="69" t="str">
        <f t="shared" si="12"/>
        <v/>
      </c>
      <c r="W24" s="162">
        <f>'Monthly P&amp;L'!G25</f>
        <v>32.454900686123601</v>
      </c>
      <c r="X24" s="120"/>
      <c r="Y24" s="72" t="str">
        <f t="shared" si="13"/>
        <v/>
      </c>
      <c r="Z24" s="69" t="str">
        <f t="shared" si="14"/>
        <v/>
      </c>
      <c r="AA24" s="162">
        <f>'Monthly P&amp;L'!H25</f>
        <v>27.573669997707302</v>
      </c>
      <c r="AB24" s="120"/>
      <c r="AC24" s="72" t="str">
        <f t="shared" si="15"/>
        <v/>
      </c>
      <c r="AD24" s="69" t="str">
        <f t="shared" si="16"/>
        <v/>
      </c>
      <c r="AE24" s="162">
        <f>'Monthly P&amp;L'!I25</f>
        <v>26.491382414828202</v>
      </c>
      <c r="AF24" s="120"/>
      <c r="AG24" s="72" t="str">
        <f t="shared" si="17"/>
        <v/>
      </c>
      <c r="AH24" s="69" t="str">
        <f t="shared" si="18"/>
        <v/>
      </c>
      <c r="AI24" s="162">
        <f>'Monthly P&amp;L'!J25</f>
        <v>35.500499878920103</v>
      </c>
      <c r="AJ24" s="120"/>
      <c r="AK24" s="72" t="str">
        <f t="shared" si="19"/>
        <v/>
      </c>
      <c r="AL24" s="69" t="str">
        <f t="shared" si="20"/>
        <v/>
      </c>
      <c r="AM24" s="162">
        <f>'Monthly P&amp;L'!K25</f>
        <v>29.279706027732498</v>
      </c>
      <c r="AN24" s="120"/>
      <c r="AO24" s="72" t="str">
        <f t="shared" si="21"/>
        <v/>
      </c>
      <c r="AP24" s="69" t="str">
        <f t="shared" si="22"/>
        <v/>
      </c>
      <c r="AQ24" s="162">
        <f>'Monthly P&amp;L'!L25</f>
        <v>29.746205733585203</v>
      </c>
      <c r="AR24" s="120"/>
      <c r="AS24" s="72" t="str">
        <f t="shared" si="23"/>
        <v/>
      </c>
      <c r="AT24" s="69" t="str">
        <f t="shared" si="24"/>
        <v/>
      </c>
      <c r="AU24" s="162">
        <f>'Monthly P&amp;L'!M25</f>
        <v>31.465652701350997</v>
      </c>
      <c r="AV24" s="120"/>
      <c r="AW24" s="72" t="str">
        <f t="shared" si="25"/>
        <v/>
      </c>
      <c r="AX24" s="69" t="str">
        <f t="shared" si="26"/>
        <v/>
      </c>
      <c r="AY24" s="162">
        <f>'Monthly P&amp;L'!N25</f>
        <v>29.391243063155198</v>
      </c>
      <c r="AZ24" s="120"/>
      <c r="BA24" s="72" t="str">
        <f t="shared" si="27"/>
        <v/>
      </c>
      <c r="BB24" s="69" t="str">
        <f t="shared" si="28"/>
        <v/>
      </c>
      <c r="BC24" s="162">
        <f>'Monthly P&amp;L'!O25</f>
        <v>32.366084879416903</v>
      </c>
      <c r="BD24" s="120"/>
      <c r="BE24" s="71" t="str">
        <f t="shared" si="29"/>
        <v/>
      </c>
      <c r="BF24" s="73" t="str">
        <f t="shared" si="30"/>
        <v/>
      </c>
    </row>
    <row r="25" spans="1:58" x14ac:dyDescent="0.2">
      <c r="A25" s="68" t="s">
        <v>167</v>
      </c>
      <c r="B25" s="104">
        <f>'Monthly P&amp;L'!B26</f>
        <v>182.70991889999999</v>
      </c>
      <c r="C25" s="88">
        <f t="shared" si="0"/>
        <v>-8.9814056066553127E-2</v>
      </c>
      <c r="D25" s="90">
        <f>'Monthly P&amp;L'!C26</f>
        <v>166.3</v>
      </c>
      <c r="E25" s="73">
        <f t="shared" si="1"/>
        <v>2.8910979218169245E-3</v>
      </c>
      <c r="F25" s="98">
        <f t="shared" si="2"/>
        <v>26.211722766792796</v>
      </c>
      <c r="G25" s="84">
        <f t="shared" si="3"/>
        <v>1.4077119928288648</v>
      </c>
      <c r="H25" s="112">
        <f t="shared" si="4"/>
        <v>36.898556491519614</v>
      </c>
      <c r="I25" s="70">
        <f t="shared" si="5"/>
        <v>4.2388600617906946E-3</v>
      </c>
      <c r="J25" s="71">
        <f t="shared" si="6"/>
        <v>0.22187947379145886</v>
      </c>
      <c r="K25" s="162">
        <f>'Monthly P&amp;L'!D26</f>
        <v>10.3881011755514</v>
      </c>
      <c r="L25" s="120">
        <v>18.924059491519611</v>
      </c>
      <c r="M25" s="72">
        <f t="shared" si="7"/>
        <v>1.8217053503538987</v>
      </c>
      <c r="N25" s="69">
        <f t="shared" si="8"/>
        <v>4.4226659214256546E-3</v>
      </c>
      <c r="O25" s="162">
        <f>'Monthly P&amp;L'!E26</f>
        <v>15.823621591241398</v>
      </c>
      <c r="P25" s="120">
        <v>17.974497</v>
      </c>
      <c r="Q25" s="72">
        <f t="shared" si="9"/>
        <v>1.1359281373329315</v>
      </c>
      <c r="R25" s="69">
        <f t="shared" si="10"/>
        <v>4.0611618435036348E-3</v>
      </c>
      <c r="S25" s="162">
        <f>'Monthly P&amp;L'!F26</f>
        <v>12.298556532772901</v>
      </c>
      <c r="T25" s="120"/>
      <c r="U25" s="72" t="str">
        <f t="shared" si="11"/>
        <v/>
      </c>
      <c r="V25" s="69" t="str">
        <f t="shared" si="12"/>
        <v/>
      </c>
      <c r="W25" s="162">
        <f>'Monthly P&amp;L'!G26</f>
        <v>15.191547695443699</v>
      </c>
      <c r="X25" s="120"/>
      <c r="Y25" s="72" t="str">
        <f t="shared" si="13"/>
        <v/>
      </c>
      <c r="Z25" s="69" t="str">
        <f t="shared" si="14"/>
        <v/>
      </c>
      <c r="AA25" s="162">
        <f>'Monthly P&amp;L'!H26</f>
        <v>12.674734472010099</v>
      </c>
      <c r="AB25" s="120"/>
      <c r="AC25" s="72" t="str">
        <f t="shared" si="15"/>
        <v/>
      </c>
      <c r="AD25" s="69" t="str">
        <f t="shared" si="16"/>
        <v/>
      </c>
      <c r="AE25" s="162">
        <f>'Monthly P&amp;L'!I26</f>
        <v>13.1011312835737</v>
      </c>
      <c r="AF25" s="120"/>
      <c r="AG25" s="72" t="str">
        <f t="shared" si="17"/>
        <v/>
      </c>
      <c r="AH25" s="69" t="str">
        <f t="shared" si="18"/>
        <v/>
      </c>
      <c r="AI25" s="162">
        <f>'Monthly P&amp;L'!J26</f>
        <v>16.453661039417199</v>
      </c>
      <c r="AJ25" s="120"/>
      <c r="AK25" s="72" t="str">
        <f t="shared" si="19"/>
        <v/>
      </c>
      <c r="AL25" s="69" t="str">
        <f t="shared" si="20"/>
        <v/>
      </c>
      <c r="AM25" s="162">
        <f>'Monthly P&amp;L'!K26</f>
        <v>10.5925457769989</v>
      </c>
      <c r="AN25" s="120"/>
      <c r="AO25" s="72" t="str">
        <f t="shared" si="21"/>
        <v/>
      </c>
      <c r="AP25" s="69" t="str">
        <f t="shared" si="22"/>
        <v/>
      </c>
      <c r="AQ25" s="162">
        <f>'Monthly P&amp;L'!L26</f>
        <v>12.725547331683501</v>
      </c>
      <c r="AR25" s="120"/>
      <c r="AS25" s="72" t="str">
        <f t="shared" si="23"/>
        <v/>
      </c>
      <c r="AT25" s="69" t="str">
        <f t="shared" si="24"/>
        <v/>
      </c>
      <c r="AU25" s="162">
        <f>'Monthly P&amp;L'!M26</f>
        <v>12.9416797218555</v>
      </c>
      <c r="AV25" s="120"/>
      <c r="AW25" s="72" t="str">
        <f t="shared" si="25"/>
        <v/>
      </c>
      <c r="AX25" s="69" t="str">
        <f t="shared" si="26"/>
        <v/>
      </c>
      <c r="AY25" s="162">
        <f>'Monthly P&amp;L'!N26</f>
        <v>16.412918932120398</v>
      </c>
      <c r="AZ25" s="120"/>
      <c r="BA25" s="72" t="str">
        <f t="shared" si="27"/>
        <v/>
      </c>
      <c r="BB25" s="69" t="str">
        <f t="shared" si="28"/>
        <v/>
      </c>
      <c r="BC25" s="162">
        <f>'Monthly P&amp;L'!O26</f>
        <v>17.6959544473313</v>
      </c>
      <c r="BD25" s="120"/>
      <c r="BE25" s="71" t="str">
        <f t="shared" si="29"/>
        <v/>
      </c>
      <c r="BF25" s="73" t="str">
        <f t="shared" si="30"/>
        <v/>
      </c>
    </row>
    <row r="26" spans="1:58" x14ac:dyDescent="0.2">
      <c r="A26" s="68" t="s">
        <v>168</v>
      </c>
      <c r="B26" s="104">
        <f>'Monthly P&amp;L'!B27</f>
        <v>31.991355399999996</v>
      </c>
      <c r="C26" s="88">
        <f t="shared" si="0"/>
        <v>0.12217814941345062</v>
      </c>
      <c r="D26" s="90">
        <f>'Monthly P&amp;L'!C27</f>
        <v>35.9</v>
      </c>
      <c r="E26" s="73">
        <f t="shared" si="1"/>
        <v>6.2411554656180142E-4</v>
      </c>
      <c r="F26" s="98">
        <f t="shared" si="2"/>
        <v>5.2335674339699896</v>
      </c>
      <c r="G26" s="84">
        <f t="shared" si="3"/>
        <v>1.2084354344888417</v>
      </c>
      <c r="H26" s="112">
        <f t="shared" si="4"/>
        <v>6.3244283359961768</v>
      </c>
      <c r="I26" s="70">
        <f t="shared" si="5"/>
        <v>7.2654242431605522E-4</v>
      </c>
      <c r="J26" s="71">
        <f t="shared" si="6"/>
        <v>0.17616792022273473</v>
      </c>
      <c r="K26" s="162">
        <f>'Monthly P&amp;L'!D27</f>
        <v>2.5586521395089101</v>
      </c>
      <c r="L26" s="120">
        <v>3.034846335996177</v>
      </c>
      <c r="M26" s="72">
        <f t="shared" si="7"/>
        <v>1.1861113471167926</v>
      </c>
      <c r="N26" s="69">
        <f t="shared" si="8"/>
        <v>7.0926174550384495E-4</v>
      </c>
      <c r="O26" s="162">
        <f>'Monthly P&amp;L'!E27</f>
        <v>2.6749152944610799</v>
      </c>
      <c r="P26" s="120">
        <v>3.2895819999999998</v>
      </c>
      <c r="Q26" s="72">
        <f t="shared" si="9"/>
        <v>1.2297892224145206</v>
      </c>
      <c r="R26" s="69">
        <f t="shared" si="10"/>
        <v>7.4324888754752772E-4</v>
      </c>
      <c r="S26" s="162">
        <f>'Monthly P&amp;L'!F27</f>
        <v>2.17976641777422</v>
      </c>
      <c r="T26" s="120"/>
      <c r="U26" s="72" t="str">
        <f t="shared" si="11"/>
        <v/>
      </c>
      <c r="V26" s="69" t="str">
        <f t="shared" si="12"/>
        <v/>
      </c>
      <c r="W26" s="162">
        <f>'Monthly P&amp;L'!G27</f>
        <v>2.0699810361895499</v>
      </c>
      <c r="X26" s="120"/>
      <c r="Y26" s="72" t="str">
        <f t="shared" si="13"/>
        <v/>
      </c>
      <c r="Z26" s="69" t="str">
        <f t="shared" si="14"/>
        <v/>
      </c>
      <c r="AA26" s="162">
        <f>'Monthly P&amp;L'!H27</f>
        <v>2.9522487190398903</v>
      </c>
      <c r="AB26" s="120"/>
      <c r="AC26" s="72" t="str">
        <f t="shared" si="15"/>
        <v/>
      </c>
      <c r="AD26" s="69" t="str">
        <f t="shared" si="16"/>
        <v/>
      </c>
      <c r="AE26" s="162">
        <f>'Monthly P&amp;L'!I27</f>
        <v>3.8088143702095199</v>
      </c>
      <c r="AF26" s="120"/>
      <c r="AG26" s="72" t="str">
        <f t="shared" si="17"/>
        <v/>
      </c>
      <c r="AH26" s="69" t="str">
        <f t="shared" si="18"/>
        <v/>
      </c>
      <c r="AI26" s="162">
        <f>'Monthly P&amp;L'!J27</f>
        <v>3.0101003691766102</v>
      </c>
      <c r="AJ26" s="120"/>
      <c r="AK26" s="72" t="str">
        <f t="shared" si="19"/>
        <v/>
      </c>
      <c r="AL26" s="69" t="str">
        <f t="shared" si="20"/>
        <v/>
      </c>
      <c r="AM26" s="162">
        <f>'Monthly P&amp;L'!K27</f>
        <v>3.2638714191521903</v>
      </c>
      <c r="AN26" s="120"/>
      <c r="AO26" s="72" t="str">
        <f t="shared" si="21"/>
        <v/>
      </c>
      <c r="AP26" s="69" t="str">
        <f t="shared" si="22"/>
        <v/>
      </c>
      <c r="AQ26" s="162">
        <f>'Monthly P&amp;L'!L27</f>
        <v>3.5089919344273897</v>
      </c>
      <c r="AR26" s="120"/>
      <c r="AS26" s="72" t="str">
        <f t="shared" si="23"/>
        <v/>
      </c>
      <c r="AT26" s="69" t="str">
        <f t="shared" si="24"/>
        <v/>
      </c>
      <c r="AU26" s="162">
        <f>'Monthly P&amp;L'!M27</f>
        <v>3.0436151173513597</v>
      </c>
      <c r="AV26" s="120"/>
      <c r="AW26" s="72" t="str">
        <f t="shared" si="25"/>
        <v/>
      </c>
      <c r="AX26" s="69" t="str">
        <f t="shared" si="26"/>
        <v/>
      </c>
      <c r="AY26" s="162">
        <f>'Monthly P&amp;L'!N27</f>
        <v>3.24232503759437</v>
      </c>
      <c r="AZ26" s="120"/>
      <c r="BA26" s="72" t="str">
        <f t="shared" si="27"/>
        <v/>
      </c>
      <c r="BB26" s="69" t="str">
        <f t="shared" si="28"/>
        <v/>
      </c>
      <c r="BC26" s="162">
        <f>'Monthly P&amp;L'!O27</f>
        <v>3.5867181451149102</v>
      </c>
      <c r="BD26" s="120"/>
      <c r="BE26" s="71" t="str">
        <f t="shared" si="29"/>
        <v/>
      </c>
      <c r="BF26" s="73" t="str">
        <f t="shared" si="30"/>
        <v/>
      </c>
    </row>
    <row r="27" spans="1:58" x14ac:dyDescent="0.2">
      <c r="A27" s="68" t="s">
        <v>169</v>
      </c>
      <c r="B27" s="104">
        <f>'Monthly P&amp;L'!B28</f>
        <v>58.321303800000003</v>
      </c>
      <c r="C27" s="88">
        <f t="shared" si="0"/>
        <v>0.12308874686028459</v>
      </c>
      <c r="D27" s="90">
        <f>'Monthly P&amp;L'!C28</f>
        <v>65.499999999999957</v>
      </c>
      <c r="E27" s="73">
        <f t="shared" si="1"/>
        <v>1.1387066378773807E-3</v>
      </c>
      <c r="F27" s="98">
        <f t="shared" si="2"/>
        <v>10.442582604780521</v>
      </c>
      <c r="G27" s="84">
        <f t="shared" si="3"/>
        <v>0.25293659953560388</v>
      </c>
      <c r="H27" s="112">
        <f t="shared" si="4"/>
        <v>2.6413113344228338</v>
      </c>
      <c r="I27" s="70">
        <f t="shared" si="5"/>
        <v>3.0343054555029124E-4</v>
      </c>
      <c r="J27" s="71">
        <f t="shared" si="6"/>
        <v>4.0325363884318101E-2</v>
      </c>
      <c r="K27" s="162">
        <f>'Monthly P&amp;L'!D28</f>
        <v>3.8349730711952996</v>
      </c>
      <c r="L27" s="120">
        <v>1.3110250344228338</v>
      </c>
      <c r="M27" s="72">
        <f t="shared" si="7"/>
        <v>0.34186029734341999</v>
      </c>
      <c r="N27" s="69">
        <f t="shared" si="8"/>
        <v>3.06394394103237E-4</v>
      </c>
      <c r="O27" s="162">
        <f>'Monthly P&amp;L'!E28</f>
        <v>6.6076095335852205</v>
      </c>
      <c r="P27" s="120">
        <v>1.3302863</v>
      </c>
      <c r="Q27" s="72">
        <f t="shared" si="9"/>
        <v>0.20132640908007779</v>
      </c>
      <c r="R27" s="69">
        <f t="shared" si="10"/>
        <v>3.005651820184804E-4</v>
      </c>
      <c r="S27" s="162">
        <f>'Monthly P&amp;L'!F28</f>
        <v>4.9727993255185101</v>
      </c>
      <c r="T27" s="120"/>
      <c r="U27" s="72" t="str">
        <f t="shared" si="11"/>
        <v/>
      </c>
      <c r="V27" s="69" t="str">
        <f t="shared" si="12"/>
        <v/>
      </c>
      <c r="W27" s="162">
        <f>'Monthly P&amp;L'!G28</f>
        <v>6.8288176978306803</v>
      </c>
      <c r="X27" s="120"/>
      <c r="Y27" s="72" t="str">
        <f t="shared" si="13"/>
        <v/>
      </c>
      <c r="Z27" s="69" t="str">
        <f t="shared" si="14"/>
        <v/>
      </c>
      <c r="AA27" s="162">
        <f>'Monthly P&amp;L'!H28</f>
        <v>3.3504461932142195</v>
      </c>
      <c r="AB27" s="120"/>
      <c r="AC27" s="72" t="str">
        <f t="shared" si="15"/>
        <v/>
      </c>
      <c r="AD27" s="69" t="str">
        <f t="shared" si="16"/>
        <v/>
      </c>
      <c r="AE27" s="162">
        <f>'Monthly P&amp;L'!I28</f>
        <v>1.8130073302647862</v>
      </c>
      <c r="AF27" s="120"/>
      <c r="AG27" s="72" t="str">
        <f t="shared" si="17"/>
        <v/>
      </c>
      <c r="AH27" s="69" t="str">
        <f t="shared" si="18"/>
        <v/>
      </c>
      <c r="AI27" s="162">
        <f>'Monthly P&amp;L'!J28</f>
        <v>10.612212806017501</v>
      </c>
      <c r="AJ27" s="120"/>
      <c r="AK27" s="72" t="str">
        <f t="shared" si="19"/>
        <v/>
      </c>
      <c r="AL27" s="69" t="str">
        <f t="shared" si="20"/>
        <v/>
      </c>
      <c r="AM27" s="162">
        <f>'Monthly P&amp;L'!K28</f>
        <v>1.89851256891825</v>
      </c>
      <c r="AN27" s="120"/>
      <c r="AO27" s="72" t="str">
        <f t="shared" si="21"/>
        <v/>
      </c>
      <c r="AP27" s="69" t="str">
        <f t="shared" si="22"/>
        <v/>
      </c>
      <c r="AQ27" s="162">
        <f>'Monthly P&amp;L'!L28</f>
        <v>2.4640353719252821</v>
      </c>
      <c r="AR27" s="120"/>
      <c r="AS27" s="72" t="str">
        <f t="shared" si="23"/>
        <v/>
      </c>
      <c r="AT27" s="69" t="str">
        <f t="shared" si="24"/>
        <v/>
      </c>
      <c r="AU27" s="162">
        <f>'Monthly P&amp;L'!M28</f>
        <v>5.0194067223510901</v>
      </c>
      <c r="AV27" s="120"/>
      <c r="AW27" s="72" t="str">
        <f t="shared" si="25"/>
        <v/>
      </c>
      <c r="AX27" s="69" t="str">
        <f t="shared" si="26"/>
        <v/>
      </c>
      <c r="AY27" s="162">
        <f>'Monthly P&amp;L'!N28</f>
        <v>2.97026818611692</v>
      </c>
      <c r="AZ27" s="120"/>
      <c r="BA27" s="72" t="str">
        <f t="shared" si="27"/>
        <v/>
      </c>
      <c r="BB27" s="69" t="str">
        <f t="shared" si="28"/>
        <v/>
      </c>
      <c r="BC27" s="162">
        <f>'Monthly P&amp;L'!O28</f>
        <v>15.127911193062198</v>
      </c>
      <c r="BD27" s="120"/>
      <c r="BE27" s="71" t="str">
        <f t="shared" si="29"/>
        <v/>
      </c>
      <c r="BF27" s="73" t="str">
        <f t="shared" si="30"/>
        <v/>
      </c>
    </row>
    <row r="28" spans="1:58" x14ac:dyDescent="0.2">
      <c r="A28" s="68" t="s">
        <v>140</v>
      </c>
      <c r="B28" s="104">
        <f>'Monthly P&amp;L'!B29</f>
        <v>201.10741319999997</v>
      </c>
      <c r="C28" s="88">
        <f t="shared" si="0"/>
        <v>2.9779736970929331</v>
      </c>
      <c r="D28" s="90">
        <f>'Monthly P&amp;L'!C29</f>
        <v>800</v>
      </c>
      <c r="E28" s="73">
        <f t="shared" si="1"/>
        <v>1.3907867332853513E-2</v>
      </c>
      <c r="F28" s="98">
        <f t="shared" si="2"/>
        <v>145.57999999999998</v>
      </c>
      <c r="G28" s="84">
        <f t="shared" si="3"/>
        <v>0.19800060669912889</v>
      </c>
      <c r="H28" s="112">
        <f t="shared" si="4"/>
        <v>28.824928323259179</v>
      </c>
      <c r="I28" s="70">
        <f t="shared" si="5"/>
        <v>3.3113717465214246E-3</v>
      </c>
      <c r="J28" s="71">
        <f t="shared" si="6"/>
        <v>3.6031160404073975E-2</v>
      </c>
      <c r="K28" s="162">
        <f>'Monthly P&amp;L'!D29</f>
        <v>69.459999999999994</v>
      </c>
      <c r="L28" s="120">
        <v>14.32361552325918</v>
      </c>
      <c r="M28" s="72">
        <f t="shared" si="7"/>
        <v>0.20621387162768762</v>
      </c>
      <c r="N28" s="69">
        <f t="shared" si="8"/>
        <v>3.3475146426542412E-3</v>
      </c>
      <c r="O28" s="162">
        <f>'Monthly P&amp;L'!E29</f>
        <v>76.12</v>
      </c>
      <c r="P28" s="120">
        <v>14.501312799999999</v>
      </c>
      <c r="Q28" s="72">
        <f t="shared" si="9"/>
        <v>0.19050594850236466</v>
      </c>
      <c r="R28" s="69">
        <f t="shared" si="10"/>
        <v>3.2764298341183542E-3</v>
      </c>
      <c r="S28" s="162">
        <f>'Monthly P&amp;L'!F29</f>
        <v>70.61</v>
      </c>
      <c r="T28" s="120"/>
      <c r="U28" s="72" t="str">
        <f t="shared" si="11"/>
        <v/>
      </c>
      <c r="V28" s="69" t="str">
        <f t="shared" si="12"/>
        <v/>
      </c>
      <c r="W28" s="162">
        <f>'Monthly P&amp;L'!G29</f>
        <v>79.239999999999995</v>
      </c>
      <c r="X28" s="120"/>
      <c r="Y28" s="72" t="str">
        <f t="shared" si="13"/>
        <v/>
      </c>
      <c r="Z28" s="69" t="str">
        <f t="shared" si="14"/>
        <v/>
      </c>
      <c r="AA28" s="162">
        <f>'Monthly P&amp;L'!H29</f>
        <v>62.89</v>
      </c>
      <c r="AB28" s="120"/>
      <c r="AC28" s="72" t="str">
        <f t="shared" si="15"/>
        <v/>
      </c>
      <c r="AD28" s="69" t="str">
        <f t="shared" si="16"/>
        <v/>
      </c>
      <c r="AE28" s="162">
        <f>'Monthly P&amp;L'!I29</f>
        <v>61.45</v>
      </c>
      <c r="AF28" s="120"/>
      <c r="AG28" s="72" t="str">
        <f t="shared" si="17"/>
        <v/>
      </c>
      <c r="AH28" s="69" t="str">
        <f t="shared" si="18"/>
        <v/>
      </c>
      <c r="AI28" s="162">
        <f>'Monthly P&amp;L'!J29</f>
        <v>56.15</v>
      </c>
      <c r="AJ28" s="120"/>
      <c r="AK28" s="72" t="str">
        <f t="shared" si="19"/>
        <v/>
      </c>
      <c r="AL28" s="69" t="str">
        <f t="shared" si="20"/>
        <v/>
      </c>
      <c r="AM28" s="162">
        <f>'Monthly P&amp;L'!K29</f>
        <v>56.779999999999994</v>
      </c>
      <c r="AN28" s="120"/>
      <c r="AO28" s="72" t="str">
        <f t="shared" si="21"/>
        <v/>
      </c>
      <c r="AP28" s="69" t="str">
        <f t="shared" si="22"/>
        <v/>
      </c>
      <c r="AQ28" s="162">
        <f>'Monthly P&amp;L'!L29</f>
        <v>49.93</v>
      </c>
      <c r="AR28" s="120"/>
      <c r="AS28" s="72" t="str">
        <f t="shared" si="23"/>
        <v/>
      </c>
      <c r="AT28" s="69" t="str">
        <f t="shared" si="24"/>
        <v/>
      </c>
      <c r="AU28" s="162">
        <f>'Monthly P&amp;L'!M29</f>
        <v>59.099999999999994</v>
      </c>
      <c r="AV28" s="120"/>
      <c r="AW28" s="72" t="str">
        <f t="shared" si="25"/>
        <v/>
      </c>
      <c r="AX28" s="69" t="str">
        <f t="shared" si="26"/>
        <v/>
      </c>
      <c r="AY28" s="162">
        <f>'Monthly P&amp;L'!N29</f>
        <v>72.08</v>
      </c>
      <c r="AZ28" s="120"/>
      <c r="BA28" s="72" t="str">
        <f t="shared" si="27"/>
        <v/>
      </c>
      <c r="BB28" s="69" t="str">
        <f t="shared" si="28"/>
        <v/>
      </c>
      <c r="BC28" s="162">
        <f>'Monthly P&amp;L'!O29</f>
        <v>86.19</v>
      </c>
      <c r="BD28" s="120"/>
      <c r="BE28" s="71" t="str">
        <f t="shared" si="29"/>
        <v/>
      </c>
      <c r="BF28" s="73" t="str">
        <f t="shared" si="30"/>
        <v/>
      </c>
    </row>
    <row r="29" spans="1:58" x14ac:dyDescent="0.2">
      <c r="A29" s="68" t="s">
        <v>170</v>
      </c>
      <c r="B29" s="104">
        <f>'Monthly P&amp;L'!B30</f>
        <v>5.6756879999999992</v>
      </c>
      <c r="C29" s="88">
        <f t="shared" si="0"/>
        <v>0.10999758971952045</v>
      </c>
      <c r="D29" s="90">
        <f>'Monthly P&amp;L'!C30</f>
        <v>6.3000000000000052</v>
      </c>
      <c r="E29" s="73">
        <f t="shared" si="1"/>
        <v>1.095244552462215E-4</v>
      </c>
      <c r="F29" s="98" t="str">
        <f t="shared" si="2"/>
        <v/>
      </c>
      <c r="G29" s="84" t="str">
        <f t="shared" si="3"/>
        <v/>
      </c>
      <c r="H29" s="112" t="str">
        <f t="shared" si="4"/>
        <v/>
      </c>
      <c r="I29" s="70" t="str">
        <f t="shared" si="5"/>
        <v/>
      </c>
      <c r="J29" s="71" t="str">
        <f t="shared" si="6"/>
        <v/>
      </c>
      <c r="K29" s="162">
        <f>'Monthly P&amp;L'!D30</f>
        <v>0</v>
      </c>
      <c r="L29" s="120">
        <v>0</v>
      </c>
      <c r="M29" s="72" t="str">
        <f t="shared" si="7"/>
        <v/>
      </c>
      <c r="N29" s="69">
        <f t="shared" si="8"/>
        <v>0</v>
      </c>
      <c r="O29" s="162">
        <f>'Monthly P&amp;L'!E30</f>
        <v>0</v>
      </c>
      <c r="P29" s="120">
        <v>0</v>
      </c>
      <c r="Q29" s="72" t="str">
        <f t="shared" si="9"/>
        <v/>
      </c>
      <c r="R29" s="69">
        <f t="shared" si="10"/>
        <v>0</v>
      </c>
      <c r="S29" s="162">
        <f>'Monthly P&amp;L'!F30</f>
        <v>0</v>
      </c>
      <c r="T29" s="120"/>
      <c r="U29" s="72" t="str">
        <f t="shared" si="11"/>
        <v/>
      </c>
      <c r="V29" s="69" t="str">
        <f t="shared" si="12"/>
        <v/>
      </c>
      <c r="W29" s="162">
        <f>'Monthly P&amp;L'!G30</f>
        <v>0</v>
      </c>
      <c r="X29" s="120"/>
      <c r="Y29" s="72" t="str">
        <f t="shared" si="13"/>
        <v/>
      </c>
      <c r="Z29" s="69" t="str">
        <f t="shared" si="14"/>
        <v/>
      </c>
      <c r="AA29" s="162">
        <f>'Monthly P&amp;L'!H30</f>
        <v>0</v>
      </c>
      <c r="AB29" s="120"/>
      <c r="AC29" s="72" t="str">
        <f t="shared" si="15"/>
        <v/>
      </c>
      <c r="AD29" s="69" t="str">
        <f t="shared" si="16"/>
        <v/>
      </c>
      <c r="AE29" s="162">
        <f>'Monthly P&amp;L'!I30</f>
        <v>3.5221195916383099</v>
      </c>
      <c r="AF29" s="120"/>
      <c r="AG29" s="72" t="str">
        <f t="shared" si="17"/>
        <v/>
      </c>
      <c r="AH29" s="69" t="str">
        <f t="shared" si="18"/>
        <v/>
      </c>
      <c r="AI29" s="162">
        <f>'Monthly P&amp;L'!J30</f>
        <v>0</v>
      </c>
      <c r="AJ29" s="120"/>
      <c r="AK29" s="72" t="str">
        <f t="shared" si="19"/>
        <v/>
      </c>
      <c r="AL29" s="69" t="str">
        <f t="shared" si="20"/>
        <v/>
      </c>
      <c r="AM29" s="162">
        <f>'Monthly P&amp;L'!K30</f>
        <v>2.1438988818668001</v>
      </c>
      <c r="AN29" s="120"/>
      <c r="AO29" s="72" t="str">
        <f t="shared" si="21"/>
        <v/>
      </c>
      <c r="AP29" s="69" t="str">
        <f t="shared" si="22"/>
        <v/>
      </c>
      <c r="AQ29" s="162">
        <f>'Monthly P&amp;L'!L30</f>
        <v>0</v>
      </c>
      <c r="AR29" s="120"/>
      <c r="AS29" s="72" t="str">
        <f t="shared" si="23"/>
        <v/>
      </c>
      <c r="AT29" s="69" t="str">
        <f t="shared" si="24"/>
        <v/>
      </c>
      <c r="AU29" s="162">
        <f>'Monthly P&amp;L'!M30</f>
        <v>0</v>
      </c>
      <c r="AV29" s="120"/>
      <c r="AW29" s="72" t="str">
        <f t="shared" si="25"/>
        <v/>
      </c>
      <c r="AX29" s="69" t="str">
        <f t="shared" si="26"/>
        <v/>
      </c>
      <c r="AY29" s="162">
        <f>'Monthly P&amp;L'!N30</f>
        <v>0</v>
      </c>
      <c r="AZ29" s="120"/>
      <c r="BA29" s="72" t="str">
        <f t="shared" si="27"/>
        <v/>
      </c>
      <c r="BB29" s="69" t="str">
        <f t="shared" si="28"/>
        <v/>
      </c>
      <c r="BC29" s="162">
        <f>'Monthly P&amp;L'!O30</f>
        <v>0.63398152649489503</v>
      </c>
      <c r="BD29" s="120"/>
      <c r="BE29" s="71" t="str">
        <f t="shared" si="29"/>
        <v/>
      </c>
      <c r="BF29" s="73" t="str">
        <f t="shared" si="30"/>
        <v/>
      </c>
    </row>
    <row r="30" spans="1:58" x14ac:dyDescent="0.2">
      <c r="A30" s="68" t="s">
        <v>171</v>
      </c>
      <c r="B30" s="104">
        <f>'Monthly P&amp;L'!B31</f>
        <v>224.4976719747406</v>
      </c>
      <c r="C30" s="88">
        <f t="shared" si="0"/>
        <v>4.0967120947639071</v>
      </c>
      <c r="D30" s="90">
        <f>'Monthly P&amp;L'!C31</f>
        <v>1144.2000000000007</v>
      </c>
      <c r="E30" s="73">
        <f t="shared" si="1"/>
        <v>1.9891727252813751E-2</v>
      </c>
      <c r="F30" s="98">
        <f t="shared" si="2"/>
        <v>178.14624933811223</v>
      </c>
      <c r="G30" s="84">
        <f t="shared" si="3"/>
        <v>0.10046602666779317</v>
      </c>
      <c r="H30" s="112">
        <f t="shared" si="4"/>
        <v>17.897645836770113</v>
      </c>
      <c r="I30" s="70">
        <f t="shared" si="5"/>
        <v>2.056059189063277E-3</v>
      </c>
      <c r="J30" s="71">
        <f t="shared" si="6"/>
        <v>1.5642060685867945E-2</v>
      </c>
      <c r="K30" s="162">
        <f>'Monthly P&amp;L'!D31</f>
        <v>84.905706444812907</v>
      </c>
      <c r="L30" s="120">
        <v>16.52090384932626</v>
      </c>
      <c r="M30" s="72">
        <f t="shared" si="7"/>
        <v>0.19457942865200153</v>
      </c>
      <c r="N30" s="69">
        <f t="shared" si="8"/>
        <v>3.8610340703223978E-3</v>
      </c>
      <c r="O30" s="162">
        <f>'Monthly P&amp;L'!E31</f>
        <v>93.240542893299306</v>
      </c>
      <c r="P30" s="120">
        <v>1.3767419874438549</v>
      </c>
      <c r="Q30" s="72">
        <f t="shared" si="9"/>
        <v>1.4765486608323834E-2</v>
      </c>
      <c r="R30" s="69">
        <f t="shared" si="10"/>
        <v>3.1106139035525415E-4</v>
      </c>
      <c r="S30" s="162">
        <f>'Monthly P&amp;L'!F31</f>
        <v>83.940688818275405</v>
      </c>
      <c r="T30" s="120"/>
      <c r="U30" s="72" t="str">
        <f t="shared" si="11"/>
        <v/>
      </c>
      <c r="V30" s="69" t="str">
        <f t="shared" si="12"/>
        <v/>
      </c>
      <c r="W30" s="162">
        <f>'Monthly P&amp;L'!G31</f>
        <v>99.064911715519699</v>
      </c>
      <c r="X30" s="120"/>
      <c r="Y30" s="72" t="str">
        <f t="shared" si="13"/>
        <v/>
      </c>
      <c r="Z30" s="69" t="str">
        <f t="shared" si="14"/>
        <v/>
      </c>
      <c r="AA30" s="162">
        <f>'Monthly P&amp;L'!H31</f>
        <v>101.786625419065</v>
      </c>
      <c r="AB30" s="120"/>
      <c r="AC30" s="72" t="str">
        <f t="shared" si="15"/>
        <v/>
      </c>
      <c r="AD30" s="69" t="str">
        <f t="shared" si="16"/>
        <v/>
      </c>
      <c r="AE30" s="162">
        <f>'Monthly P&amp;L'!I31</f>
        <v>99.7973179044929</v>
      </c>
      <c r="AF30" s="120"/>
      <c r="AG30" s="72" t="str">
        <f t="shared" si="17"/>
        <v/>
      </c>
      <c r="AH30" s="69" t="str">
        <f t="shared" si="18"/>
        <v/>
      </c>
      <c r="AI30" s="162">
        <f>'Monthly P&amp;L'!J31</f>
        <v>99.163909404132397</v>
      </c>
      <c r="AJ30" s="120"/>
      <c r="AK30" s="72" t="str">
        <f t="shared" si="19"/>
        <v/>
      </c>
      <c r="AL30" s="69" t="str">
        <f t="shared" si="20"/>
        <v/>
      </c>
      <c r="AM30" s="162">
        <f>'Monthly P&amp;L'!K31</f>
        <v>88.784647662536202</v>
      </c>
      <c r="AN30" s="120"/>
      <c r="AO30" s="72" t="str">
        <f t="shared" si="21"/>
        <v/>
      </c>
      <c r="AP30" s="69" t="str">
        <f t="shared" si="22"/>
        <v/>
      </c>
      <c r="AQ30" s="162">
        <f>'Monthly P&amp;L'!L31</f>
        <v>94.323577390146994</v>
      </c>
      <c r="AR30" s="120"/>
      <c r="AS30" s="72" t="str">
        <f t="shared" si="23"/>
        <v/>
      </c>
      <c r="AT30" s="69" t="str">
        <f t="shared" si="24"/>
        <v/>
      </c>
      <c r="AU30" s="162">
        <f>'Monthly P&amp;L'!M31</f>
        <v>107.95837408077401</v>
      </c>
      <c r="AV30" s="120"/>
      <c r="AW30" s="72" t="str">
        <f t="shared" si="25"/>
        <v/>
      </c>
      <c r="AX30" s="69" t="str">
        <f t="shared" si="26"/>
        <v/>
      </c>
      <c r="AY30" s="162">
        <f>'Monthly P&amp;L'!N31</f>
        <v>97.9034551568311</v>
      </c>
      <c r="AZ30" s="120"/>
      <c r="BA30" s="72" t="str">
        <f t="shared" si="27"/>
        <v/>
      </c>
      <c r="BB30" s="69" t="str">
        <f t="shared" si="28"/>
        <v/>
      </c>
      <c r="BC30" s="162">
        <f>'Monthly P&amp;L'!O31</f>
        <v>93.330243110114893</v>
      </c>
      <c r="BD30" s="120"/>
      <c r="BE30" s="71" t="str">
        <f t="shared" si="29"/>
        <v/>
      </c>
      <c r="BF30" s="73" t="str">
        <f t="shared" si="30"/>
        <v/>
      </c>
    </row>
    <row r="31" spans="1:58" x14ac:dyDescent="0.2">
      <c r="A31" s="68" t="s">
        <v>172</v>
      </c>
      <c r="B31" s="104">
        <f>'Monthly P&amp;L'!B32</f>
        <v>879.8891734</v>
      </c>
      <c r="C31" s="88">
        <f t="shared" si="0"/>
        <v>0.69566809673851204</v>
      </c>
      <c r="D31" s="90">
        <f>'Monthly P&amp;L'!C32</f>
        <v>1492.0000000000007</v>
      </c>
      <c r="E31" s="73">
        <f t="shared" si="1"/>
        <v>2.5938172575771815E-2</v>
      </c>
      <c r="F31" s="98">
        <f t="shared" si="2"/>
        <v>233.28675140123028</v>
      </c>
      <c r="G31" s="84">
        <f t="shared" si="3"/>
        <v>0.52855362184512122</v>
      </c>
      <c r="H31" s="112">
        <f t="shared" si="4"/>
        <v>123.30455738160268</v>
      </c>
      <c r="I31" s="70">
        <f t="shared" si="5"/>
        <v>1.4165073472231357E-2</v>
      </c>
      <c r="J31" s="71">
        <f t="shared" si="6"/>
        <v>8.2643805215551355E-2</v>
      </c>
      <c r="K31" s="162">
        <f>'Monthly P&amp;L'!D32</f>
        <v>135.276063917074</v>
      </c>
      <c r="L31" s="120">
        <v>72.019956881602681</v>
      </c>
      <c r="M31" s="72">
        <f t="shared" si="7"/>
        <v>0.53239246320584743</v>
      </c>
      <c r="N31" s="69">
        <f t="shared" si="8"/>
        <v>1.6831494801923808E-2</v>
      </c>
      <c r="O31" s="162">
        <f>'Monthly P&amp;L'!E32</f>
        <v>98.010687484156293</v>
      </c>
      <c r="P31" s="120">
        <v>51.284600500000003</v>
      </c>
      <c r="Q31" s="72">
        <f t="shared" si="9"/>
        <v>0.52325518590296904</v>
      </c>
      <c r="R31" s="69">
        <f t="shared" si="10"/>
        <v>1.158725402496256E-2</v>
      </c>
      <c r="S31" s="162">
        <f>'Monthly P&amp;L'!F32</f>
        <v>101.06627834227699</v>
      </c>
      <c r="T31" s="120"/>
      <c r="U31" s="72" t="str">
        <f t="shared" si="11"/>
        <v/>
      </c>
      <c r="V31" s="69" t="str">
        <f t="shared" si="12"/>
        <v/>
      </c>
      <c r="W31" s="162">
        <f>'Monthly P&amp;L'!G32</f>
        <v>86.168977969606701</v>
      </c>
      <c r="X31" s="120"/>
      <c r="Y31" s="72" t="str">
        <f t="shared" si="13"/>
        <v/>
      </c>
      <c r="Z31" s="69" t="str">
        <f t="shared" si="14"/>
        <v/>
      </c>
      <c r="AA31" s="162">
        <f>'Monthly P&amp;L'!H32</f>
        <v>112.60877908194999</v>
      </c>
      <c r="AB31" s="120"/>
      <c r="AC31" s="72" t="str">
        <f t="shared" si="15"/>
        <v/>
      </c>
      <c r="AD31" s="69" t="str">
        <f t="shared" si="16"/>
        <v/>
      </c>
      <c r="AE31" s="162">
        <f>'Monthly P&amp;L'!I32</f>
        <v>143.85255289197451</v>
      </c>
      <c r="AF31" s="120"/>
      <c r="AG31" s="72" t="str">
        <f t="shared" si="17"/>
        <v/>
      </c>
      <c r="AH31" s="69" t="str">
        <f t="shared" si="18"/>
        <v/>
      </c>
      <c r="AI31" s="162">
        <f>'Monthly P&amp;L'!J32</f>
        <v>138.771322521196</v>
      </c>
      <c r="AJ31" s="120"/>
      <c r="AK31" s="72" t="str">
        <f t="shared" si="19"/>
        <v/>
      </c>
      <c r="AL31" s="69" t="str">
        <f t="shared" si="20"/>
        <v/>
      </c>
      <c r="AM31" s="162">
        <f>'Monthly P&amp;L'!K32</f>
        <v>121.664281746236</v>
      </c>
      <c r="AN31" s="120"/>
      <c r="AO31" s="72" t="str">
        <f t="shared" si="21"/>
        <v/>
      </c>
      <c r="AP31" s="69" t="str">
        <f t="shared" si="22"/>
        <v/>
      </c>
      <c r="AQ31" s="162">
        <f>'Monthly P&amp;L'!L32</f>
        <v>131.65521345099899</v>
      </c>
      <c r="AR31" s="120"/>
      <c r="AS31" s="72" t="str">
        <f t="shared" si="23"/>
        <v/>
      </c>
      <c r="AT31" s="69" t="str">
        <f t="shared" si="24"/>
        <v/>
      </c>
      <c r="AU31" s="162">
        <f>'Monthly P&amp;L'!M32</f>
        <v>125.75068704487799</v>
      </c>
      <c r="AV31" s="120"/>
      <c r="AW31" s="72" t="str">
        <f t="shared" si="25"/>
        <v/>
      </c>
      <c r="AX31" s="69" t="str">
        <f t="shared" si="26"/>
        <v/>
      </c>
      <c r="AY31" s="162">
        <f>'Monthly P&amp;L'!N32</f>
        <v>189.50498199049707</v>
      </c>
      <c r="AZ31" s="120"/>
      <c r="BA31" s="72" t="str">
        <f t="shared" si="27"/>
        <v/>
      </c>
      <c r="BB31" s="69" t="str">
        <f t="shared" si="28"/>
        <v/>
      </c>
      <c r="BC31" s="162">
        <f>'Monthly P&amp;L'!O32</f>
        <v>107.670173559156</v>
      </c>
      <c r="BD31" s="120"/>
      <c r="BE31" s="71" t="str">
        <f t="shared" si="29"/>
        <v/>
      </c>
      <c r="BF31" s="73" t="str">
        <f t="shared" si="30"/>
        <v/>
      </c>
    </row>
    <row r="32" spans="1:58" x14ac:dyDescent="0.2">
      <c r="A32" s="68" t="s">
        <v>173</v>
      </c>
      <c r="B32" s="104">
        <f>'Monthly P&amp;L'!B33</f>
        <v>37.475203199999996</v>
      </c>
      <c r="C32" s="88">
        <f t="shared" si="0"/>
        <v>0.24615735239028735</v>
      </c>
      <c r="D32" s="90">
        <f>'Monthly P&amp;L'!C33</f>
        <v>46.700000000000017</v>
      </c>
      <c r="E32" s="73">
        <f t="shared" si="1"/>
        <v>8.1187175555532418E-4</v>
      </c>
      <c r="F32" s="98">
        <f t="shared" si="2"/>
        <v>5.1963288636684473</v>
      </c>
      <c r="G32" s="84">
        <f t="shared" si="3"/>
        <v>0.72666422544636811</v>
      </c>
      <c r="H32" s="112">
        <f t="shared" si="4"/>
        <v>3.7759862888822386</v>
      </c>
      <c r="I32" s="70">
        <f t="shared" si="5"/>
        <v>4.3378058644355939E-4</v>
      </c>
      <c r="J32" s="71">
        <f t="shared" si="6"/>
        <v>8.0856237449298443E-2</v>
      </c>
      <c r="K32" s="162">
        <f>'Monthly P&amp;L'!D33</f>
        <v>0.8494316946091971</v>
      </c>
      <c r="L32" s="120">
        <v>1.102155588882239</v>
      </c>
      <c r="M32" s="72">
        <f t="shared" si="7"/>
        <v>1.2975211495837979</v>
      </c>
      <c r="N32" s="69">
        <f t="shared" si="8"/>
        <v>2.5758035506296545E-4</v>
      </c>
      <c r="O32" s="162">
        <f>'Monthly P&amp;L'!E33</f>
        <v>4.3468971690592504</v>
      </c>
      <c r="P32" s="120">
        <v>2.6738306999999999</v>
      </c>
      <c r="Q32" s="72">
        <f t="shared" si="9"/>
        <v>0.61511248046814659</v>
      </c>
      <c r="R32" s="69">
        <f t="shared" si="10"/>
        <v>6.0412590209498569E-4</v>
      </c>
      <c r="S32" s="162">
        <f>'Monthly P&amp;L'!F33</f>
        <v>3.01737600211331</v>
      </c>
      <c r="T32" s="120"/>
      <c r="U32" s="72" t="str">
        <f t="shared" si="11"/>
        <v/>
      </c>
      <c r="V32" s="69" t="str">
        <f t="shared" si="12"/>
        <v/>
      </c>
      <c r="W32" s="162">
        <f>'Monthly P&amp;L'!G33</f>
        <v>5.0298399983058699</v>
      </c>
      <c r="X32" s="120"/>
      <c r="Y32" s="72" t="str">
        <f t="shared" si="13"/>
        <v/>
      </c>
      <c r="Z32" s="69" t="str">
        <f t="shared" si="14"/>
        <v/>
      </c>
      <c r="AA32" s="162">
        <f>'Monthly P&amp;L'!H33</f>
        <v>3.4584729616622898</v>
      </c>
      <c r="AB32" s="120"/>
      <c r="AC32" s="72" t="str">
        <f t="shared" si="15"/>
        <v/>
      </c>
      <c r="AD32" s="69" t="str">
        <f t="shared" si="16"/>
        <v/>
      </c>
      <c r="AE32" s="162">
        <f>'Monthly P&amp;L'!I33</f>
        <v>3.5995557940030101</v>
      </c>
      <c r="AF32" s="120"/>
      <c r="AG32" s="72" t="str">
        <f t="shared" si="17"/>
        <v/>
      </c>
      <c r="AH32" s="69" t="str">
        <f t="shared" si="18"/>
        <v/>
      </c>
      <c r="AI32" s="162">
        <f>'Monthly P&amp;L'!J33</f>
        <v>3.8771070626242796</v>
      </c>
      <c r="AJ32" s="120"/>
      <c r="AK32" s="72" t="str">
        <f t="shared" si="19"/>
        <v/>
      </c>
      <c r="AL32" s="69" t="str">
        <f t="shared" si="20"/>
        <v/>
      </c>
      <c r="AM32" s="162">
        <f>'Monthly P&amp;L'!K33</f>
        <v>6.24471830268822</v>
      </c>
      <c r="AN32" s="120"/>
      <c r="AO32" s="72" t="str">
        <f t="shared" si="21"/>
        <v/>
      </c>
      <c r="AP32" s="69" t="str">
        <f t="shared" si="22"/>
        <v/>
      </c>
      <c r="AQ32" s="162">
        <f>'Monthly P&amp;L'!L33</f>
        <v>3.0146811868387697</v>
      </c>
      <c r="AR32" s="120"/>
      <c r="AS32" s="72" t="str">
        <f t="shared" si="23"/>
        <v/>
      </c>
      <c r="AT32" s="69" t="str">
        <f t="shared" si="24"/>
        <v/>
      </c>
      <c r="AU32" s="162">
        <f>'Monthly P&amp;L'!M33</f>
        <v>4.1218139849872797</v>
      </c>
      <c r="AV32" s="120"/>
      <c r="AW32" s="72" t="str">
        <f t="shared" si="25"/>
        <v/>
      </c>
      <c r="AX32" s="69" t="str">
        <f t="shared" si="26"/>
        <v/>
      </c>
      <c r="AY32" s="162">
        <f>'Monthly P&amp;L'!N33</f>
        <v>2.4885665126960497</v>
      </c>
      <c r="AZ32" s="120"/>
      <c r="BA32" s="72" t="str">
        <f t="shared" si="27"/>
        <v/>
      </c>
      <c r="BB32" s="69" t="str">
        <f t="shared" si="28"/>
        <v/>
      </c>
      <c r="BC32" s="162">
        <f>'Monthly P&amp;L'!O33</f>
        <v>6.6515393304124899</v>
      </c>
      <c r="BD32" s="120"/>
      <c r="BE32" s="71" t="str">
        <f t="shared" si="29"/>
        <v/>
      </c>
      <c r="BF32" s="73" t="str">
        <f t="shared" si="30"/>
        <v/>
      </c>
    </row>
    <row r="33" spans="1:58" x14ac:dyDescent="0.2">
      <c r="A33" s="68" t="s">
        <v>174</v>
      </c>
      <c r="B33" s="104">
        <f>'Monthly P&amp;L'!B34</f>
        <v>180.74140990000001</v>
      </c>
      <c r="C33" s="88">
        <f t="shared" si="0"/>
        <v>9.7700853997819692E-2</v>
      </c>
      <c r="D33" s="90">
        <f>'Monthly P&amp;L'!C34</f>
        <v>198.39999999999998</v>
      </c>
      <c r="E33" s="73">
        <f t="shared" si="1"/>
        <v>3.449151098547671E-3</v>
      </c>
      <c r="F33" s="98">
        <f t="shared" si="2"/>
        <v>27.011348845298478</v>
      </c>
      <c r="G33" s="84">
        <f t="shared" si="3"/>
        <v>1.1844374946347029</v>
      </c>
      <c r="H33" s="112">
        <f t="shared" si="4"/>
        <v>31.993254353029304</v>
      </c>
      <c r="I33" s="70">
        <f t="shared" si="5"/>
        <v>3.6753450817225211E-3</v>
      </c>
      <c r="J33" s="71">
        <f t="shared" si="6"/>
        <v>0.16125632234389772</v>
      </c>
      <c r="K33" s="162">
        <f>'Monthly P&amp;L'!D34</f>
        <v>12.528147662745409</v>
      </c>
      <c r="L33" s="120">
        <v>18.059430153029304</v>
      </c>
      <c r="M33" s="72">
        <f t="shared" si="7"/>
        <v>1.4415084048483966</v>
      </c>
      <c r="N33" s="69">
        <f t="shared" si="8"/>
        <v>4.2205968721437332E-3</v>
      </c>
      <c r="O33" s="162">
        <f>'Monthly P&amp;L'!E34</f>
        <v>14.483201182553071</v>
      </c>
      <c r="P33" s="120">
        <v>13.9338242</v>
      </c>
      <c r="Q33" s="72">
        <f t="shared" si="9"/>
        <v>0.96206798651565595</v>
      </c>
      <c r="R33" s="69">
        <f t="shared" si="10"/>
        <v>3.1482113338207776E-3</v>
      </c>
      <c r="S33" s="162">
        <f>'Monthly P&amp;L'!F34</f>
        <v>14.34566585175234</v>
      </c>
      <c r="T33" s="120"/>
      <c r="U33" s="72" t="str">
        <f t="shared" si="11"/>
        <v/>
      </c>
      <c r="V33" s="69" t="str">
        <f t="shared" si="12"/>
        <v/>
      </c>
      <c r="W33" s="162">
        <f>'Monthly P&amp;L'!G34</f>
        <v>16.446205459416362</v>
      </c>
      <c r="X33" s="120"/>
      <c r="Y33" s="72" t="str">
        <f t="shared" si="13"/>
        <v/>
      </c>
      <c r="Z33" s="69" t="str">
        <f t="shared" si="14"/>
        <v/>
      </c>
      <c r="AA33" s="162">
        <f>'Monthly P&amp;L'!H34</f>
        <v>20.298673215119059</v>
      </c>
      <c r="AB33" s="120"/>
      <c r="AC33" s="72" t="str">
        <f t="shared" si="15"/>
        <v/>
      </c>
      <c r="AD33" s="69" t="str">
        <f t="shared" si="16"/>
        <v/>
      </c>
      <c r="AE33" s="162">
        <f>'Monthly P&amp;L'!I34</f>
        <v>16.689092519909639</v>
      </c>
      <c r="AF33" s="120"/>
      <c r="AG33" s="72" t="str">
        <f t="shared" si="17"/>
        <v/>
      </c>
      <c r="AH33" s="69" t="str">
        <f t="shared" si="18"/>
        <v/>
      </c>
      <c r="AI33" s="162">
        <f>'Monthly P&amp;L'!J34</f>
        <v>16.986372962890119</v>
      </c>
      <c r="AJ33" s="120"/>
      <c r="AK33" s="72" t="str">
        <f t="shared" si="19"/>
        <v/>
      </c>
      <c r="AL33" s="69" t="str">
        <f t="shared" si="20"/>
        <v/>
      </c>
      <c r="AM33" s="162">
        <f>'Monthly P&amp;L'!K34</f>
        <v>14.09973695242271</v>
      </c>
      <c r="AN33" s="120"/>
      <c r="AO33" s="72" t="str">
        <f t="shared" si="21"/>
        <v/>
      </c>
      <c r="AP33" s="69" t="str">
        <f t="shared" si="22"/>
        <v/>
      </c>
      <c r="AQ33" s="162">
        <f>'Monthly P&amp;L'!L34</f>
        <v>15.936058757058468</v>
      </c>
      <c r="AR33" s="120"/>
      <c r="AS33" s="72" t="str">
        <f t="shared" si="23"/>
        <v/>
      </c>
      <c r="AT33" s="69" t="str">
        <f t="shared" si="24"/>
        <v/>
      </c>
      <c r="AU33" s="162">
        <f>'Monthly P&amp;L'!M34</f>
        <v>15.712204731672822</v>
      </c>
      <c r="AV33" s="120"/>
      <c r="AW33" s="72" t="str">
        <f t="shared" si="25"/>
        <v/>
      </c>
      <c r="AX33" s="69" t="str">
        <f t="shared" si="26"/>
        <v/>
      </c>
      <c r="AY33" s="162">
        <f>'Monthly P&amp;L'!N34</f>
        <v>18.24358665556705</v>
      </c>
      <c r="AZ33" s="120"/>
      <c r="BA33" s="72" t="str">
        <f t="shared" si="27"/>
        <v/>
      </c>
      <c r="BB33" s="69" t="str">
        <f t="shared" si="28"/>
        <v/>
      </c>
      <c r="BC33" s="162">
        <f>'Monthly P&amp;L'!O34</f>
        <v>22.631054048892931</v>
      </c>
      <c r="BD33" s="120"/>
      <c r="BE33" s="71" t="str">
        <f t="shared" si="29"/>
        <v/>
      </c>
      <c r="BF33" s="73" t="str">
        <f t="shared" si="30"/>
        <v/>
      </c>
    </row>
    <row r="34" spans="1:58" x14ac:dyDescent="0.2">
      <c r="A34" s="68" t="s">
        <v>175</v>
      </c>
      <c r="B34" s="104">
        <f>'Monthly P&amp;L'!B35</f>
        <v>118.03878990000001</v>
      </c>
      <c r="C34" s="88">
        <f t="shared" si="0"/>
        <v>0.17757899854579939</v>
      </c>
      <c r="D34" s="90">
        <f>'Monthly P&amp;L'!C35</f>
        <v>139.00000000000003</v>
      </c>
      <c r="E34" s="73">
        <f t="shared" si="1"/>
        <v>2.4164919490832983E-3</v>
      </c>
      <c r="F34" s="98">
        <f t="shared" si="2"/>
        <v>5.7416660588791721</v>
      </c>
      <c r="G34" s="84">
        <f t="shared" si="3"/>
        <v>2.0326649067971836</v>
      </c>
      <c r="H34" s="112">
        <f t="shared" si="4"/>
        <v>11.670883104432184</v>
      </c>
      <c r="I34" s="70">
        <f t="shared" si="5"/>
        <v>1.3407364672538165E-3</v>
      </c>
      <c r="J34" s="71">
        <f t="shared" si="6"/>
        <v>8.3963187801670364E-2</v>
      </c>
      <c r="K34" s="162">
        <f>'Monthly P&amp;L'!D35</f>
        <v>2.9023197254922</v>
      </c>
      <c r="L34" s="120">
        <v>4.8270436044321841</v>
      </c>
      <c r="M34" s="72">
        <f t="shared" si="7"/>
        <v>1.6631674181291565</v>
      </c>
      <c r="N34" s="69">
        <f t="shared" si="8"/>
        <v>1.1281089694378037E-3</v>
      </c>
      <c r="O34" s="162">
        <f>'Monthly P&amp;L'!E35</f>
        <v>2.8393463333869717</v>
      </c>
      <c r="P34" s="120">
        <v>6.8438394999999996</v>
      </c>
      <c r="Q34" s="72">
        <f t="shared" si="9"/>
        <v>2.410357419074054</v>
      </c>
      <c r="R34" s="69">
        <f t="shared" si="10"/>
        <v>1.5462986163375251E-3</v>
      </c>
      <c r="S34" s="162">
        <f>'Monthly P&amp;L'!F35</f>
        <v>4.0061556654436705</v>
      </c>
      <c r="T34" s="120"/>
      <c r="U34" s="72" t="str">
        <f t="shared" si="11"/>
        <v/>
      </c>
      <c r="V34" s="69" t="str">
        <f t="shared" si="12"/>
        <v/>
      </c>
      <c r="W34" s="162">
        <f>'Monthly P&amp;L'!G35</f>
        <v>8.1017419791423997</v>
      </c>
      <c r="X34" s="120"/>
      <c r="Y34" s="72" t="str">
        <f t="shared" si="13"/>
        <v/>
      </c>
      <c r="Z34" s="69" t="str">
        <f t="shared" si="14"/>
        <v/>
      </c>
      <c r="AA34" s="162">
        <f>'Monthly P&amp;L'!H35</f>
        <v>14.800900347928799</v>
      </c>
      <c r="AB34" s="120"/>
      <c r="AC34" s="72" t="str">
        <f t="shared" si="15"/>
        <v/>
      </c>
      <c r="AD34" s="69" t="str">
        <f t="shared" si="16"/>
        <v/>
      </c>
      <c r="AE34" s="162">
        <f>'Monthly P&amp;L'!I35</f>
        <v>7.337058800193601</v>
      </c>
      <c r="AF34" s="120"/>
      <c r="AG34" s="72" t="str">
        <f t="shared" si="17"/>
        <v/>
      </c>
      <c r="AH34" s="69" t="str">
        <f t="shared" si="18"/>
        <v/>
      </c>
      <c r="AI34" s="162">
        <f>'Monthly P&amp;L'!J35</f>
        <v>9.5437926206663004</v>
      </c>
      <c r="AJ34" s="120"/>
      <c r="AK34" s="72" t="str">
        <f t="shared" si="19"/>
        <v/>
      </c>
      <c r="AL34" s="69" t="str">
        <f t="shared" si="20"/>
        <v/>
      </c>
      <c r="AM34" s="162">
        <f>'Monthly P&amp;L'!K35</f>
        <v>30.491881436171937</v>
      </c>
      <c r="AN34" s="120"/>
      <c r="AO34" s="72" t="str">
        <f t="shared" si="21"/>
        <v/>
      </c>
      <c r="AP34" s="69" t="str">
        <f t="shared" si="22"/>
        <v/>
      </c>
      <c r="AQ34" s="162">
        <f>'Monthly P&amp;L'!L35</f>
        <v>13.314168708705099</v>
      </c>
      <c r="AR34" s="120"/>
      <c r="AS34" s="72" t="str">
        <f t="shared" si="23"/>
        <v/>
      </c>
      <c r="AT34" s="69" t="str">
        <f t="shared" si="24"/>
        <v/>
      </c>
      <c r="AU34" s="162">
        <f>'Monthly P&amp;L'!M35</f>
        <v>11.128197254587398</v>
      </c>
      <c r="AV34" s="120"/>
      <c r="AW34" s="72" t="str">
        <f t="shared" si="25"/>
        <v/>
      </c>
      <c r="AX34" s="69" t="str">
        <f t="shared" si="26"/>
        <v/>
      </c>
      <c r="AY34" s="162">
        <f>'Monthly P&amp;L'!N35</f>
        <v>6.6875139966171391</v>
      </c>
      <c r="AZ34" s="120"/>
      <c r="BA34" s="72" t="str">
        <f t="shared" si="27"/>
        <v/>
      </c>
      <c r="BB34" s="69" t="str">
        <f t="shared" si="28"/>
        <v/>
      </c>
      <c r="BC34" s="162">
        <f>'Monthly P&amp;L'!O35</f>
        <v>27.846923131664504</v>
      </c>
      <c r="BD34" s="120"/>
      <c r="BE34" s="71" t="str">
        <f t="shared" si="29"/>
        <v/>
      </c>
      <c r="BF34" s="73" t="str">
        <f t="shared" si="30"/>
        <v/>
      </c>
    </row>
    <row r="35" spans="1:58" x14ac:dyDescent="0.2">
      <c r="A35" s="68" t="s">
        <v>176</v>
      </c>
      <c r="B35" s="104">
        <f>'Monthly P&amp;L'!B36</f>
        <v>147.22187</v>
      </c>
      <c r="C35" s="88">
        <f t="shared" si="0"/>
        <v>-0.1319224514672992</v>
      </c>
      <c r="D35" s="90">
        <f>'Monthly P&amp;L'!C36</f>
        <v>127.79999999999997</v>
      </c>
      <c r="E35" s="73">
        <f t="shared" si="1"/>
        <v>2.2217818064233482E-3</v>
      </c>
      <c r="F35" s="98">
        <f t="shared" si="2"/>
        <v>13.926704109926071</v>
      </c>
      <c r="G35" s="84">
        <f t="shared" si="3"/>
        <v>2.1543983335651262</v>
      </c>
      <c r="H35" s="112">
        <f t="shared" si="4"/>
        <v>30.003668126479319</v>
      </c>
      <c r="I35" s="70">
        <f t="shared" si="5"/>
        <v>3.4467839021774657E-3</v>
      </c>
      <c r="J35" s="71">
        <f t="shared" si="6"/>
        <v>0.23477048612268644</v>
      </c>
      <c r="K35" s="162">
        <f>'Monthly P&amp;L'!D36</f>
        <v>6.6176445116476303</v>
      </c>
      <c r="L35" s="120">
        <v>15.003668126479317</v>
      </c>
      <c r="M35" s="72">
        <f t="shared" si="7"/>
        <v>2.2672218340032551</v>
      </c>
      <c r="N35" s="69">
        <f t="shared" si="8"/>
        <v>3.5064470046237387E-3</v>
      </c>
      <c r="O35" s="162">
        <f>'Monthly P&amp;L'!E36</f>
        <v>7.3090595982784405</v>
      </c>
      <c r="P35" s="120">
        <v>15</v>
      </c>
      <c r="Q35" s="72">
        <f t="shared" si="9"/>
        <v>2.0522475974245804</v>
      </c>
      <c r="R35" s="69">
        <f t="shared" si="10"/>
        <v>3.3891033308222494E-3</v>
      </c>
      <c r="S35" s="162">
        <f>'Monthly P&amp;L'!F36</f>
        <v>9.1856175580435195</v>
      </c>
      <c r="T35" s="120"/>
      <c r="U35" s="72" t="str">
        <f t="shared" si="11"/>
        <v/>
      </c>
      <c r="V35" s="69" t="str">
        <f t="shared" si="12"/>
        <v/>
      </c>
      <c r="W35" s="162">
        <f>'Monthly P&amp;L'!G36</f>
        <v>8.7444345055527393</v>
      </c>
      <c r="X35" s="120"/>
      <c r="Y35" s="72" t="str">
        <f t="shared" si="13"/>
        <v/>
      </c>
      <c r="Z35" s="69" t="str">
        <f t="shared" si="14"/>
        <v/>
      </c>
      <c r="AA35" s="162">
        <f>'Monthly P&amp;L'!H36</f>
        <v>7.6984010595708403</v>
      </c>
      <c r="AB35" s="120"/>
      <c r="AC35" s="72" t="str">
        <f t="shared" si="15"/>
        <v/>
      </c>
      <c r="AD35" s="69" t="str">
        <f t="shared" si="16"/>
        <v/>
      </c>
      <c r="AE35" s="162">
        <f>'Monthly P&amp;L'!I36</f>
        <v>8.8291241511875889</v>
      </c>
      <c r="AF35" s="120"/>
      <c r="AG35" s="72" t="str">
        <f t="shared" si="17"/>
        <v/>
      </c>
      <c r="AH35" s="69" t="str">
        <f t="shared" si="18"/>
        <v/>
      </c>
      <c r="AI35" s="162">
        <f>'Monthly P&amp;L'!J36</f>
        <v>7.8339426879987295</v>
      </c>
      <c r="AJ35" s="120"/>
      <c r="AK35" s="72" t="str">
        <f t="shared" si="19"/>
        <v/>
      </c>
      <c r="AL35" s="69" t="str">
        <f t="shared" si="20"/>
        <v/>
      </c>
      <c r="AM35" s="162">
        <f>'Monthly P&amp;L'!K36</f>
        <v>6.6176445116476303</v>
      </c>
      <c r="AN35" s="120"/>
      <c r="AO35" s="72" t="str">
        <f t="shared" si="21"/>
        <v/>
      </c>
      <c r="AP35" s="69" t="str">
        <f t="shared" si="22"/>
        <v/>
      </c>
      <c r="AQ35" s="162">
        <f>'Monthly P&amp;L'!L36</f>
        <v>26.210857924844998</v>
      </c>
      <c r="AR35" s="120"/>
      <c r="AS35" s="72" t="str">
        <f t="shared" si="23"/>
        <v/>
      </c>
      <c r="AT35" s="69" t="str">
        <f t="shared" si="24"/>
        <v/>
      </c>
      <c r="AU35" s="162">
        <f>'Monthly P&amp;L'!M36</f>
        <v>6.6176445116476303</v>
      </c>
      <c r="AV35" s="120"/>
      <c r="AW35" s="72" t="str">
        <f t="shared" si="25"/>
        <v/>
      </c>
      <c r="AX35" s="69" t="str">
        <f t="shared" si="26"/>
        <v/>
      </c>
      <c r="AY35" s="162">
        <f>'Monthly P&amp;L'!N36</f>
        <v>8.3537996087130306</v>
      </c>
      <c r="AZ35" s="120"/>
      <c r="BA35" s="72" t="str">
        <f t="shared" si="27"/>
        <v/>
      </c>
      <c r="BB35" s="69" t="str">
        <f t="shared" si="28"/>
        <v/>
      </c>
      <c r="BC35" s="162">
        <f>'Monthly P&amp;L'!O36</f>
        <v>23.7818293708672</v>
      </c>
      <c r="BD35" s="120"/>
      <c r="BE35" s="71" t="str">
        <f t="shared" si="29"/>
        <v/>
      </c>
      <c r="BF35" s="73" t="str">
        <f t="shared" si="30"/>
        <v/>
      </c>
    </row>
    <row r="36" spans="1:58" ht="15" thickBot="1" x14ac:dyDescent="0.25">
      <c r="A36" s="155" t="s">
        <v>87</v>
      </c>
      <c r="B36" s="105">
        <f>'Monthly P&amp;L'!B37</f>
        <v>14151.028329905477</v>
      </c>
      <c r="C36" s="127">
        <f t="shared" si="0"/>
        <v>0.30720469359158975</v>
      </c>
      <c r="D36" s="91">
        <f>'Monthly P&amp;L'!C37</f>
        <v>18498.290651999996</v>
      </c>
      <c r="E36" s="128">
        <f t="shared" si="1"/>
        <v>0.32158971534072534</v>
      </c>
      <c r="F36" s="99">
        <f t="shared" si="2"/>
        <v>2873.2490743671506</v>
      </c>
      <c r="G36" s="129">
        <f t="shared" si="3"/>
        <v>0.8230081542793245</v>
      </c>
      <c r="H36" s="113">
        <f t="shared" si="4"/>
        <v>2364.7074174796862</v>
      </c>
      <c r="I36" s="130">
        <f t="shared" si="5"/>
        <v>0.27165463321251043</v>
      </c>
      <c r="J36" s="131">
        <f t="shared" si="6"/>
        <v>0.12783383405341936</v>
      </c>
      <c r="K36" s="163">
        <f>'Monthly P&amp;L'!D37</f>
        <v>1421.19350110095</v>
      </c>
      <c r="L36" s="121">
        <f>IF(L$10="","",SUM(L18:L35))</f>
        <v>1207.1934075446804</v>
      </c>
      <c r="M36" s="132">
        <f t="shared" si="7"/>
        <v>0.84942226840293666</v>
      </c>
      <c r="N36" s="133">
        <f t="shared" si="8"/>
        <v>0.28212832170127811</v>
      </c>
      <c r="O36" s="163">
        <f>'Monthly P&amp;L'!E37</f>
        <v>1452.0555732662008</v>
      </c>
      <c r="P36" s="121">
        <f>IF(P$10="","",SUM(P18:P35))</f>
        <v>1157.5140099350058</v>
      </c>
      <c r="Q36" s="132">
        <f t="shared" si="9"/>
        <v>0.79715544724733645</v>
      </c>
      <c r="R36" s="133">
        <f t="shared" si="10"/>
        <v>0.26152897243627643</v>
      </c>
      <c r="S36" s="163">
        <f>'Monthly P&amp;L'!F37</f>
        <v>1502.0204923862275</v>
      </c>
      <c r="T36" s="121" t="str">
        <f>IF(T$10="","",SUM(T18:T35))</f>
        <v/>
      </c>
      <c r="U36" s="132" t="str">
        <f t="shared" si="11"/>
        <v/>
      </c>
      <c r="V36" s="133" t="str">
        <f t="shared" si="12"/>
        <v/>
      </c>
      <c r="W36" s="163">
        <f>'Monthly P&amp;L'!G37</f>
        <v>1491.9882421343127</v>
      </c>
      <c r="X36" s="121" t="str">
        <f>IF(X$10="","",SUM(X18:X35))</f>
        <v/>
      </c>
      <c r="Y36" s="132" t="str">
        <f t="shared" si="13"/>
        <v/>
      </c>
      <c r="Z36" s="133" t="str">
        <f t="shared" si="14"/>
        <v/>
      </c>
      <c r="AA36" s="163">
        <f>'Monthly P&amp;L'!H37</f>
        <v>1514.0598624847639</v>
      </c>
      <c r="AB36" s="121" t="str">
        <f>IF(AB$10="","",SUM(AB18:AB35))</f>
        <v/>
      </c>
      <c r="AC36" s="132" t="str">
        <f t="shared" si="15"/>
        <v/>
      </c>
      <c r="AD36" s="133" t="str">
        <f t="shared" si="16"/>
        <v/>
      </c>
      <c r="AE36" s="163">
        <f>'Monthly P&amp;L'!I37</f>
        <v>1554.9948098745988</v>
      </c>
      <c r="AF36" s="121" t="str">
        <f>IF(AF$10="","",SUM(AF18:AF35))</f>
        <v/>
      </c>
      <c r="AG36" s="132" t="str">
        <f t="shared" si="17"/>
        <v/>
      </c>
      <c r="AH36" s="133" t="str">
        <f t="shared" si="18"/>
        <v/>
      </c>
      <c r="AI36" s="163">
        <f>'Monthly P&amp;L'!J37</f>
        <v>1599.1013226499747</v>
      </c>
      <c r="AJ36" s="121" t="str">
        <f>IF(AJ$10="","",SUM(AJ18:AJ35))</f>
        <v/>
      </c>
      <c r="AK36" s="132" t="str">
        <f t="shared" si="19"/>
        <v/>
      </c>
      <c r="AL36" s="133" t="str">
        <f t="shared" si="20"/>
        <v/>
      </c>
      <c r="AM36" s="163">
        <f>'Monthly P&amp;L'!K37</f>
        <v>1476.706617220126</v>
      </c>
      <c r="AN36" s="121" t="str">
        <f>IF(AN$10="","",SUM(AN18:AN35))</f>
        <v/>
      </c>
      <c r="AO36" s="132" t="str">
        <f t="shared" si="21"/>
        <v/>
      </c>
      <c r="AP36" s="133" t="str">
        <f t="shared" si="22"/>
        <v/>
      </c>
      <c r="AQ36" s="163">
        <f>'Monthly P&amp;L'!L37</f>
        <v>1511.7954436969908</v>
      </c>
      <c r="AR36" s="121" t="str">
        <f>IF(AR$10="","",SUM(AR18:AR35))</f>
        <v/>
      </c>
      <c r="AS36" s="132" t="str">
        <f t="shared" si="23"/>
        <v/>
      </c>
      <c r="AT36" s="133" t="str">
        <f t="shared" si="24"/>
        <v/>
      </c>
      <c r="AU36" s="163">
        <f>'Monthly P&amp;L'!M37</f>
        <v>1478.4519745974096</v>
      </c>
      <c r="AV36" s="121" t="str">
        <f>IF(AV$10="","",SUM(AV18:AV35))</f>
        <v/>
      </c>
      <c r="AW36" s="132" t="str">
        <f t="shared" si="25"/>
        <v/>
      </c>
      <c r="AX36" s="133" t="str">
        <f t="shared" si="26"/>
        <v/>
      </c>
      <c r="AY36" s="163">
        <f>'Monthly P&amp;L'!N37</f>
        <v>1697.7097467957083</v>
      </c>
      <c r="AZ36" s="121" t="str">
        <f>IF(AZ$10="","",SUM(AZ18:AZ35))</f>
        <v/>
      </c>
      <c r="BA36" s="132" t="str">
        <f t="shared" si="27"/>
        <v/>
      </c>
      <c r="BB36" s="133" t="str">
        <f t="shared" si="28"/>
        <v/>
      </c>
      <c r="BC36" s="163">
        <f>'Monthly P&amp;L'!O37</f>
        <v>1798.2130657927362</v>
      </c>
      <c r="BD36" s="121" t="str">
        <f>IF(BD$10="","",SUM(BD18:BD35))</f>
        <v/>
      </c>
      <c r="BE36" s="131" t="str">
        <f t="shared" si="29"/>
        <v/>
      </c>
      <c r="BF36" s="128" t="str">
        <f t="shared" si="30"/>
        <v/>
      </c>
    </row>
    <row r="37" spans="1:58" x14ac:dyDescent="0.2">
      <c r="A37" s="158" t="s">
        <v>88</v>
      </c>
      <c r="B37" s="108">
        <f>'Monthly P&amp;L'!B39</f>
        <v>10069.851925722016</v>
      </c>
      <c r="C37" s="144">
        <f t="shared" si="0"/>
        <v>0.46774183284123061</v>
      </c>
      <c r="D37" s="94">
        <f>'Monthly P&amp;L'!C39</f>
        <v>14779.942921899026</v>
      </c>
      <c r="E37" s="145">
        <f t="shared" si="1"/>
        <v>0.25694685668114869</v>
      </c>
      <c r="F37" s="101">
        <f t="shared" si="2"/>
        <v>2294.6626143414578</v>
      </c>
      <c r="G37" s="170">
        <f t="shared" si="3"/>
        <v>1.0202407570194454</v>
      </c>
      <c r="H37" s="116">
        <f t="shared" si="4"/>
        <v>2341.1083227599484</v>
      </c>
      <c r="I37" s="146">
        <f>IF(OR(H$10="",H$10=0),"",H37/H$10)</f>
        <v>0.26894359870022805</v>
      </c>
      <c r="J37" s="147">
        <f t="shared" si="6"/>
        <v>0.15839765654921401</v>
      </c>
      <c r="K37" s="166">
        <f>'Monthly P&amp;L'!D39</f>
        <v>1085.3963729601114</v>
      </c>
      <c r="L37" s="124">
        <f>IF(L$10="","",L15-L36)</f>
        <v>1110.229698334954</v>
      </c>
      <c r="M37" s="148">
        <f t="shared" si="7"/>
        <v>1.0228794991336823</v>
      </c>
      <c r="N37" s="149">
        <f t="shared" si="8"/>
        <v>0.2594673227475886</v>
      </c>
      <c r="O37" s="166">
        <f>'Monthly P&amp;L'!E39</f>
        <v>1209.2662413813462</v>
      </c>
      <c r="P37" s="124">
        <f>IF(P$10="","",P15-P36)</f>
        <v>1230.8786244249943</v>
      </c>
      <c r="Q37" s="148">
        <f t="shared" si="9"/>
        <v>1.0178723115754562</v>
      </c>
      <c r="R37" s="149">
        <f t="shared" si="10"/>
        <v>0.27810498972511044</v>
      </c>
      <c r="S37" s="166">
        <f>'Monthly P&amp;L'!F39</f>
        <v>719.47777047890577</v>
      </c>
      <c r="T37" s="124" t="str">
        <f>IF(T$10="","",T15-T36)</f>
        <v/>
      </c>
      <c r="U37" s="148" t="str">
        <f t="shared" si="11"/>
        <v/>
      </c>
      <c r="V37" s="149" t="str">
        <f t="shared" si="12"/>
        <v/>
      </c>
      <c r="W37" s="166">
        <f>'Monthly P&amp;L'!G39</f>
        <v>1251.1426865176491</v>
      </c>
      <c r="X37" s="124" t="str">
        <f>IF(X$10="","",X15-X36)</f>
        <v/>
      </c>
      <c r="Y37" s="148" t="str">
        <f t="shared" si="13"/>
        <v/>
      </c>
      <c r="Z37" s="149" t="str">
        <f t="shared" si="14"/>
        <v/>
      </c>
      <c r="AA37" s="166">
        <f>'Monthly P&amp;L'!H39</f>
        <v>1436.4236409991086</v>
      </c>
      <c r="AB37" s="124" t="str">
        <f>IF(AB$10="","",AB15-AB36)</f>
        <v/>
      </c>
      <c r="AC37" s="148" t="str">
        <f t="shared" si="15"/>
        <v/>
      </c>
      <c r="AD37" s="149" t="str">
        <f t="shared" si="16"/>
        <v/>
      </c>
      <c r="AE37" s="166">
        <f>'Monthly P&amp;L'!I39</f>
        <v>1370.5764671896543</v>
      </c>
      <c r="AF37" s="124" t="str">
        <f>IF(AF$10="","",AF15-AF36)</f>
        <v/>
      </c>
      <c r="AG37" s="148" t="str">
        <f t="shared" si="17"/>
        <v/>
      </c>
      <c r="AH37" s="149" t="str">
        <f t="shared" si="18"/>
        <v/>
      </c>
      <c r="AI37" s="166">
        <f>'Monthly P&amp;L'!J39</f>
        <v>1235.1246706957929</v>
      </c>
      <c r="AJ37" s="124" t="str">
        <f>IF(AJ$10="","",AJ15-AJ36)</f>
        <v/>
      </c>
      <c r="AK37" s="148" t="str">
        <f t="shared" si="19"/>
        <v/>
      </c>
      <c r="AL37" s="149" t="str">
        <f t="shared" si="20"/>
        <v/>
      </c>
      <c r="AM37" s="166">
        <f>'Monthly P&amp;L'!K39</f>
        <v>994.02375631787731</v>
      </c>
      <c r="AN37" s="124" t="str">
        <f>IF(AN$10="","",AN15-AN36)</f>
        <v/>
      </c>
      <c r="AO37" s="148" t="str">
        <f t="shared" si="21"/>
        <v/>
      </c>
      <c r="AP37" s="149" t="str">
        <f t="shared" si="22"/>
        <v/>
      </c>
      <c r="AQ37" s="166">
        <f>'Monthly P&amp;L'!L39</f>
        <v>1137.0728182393814</v>
      </c>
      <c r="AR37" s="124" t="str">
        <f>IF(AR$10="","",AR15-AR36)</f>
        <v/>
      </c>
      <c r="AS37" s="148" t="str">
        <f t="shared" si="23"/>
        <v/>
      </c>
      <c r="AT37" s="149" t="str">
        <f t="shared" si="24"/>
        <v/>
      </c>
      <c r="AU37" s="166">
        <f>'Monthly P&amp;L'!M39</f>
        <v>1785.5173065676674</v>
      </c>
      <c r="AV37" s="124" t="str">
        <f>IF(AV$10="","",AV15-AV36)</f>
        <v/>
      </c>
      <c r="AW37" s="148" t="str">
        <f t="shared" si="25"/>
        <v/>
      </c>
      <c r="AX37" s="149" t="str">
        <f t="shared" si="26"/>
        <v/>
      </c>
      <c r="AY37" s="166">
        <f>'Monthly P&amp;L'!N39</f>
        <v>1315.2220826346907</v>
      </c>
      <c r="AZ37" s="124" t="str">
        <f>IF(AZ$10="","",AZ15-AZ36)</f>
        <v/>
      </c>
      <c r="BA37" s="148" t="str">
        <f t="shared" si="27"/>
        <v/>
      </c>
      <c r="BB37" s="149" t="str">
        <f t="shared" si="28"/>
        <v/>
      </c>
      <c r="BC37" s="166">
        <f>'Monthly P&amp;L'!O39</f>
        <v>1240.7157841168384</v>
      </c>
      <c r="BD37" s="124" t="str">
        <f>IF(BD$10="","",BD15-BD36)</f>
        <v/>
      </c>
      <c r="BE37" s="147" t="str">
        <f t="shared" si="29"/>
        <v/>
      </c>
      <c r="BF37" s="145" t="str">
        <f t="shared" si="30"/>
        <v/>
      </c>
    </row>
    <row r="38" spans="1:58" x14ac:dyDescent="0.2">
      <c r="A38" s="62" t="s">
        <v>177</v>
      </c>
      <c r="B38" s="109">
        <f>'Monthly P&amp;L'!B40</f>
        <v>0.21934316852902438</v>
      </c>
      <c r="C38" s="87"/>
      <c r="D38" s="95">
        <f>'Monthly P&amp;L'!C40</f>
        <v>0.25694685668114869</v>
      </c>
      <c r="E38" s="150"/>
      <c r="F38" s="97">
        <f>IF($F$10="","",F37/$F$10)</f>
        <v>0.25773762665602779</v>
      </c>
      <c r="G38" s="83"/>
      <c r="H38" s="117">
        <f>IF(H$10="","",H37/H$10)</f>
        <v>0.26894359870022805</v>
      </c>
      <c r="I38" s="66"/>
      <c r="J38" s="65"/>
      <c r="K38" s="167">
        <f>'Monthly P&amp;L'!D40</f>
        <v>0.25735315233040207</v>
      </c>
      <c r="L38" s="125">
        <f>IF(L$10="","",L37/L10)</f>
        <v>0.2594673227475886</v>
      </c>
      <c r="M38" s="66"/>
      <c r="N38" s="65"/>
      <c r="O38" s="167">
        <f>'Monthly P&amp;L'!E40</f>
        <v>0.25808369737914572</v>
      </c>
      <c r="P38" s="125">
        <f>IF(P$10="","",P37/P10)</f>
        <v>0.27810498972511044</v>
      </c>
      <c r="Q38" s="66"/>
      <c r="R38" s="65"/>
      <c r="S38" s="167">
        <f>'Monthly P&amp;L'!F40</f>
        <v>0.17059918470825733</v>
      </c>
      <c r="T38" s="125" t="str">
        <f>IF(T$10="","",T37/T10)</f>
        <v/>
      </c>
      <c r="U38" s="66"/>
      <c r="V38" s="65"/>
      <c r="W38" s="167">
        <f>'Monthly P&amp;L'!G40</f>
        <v>0.25464736062010812</v>
      </c>
      <c r="X38" s="125" t="str">
        <f>IF(X$10="","",X37/X10)</f>
        <v/>
      </c>
      <c r="Y38" s="66"/>
      <c r="Z38" s="65"/>
      <c r="AA38" s="167">
        <f>'Monthly P&amp;L'!H40</f>
        <v>0.28404641887807686</v>
      </c>
      <c r="AB38" s="125" t="str">
        <f>IF(AB$10="","",AB37/AB10)</f>
        <v/>
      </c>
      <c r="AC38" s="66"/>
      <c r="AD38" s="65"/>
      <c r="AE38" s="167">
        <f>'Monthly P&amp;L'!I40</f>
        <v>0.27602324651480092</v>
      </c>
      <c r="AF38" s="125" t="str">
        <f>IF(AF$10="","",AF37/AF10)</f>
        <v/>
      </c>
      <c r="AG38" s="66"/>
      <c r="AH38" s="65"/>
      <c r="AI38" s="167">
        <f>'Monthly P&amp;L'!J40</f>
        <v>0.2495082457992655</v>
      </c>
      <c r="AJ38" s="125" t="str">
        <f>IF(AJ$10="","",AJ37/AJ10)</f>
        <v/>
      </c>
      <c r="AK38" s="66"/>
      <c r="AL38" s="65"/>
      <c r="AM38" s="167">
        <f>'Monthly P&amp;L'!K40</f>
        <v>0.22482822757872514</v>
      </c>
      <c r="AN38" s="125" t="str">
        <f>IF(AN$10="","",AN37/AN10)</f>
        <v/>
      </c>
      <c r="AO38" s="66"/>
      <c r="AP38" s="65"/>
      <c r="AQ38" s="167">
        <f>'Monthly P&amp;L'!L40</f>
        <v>0.24293798774638092</v>
      </c>
      <c r="AR38" s="125" t="str">
        <f>IF(AR$10="","",AR37/AR10)</f>
        <v/>
      </c>
      <c r="AS38" s="66"/>
      <c r="AT38" s="65"/>
      <c r="AU38" s="167">
        <f>'Monthly P&amp;L'!M40</f>
        <v>0.3309930662177894</v>
      </c>
      <c r="AV38" s="125" t="str">
        <f>IF(AV$10="","",AV37/AV10)</f>
        <v/>
      </c>
      <c r="AW38" s="66"/>
      <c r="AX38" s="65"/>
      <c r="AY38" s="167">
        <f>'Monthly P&amp;L'!N40</f>
        <v>0.25972057986425928</v>
      </c>
      <c r="AZ38" s="125" t="str">
        <f>IF(AZ$10="","",AZ37/AZ10)</f>
        <v/>
      </c>
      <c r="BA38" s="66"/>
      <c r="BB38" s="65"/>
      <c r="BC38" s="167">
        <f>'Monthly P&amp;L'!O40</f>
        <v>0.25040324945200404</v>
      </c>
      <c r="BD38" s="125" t="str">
        <f>IF(BD$10="","",BD37/BD10)</f>
        <v/>
      </c>
      <c r="BE38" s="65"/>
      <c r="BF38" s="150"/>
    </row>
    <row r="39" spans="1:58" x14ac:dyDescent="0.2">
      <c r="A39" s="68" t="s">
        <v>178</v>
      </c>
      <c r="B39" s="104">
        <f>'Monthly P&amp;L'!B41</f>
        <v>2728.2069088081785</v>
      </c>
      <c r="C39" s="88">
        <f>IF(OR(B39=0,B39=""),"",D39/B39-1)</f>
        <v>4.8831564435070085E-3</v>
      </c>
      <c r="D39" s="90">
        <f>'Monthly P&amp;L'!C41</f>
        <v>2741.5291699541453</v>
      </c>
      <c r="E39" s="73">
        <f>IF(D$10=0,"",D39/D$10)</f>
        <v>4.766102998108783E-2</v>
      </c>
      <c r="F39" s="98">
        <f>IF(H39="","",K39*(L39&lt;&gt;"")+O39*(P39&lt;&gt;"")+S39*(T39&lt;&gt;"")+W39*(X39&lt;&gt;"")+AA39*(AB39&lt;&gt;"")+AE39*(AF39&lt;&gt;"")+AI39*(AJ39&lt;&gt;"")+AM39*(AN39&lt;&gt;"")+AQ39*(AR39&lt;&gt;"")+AU39*(AV39&lt;&gt;"")+AY39*(AZ39&lt;&gt;"")+BC39*(BD39&lt;&gt;""))</f>
        <v>456.92152832569104</v>
      </c>
      <c r="G39" s="84">
        <f>IF(OR(F39=0,F39="",H39=""),"",H39/F39)</f>
        <v>0.86599409366620672</v>
      </c>
      <c r="H39" s="112">
        <f>IF(SUM(L39,P39,T39,X39,AB39,AF39,AJ39,AN39,AR39,AV39,AZ39,BD39)=0,"",SUM(L39,P39,T39,X39,AB39,AF39,AJ39,AN39,AR39,AV39,AZ39,BD39))</f>
        <v>395.6913447989848</v>
      </c>
      <c r="I39" s="70">
        <f>IF(OR(H$10="",H$10=0,H39=""),"",H39/H$10)</f>
        <v>4.5456527239762262E-2</v>
      </c>
      <c r="J39" s="71">
        <f>IF(OR(D39=0,H39=""),"",H39/D39)</f>
        <v>0.14433234894436783</v>
      </c>
      <c r="K39" s="162">
        <f>'Monthly P&amp;L'!D41</f>
        <v>228.46076416284552</v>
      </c>
      <c r="L39" s="120">
        <v>198.44871129872655</v>
      </c>
      <c r="M39" s="72">
        <f>IF(OR(L39="",K39=0),"",L39/K39)</f>
        <v>0.86863366681761356</v>
      </c>
      <c r="N39" s="69">
        <f>IF(OR(L39="",L$10="",L$10=0),"",L39/L$10)</f>
        <v>4.637865110311163E-2</v>
      </c>
      <c r="O39" s="162">
        <f>'Monthly P&amp;L'!E41</f>
        <v>228.46076416284552</v>
      </c>
      <c r="P39" s="120">
        <v>197.24263350025825</v>
      </c>
      <c r="Q39" s="72">
        <f>IF(OR(P39="",O39=0),"",P39/O39)</f>
        <v>0.86335452051479977</v>
      </c>
      <c r="R39" s="69">
        <f>IF(OR(P39="",P$10="",P$10=0),"",P39/P$10)</f>
        <v>4.4565044411725159E-2</v>
      </c>
      <c r="S39" s="162">
        <f>'Monthly P&amp;L'!F41</f>
        <v>228.46076416284552</v>
      </c>
      <c r="T39" s="120"/>
      <c r="U39" s="72" t="str">
        <f>IF(OR(T39="",S39=0),"",T39/S39)</f>
        <v/>
      </c>
      <c r="V39" s="69" t="str">
        <f>IF(OR(T39="",T$10="",T$10=0),"",T39/T$10)</f>
        <v/>
      </c>
      <c r="W39" s="162">
        <f>'Monthly P&amp;L'!G41</f>
        <v>228.46076416284552</v>
      </c>
      <c r="X39" s="120"/>
      <c r="Y39" s="72" t="str">
        <f>IF(OR(X39="",W39=0),"",X39/W39)</f>
        <v/>
      </c>
      <c r="Z39" s="69" t="str">
        <f>IF(OR(X39="",X$10="",X$10=0),"",X39/X$10)</f>
        <v/>
      </c>
      <c r="AA39" s="162">
        <f>'Monthly P&amp;L'!H41</f>
        <v>228.46076416284552</v>
      </c>
      <c r="AB39" s="120"/>
      <c r="AC39" s="72" t="str">
        <f>IF(OR(AB39="",AA39=0),"",AB39/AA39)</f>
        <v/>
      </c>
      <c r="AD39" s="69" t="str">
        <f>IF(OR(AB39="",AB$10="",AB$10=0),"",AB39/AB$10)</f>
        <v/>
      </c>
      <c r="AE39" s="162">
        <f>'Monthly P&amp;L'!I41</f>
        <v>228.46076416284552</v>
      </c>
      <c r="AF39" s="120"/>
      <c r="AG39" s="72" t="str">
        <f>IF(OR(AF39="",AE39=0),"",AF39/AE39)</f>
        <v/>
      </c>
      <c r="AH39" s="69" t="str">
        <f>IF(OR(AF39="",AF$10="",AF$10=0),"",AF39/AF$10)</f>
        <v/>
      </c>
      <c r="AI39" s="162">
        <f>'Monthly P&amp;L'!J41</f>
        <v>228.46076416284552</v>
      </c>
      <c r="AJ39" s="120"/>
      <c r="AK39" s="72" t="str">
        <f>IF(OR(AJ39="",AI39=0),"",AJ39/AI39)</f>
        <v/>
      </c>
      <c r="AL39" s="69" t="str">
        <f>IF(OR(AJ39="",AJ$10="",AJ$10=0),"",AJ39/AJ$10)</f>
        <v/>
      </c>
      <c r="AM39" s="162">
        <f>'Monthly P&amp;L'!K41</f>
        <v>228.46076416284552</v>
      </c>
      <c r="AN39" s="120"/>
      <c r="AO39" s="72" t="str">
        <f>IF(OR(AN39="",AM39=0),"",AN39/AM39)</f>
        <v/>
      </c>
      <c r="AP39" s="69" t="str">
        <f>IF(OR(AN39="",AN$10="",AN$10=0),"",AN39/AN$10)</f>
        <v/>
      </c>
      <c r="AQ39" s="162">
        <f>'Monthly P&amp;L'!L41</f>
        <v>228.46076416284552</v>
      </c>
      <c r="AR39" s="120"/>
      <c r="AS39" s="72" t="str">
        <f>IF(OR(AR39="",AQ39=0),"",AR39/AQ39)</f>
        <v/>
      </c>
      <c r="AT39" s="69" t="str">
        <f>IF(OR(AR39="",AR$10="",AR$10=0),"",AR39/AR$10)</f>
        <v/>
      </c>
      <c r="AU39" s="162">
        <f>'Monthly P&amp;L'!M41</f>
        <v>228.46076416284552</v>
      </c>
      <c r="AV39" s="120"/>
      <c r="AW39" s="72" t="str">
        <f>IF(OR(AV39="",AU39=0),"",AV39/AU39)</f>
        <v/>
      </c>
      <c r="AX39" s="69" t="str">
        <f>IF(OR(AV39="",AV$10="",AV$10=0),"",AV39/AV$10)</f>
        <v/>
      </c>
      <c r="AY39" s="162">
        <f>'Monthly P&amp;L'!N41</f>
        <v>228.46076416284552</v>
      </c>
      <c r="AZ39" s="120"/>
      <c r="BA39" s="72" t="str">
        <f>IF(OR(AZ39="",AY39=0),"",AZ39/AY39)</f>
        <v/>
      </c>
      <c r="BB39" s="69" t="str">
        <f>IF(OR(AZ39="",AZ$10="",AZ$10=0),"",AZ39/AZ$10)</f>
        <v/>
      </c>
      <c r="BC39" s="162">
        <f>'Monthly P&amp;L'!O41</f>
        <v>228.46076416284552</v>
      </c>
      <c r="BD39" s="120"/>
      <c r="BE39" s="71" t="str">
        <f>IF(OR(BD39="",BC39=0),"",BD39/BC39)</f>
        <v/>
      </c>
      <c r="BF39" s="73" t="str">
        <f>IF(OR(BD39="",BD$10="",BD$10=0),"",BD39/BD$10)</f>
        <v/>
      </c>
    </row>
    <row r="40" spans="1:58" x14ac:dyDescent="0.2">
      <c r="A40" s="68" t="s">
        <v>179</v>
      </c>
      <c r="B40" s="104">
        <f>'Monthly P&amp;L'!B42</f>
        <v>62.065183999999995</v>
      </c>
      <c r="C40" s="88">
        <f>IF(OR(B40=0,B40=""),"",D40/B40-1)</f>
        <v>-3.3274436115423356E-2</v>
      </c>
      <c r="D40" s="90">
        <f>'Monthly P&amp;L'!C42</f>
        <v>60</v>
      </c>
      <c r="E40" s="73">
        <f>IF(D$10=0,"",D40/D$10)</f>
        <v>1.0430900499640136E-3</v>
      </c>
      <c r="F40" s="98">
        <f>IF(H40="","",K40*(L40&lt;&gt;"")+O40*(P40&lt;&gt;"")+S40*(T40&lt;&gt;"")+W40*(X40&lt;&gt;"")+AA40*(AB40&lt;&gt;"")+AE40*(AF40&lt;&gt;"")+AI40*(AJ40&lt;&gt;"")+AM40*(AN40&lt;&gt;"")+AQ40*(AR40&lt;&gt;"")+AU40*(AV40&lt;&gt;"")+AY40*(AZ40&lt;&gt;"")+BC40*(BD40&lt;&gt;""))</f>
        <v>10</v>
      </c>
      <c r="G40" s="84">
        <f>IF(OR(F40=0,F40="",H40=""),"",H40/F40)</f>
        <v>0.40220216271000425</v>
      </c>
      <c r="H40" s="112">
        <f>IF(SUM(L40,P40,T40,X40,AB40,AF40,AJ40,AN40,AR40,AV40,AZ40,BD40)=0,"",SUM(L40,P40,T40,X40,AB40,AF40,AJ40,AN40,AR40,AV40,AZ40,BD40))</f>
        <v>4.0220216271000426</v>
      </c>
      <c r="I40" s="70">
        <f>IF(OR(H$10="",H$10=0,H40=""),"",H40/H$10)</f>
        <v>4.6204481865547007E-4</v>
      </c>
      <c r="J40" s="71">
        <f>IF(OR(D40=0,H40=""),"",H40/D40)</f>
        <v>6.7033693785000709E-2</v>
      </c>
      <c r="K40" s="162">
        <f>'Monthly P&amp;L'!D42</f>
        <v>5</v>
      </c>
      <c r="L40" s="120">
        <v>1.8106894271000424</v>
      </c>
      <c r="M40" s="72">
        <f>IF(OR(L40="",K40=0),"",L40/K40)</f>
        <v>0.36213788542000847</v>
      </c>
      <c r="N40" s="69">
        <f>IF(OR(L40="",L$10="",L$10=0),"",L40/L$10)</f>
        <v>4.2316895204803901E-4</v>
      </c>
      <c r="O40" s="162">
        <f>'Monthly P&amp;L'!E42</f>
        <v>5</v>
      </c>
      <c r="P40" s="120">
        <v>2.2113322000000002</v>
      </c>
      <c r="Q40" s="72">
        <f>IF(OR(P40="",O40=0),"",P40/O40)</f>
        <v>0.44226644000000004</v>
      </c>
      <c r="R40" s="69">
        <f>IF(OR(P40="",P$10="",P$10=0),"",P40/P$10)</f>
        <v>4.9962888830496616E-4</v>
      </c>
      <c r="S40" s="162">
        <f>'Monthly P&amp;L'!F42</f>
        <v>5</v>
      </c>
      <c r="T40" s="120"/>
      <c r="U40" s="72" t="str">
        <f>IF(OR(T40="",S40=0),"",T40/S40)</f>
        <v/>
      </c>
      <c r="V40" s="69" t="str">
        <f>IF(OR(T40="",T$10="",T$10=0),"",T40/T$10)</f>
        <v/>
      </c>
      <c r="W40" s="162">
        <f>'Monthly P&amp;L'!G42</f>
        <v>5</v>
      </c>
      <c r="X40" s="120"/>
      <c r="Y40" s="72" t="str">
        <f>IF(OR(X40="",W40=0),"",X40/W40)</f>
        <v/>
      </c>
      <c r="Z40" s="69" t="str">
        <f>IF(OR(X40="",X$10="",X$10=0),"",X40/X$10)</f>
        <v/>
      </c>
      <c r="AA40" s="162">
        <f>'Monthly P&amp;L'!H42</f>
        <v>5</v>
      </c>
      <c r="AB40" s="120"/>
      <c r="AC40" s="72" t="str">
        <f>IF(OR(AB40="",AA40=0),"",AB40/AA40)</f>
        <v/>
      </c>
      <c r="AD40" s="69" t="str">
        <f>IF(OR(AB40="",AB$10="",AB$10=0),"",AB40/AB$10)</f>
        <v/>
      </c>
      <c r="AE40" s="162">
        <f>'Monthly P&amp;L'!I42</f>
        <v>5</v>
      </c>
      <c r="AF40" s="120"/>
      <c r="AG40" s="72" t="str">
        <f>IF(OR(AF40="",AE40=0),"",AF40/AE40)</f>
        <v/>
      </c>
      <c r="AH40" s="69" t="str">
        <f>IF(OR(AF40="",AF$10="",AF$10=0),"",AF40/AF$10)</f>
        <v/>
      </c>
      <c r="AI40" s="162">
        <f>'Monthly P&amp;L'!J42</f>
        <v>5</v>
      </c>
      <c r="AJ40" s="120"/>
      <c r="AK40" s="72" t="str">
        <f>IF(OR(AJ40="",AI40=0),"",AJ40/AI40)</f>
        <v/>
      </c>
      <c r="AL40" s="69" t="str">
        <f>IF(OR(AJ40="",AJ$10="",AJ$10=0),"",AJ40/AJ$10)</f>
        <v/>
      </c>
      <c r="AM40" s="162">
        <f>'Monthly P&amp;L'!K42</f>
        <v>5</v>
      </c>
      <c r="AN40" s="120"/>
      <c r="AO40" s="72" t="str">
        <f>IF(OR(AN40="",AM40=0),"",AN40/AM40)</f>
        <v/>
      </c>
      <c r="AP40" s="69" t="str">
        <f>IF(OR(AN40="",AN$10="",AN$10=0),"",AN40/AN$10)</f>
        <v/>
      </c>
      <c r="AQ40" s="162">
        <f>'Monthly P&amp;L'!L42</f>
        <v>5</v>
      </c>
      <c r="AR40" s="120"/>
      <c r="AS40" s="72" t="str">
        <f>IF(OR(AR40="",AQ40=0),"",AR40/AQ40)</f>
        <v/>
      </c>
      <c r="AT40" s="69" t="str">
        <f>IF(OR(AR40="",AR$10="",AR$10=0),"",AR40/AR$10)</f>
        <v/>
      </c>
      <c r="AU40" s="162">
        <f>'Monthly P&amp;L'!M42</f>
        <v>5</v>
      </c>
      <c r="AV40" s="120"/>
      <c r="AW40" s="72" t="str">
        <f>IF(OR(AV40="",AU40=0),"",AV40/AU40)</f>
        <v/>
      </c>
      <c r="AX40" s="69" t="str">
        <f>IF(OR(AV40="",AV$10="",AV$10=0),"",AV40/AV$10)</f>
        <v/>
      </c>
      <c r="AY40" s="162">
        <f>'Monthly P&amp;L'!N42</f>
        <v>5</v>
      </c>
      <c r="AZ40" s="120"/>
      <c r="BA40" s="72" t="str">
        <f>IF(OR(AZ40="",AY40=0),"",AZ40/AY40)</f>
        <v/>
      </c>
      <c r="BB40" s="69" t="str">
        <f>IF(OR(AZ40="",AZ$10="",AZ$10=0),"",AZ40/AZ$10)</f>
        <v/>
      </c>
      <c r="BC40" s="162">
        <f>'Monthly P&amp;L'!O42</f>
        <v>5</v>
      </c>
      <c r="BD40" s="120"/>
      <c r="BE40" s="71" t="str">
        <f>IF(OR(BD40="",BC40=0),"",BD40/BC40)</f>
        <v/>
      </c>
      <c r="BF40" s="73" t="str">
        <f>IF(OR(BD40="",BD$10="",BD$10=0),"",BD40/BD$10)</f>
        <v/>
      </c>
    </row>
    <row r="41" spans="1:58" x14ac:dyDescent="0.2">
      <c r="A41" s="156" t="s">
        <v>92</v>
      </c>
      <c r="B41" s="106">
        <f>'Monthly P&amp;L'!B43</f>
        <v>7279.579832913837</v>
      </c>
      <c r="C41" s="134">
        <f>IF(OR(B41=0,B41=""),"",D41/B41-1)</f>
        <v>0.64548147377761733</v>
      </c>
      <c r="D41" s="92">
        <f>'Monthly P&amp;L'!C43</f>
        <v>11978.413751944881</v>
      </c>
      <c r="E41" s="135">
        <f>IF(D$10=0,"",D41/D$10)</f>
        <v>0.20824273665009688</v>
      </c>
      <c r="F41" s="100">
        <f>IF(H41="","",K41*(L41&lt;&gt;"")+O41*(P41&lt;&gt;"")+S41*(T41&lt;&gt;"")+W41*(X41&lt;&gt;"")+AA41*(AB41&lt;&gt;"")+AE41*(AF41&lt;&gt;"")+AI41*(AJ41&lt;&gt;"")+AM41*(AN41&lt;&gt;"")+AQ41*(AR41&lt;&gt;"")+AU41*(AV41&lt;&gt;"")+AY41*(AZ41&lt;&gt;"")+BC41*(BD41&lt;&gt;""))</f>
        <v>1827.7410860157665</v>
      </c>
      <c r="G41" s="169">
        <f>IF(OR(F41=0,F41="",H41=""),"",H41/F41)</f>
        <v>1.0621826970940655</v>
      </c>
      <c r="H41" s="114">
        <f>IF(SUM(L41,P41,T41,X41,AB41,AF41,AJ41,AN41,AR41,AV41,AZ41,BD41)=0,"",SUM(L41,P41,T41,X41,AB41,AF41,AJ41,AN41,AR41,AV41,AZ41,BD41))</f>
        <v>1941.3949563338635</v>
      </c>
      <c r="I41" s="136">
        <f>IF(OR(H$10="",H$10=0,H41=""),"",H41/H$10)</f>
        <v>0.22302502664181031</v>
      </c>
      <c r="J41" s="137">
        <f>IF(OR(D41=0,H41=""),"",H41/D41)</f>
        <v>0.16207446132161263</v>
      </c>
      <c r="K41" s="164">
        <f>'Monthly P&amp;L'!D43</f>
        <v>851.9356087972659</v>
      </c>
      <c r="L41" s="122">
        <f>IF(L$10="","",L37-L39-L40)</f>
        <v>909.97029760912756</v>
      </c>
      <c r="M41" s="138">
        <f>IF(OR(L41="",K41=0),"",L41/K41)</f>
        <v>1.068120980286049</v>
      </c>
      <c r="N41" s="139">
        <f>IF(OR(L41="",L$10="",L$10=0),"",L41/L$10)</f>
        <v>0.21266550269242895</v>
      </c>
      <c r="O41" s="164">
        <f>'Monthly P&amp;L'!E43</f>
        <v>975.80547721850064</v>
      </c>
      <c r="P41" s="122">
        <f>IF(P$10="","",P37-P39-P40)</f>
        <v>1031.424658724736</v>
      </c>
      <c r="Q41" s="138">
        <f>IF(OR(P41="",O41=0),"",P41/O41)</f>
        <v>1.0569982263932109</v>
      </c>
      <c r="R41" s="139">
        <f>IF(OR(P41="",P$10="",P$10=0),"",P41/P$10)</f>
        <v>0.2330403164250803</v>
      </c>
      <c r="S41" s="164">
        <f>'Monthly P&amp;L'!F43</f>
        <v>486.01700631606025</v>
      </c>
      <c r="T41" s="122" t="str">
        <f>IF(T$10="","",T37-T39-T40)</f>
        <v/>
      </c>
      <c r="U41" s="138" t="str">
        <f>IF(OR(T41="",S41=0),"",T41/S41)</f>
        <v/>
      </c>
      <c r="V41" s="139" t="str">
        <f>IF(OR(T41="",T$10="",T$10=0),"",T41/T$10)</f>
        <v/>
      </c>
      <c r="W41" s="164">
        <f>'Monthly P&amp;L'!G43</f>
        <v>1017.6819223548035</v>
      </c>
      <c r="X41" s="122" t="str">
        <f>IF(X$10="","",X37-X39-X40)</f>
        <v/>
      </c>
      <c r="Y41" s="138" t="str">
        <f>IF(OR(X41="",W41=0),"",X41/W41)</f>
        <v/>
      </c>
      <c r="Z41" s="139" t="str">
        <f>IF(OR(X41="",X$10="",X$10=0),"",X41/X$10)</f>
        <v/>
      </c>
      <c r="AA41" s="164">
        <f>'Monthly P&amp;L'!H43</f>
        <v>1202.9628768362631</v>
      </c>
      <c r="AB41" s="122" t="str">
        <f>IF(AB$10="","",AB37-AB39-AB40)</f>
        <v/>
      </c>
      <c r="AC41" s="138" t="str">
        <f>IF(OR(AB41="",AA41=0),"",AB41/AA41)</f>
        <v/>
      </c>
      <c r="AD41" s="139" t="str">
        <f>IF(OR(AB41="",AB$10="",AB$10=0),"",AB41/AB$10)</f>
        <v/>
      </c>
      <c r="AE41" s="164">
        <f>'Monthly P&amp;L'!I43</f>
        <v>1137.1157030268087</v>
      </c>
      <c r="AF41" s="122" t="str">
        <f>IF(AF$10="","",AF37-AF39-AF40)</f>
        <v/>
      </c>
      <c r="AG41" s="138" t="str">
        <f>IF(OR(AF41="",AE41=0),"",AF41/AE41)</f>
        <v/>
      </c>
      <c r="AH41" s="139" t="str">
        <f>IF(OR(AF41="",AF$10="",AF$10=0),"",AF41/AF$10)</f>
        <v/>
      </c>
      <c r="AI41" s="164">
        <f>'Monthly P&amp;L'!J43</f>
        <v>1001.6639065329474</v>
      </c>
      <c r="AJ41" s="122" t="str">
        <f>IF(AJ$10="","",AJ37-AJ39-AJ40)</f>
        <v/>
      </c>
      <c r="AK41" s="138" t="str">
        <f>IF(OR(AJ41="",AI41=0),"",AJ41/AI41)</f>
        <v/>
      </c>
      <c r="AL41" s="139" t="str">
        <f>IF(OR(AJ41="",AJ$10="",AJ$10=0),"",AJ41/AJ$10)</f>
        <v/>
      </c>
      <c r="AM41" s="164">
        <f>'Monthly P&amp;L'!K43</f>
        <v>760.56299215503179</v>
      </c>
      <c r="AN41" s="122" t="str">
        <f>IF(AN$10="","",AN37-AN39-AN40)</f>
        <v/>
      </c>
      <c r="AO41" s="138" t="str">
        <f>IF(OR(AN41="",AM41=0),"",AN41/AM41)</f>
        <v/>
      </c>
      <c r="AP41" s="139" t="str">
        <f>IF(OR(AN41="",AN$10="",AN$10=0),"",AN41/AN$10)</f>
        <v/>
      </c>
      <c r="AQ41" s="164">
        <f>'Monthly P&amp;L'!L43</f>
        <v>903.61205407653586</v>
      </c>
      <c r="AR41" s="122" t="str">
        <f>IF(AR$10="","",AR37-AR39-AR40)</f>
        <v/>
      </c>
      <c r="AS41" s="138" t="str">
        <f>IF(OR(AR41="",AQ41=0),"",AR41/AQ41)</f>
        <v/>
      </c>
      <c r="AT41" s="139" t="str">
        <f>IF(OR(AR41="",AR$10="",AR$10=0),"",AR41/AR$10)</f>
        <v/>
      </c>
      <c r="AU41" s="164">
        <f>'Monthly P&amp;L'!M43</f>
        <v>1552.0565424048218</v>
      </c>
      <c r="AV41" s="122" t="str">
        <f>IF(AV$10="","",AV37-AV39-AV40)</f>
        <v/>
      </c>
      <c r="AW41" s="138" t="str">
        <f>IF(OR(AV41="",AU41=0),"",AV41/AU41)</f>
        <v/>
      </c>
      <c r="AX41" s="139" t="str">
        <f>IF(OR(AV41="",AV$10="",AV$10=0),"",AV41/AV$10)</f>
        <v/>
      </c>
      <c r="AY41" s="164">
        <f>'Monthly P&amp;L'!N43</f>
        <v>1081.7613184718452</v>
      </c>
      <c r="AZ41" s="122" t="str">
        <f>IF(AZ$10="","",AZ37-AZ39-AZ40)</f>
        <v/>
      </c>
      <c r="BA41" s="138" t="str">
        <f>IF(OR(AZ41="",AY41=0),"",AZ41/AY41)</f>
        <v/>
      </c>
      <c r="BB41" s="139" t="str">
        <f>IF(OR(AZ41="",AZ$10="",AZ$10=0),"",AZ41/AZ$10)</f>
        <v/>
      </c>
      <c r="BC41" s="164">
        <f>'Monthly P&amp;L'!O43</f>
        <v>1007.2550199539929</v>
      </c>
      <c r="BD41" s="122" t="str">
        <f>IF(BD$10="","",BD37-BD39-BD40)</f>
        <v/>
      </c>
      <c r="BE41" s="137" t="str">
        <f>IF(OR(BD41="",BC41=0),"",BD41/BC41)</f>
        <v/>
      </c>
      <c r="BF41" s="135" t="str">
        <f>IF(OR(BD41="",BD$10="",BD$10=0),"",BD41/BD$10)</f>
        <v/>
      </c>
    </row>
    <row r="42" spans="1:58" x14ac:dyDescent="0.2">
      <c r="A42" s="68" t="s">
        <v>180</v>
      </c>
      <c r="B42" s="104">
        <f>'Monthly P&amp;L'!B44</f>
        <v>1892.6907565575946</v>
      </c>
      <c r="C42" s="88">
        <f>IF(OR(B42=0,B42=""),"",D42/B42-1)</f>
        <v>0.53622764045362459</v>
      </c>
      <c r="D42" s="90">
        <f>'Monthly P&amp;L'!C44</f>
        <v>2907.6038550548592</v>
      </c>
      <c r="E42" s="73">
        <f>IF(D$10=0,"",D42/D$10)</f>
        <v>5.0548210840745525E-2</v>
      </c>
      <c r="F42" s="98">
        <f>IF(H42="","",K42*(L42&lt;&gt;"")+O42*(P42&lt;&gt;"")+S42*(T42&lt;&gt;"")+W42*(X42&lt;&gt;"")+AA42*(AB42&lt;&gt;"")+AE42*(AF42&lt;&gt;"")+AI42*(AJ42&lt;&gt;"")+AM42*(AN42&lt;&gt;"")+AQ42*(AR42&lt;&gt;"")+AU42*(AV42&lt;&gt;"")+AY42*(AZ42&lt;&gt;"")+BC42*(BD42&lt;&gt;""))</f>
        <v>520.54842337931211</v>
      </c>
      <c r="G42" s="84">
        <f>IF(OR(F42=0,F42="",H42=""),"",H42/F42)</f>
        <v>0.96510006671889681</v>
      </c>
      <c r="H42" s="112">
        <f>IF(SUM(L42,P42,T42,X42,AB42,AF42,AJ42,AN42,AR42,AV42,AZ42,BD42)=0,"",SUM(L42,P42,T42,X42,AB42,AF42,AJ42,AN42,AR42,AV42,AZ42,BD42))</f>
        <v>502.38131813379067</v>
      </c>
      <c r="I42" s="70">
        <f>IF(OR(H$10="",H$10=0,H42=""),"",H42/H$10)</f>
        <v>5.771293805806519E-2</v>
      </c>
      <c r="J42" s="71">
        <f>IF(OR(D42=0,H42=""),"",H42/D42)</f>
        <v>0.17278189986589904</v>
      </c>
      <c r="K42" s="162">
        <f>'Monthly P&amp;L'!D44</f>
        <v>264.46957546413785</v>
      </c>
      <c r="L42" s="120">
        <v>235.4760818163237</v>
      </c>
      <c r="M42" s="72">
        <f>IF(OR(L42="",K42=0),"",L42/K42)</f>
        <v>0.89037115669380396</v>
      </c>
      <c r="N42" s="69">
        <f>IF(OR(L42="",L$10="",L$10=0),"",L42/L$10)</f>
        <v>5.5032169119241477E-2</v>
      </c>
      <c r="O42" s="162">
        <f>'Monthly P&amp;L'!E44</f>
        <v>256.07884791517426</v>
      </c>
      <c r="P42" s="120">
        <v>266.90523631746697</v>
      </c>
      <c r="Q42" s="72">
        <f>IF(OR(P42="",O42=0),"",P42/O42)</f>
        <v>1.0422775582225321</v>
      </c>
      <c r="R42" s="69">
        <f>IF(OR(P42="",P$10="",P$10=0),"",P42/P$10)</f>
        <v>6.0304628361161794E-2</v>
      </c>
      <c r="S42" s="162">
        <f>'Monthly P&amp;L'!F44</f>
        <v>106.49540532114007</v>
      </c>
      <c r="T42" s="120"/>
      <c r="U42" s="72" t="str">
        <f>IF(OR(T42="",S42=0),"",T42/S42)</f>
        <v/>
      </c>
      <c r="V42" s="69" t="str">
        <f>IF(OR(T42="",T$10="",T$10=0),"",T42/T$10)</f>
        <v/>
      </c>
      <c r="W42" s="162">
        <f>'Monthly P&amp;L'!G44</f>
        <v>237.67777278040231</v>
      </c>
      <c r="X42" s="120"/>
      <c r="Y42" s="72" t="str">
        <f>IF(OR(X42="",W42=0),"",X42/W42)</f>
        <v/>
      </c>
      <c r="Z42" s="69" t="str">
        <f>IF(OR(X42="",X$10="",X$10=0),"",X42/X$10)</f>
        <v/>
      </c>
      <c r="AA42" s="162">
        <f>'Monthly P&amp;L'!H44</f>
        <v>298.09766822568741</v>
      </c>
      <c r="AB42" s="120"/>
      <c r="AC42" s="72" t="str">
        <f>IF(OR(AB42="",AA42=0),"",AB42/AA42)</f>
        <v/>
      </c>
      <c r="AD42" s="69" t="str">
        <f>IF(OR(AB42="",AB$10="",AB$10=0),"",AB42/AB$10)</f>
        <v/>
      </c>
      <c r="AE42" s="162">
        <f>'Monthly P&amp;L'!I44</f>
        <v>257.85514372235281</v>
      </c>
      <c r="AF42" s="120"/>
      <c r="AG42" s="72" t="str">
        <f>IF(OR(AF42="",AE42=0),"",AF42/AE42)</f>
        <v/>
      </c>
      <c r="AH42" s="69" t="str">
        <f>IF(OR(AF42="",AF$10="",AF$10=0),"",AF42/AF$10)</f>
        <v/>
      </c>
      <c r="AI42" s="162">
        <f>'Monthly P&amp;L'!J44</f>
        <v>230.8825401639013</v>
      </c>
      <c r="AJ42" s="120"/>
      <c r="AK42" s="72" t="str">
        <f>IF(OR(AJ42="",AI42=0),"",AJ42/AI42)</f>
        <v/>
      </c>
      <c r="AL42" s="69" t="str">
        <f>IF(OR(AJ42="",AJ$10="",AJ$10=0),"",AJ42/AJ$10)</f>
        <v/>
      </c>
      <c r="AM42" s="162">
        <f>'Monthly P&amp;L'!K44</f>
        <v>181.94439691280618</v>
      </c>
      <c r="AN42" s="120"/>
      <c r="AO42" s="72" t="str">
        <f>IF(OR(AN42="",AM42=0),"",AN42/AM42)</f>
        <v/>
      </c>
      <c r="AP42" s="69" t="str">
        <f>IF(OR(AN42="",AN$10="",AN$10=0),"",AN42/AN$10)</f>
        <v/>
      </c>
      <c r="AQ42" s="162">
        <f>'Monthly P&amp;L'!L44</f>
        <v>199.97207638097512</v>
      </c>
      <c r="AR42" s="120"/>
      <c r="AS42" s="72" t="str">
        <f>IF(OR(AR42="",AQ42=0),"",AR42/AQ42)</f>
        <v/>
      </c>
      <c r="AT42" s="69" t="str">
        <f>IF(OR(AR42="",AR$10="",AR$10=0),"",AR42/AR$10)</f>
        <v/>
      </c>
      <c r="AU42" s="162">
        <f>'Monthly P&amp;L'!M44</f>
        <v>406.39466913913384</v>
      </c>
      <c r="AV42" s="120"/>
      <c r="AW42" s="72" t="str">
        <f>IF(OR(AV42="",AU42=0),"",AV42/AU42)</f>
        <v/>
      </c>
      <c r="AX42" s="69" t="str">
        <f>IF(OR(AV42="",AV$10="",AV$10=0),"",AV42/AV$10)</f>
        <v/>
      </c>
      <c r="AY42" s="162">
        <f>'Monthly P&amp;L'!N44</f>
        <v>254.87236438345545</v>
      </c>
      <c r="AZ42" s="120"/>
      <c r="BA42" s="72" t="str">
        <f>IF(OR(AZ42="",AY42=0),"",AZ42/AY42)</f>
        <v/>
      </c>
      <c r="BB42" s="69" t="str">
        <f>IF(OR(AZ42="",AZ$10="",AZ$10=0),"",AZ42/AZ$10)</f>
        <v/>
      </c>
      <c r="BC42" s="162">
        <f>'Monthly P&amp;L'!O44</f>
        <v>212.86339464569275</v>
      </c>
      <c r="BD42" s="120"/>
      <c r="BE42" s="71" t="str">
        <f>IF(OR(BD42="",BC42=0),"",BD42/BC42)</f>
        <v/>
      </c>
      <c r="BF42" s="73" t="str">
        <f>IF(OR(BD42="",BD$10="",BD$10=0),"",BD42/BD$10)</f>
        <v/>
      </c>
    </row>
    <row r="43" spans="1:58" x14ac:dyDescent="0.2">
      <c r="A43" s="155" t="s">
        <v>94</v>
      </c>
      <c r="B43" s="105">
        <f>'Monthly P&amp;L'!B45</f>
        <v>5386.8890763562422</v>
      </c>
      <c r="C43" s="127">
        <f>IF(OR(B43=0,B43=""),"",D43/B43-1)</f>
        <v>0.68386795575631765</v>
      </c>
      <c r="D43" s="91">
        <f>'Monthly P&amp;L'!C45</f>
        <v>9070.8098968900231</v>
      </c>
      <c r="E43" s="128">
        <f>IF(D$10=0,"",D43/D$10)</f>
        <v>0.15769452580935137</v>
      </c>
      <c r="F43" s="99">
        <f>IF(H43="","",K43*(L43&lt;&gt;"")+O43*(P43&lt;&gt;"")+S43*(T43&lt;&gt;"")+W43*(X43&lt;&gt;"")+AA43*(AB43&lt;&gt;"")+AE43*(AF43&lt;&gt;"")+AI43*(AJ43&lt;&gt;"")+AM43*(AN43&lt;&gt;"")+AQ43*(AR43&lt;&gt;"")+AU43*(AV43&lt;&gt;"")+AY43*(AZ43&lt;&gt;"")+BC43*(BD43&lt;&gt;""))</f>
        <v>1307.1926626364543</v>
      </c>
      <c r="G43" s="129">
        <f>IF(OR(F43=0,F43="",H43=""),"",H43/F43)</f>
        <v>1.1008428056027724</v>
      </c>
      <c r="H43" s="113">
        <f>IF(SUM(L43,P43,T43,X43,AB43,AF43,AJ43,AN43,AR43,AV43,AZ43,BD43)=0,"",SUM(L43,P43,T43,X43,AB43,AF43,AJ43,AN43,AR43,AV43,AZ43,BD43))</f>
        <v>1439.0136382000728</v>
      </c>
      <c r="I43" s="130">
        <f>IF(OR(H$10="",H$10=0,H43=""),"",H43/H$10)</f>
        <v>0.1653120885837451</v>
      </c>
      <c r="J43" s="131">
        <f>IF(OR(D43=0,H43=""),"",H43/D43)</f>
        <v>0.15864224413891051</v>
      </c>
      <c r="K43" s="163">
        <f>'Monthly P&amp;L'!D45</f>
        <v>587.46603333312805</v>
      </c>
      <c r="L43" s="121">
        <f>IF(L$10="","",L41-L42)</f>
        <v>674.49421579280386</v>
      </c>
      <c r="M43" s="132">
        <f>IF(OR(L43="",K43=0),"",L43/K43)</f>
        <v>1.1481416414254637</v>
      </c>
      <c r="N43" s="133">
        <f>IF(OR(L43="",L$10="",L$10=0),"",L43/L$10)</f>
        <v>0.15763333357318746</v>
      </c>
      <c r="O43" s="163">
        <f>'Monthly P&amp;L'!E45</f>
        <v>719.72662930332638</v>
      </c>
      <c r="P43" s="121">
        <f>IF(P$10="","",P41-P42)</f>
        <v>764.51942240726908</v>
      </c>
      <c r="Q43" s="132">
        <f>IF(OR(P43="",O43=0),"",P43/O43)</f>
        <v>1.062235842443819</v>
      </c>
      <c r="R43" s="133">
        <f>IF(OR(P43="",P$10="",P$10=0),"",P43/P$10)</f>
        <v>0.17273568806391851</v>
      </c>
      <c r="S43" s="163">
        <f>'Monthly P&amp;L'!F45</f>
        <v>379.52160099492016</v>
      </c>
      <c r="T43" s="121" t="str">
        <f>IF(T$10="","",T41-T42)</f>
        <v/>
      </c>
      <c r="U43" s="132" t="str">
        <f>IF(OR(T43="",S43=0),"",T43/S43)</f>
        <v/>
      </c>
      <c r="V43" s="133" t="str">
        <f>IF(OR(T43="",T$10="",T$10=0),"",T43/T$10)</f>
        <v/>
      </c>
      <c r="W43" s="163">
        <f>'Monthly P&amp;L'!G45</f>
        <v>780.00414957440125</v>
      </c>
      <c r="X43" s="121" t="str">
        <f>IF(X$10="","",X41-X42)</f>
        <v/>
      </c>
      <c r="Y43" s="132" t="str">
        <f>IF(OR(X43="",W43=0),"",X43/W43)</f>
        <v/>
      </c>
      <c r="Z43" s="133" t="str">
        <f>IF(OR(X43="",X$10="",X$10=0),"",X43/X$10)</f>
        <v/>
      </c>
      <c r="AA43" s="163">
        <f>'Monthly P&amp;L'!H45</f>
        <v>904.86520861057579</v>
      </c>
      <c r="AB43" s="121" t="str">
        <f>IF(AB$10="","",AB41-AB42)</f>
        <v/>
      </c>
      <c r="AC43" s="132" t="str">
        <f>IF(OR(AB43="",AA43=0),"",AB43/AA43)</f>
        <v/>
      </c>
      <c r="AD43" s="133" t="str">
        <f>IF(OR(AB43="",AB$10="",AB$10=0),"",AB43/AB$10)</f>
        <v/>
      </c>
      <c r="AE43" s="163">
        <f>'Monthly P&amp;L'!I45</f>
        <v>879.26055930445591</v>
      </c>
      <c r="AF43" s="121" t="str">
        <f>IF(AF$10="","",AF41-AF42)</f>
        <v/>
      </c>
      <c r="AG43" s="132" t="str">
        <f>IF(OR(AF43="",AE43=0),"",AF43/AE43)</f>
        <v/>
      </c>
      <c r="AH43" s="133" t="str">
        <f>IF(OR(AF43="",AF$10="",AF$10=0),"",AF43/AF$10)</f>
        <v/>
      </c>
      <c r="AI43" s="163">
        <f>'Monthly P&amp;L'!J45</f>
        <v>770.78136636904605</v>
      </c>
      <c r="AJ43" s="121" t="str">
        <f>IF(AJ$10="","",AJ41-AJ42)</f>
        <v/>
      </c>
      <c r="AK43" s="132" t="str">
        <f>IF(OR(AJ43="",AI43=0),"",AJ43/AI43)</f>
        <v/>
      </c>
      <c r="AL43" s="133" t="str">
        <f>IF(OR(AJ43="",AJ$10="",AJ$10=0),"",AJ43/AJ$10)</f>
        <v/>
      </c>
      <c r="AM43" s="163">
        <f>'Monthly P&amp;L'!K45</f>
        <v>578.61859524222564</v>
      </c>
      <c r="AN43" s="121" t="str">
        <f>IF(AN$10="","",AN41-AN42)</f>
        <v/>
      </c>
      <c r="AO43" s="132" t="str">
        <f>IF(OR(AN43="",AM43=0),"",AN43/AM43)</f>
        <v/>
      </c>
      <c r="AP43" s="133" t="str">
        <f>IF(OR(AN43="",AN$10="",AN$10=0),"",AN43/AN$10)</f>
        <v/>
      </c>
      <c r="AQ43" s="163">
        <f>'Monthly P&amp;L'!L45</f>
        <v>703.63997769556067</v>
      </c>
      <c r="AR43" s="121" t="str">
        <f>IF(AR$10="","",AR41-AR42)</f>
        <v/>
      </c>
      <c r="AS43" s="132" t="str">
        <f>IF(OR(AR43="",AQ43=0),"",AR43/AQ43)</f>
        <v/>
      </c>
      <c r="AT43" s="133" t="str">
        <f>IF(OR(AR43="",AR$10="",AR$10=0),"",AR43/AR$10)</f>
        <v/>
      </c>
      <c r="AU43" s="163">
        <f>'Monthly P&amp;L'!M45</f>
        <v>1145.661873265688</v>
      </c>
      <c r="AV43" s="121" t="str">
        <f>IF(AV$10="","",AV41-AV42)</f>
        <v/>
      </c>
      <c r="AW43" s="132" t="str">
        <f>IF(OR(AV43="",AU43=0),"",AV43/AU43)</f>
        <v/>
      </c>
      <c r="AX43" s="133" t="str">
        <f>IF(OR(AV43="",AV$10="",AV$10=0),"",AV43/AV$10)</f>
        <v/>
      </c>
      <c r="AY43" s="163">
        <f>'Monthly P&amp;L'!N45</f>
        <v>826.88895408838982</v>
      </c>
      <c r="AZ43" s="121" t="str">
        <f>IF(AZ$10="","",AZ41-AZ42)</f>
        <v/>
      </c>
      <c r="BA43" s="132" t="str">
        <f>IF(OR(AZ43="",AY43=0),"",AZ43/AY43)</f>
        <v/>
      </c>
      <c r="BB43" s="133" t="str">
        <f>IF(OR(AZ43="",AZ$10="",AZ$10=0),"",AZ43/AZ$10)</f>
        <v/>
      </c>
      <c r="BC43" s="163">
        <f>'Monthly P&amp;L'!O45</f>
        <v>794.39162530830015</v>
      </c>
      <c r="BD43" s="121" t="str">
        <f>IF(BD$10="","",BD41-BD42)</f>
        <v/>
      </c>
      <c r="BE43" s="131" t="str">
        <f>IF(OR(BD43="",BC43=0),"",BD43/BC43)</f>
        <v/>
      </c>
      <c r="BF43" s="128" t="str">
        <f>IF(OR(BD43="",BD$10="",BD$10=0),"",BD43/BD$10)</f>
        <v/>
      </c>
    </row>
    <row r="44" spans="1:58" ht="15" thickBot="1" x14ac:dyDescent="0.25">
      <c r="A44" s="159" t="s">
        <v>181</v>
      </c>
      <c r="B44" s="110">
        <f>'Monthly P&amp;L'!B46</f>
        <v>0.11733810260945299</v>
      </c>
      <c r="C44" s="151"/>
      <c r="D44" s="96">
        <f>'Monthly P&amp;L'!C46</f>
        <v>0.15769452580935137</v>
      </c>
      <c r="E44" s="152"/>
      <c r="F44" s="102">
        <f>IF($F$10="","",F43/$F$10)</f>
        <v>0.14682451892684167</v>
      </c>
      <c r="G44" s="86"/>
      <c r="H44" s="118">
        <f>IF(H$10="","",H43/H$10)</f>
        <v>0.1653120885837451</v>
      </c>
      <c r="I44" s="153"/>
      <c r="J44" s="154"/>
      <c r="K44" s="168">
        <f>'Monthly P&amp;L'!D46</f>
        <v>0.13929126661166177</v>
      </c>
      <c r="L44" s="126">
        <f>IF(L$10="","",L43/L10)</f>
        <v>0.15763333357318746</v>
      </c>
      <c r="M44" s="153"/>
      <c r="N44" s="154"/>
      <c r="O44" s="168">
        <f>'Monthly P&amp;L'!E46</f>
        <v>0.15360530480090981</v>
      </c>
      <c r="P44" s="126">
        <f>IF(P$10="","",P43/P10)</f>
        <v>0.17273568806391851</v>
      </c>
      <c r="Q44" s="153"/>
      <c r="R44" s="154"/>
      <c r="S44" s="168">
        <f>'Monthly P&amp;L'!F46</f>
        <v>8.9990376861551966E-2</v>
      </c>
      <c r="T44" s="126" t="str">
        <f>IF(T$10="","",T43/T10)</f>
        <v/>
      </c>
      <c r="U44" s="153"/>
      <c r="V44" s="154"/>
      <c r="W44" s="168">
        <f>'Monthly P&amp;L'!G46</f>
        <v>0.15875567199668991</v>
      </c>
      <c r="X44" s="126" t="str">
        <f>IF(X$10="","",X43/X10)</f>
        <v/>
      </c>
      <c r="Y44" s="153"/>
      <c r="Z44" s="154"/>
      <c r="AA44" s="168">
        <f>'Monthly P&amp;L'!H46</f>
        <v>0.17893309100261287</v>
      </c>
      <c r="AB44" s="126" t="str">
        <f>IF(AB$10="","",AB43/AB10)</f>
        <v/>
      </c>
      <c r="AC44" s="153"/>
      <c r="AD44" s="154"/>
      <c r="AE44" s="168">
        <f>'Monthly P&amp;L'!I46</f>
        <v>0.17707611353438796</v>
      </c>
      <c r="AF44" s="126" t="str">
        <f>IF(AF$10="","",AF43/AF10)</f>
        <v/>
      </c>
      <c r="AG44" s="153"/>
      <c r="AH44" s="154"/>
      <c r="AI44" s="168">
        <f>'Monthly P&amp;L'!J46</f>
        <v>0.15570598756574308</v>
      </c>
      <c r="AJ44" s="126" t="str">
        <f>IF(AJ$10="","",AJ43/AJ10)</f>
        <v/>
      </c>
      <c r="AK44" s="153"/>
      <c r="AL44" s="154"/>
      <c r="AM44" s="168">
        <f>'Monthly P&amp;L'!K46</f>
        <v>0.13087191567160106</v>
      </c>
      <c r="AN44" s="126" t="str">
        <f>IF(AN$10="","",AN43/AN10)</f>
        <v/>
      </c>
      <c r="AO44" s="153"/>
      <c r="AP44" s="154"/>
      <c r="AQ44" s="168">
        <f>'Monthly P&amp;L'!L46</f>
        <v>0.15033415409925019</v>
      </c>
      <c r="AR44" s="126" t="str">
        <f>IF(AR$10="","",AR43/AR10)</f>
        <v/>
      </c>
      <c r="AS44" s="153"/>
      <c r="AT44" s="154"/>
      <c r="AU44" s="168">
        <f>'Monthly P&amp;L'!M46</f>
        <v>0.21237886347345544</v>
      </c>
      <c r="AV44" s="126" t="str">
        <f>IF(AV$10="","",AV43/AV10)</f>
        <v/>
      </c>
      <c r="AW44" s="153"/>
      <c r="AX44" s="154"/>
      <c r="AY44" s="168">
        <f>'Monthly P&amp;L'!N46</f>
        <v>0.16328807239076606</v>
      </c>
      <c r="AZ44" s="126" t="str">
        <f>IF(AZ$10="","",AZ43/AZ10)</f>
        <v/>
      </c>
      <c r="BA44" s="153"/>
      <c r="BB44" s="154"/>
      <c r="BC44" s="168">
        <f>'Monthly P&amp;L'!O46</f>
        <v>0.16032539189162523</v>
      </c>
      <c r="BD44" s="126" t="str">
        <f>IF(BD$10="","",BD43/BD10)</f>
        <v/>
      </c>
      <c r="BE44" s="154"/>
      <c r="BF44" s="152"/>
    </row>
  </sheetData>
  <mergeCells count="27">
    <mergeCell ref="A5:BF5"/>
    <mergeCell ref="A11:BF11"/>
    <mergeCell ref="A17:BF17"/>
    <mergeCell ref="AA3:AD3"/>
    <mergeCell ref="AE3:AH3"/>
    <mergeCell ref="AI3:AL3"/>
    <mergeCell ref="AM3:AP3"/>
    <mergeCell ref="AQ3:AT3"/>
    <mergeCell ref="AU3:AX3"/>
    <mergeCell ref="B3:B4"/>
    <mergeCell ref="D3:D4"/>
    <mergeCell ref="E3:E4"/>
    <mergeCell ref="H3:H4"/>
    <mergeCell ref="A1:BF1"/>
    <mergeCell ref="A2:BF2"/>
    <mergeCell ref="A3:A4"/>
    <mergeCell ref="I3:I4"/>
    <mergeCell ref="J3:J4"/>
    <mergeCell ref="K3:N3"/>
    <mergeCell ref="O3:R3"/>
    <mergeCell ref="S3:V3"/>
    <mergeCell ref="W3:Z3"/>
    <mergeCell ref="F3:F4"/>
    <mergeCell ref="G3:G4"/>
    <mergeCell ref="C3:C4"/>
    <mergeCell ref="AY3:BB3"/>
    <mergeCell ref="BC3:BF3"/>
  </mergeCells>
  <conditionalFormatting sqref="G6:G10">
    <cfRule type="cellIs" dxfId="121" priority="106" operator="lessThan">
      <formula>1</formula>
    </cfRule>
    <cfRule type="cellIs" dxfId="120" priority="105" operator="greaterThanOrEqual">
      <formula>1</formula>
    </cfRule>
  </conditionalFormatting>
  <conditionalFormatting sqref="G12:G14">
    <cfRule type="cellIs" dxfId="119" priority="116" operator="lessThanOrEqual">
      <formula>1</formula>
    </cfRule>
    <cfRule type="cellIs" dxfId="118" priority="115" operator="greaterThan">
      <formula>1</formula>
    </cfRule>
  </conditionalFormatting>
  <conditionalFormatting sqref="G15">
    <cfRule type="cellIs" dxfId="117" priority="108" operator="lessThan">
      <formula>1</formula>
    </cfRule>
    <cfRule type="cellIs" dxfId="116" priority="107" operator="greaterThanOrEqual">
      <formula>1</formula>
    </cfRule>
  </conditionalFormatting>
  <conditionalFormatting sqref="G18:G36">
    <cfRule type="cellIs" dxfId="115" priority="118" operator="lessThanOrEqual">
      <formula>1</formula>
    </cfRule>
    <cfRule type="cellIs" dxfId="114" priority="117" operator="greaterThan">
      <formula>1</formula>
    </cfRule>
  </conditionalFormatting>
  <conditionalFormatting sqref="G37">
    <cfRule type="cellIs" dxfId="113" priority="110" operator="lessThan">
      <formula>1</formula>
    </cfRule>
    <cfRule type="cellIs" dxfId="112" priority="109" operator="greaterThanOrEqual">
      <formula>1</formula>
    </cfRule>
  </conditionalFormatting>
  <conditionalFormatting sqref="G39:G40">
    <cfRule type="cellIs" dxfId="111" priority="120" operator="lessThanOrEqual">
      <formula>1</formula>
    </cfRule>
    <cfRule type="cellIs" dxfId="110" priority="119" operator="greaterThan">
      <formula>1</formula>
    </cfRule>
  </conditionalFormatting>
  <conditionalFormatting sqref="G41">
    <cfRule type="cellIs" dxfId="109" priority="112" operator="lessThan">
      <formula>1</formula>
    </cfRule>
    <cfRule type="cellIs" dxfId="108" priority="111" operator="greaterThanOrEqual">
      <formula>1</formula>
    </cfRule>
  </conditionalFormatting>
  <conditionalFormatting sqref="G42">
    <cfRule type="cellIs" dxfId="107" priority="122" operator="lessThanOrEqual">
      <formula>1</formula>
    </cfRule>
    <cfRule type="cellIs" dxfId="106" priority="121" operator="greaterThan">
      <formula>1</formula>
    </cfRule>
  </conditionalFormatting>
  <conditionalFormatting sqref="G43">
    <cfRule type="cellIs" dxfId="105" priority="114" operator="lessThan">
      <formula>1</formula>
    </cfRule>
    <cfRule type="cellIs" dxfId="104" priority="113" operator="greaterThanOrEqual">
      <formula>1</formula>
    </cfRule>
  </conditionalFormatting>
  <conditionalFormatting sqref="I6:I10 I15 N15 R15 V15 Z15 AD15 AH15 AL15 AP15 AT15 AX15 BB15 BF15 I37 N37 R37 V37 Z37 AD37 AH37 AL37 AP37 AT37 AX37 BB37 BF37 I41 N41 R41 V41 Z41 AD41 AH41 AL41 AP41 AT41 AX41 BB41 BF41 I43 N43 R43 V43 Z43 AD43 AH43 AL43 AP43 AT43 AX43 BB43 BF43">
    <cfRule type="expression" dxfId="103" priority="102">
      <formula>AND(ISNUMBER(I6),I6&lt;$E6)</formula>
    </cfRule>
    <cfRule type="expression" dxfId="102" priority="101">
      <formula>AND(ISNUMBER(I6),I6&gt;$E6)</formula>
    </cfRule>
  </conditionalFormatting>
  <conditionalFormatting sqref="I12:I14 I18:I36 N18:N36 R18:R36 V18:V36 Z18:Z36 AD18:AD36 AH18:AH36 AL18:AL36 AP18:AP36 AT18:AT36 AX18:AX36 BB18:BB36 BF18:BF36 I39:I40 N39:N40 R39:R40 V39:V40 Z39:Z40 AD39:AD40 AH39:AH40 AL39:AL40 AP39:AP40 AT39:AT40 AX39:AX40 BB39:BB40 BF39:BF40 I42 N42 R42 V42 Z42 AD42 AH42 AL42 AP42 AT42 AX42 BB42 BF42">
    <cfRule type="expression" dxfId="101" priority="104">
      <formula>AND(ISNUMBER(I12),I12&gt;$E12)</formula>
    </cfRule>
    <cfRule type="expression" dxfId="100" priority="103">
      <formula>AND(ISNUMBER(I12),I12&lt;$E12)</formula>
    </cfRule>
  </conditionalFormatting>
  <conditionalFormatting sqref="J6:J10 J15 J37 J41 J43">
    <cfRule type="cellIs" dxfId="99" priority="1" operator="greaterThanOrEqual">
      <formula>1</formula>
    </cfRule>
    <cfRule type="cellIs" dxfId="98" priority="2" operator="lessThan">
      <formula>1</formula>
    </cfRule>
  </conditionalFormatting>
  <conditionalFormatting sqref="J12:J14 J18:J36 J39:J40 J42">
    <cfRule type="cellIs" dxfId="97" priority="3" operator="lessThanOrEqual">
      <formula>1</formula>
    </cfRule>
    <cfRule type="cellIs" dxfId="96" priority="4" operator="greaterThan">
      <formula>1</formula>
    </cfRule>
  </conditionalFormatting>
  <conditionalFormatting sqref="M6:M10 M15 M37 M41 M43">
    <cfRule type="cellIs" dxfId="95" priority="5" operator="greaterThanOrEqual">
      <formula>1</formula>
    </cfRule>
    <cfRule type="cellIs" dxfId="94" priority="6" operator="lessThan">
      <formula>1</formula>
    </cfRule>
  </conditionalFormatting>
  <conditionalFormatting sqref="M12:M14 M18:M36 M39:M40 M42">
    <cfRule type="cellIs" dxfId="93" priority="7" operator="lessThanOrEqual">
      <formula>1</formula>
    </cfRule>
    <cfRule type="cellIs" dxfId="92" priority="8" operator="greaterThan">
      <formula>1</formula>
    </cfRule>
  </conditionalFormatting>
  <conditionalFormatting sqref="N6:N10">
    <cfRule type="expression" dxfId="91" priority="53">
      <formula>AND(ISNUMBER(N6),N6&gt;$E6)</formula>
    </cfRule>
    <cfRule type="expression" dxfId="90" priority="54">
      <formula>AND(ISNUMBER(N6),N6&lt;$E6)</formula>
    </cfRule>
  </conditionalFormatting>
  <conditionalFormatting sqref="N12:N14">
    <cfRule type="expression" dxfId="89" priority="56">
      <formula>AND(ISNUMBER(N12),N12&gt;$E12)</formula>
    </cfRule>
    <cfRule type="expression" dxfId="88" priority="55">
      <formula>AND(ISNUMBER(N12),N12&lt;$E12)</formula>
    </cfRule>
  </conditionalFormatting>
  <conditionalFormatting sqref="Q6:Q10 Q15 Q37 Q41 Q43">
    <cfRule type="cellIs" dxfId="87" priority="9" operator="greaterThanOrEqual">
      <formula>1</formula>
    </cfRule>
    <cfRule type="cellIs" dxfId="86" priority="10" operator="lessThan">
      <formula>1</formula>
    </cfRule>
  </conditionalFormatting>
  <conditionalFormatting sqref="Q12:Q14 Q18:Q36 Q39:Q40 Q42">
    <cfRule type="cellIs" dxfId="85" priority="11" operator="lessThanOrEqual">
      <formula>1</formula>
    </cfRule>
    <cfRule type="cellIs" dxfId="84" priority="12" operator="greaterThan">
      <formula>1</formula>
    </cfRule>
  </conditionalFormatting>
  <conditionalFormatting sqref="R6:R10">
    <cfRule type="expression" dxfId="83" priority="58">
      <formula>AND(ISNUMBER(R6),R6&lt;$E6)</formula>
    </cfRule>
    <cfRule type="expression" dxfId="82" priority="57">
      <formula>AND(ISNUMBER(R6),R6&gt;$E6)</formula>
    </cfRule>
  </conditionalFormatting>
  <conditionalFormatting sqref="R12:R14">
    <cfRule type="expression" dxfId="81" priority="59">
      <formula>AND(ISNUMBER(R12),R12&lt;$E12)</formula>
    </cfRule>
    <cfRule type="expression" dxfId="80" priority="60">
      <formula>AND(ISNUMBER(R12),R12&gt;$E12)</formula>
    </cfRule>
  </conditionalFormatting>
  <conditionalFormatting sqref="U6:U10 U15 U37 U41 U43">
    <cfRule type="cellIs" dxfId="79" priority="13" operator="greaterThanOrEqual">
      <formula>1</formula>
    </cfRule>
    <cfRule type="cellIs" dxfId="78" priority="14" operator="lessThan">
      <formula>1</formula>
    </cfRule>
  </conditionalFormatting>
  <conditionalFormatting sqref="U12:U14 U18:U36 U39:U40 U42">
    <cfRule type="cellIs" dxfId="77" priority="15" operator="lessThanOrEqual">
      <formula>1</formula>
    </cfRule>
    <cfRule type="cellIs" dxfId="76" priority="16" operator="greaterThan">
      <formula>1</formula>
    </cfRule>
  </conditionalFormatting>
  <conditionalFormatting sqref="V6:V10">
    <cfRule type="expression" dxfId="75" priority="61">
      <formula>AND(ISNUMBER(V6),V6&gt;$E6)</formula>
    </cfRule>
    <cfRule type="expression" dxfId="74" priority="62">
      <formula>AND(ISNUMBER(V6),V6&lt;$E6)</formula>
    </cfRule>
  </conditionalFormatting>
  <conditionalFormatting sqref="V12:V14">
    <cfRule type="expression" dxfId="73" priority="64">
      <formula>AND(ISNUMBER(V12),V12&gt;$E12)</formula>
    </cfRule>
    <cfRule type="expression" dxfId="72" priority="63">
      <formula>AND(ISNUMBER(V12),V12&lt;$E12)</formula>
    </cfRule>
  </conditionalFormatting>
  <conditionalFormatting sqref="Y6:Y10 Y15 Y37 Y41 Y43">
    <cfRule type="cellIs" dxfId="71" priority="18" operator="lessThan">
      <formula>1</formula>
    </cfRule>
    <cfRule type="cellIs" dxfId="70" priority="17" operator="greaterThanOrEqual">
      <formula>1</formula>
    </cfRule>
  </conditionalFormatting>
  <conditionalFormatting sqref="Y12:Y14 Y18:Y36 Y39:Y40 Y42">
    <cfRule type="cellIs" dxfId="69" priority="20" operator="greaterThan">
      <formula>1</formula>
    </cfRule>
    <cfRule type="cellIs" dxfId="68" priority="19" operator="lessThanOrEqual">
      <formula>1</formula>
    </cfRule>
  </conditionalFormatting>
  <conditionalFormatting sqref="Z6:Z10">
    <cfRule type="expression" dxfId="67" priority="66">
      <formula>AND(ISNUMBER(Z6),Z6&lt;$E6)</formula>
    </cfRule>
    <cfRule type="expression" dxfId="66" priority="65">
      <formula>AND(ISNUMBER(Z6),Z6&gt;$E6)</formula>
    </cfRule>
  </conditionalFormatting>
  <conditionalFormatting sqref="Z12:Z14">
    <cfRule type="expression" dxfId="65" priority="67">
      <formula>AND(ISNUMBER(Z12),Z12&lt;$E12)</formula>
    </cfRule>
    <cfRule type="expression" dxfId="64" priority="68">
      <formula>AND(ISNUMBER(Z12),Z12&gt;$E12)</formula>
    </cfRule>
  </conditionalFormatting>
  <conditionalFormatting sqref="AC6:AC10 AC15 AC37 AC41 AC43">
    <cfRule type="cellIs" dxfId="63" priority="22" operator="lessThan">
      <formula>1</formula>
    </cfRule>
    <cfRule type="cellIs" dxfId="62" priority="21" operator="greaterThanOrEqual">
      <formula>1</formula>
    </cfRule>
  </conditionalFormatting>
  <conditionalFormatting sqref="AC12:AC14 AC18:AC36 AC39:AC40 AC42">
    <cfRule type="cellIs" dxfId="61" priority="24" operator="greaterThan">
      <formula>1</formula>
    </cfRule>
    <cfRule type="cellIs" dxfId="60" priority="23" operator="lessThanOrEqual">
      <formula>1</formula>
    </cfRule>
  </conditionalFormatting>
  <conditionalFormatting sqref="AD6:AD10">
    <cfRule type="expression" dxfId="59" priority="69">
      <formula>AND(ISNUMBER(AD6),AD6&gt;$E6)</formula>
    </cfRule>
    <cfRule type="expression" dxfId="58" priority="70">
      <formula>AND(ISNUMBER(AD6),AD6&lt;$E6)</formula>
    </cfRule>
  </conditionalFormatting>
  <conditionalFormatting sqref="AD12:AD14">
    <cfRule type="expression" dxfId="57" priority="71">
      <formula>AND(ISNUMBER(AD12),AD12&lt;$E12)</formula>
    </cfRule>
    <cfRule type="expression" dxfId="56" priority="72">
      <formula>AND(ISNUMBER(AD12),AD12&gt;$E12)</formula>
    </cfRule>
  </conditionalFormatting>
  <conditionalFormatting sqref="AG6:AG10 AG15 AG37 AG41 AG43">
    <cfRule type="cellIs" dxfId="55" priority="25" operator="greaterThanOrEqual">
      <formula>1</formula>
    </cfRule>
    <cfRule type="cellIs" dxfId="54" priority="26" operator="lessThan">
      <formula>1</formula>
    </cfRule>
  </conditionalFormatting>
  <conditionalFormatting sqref="AG12:AG14 AG18:AG36 AG39:AG40 AG42">
    <cfRule type="cellIs" dxfId="53" priority="27" operator="lessThanOrEqual">
      <formula>1</formula>
    </cfRule>
    <cfRule type="cellIs" dxfId="52" priority="28" operator="greaterThan">
      <formula>1</formula>
    </cfRule>
  </conditionalFormatting>
  <conditionalFormatting sqref="AH6:AH10">
    <cfRule type="expression" dxfId="51" priority="73">
      <formula>AND(ISNUMBER(AH6),AH6&gt;$E6)</formula>
    </cfRule>
    <cfRule type="expression" dxfId="50" priority="74">
      <formula>AND(ISNUMBER(AH6),AH6&lt;$E6)</formula>
    </cfRule>
  </conditionalFormatting>
  <conditionalFormatting sqref="AH12:AH14">
    <cfRule type="expression" dxfId="49" priority="75">
      <formula>AND(ISNUMBER(AH12),AH12&lt;$E12)</formula>
    </cfRule>
    <cfRule type="expression" dxfId="48" priority="76">
      <formula>AND(ISNUMBER(AH12),AH12&gt;$E12)</formula>
    </cfRule>
  </conditionalFormatting>
  <conditionalFormatting sqref="AK6:AK10 AK15 AK37 AK41 AK43">
    <cfRule type="cellIs" dxfId="47" priority="29" operator="greaterThanOrEqual">
      <formula>1</formula>
    </cfRule>
    <cfRule type="cellIs" dxfId="46" priority="30" operator="lessThan">
      <formula>1</formula>
    </cfRule>
  </conditionalFormatting>
  <conditionalFormatting sqref="AK12:AK14 AK18:AK36 AK39:AK40 AK42">
    <cfRule type="cellIs" dxfId="45" priority="32" operator="greaterThan">
      <formula>1</formula>
    </cfRule>
    <cfRule type="cellIs" dxfId="44" priority="31" operator="lessThanOrEqual">
      <formula>1</formula>
    </cfRule>
  </conditionalFormatting>
  <conditionalFormatting sqref="AL6:AL10">
    <cfRule type="expression" dxfId="43" priority="77">
      <formula>AND(ISNUMBER(AL6),AL6&gt;$E6)</formula>
    </cfRule>
    <cfRule type="expression" dxfId="42" priority="78">
      <formula>AND(ISNUMBER(AL6),AL6&lt;$E6)</formula>
    </cfRule>
  </conditionalFormatting>
  <conditionalFormatting sqref="AL12:AL14">
    <cfRule type="expression" dxfId="41" priority="79">
      <formula>AND(ISNUMBER(AL12),AL12&lt;$E12)</formula>
    </cfRule>
    <cfRule type="expression" dxfId="40" priority="80">
      <formula>AND(ISNUMBER(AL12),AL12&gt;$E12)</formula>
    </cfRule>
  </conditionalFormatting>
  <conditionalFormatting sqref="AO6:AO10 AO15 AO37 AO41 AO43">
    <cfRule type="cellIs" dxfId="39" priority="34" operator="lessThan">
      <formula>1</formula>
    </cfRule>
    <cfRule type="cellIs" dxfId="38" priority="33" operator="greaterThanOrEqual">
      <formula>1</formula>
    </cfRule>
  </conditionalFormatting>
  <conditionalFormatting sqref="AO12:AO14 AO18:AO36 AO39:AO40 AO42">
    <cfRule type="cellIs" dxfId="37" priority="36" operator="greaterThan">
      <formula>1</formula>
    </cfRule>
    <cfRule type="cellIs" dxfId="36" priority="35" operator="lessThanOrEqual">
      <formula>1</formula>
    </cfRule>
  </conditionalFormatting>
  <conditionalFormatting sqref="AP6:AP10">
    <cfRule type="expression" dxfId="35" priority="81">
      <formula>AND(ISNUMBER(AP6),AP6&gt;$E6)</formula>
    </cfRule>
    <cfRule type="expression" dxfId="34" priority="82">
      <formula>AND(ISNUMBER(AP6),AP6&lt;$E6)</formula>
    </cfRule>
  </conditionalFormatting>
  <conditionalFormatting sqref="AP12:AP14">
    <cfRule type="expression" dxfId="33" priority="83">
      <formula>AND(ISNUMBER(AP12),AP12&lt;$E12)</formula>
    </cfRule>
    <cfRule type="expression" dxfId="32" priority="84">
      <formula>AND(ISNUMBER(AP12),AP12&gt;$E12)</formula>
    </cfRule>
  </conditionalFormatting>
  <conditionalFormatting sqref="AS6:AS10 AS15 AS37 AS41 AS43">
    <cfRule type="cellIs" dxfId="31" priority="38" operator="lessThan">
      <formula>1</formula>
    </cfRule>
    <cfRule type="cellIs" dxfId="30" priority="37" operator="greaterThanOrEqual">
      <formula>1</formula>
    </cfRule>
  </conditionalFormatting>
  <conditionalFormatting sqref="AS12:AS14 AS18:AS36 AS39:AS40 AS42">
    <cfRule type="cellIs" dxfId="29" priority="40" operator="greaterThan">
      <formula>1</formula>
    </cfRule>
    <cfRule type="cellIs" dxfId="28" priority="39" operator="lessThanOrEqual">
      <formula>1</formula>
    </cfRule>
  </conditionalFormatting>
  <conditionalFormatting sqref="AT6:AT10">
    <cfRule type="expression" dxfId="27" priority="86">
      <formula>AND(ISNUMBER(AT6),AT6&lt;$E6)</formula>
    </cfRule>
    <cfRule type="expression" dxfId="26" priority="85">
      <formula>AND(ISNUMBER(AT6),AT6&gt;$E6)</formula>
    </cfRule>
  </conditionalFormatting>
  <conditionalFormatting sqref="AT12:AT14">
    <cfRule type="expression" dxfId="25" priority="88">
      <formula>AND(ISNUMBER(AT12),AT12&gt;$E12)</formula>
    </cfRule>
    <cfRule type="expression" dxfId="24" priority="87">
      <formula>AND(ISNUMBER(AT12),AT12&lt;$E12)</formula>
    </cfRule>
  </conditionalFormatting>
  <conditionalFormatting sqref="AW6:AW10 AW15 AW37 AW41 AW43">
    <cfRule type="cellIs" dxfId="23" priority="42" operator="lessThan">
      <formula>1</formula>
    </cfRule>
    <cfRule type="cellIs" dxfId="22" priority="41" operator="greaterThanOrEqual">
      <formula>1</formula>
    </cfRule>
  </conditionalFormatting>
  <conditionalFormatting sqref="AW12:AW14 AW18:AW36 AW39:AW40 AW42">
    <cfRule type="cellIs" dxfId="21" priority="44" operator="greaterThan">
      <formula>1</formula>
    </cfRule>
    <cfRule type="cellIs" dxfId="20" priority="43" operator="lessThanOrEqual">
      <formula>1</formula>
    </cfRule>
  </conditionalFormatting>
  <conditionalFormatting sqref="AX6:AX10">
    <cfRule type="expression" dxfId="19" priority="89">
      <formula>AND(ISNUMBER(AX6),AX6&gt;$E6)</formula>
    </cfRule>
    <cfRule type="expression" dxfId="18" priority="90">
      <formula>AND(ISNUMBER(AX6),AX6&lt;$E6)</formula>
    </cfRule>
  </conditionalFormatting>
  <conditionalFormatting sqref="AX12:AX14">
    <cfRule type="expression" dxfId="17" priority="91">
      <formula>AND(ISNUMBER(AX12),AX12&lt;$E12)</formula>
    </cfRule>
    <cfRule type="expression" dxfId="16" priority="92">
      <formula>AND(ISNUMBER(AX12),AX12&gt;$E12)</formula>
    </cfRule>
  </conditionalFormatting>
  <conditionalFormatting sqref="BA6:BA10 BA15 BA37 BA41 BA43">
    <cfRule type="cellIs" dxfId="15" priority="46" operator="lessThan">
      <formula>1</formula>
    </cfRule>
    <cfRule type="cellIs" dxfId="14" priority="45" operator="greaterThanOrEqual">
      <formula>1</formula>
    </cfRule>
  </conditionalFormatting>
  <conditionalFormatting sqref="BA12:BA14 BA18:BA36 BA39:BA40 BA42">
    <cfRule type="cellIs" dxfId="13" priority="47" operator="lessThanOrEqual">
      <formula>1</formula>
    </cfRule>
    <cfRule type="cellIs" dxfId="12" priority="48" operator="greaterThan">
      <formula>1</formula>
    </cfRule>
  </conditionalFormatting>
  <conditionalFormatting sqref="BB6:BB10">
    <cfRule type="expression" dxfId="11" priority="94">
      <formula>AND(ISNUMBER(BB6),BB6&lt;$E6)</formula>
    </cfRule>
    <cfRule type="expression" dxfId="10" priority="93">
      <formula>AND(ISNUMBER(BB6),BB6&gt;$E6)</formula>
    </cfRule>
  </conditionalFormatting>
  <conditionalFormatting sqref="BB12:BB14">
    <cfRule type="expression" dxfId="9" priority="96">
      <formula>AND(ISNUMBER(BB12),BB12&gt;$E12)</formula>
    </cfRule>
    <cfRule type="expression" dxfId="8" priority="95">
      <formula>AND(ISNUMBER(BB12),BB12&lt;$E12)</formula>
    </cfRule>
  </conditionalFormatting>
  <conditionalFormatting sqref="BE6:BE10 BE15 BE37 BE41 BE43">
    <cfRule type="cellIs" dxfId="7" priority="49" operator="greaterThanOrEqual">
      <formula>1</formula>
    </cfRule>
    <cfRule type="cellIs" dxfId="6" priority="50" operator="lessThan">
      <formula>1</formula>
    </cfRule>
  </conditionalFormatting>
  <conditionalFormatting sqref="BE12:BE14 BE18:BE36 BE39:BE40 BE42">
    <cfRule type="cellIs" dxfId="5" priority="51" operator="lessThanOrEqual">
      <formula>1</formula>
    </cfRule>
    <cfRule type="cellIs" dxfId="4" priority="52" operator="greaterThan">
      <formula>1</formula>
    </cfRule>
  </conditionalFormatting>
  <conditionalFormatting sqref="BF6:BF10">
    <cfRule type="expression" dxfId="3" priority="98">
      <formula>AND(ISNUMBER(BF6),BF6&lt;$E6)</formula>
    </cfRule>
    <cfRule type="expression" dxfId="2" priority="97">
      <formula>AND(ISNUMBER(BF6),BF6&gt;$E6)</formula>
    </cfRule>
  </conditionalFormatting>
  <conditionalFormatting sqref="BF12:BF14">
    <cfRule type="expression" dxfId="1" priority="100">
      <formula>AND(ISNUMBER(BF12),BF12&gt;$E12)</formula>
    </cfRule>
    <cfRule type="expression" dxfId="0" priority="99">
      <formula>AND(ISNUMBER(BF12),BF12&lt;$E12)</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109F-C1D4-FA41-947B-0DCC51266FCE}">
  <sheetPr>
    <tabColor rgb="FF1F4E78"/>
  </sheetPr>
  <dimension ref="A1:K64"/>
  <sheetViews>
    <sheetView showGridLines="0" workbookViewId="0"/>
  </sheetViews>
  <sheetFormatPr baseColWidth="10" defaultRowHeight="15" outlineLevelRow="1" x14ac:dyDescent="0.2"/>
  <cols>
    <col min="1" max="1" width="3" customWidth="1"/>
    <col min="2" max="13" width="13" customWidth="1"/>
  </cols>
  <sheetData>
    <row r="1" spans="1:11" ht="21" x14ac:dyDescent="0.25">
      <c r="A1" s="74" t="s">
        <v>183</v>
      </c>
    </row>
    <row r="2" spans="1:11" x14ac:dyDescent="0.2">
      <c r="A2" s="75" t="s">
        <v>184</v>
      </c>
    </row>
    <row r="4" spans="1:11" x14ac:dyDescent="0.2">
      <c r="B4" s="76" t="s">
        <v>185</v>
      </c>
      <c r="E4" s="76" t="s">
        <v>186</v>
      </c>
      <c r="H4" s="76" t="s">
        <v>187</v>
      </c>
      <c r="K4" s="76" t="s">
        <v>188</v>
      </c>
    </row>
    <row r="5" spans="1:11" ht="28" customHeight="1" x14ac:dyDescent="0.3">
      <c r="B5" s="77">
        <f>'Performance Tracker'!H10</f>
        <v>8704.8300612999992</v>
      </c>
      <c r="E5" s="77">
        <f>'Performance Tracker'!H37</f>
        <v>2341.1083227599484</v>
      </c>
      <c r="H5" s="77">
        <f>'Performance Tracker'!H43</f>
        <v>1439.0136382000728</v>
      </c>
      <c r="K5" s="77">
        <f>'Performance Tracker'!H15</f>
        <v>4705.8157402396346</v>
      </c>
    </row>
    <row r="6" spans="1:11" x14ac:dyDescent="0.2">
      <c r="B6" s="78" t="str">
        <f>"of ₹"&amp;TEXT('Performance Tracker'!D10,"#,##0")&amp;" plan  •  "&amp;TEXT('Performance Tracker'!J10,"0.0%")&amp;" achieved"</f>
        <v>of ₹57,521 plan  •  15.1% achieved</v>
      </c>
      <c r="E6" s="78" t="str">
        <f>"Margin "&amp;TEXT('Performance Tracker'!H38,"0.0%")&amp;"  •  Plan "&amp;TEXT('Performance Tracker'!D38,"0.0%")</f>
        <v>Margin 26.9%  •  Plan 25.7%</v>
      </c>
      <c r="H6" s="78" t="str">
        <f>"Margin "&amp;TEXT('Performance Tracker'!H44,"0.0%")&amp;"  •  Plan "&amp;TEXT('Performance Tracker'!D44,"0.0%")</f>
        <v>Margin 16.5%  •  Plan 15.8%</v>
      </c>
      <c r="K6" s="78" t="str">
        <f>"Margin "&amp;TEXT('Performance Tracker'!H16,"0.0%")&amp;"  •  Plan "&amp;TEXT('Performance Tracker'!D16,"0.0%")</f>
        <v>Margin 54.1%  •  Plan 57.9%</v>
      </c>
    </row>
    <row r="40" spans="1:7" outlineLevel="1" x14ac:dyDescent="0.2">
      <c r="A40" s="79" t="s">
        <v>189</v>
      </c>
    </row>
    <row r="41" spans="1:7" outlineLevel="1" x14ac:dyDescent="0.2">
      <c r="A41" s="80" t="s">
        <v>190</v>
      </c>
      <c r="B41" s="81" t="s">
        <v>191</v>
      </c>
      <c r="C41" s="81" t="s">
        <v>192</v>
      </c>
      <c r="E41" s="80" t="s">
        <v>190</v>
      </c>
      <c r="F41" s="81" t="s">
        <v>193</v>
      </c>
      <c r="G41" s="81" t="s">
        <v>194</v>
      </c>
    </row>
    <row r="42" spans="1:7" outlineLevel="1" x14ac:dyDescent="0.2">
      <c r="A42" t="str">
        <f>TEXT('Performance Tracker'!K3,"mmm")</f>
        <v>Apr</v>
      </c>
      <c r="B42">
        <f>'Performance Tracker'!K10</f>
        <v>4217.5367316528091</v>
      </c>
      <c r="C42">
        <f>IF('Performance Tracker'!L10="",NA(),'Performance Tracker'!L10)</f>
        <v>4278.8806181</v>
      </c>
      <c r="E42" t="str">
        <f>TEXT('Performance Tracker'!K3,"mmm")</f>
        <v>Apr</v>
      </c>
      <c r="F42">
        <f>'Performance Tracker'!K37</f>
        <v>1085.3963729601114</v>
      </c>
      <c r="G42">
        <f>IF('Performance Tracker'!L37="",NA(),'Performance Tracker'!L37)</f>
        <v>1110.229698334954</v>
      </c>
    </row>
    <row r="43" spans="1:7" outlineLevel="1" x14ac:dyDescent="0.2">
      <c r="A43" t="str">
        <f>TEXT('Performance Tracker'!O3,"mmm")</f>
        <v>May</v>
      </c>
      <c r="B43">
        <f>'Performance Tracker'!O10</f>
        <v>4685.5584202392947</v>
      </c>
      <c r="C43">
        <f>IF('Performance Tracker'!P10="",NA(),'Performance Tracker'!P10)</f>
        <v>4425.9494432000001</v>
      </c>
      <c r="E43" t="str">
        <f>TEXT('Performance Tracker'!O3,"mmm")</f>
        <v>May</v>
      </c>
      <c r="F43">
        <f>'Performance Tracker'!O37</f>
        <v>1209.2662413813462</v>
      </c>
      <c r="G43">
        <f>IF('Performance Tracker'!P37="",NA(),'Performance Tracker'!P37)</f>
        <v>1230.8786244249943</v>
      </c>
    </row>
    <row r="44" spans="1:7" outlineLevel="1" x14ac:dyDescent="0.2">
      <c r="A44" t="str">
        <f>TEXT('Performance Tracker'!S3,"mmm")</f>
        <v>Jun</v>
      </c>
      <c r="B44">
        <f>'Performance Tracker'!S10</f>
        <v>4217.3576134568812</v>
      </c>
      <c r="C44" t="e">
        <f>IF('Performance Tracker'!T10="",NA(),'Performance Tracker'!T10)</f>
        <v>#N/A</v>
      </c>
      <c r="E44" t="str">
        <f>TEXT('Performance Tracker'!S3,"mmm")</f>
        <v>Jun</v>
      </c>
      <c r="F44">
        <f>'Performance Tracker'!S37</f>
        <v>719.47777047890577</v>
      </c>
      <c r="G44" t="e">
        <f>IF('Performance Tracker'!T37="",NA(),'Performance Tracker'!T37)</f>
        <v>#N/A</v>
      </c>
    </row>
    <row r="45" spans="1:7" outlineLevel="1" x14ac:dyDescent="0.2">
      <c r="A45" t="str">
        <f>TEXT('Performance Tracker'!W3,"mmm")</f>
        <v>Jul</v>
      </c>
      <c r="B45">
        <f>'Performance Tracker'!W10</f>
        <v>4913.2364202437093</v>
      </c>
      <c r="C45" t="e">
        <f>IF('Performance Tracker'!X10="",NA(),'Performance Tracker'!X10)</f>
        <v>#N/A</v>
      </c>
      <c r="E45" t="str">
        <f>TEXT('Performance Tracker'!W3,"mmm")</f>
        <v>Jul</v>
      </c>
      <c r="F45">
        <f>'Performance Tracker'!W37</f>
        <v>1251.1426865176491</v>
      </c>
      <c r="G45" t="e">
        <f>IF('Performance Tracker'!X37="",NA(),'Performance Tracker'!X37)</f>
        <v>#N/A</v>
      </c>
    </row>
    <row r="46" spans="1:7" outlineLevel="1" x14ac:dyDescent="0.2">
      <c r="A46" t="str">
        <f>TEXT('Performance Tracker'!AA3,"mmm")</f>
        <v>Aug</v>
      </c>
      <c r="B46">
        <f>'Performance Tracker'!AA10</f>
        <v>5057.0031710756202</v>
      </c>
      <c r="C46" t="e">
        <f>IF('Performance Tracker'!AB10="",NA(),'Performance Tracker'!AB10)</f>
        <v>#N/A</v>
      </c>
      <c r="E46" t="str">
        <f>TEXT('Performance Tracker'!AA3,"mmm")</f>
        <v>Aug</v>
      </c>
      <c r="F46">
        <f>'Performance Tracker'!AA37</f>
        <v>1436.4236409991086</v>
      </c>
      <c r="G46" t="e">
        <f>IF('Performance Tracker'!AB37="",NA(),'Performance Tracker'!AB37)</f>
        <v>#N/A</v>
      </c>
    </row>
    <row r="47" spans="1:7" outlineLevel="1" x14ac:dyDescent="0.2">
      <c r="A47" t="str">
        <f>TEXT('Performance Tracker'!AE3,"mmm")</f>
        <v>Sep</v>
      </c>
      <c r="B47">
        <f>'Performance Tracker'!AE10</f>
        <v>4965.4385436560005</v>
      </c>
      <c r="C47" t="e">
        <f>IF('Performance Tracker'!AF10="",NA(),'Performance Tracker'!AF10)</f>
        <v>#N/A</v>
      </c>
      <c r="E47" t="str">
        <f>TEXT('Performance Tracker'!AE3,"mmm")</f>
        <v>Sep</v>
      </c>
      <c r="F47">
        <f>'Performance Tracker'!AE37</f>
        <v>1370.5764671896543</v>
      </c>
      <c r="G47" t="e">
        <f>IF('Performance Tracker'!AF37="",NA(),'Performance Tracker'!AF37)</f>
        <v>#N/A</v>
      </c>
    </row>
    <row r="48" spans="1:7" outlineLevel="1" x14ac:dyDescent="0.2">
      <c r="A48" t="str">
        <f>TEXT('Performance Tracker'!AI3,"mmm")</f>
        <v>Oct</v>
      </c>
      <c r="B48">
        <f>'Performance Tracker'!AI10</f>
        <v>4950.2358799375152</v>
      </c>
      <c r="C48" t="e">
        <f>IF('Performance Tracker'!AJ10="",NA(),'Performance Tracker'!AJ10)</f>
        <v>#N/A</v>
      </c>
      <c r="E48" t="str">
        <f>TEXT('Performance Tracker'!AI3,"mmm")</f>
        <v>Oct</v>
      </c>
      <c r="F48">
        <f>'Performance Tracker'!AI37</f>
        <v>1235.1246706957929</v>
      </c>
      <c r="G48" t="e">
        <f>IF('Performance Tracker'!AJ37="",NA(),'Performance Tracker'!AJ37)</f>
        <v>#N/A</v>
      </c>
    </row>
    <row r="49" spans="1:7" outlineLevel="1" x14ac:dyDescent="0.2">
      <c r="A49" t="str">
        <f>TEXT('Performance Tracker'!AM3,"mmm")</f>
        <v>Nov</v>
      </c>
      <c r="B49">
        <f>'Performance Tracker'!AM10</f>
        <v>4421.2586961297511</v>
      </c>
      <c r="C49" t="e">
        <f>IF('Performance Tracker'!AN10="",NA(),'Performance Tracker'!AN10)</f>
        <v>#N/A</v>
      </c>
      <c r="E49" t="str">
        <f>TEXT('Performance Tracker'!AM3,"mmm")</f>
        <v>Nov</v>
      </c>
      <c r="F49">
        <f>'Performance Tracker'!AM37</f>
        <v>994.02375631787731</v>
      </c>
      <c r="G49" t="e">
        <f>IF('Performance Tracker'!AN37="",NA(),'Performance Tracker'!AN37)</f>
        <v>#N/A</v>
      </c>
    </row>
    <row r="50" spans="1:7" outlineLevel="1" x14ac:dyDescent="0.2">
      <c r="A50" t="str">
        <f>TEXT('Performance Tracker'!AQ3,"mmm")</f>
        <v>Dec</v>
      </c>
      <c r="B50">
        <f>'Performance Tracker'!AQ10</f>
        <v>4680.50644852812</v>
      </c>
      <c r="C50" t="e">
        <f>IF('Performance Tracker'!AR10="",NA(),'Performance Tracker'!AR10)</f>
        <v>#N/A</v>
      </c>
      <c r="E50" t="str">
        <f>TEXT('Performance Tracker'!AQ3,"mmm")</f>
        <v>Dec</v>
      </c>
      <c r="F50">
        <f>'Performance Tracker'!AQ37</f>
        <v>1137.0728182393814</v>
      </c>
      <c r="G50" t="e">
        <f>IF('Performance Tracker'!AR37="",NA(),'Performance Tracker'!AR37)</f>
        <v>#N/A</v>
      </c>
    </row>
    <row r="51" spans="1:7" outlineLevel="1" x14ac:dyDescent="0.2">
      <c r="A51" t="str">
        <f>TEXT('Performance Tracker'!AU3,"mmm")</f>
        <v>Jan</v>
      </c>
      <c r="B51">
        <f>'Performance Tracker'!AU10</f>
        <v>5394.4251067568248</v>
      </c>
      <c r="C51" t="e">
        <f>IF('Performance Tracker'!AV10="",NA(),'Performance Tracker'!AV10)</f>
        <v>#N/A</v>
      </c>
      <c r="E51" t="str">
        <f>TEXT('Performance Tracker'!AU3,"mmm")</f>
        <v>Jan</v>
      </c>
      <c r="F51">
        <f>'Performance Tracker'!AU37</f>
        <v>1785.5173065676674</v>
      </c>
      <c r="G51" t="e">
        <f>IF('Performance Tracker'!AV37="",NA(),'Performance Tracker'!AV37)</f>
        <v>#N/A</v>
      </c>
    </row>
    <row r="52" spans="1:7" outlineLevel="1" x14ac:dyDescent="0.2">
      <c r="A52" t="str">
        <f>TEXT('Performance Tracker'!AY3,"mmm")</f>
        <v>Feb</v>
      </c>
      <c r="B52">
        <f>'Performance Tracker'!AY10</f>
        <v>5063.9887040221465</v>
      </c>
      <c r="C52" t="e">
        <f>IF('Performance Tracker'!AZ10="",NA(),'Performance Tracker'!AZ10)</f>
        <v>#N/A</v>
      </c>
      <c r="E52" t="str">
        <f>TEXT('Performance Tracker'!AY3,"mmm")</f>
        <v>Feb</v>
      </c>
      <c r="F52">
        <f>'Performance Tracker'!AY37</f>
        <v>1315.2220826346907</v>
      </c>
      <c r="G52" t="e">
        <f>IF('Performance Tracker'!AZ37="",NA(),'Performance Tracker'!AZ37)</f>
        <v>#N/A</v>
      </c>
    </row>
    <row r="53" spans="1:7" outlineLevel="1" x14ac:dyDescent="0.2">
      <c r="A53" t="str">
        <f>TEXT('Performance Tracker'!BC3,"mmm")</f>
        <v>Mar</v>
      </c>
      <c r="B53">
        <f>'Performance Tracker'!BC10</f>
        <v>4954.8709405013224</v>
      </c>
      <c r="C53" t="e">
        <f>IF('Performance Tracker'!BD10="",NA(),'Performance Tracker'!BD10)</f>
        <v>#N/A</v>
      </c>
      <c r="E53" t="str">
        <f>TEXT('Performance Tracker'!BC3,"mmm")</f>
        <v>Mar</v>
      </c>
      <c r="F53">
        <f>'Performance Tracker'!BC37</f>
        <v>1240.7157841168384</v>
      </c>
      <c r="G53" t="e">
        <f>IF('Performance Tracker'!BD37="",NA(),'Performance Tracker'!BD37)</f>
        <v>#N/A</v>
      </c>
    </row>
    <row r="54" spans="1:7" outlineLevel="1" x14ac:dyDescent="0.2"/>
    <row r="55" spans="1:7" outlineLevel="1" x14ac:dyDescent="0.2">
      <c r="A55" s="80" t="s">
        <v>195</v>
      </c>
      <c r="B55" s="81" t="s">
        <v>196</v>
      </c>
      <c r="E55" s="80" t="s">
        <v>197</v>
      </c>
      <c r="F55" s="81" t="s">
        <v>196</v>
      </c>
    </row>
    <row r="56" spans="1:7" outlineLevel="1" x14ac:dyDescent="0.2">
      <c r="A56" t="str">
        <f>"IP Revenue"</f>
        <v>IP Revenue</v>
      </c>
      <c r="B56">
        <f>'Performance Tracker'!D6</f>
        <v>39854.1</v>
      </c>
      <c r="E56" t="s">
        <v>198</v>
      </c>
      <c r="F56">
        <f>'Performance Tracker'!D14</f>
        <v>24243.166426100972</v>
      </c>
    </row>
    <row r="57" spans="1:7" outlineLevel="1" x14ac:dyDescent="0.2">
      <c r="A57" t="s">
        <v>58</v>
      </c>
      <c r="B57">
        <f>'Performance Tracker'!D7</f>
        <v>14519.5</v>
      </c>
      <c r="E57" t="s">
        <v>199</v>
      </c>
      <c r="F57">
        <f>'Performance Tracker'!D36</f>
        <v>18498.290651999996</v>
      </c>
    </row>
    <row r="58" spans="1:7" outlineLevel="1" x14ac:dyDescent="0.2">
      <c r="A58" t="s">
        <v>59</v>
      </c>
      <c r="B58">
        <f>'Performance Tracker'!D8</f>
        <v>2222.6999999999998</v>
      </c>
      <c r="E58" t="s">
        <v>88</v>
      </c>
      <c r="F58">
        <f>'Performance Tracker'!D37</f>
        <v>14779.942921899026</v>
      </c>
    </row>
    <row r="59" spans="1:7" outlineLevel="1" x14ac:dyDescent="0.2">
      <c r="A59" t="s">
        <v>60</v>
      </c>
      <c r="B59">
        <f>'Performance Tracker'!D9</f>
        <v>925.1</v>
      </c>
    </row>
    <row r="60" spans="1:7" outlineLevel="1" x14ac:dyDescent="0.2"/>
    <row r="61" spans="1:7" outlineLevel="1" x14ac:dyDescent="0.2">
      <c r="A61" s="80" t="s">
        <v>200</v>
      </c>
      <c r="B61" s="81" t="s">
        <v>151</v>
      </c>
      <c r="C61" s="81" t="s">
        <v>201</v>
      </c>
    </row>
    <row r="62" spans="1:7" outlineLevel="1" x14ac:dyDescent="0.2">
      <c r="A62" t="s">
        <v>202</v>
      </c>
      <c r="B62" s="82">
        <f>'Performance Tracker'!D16</f>
        <v>0.57853657202187403</v>
      </c>
      <c r="C62" s="82">
        <f>'Performance Tracker'!H16</f>
        <v>0.54059823191273848</v>
      </c>
    </row>
    <row r="63" spans="1:7" outlineLevel="1" x14ac:dyDescent="0.2">
      <c r="A63" t="s">
        <v>203</v>
      </c>
      <c r="B63" s="82">
        <f>'Performance Tracker'!D38</f>
        <v>0.25694685668114869</v>
      </c>
      <c r="C63" s="82">
        <f>'Performance Tracker'!H38</f>
        <v>0.26894359870022805</v>
      </c>
    </row>
    <row r="64" spans="1:7" outlineLevel="1" x14ac:dyDescent="0.2">
      <c r="A64" t="s">
        <v>204</v>
      </c>
      <c r="B64" s="82">
        <f>'Performance Tracker'!D44</f>
        <v>0.15769452580935137</v>
      </c>
      <c r="C64" s="82">
        <f>'Performance Tracker'!H44</f>
        <v>0.1653120885837451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1"/>
  <sheetViews>
    <sheetView topLeftCell="A5" zoomScale="160" zoomScaleNormal="160" workbookViewId="0">
      <selection activeCell="B36" sqref="B36"/>
    </sheetView>
  </sheetViews>
  <sheetFormatPr baseColWidth="10" defaultColWidth="8.83203125" defaultRowHeight="15" outlineLevelRow="1" x14ac:dyDescent="0.2"/>
  <cols>
    <col min="1" max="1" width="40.1640625" customWidth="1"/>
    <col min="2" max="2" width="11" customWidth="1"/>
    <col min="3" max="3" width="11" style="3" customWidth="1"/>
    <col min="4" max="15" width="9" customWidth="1"/>
    <col min="16" max="16" width="11" customWidth="1"/>
    <col min="18" max="18" width="0" hidden="1" customWidth="1"/>
  </cols>
  <sheetData>
    <row r="1" spans="1:18" ht="22" customHeight="1" x14ac:dyDescent="0.2">
      <c r="A1" s="204" t="s">
        <v>43</v>
      </c>
      <c r="B1" s="205"/>
      <c r="C1" s="205"/>
      <c r="D1" s="205"/>
      <c r="E1" s="205"/>
      <c r="F1" s="205"/>
      <c r="G1" s="205"/>
      <c r="H1" s="205"/>
      <c r="I1" s="205"/>
      <c r="J1" s="205"/>
      <c r="K1" s="205"/>
      <c r="L1" s="205"/>
      <c r="M1" s="205"/>
      <c r="N1" s="205"/>
      <c r="O1" s="205"/>
      <c r="P1" s="205"/>
    </row>
    <row r="2" spans="1:18" ht="14.25" customHeight="1" x14ac:dyDescent="0.2">
      <c r="A2" s="206" t="s">
        <v>138</v>
      </c>
      <c r="B2" s="205"/>
      <c r="C2" s="205"/>
      <c r="D2" s="205"/>
      <c r="E2" s="205"/>
      <c r="F2" s="205"/>
      <c r="G2" s="205"/>
      <c r="H2" s="205"/>
      <c r="I2" s="205"/>
      <c r="J2" s="205"/>
      <c r="K2" s="205"/>
      <c r="L2" s="205"/>
      <c r="M2" s="205"/>
      <c r="N2" s="205"/>
      <c r="O2" s="205"/>
      <c r="P2" s="205"/>
    </row>
    <row r="3" spans="1:18" ht="16" customHeight="1" x14ac:dyDescent="0.2">
      <c r="A3" s="5" t="s">
        <v>44</v>
      </c>
      <c r="B3" s="5" t="s">
        <v>45</v>
      </c>
      <c r="C3" s="41" t="s">
        <v>46</v>
      </c>
      <c r="D3" s="5" t="s">
        <v>2</v>
      </c>
      <c r="E3" s="5" t="s">
        <v>7</v>
      </c>
      <c r="F3" s="5" t="s">
        <v>26</v>
      </c>
      <c r="G3" s="5" t="s">
        <v>47</v>
      </c>
      <c r="H3" s="5" t="s">
        <v>48</v>
      </c>
      <c r="I3" s="5" t="s">
        <v>20</v>
      </c>
      <c r="J3" s="5" t="s">
        <v>49</v>
      </c>
      <c r="K3" s="5" t="s">
        <v>50</v>
      </c>
      <c r="L3" s="5" t="s">
        <v>51</v>
      </c>
      <c r="M3" s="5" t="s">
        <v>52</v>
      </c>
      <c r="N3" s="5" t="s">
        <v>53</v>
      </c>
      <c r="O3" s="5" t="s">
        <v>54</v>
      </c>
      <c r="P3" s="5" t="s">
        <v>55</v>
      </c>
    </row>
    <row r="4" spans="1:18" ht="12" customHeight="1" x14ac:dyDescent="0.2">
      <c r="A4" s="207" t="s">
        <v>56</v>
      </c>
      <c r="B4" s="205"/>
      <c r="C4" s="205"/>
      <c r="D4" s="205"/>
      <c r="E4" s="205"/>
      <c r="F4" s="205"/>
      <c r="G4" s="205"/>
      <c r="H4" s="205"/>
      <c r="I4" s="205"/>
      <c r="J4" s="205"/>
      <c r="K4" s="205"/>
      <c r="L4" s="205"/>
      <c r="M4" s="205"/>
      <c r="N4" s="205"/>
      <c r="O4" s="205"/>
      <c r="P4" s="205"/>
    </row>
    <row r="5" spans="1:18" ht="14.25" customHeight="1" x14ac:dyDescent="0.2">
      <c r="A5" s="6" t="s">
        <v>57</v>
      </c>
      <c r="B5" s="7">
        <v>31154.530348400003</v>
      </c>
      <c r="C5" s="42">
        <v>39854.1</v>
      </c>
      <c r="D5" s="7">
        <v>2876.8073824068242</v>
      </c>
      <c r="E5" s="7">
        <v>3225.2554580370515</v>
      </c>
      <c r="F5" s="7">
        <v>2894.7614477916386</v>
      </c>
      <c r="G5" s="7">
        <v>3395.9549773212593</v>
      </c>
      <c r="H5" s="7">
        <v>3520.9665106044749</v>
      </c>
      <c r="I5" s="7">
        <v>3502.6116936469043</v>
      </c>
      <c r="J5" s="7">
        <v>3472.1809702639557</v>
      </c>
      <c r="K5" s="7">
        <v>3091.2843387338398</v>
      </c>
      <c r="L5" s="7">
        <v>3298.0824801986173</v>
      </c>
      <c r="M5" s="7">
        <v>3813.4737120204245</v>
      </c>
      <c r="N5" s="7">
        <v>3468.5768161547762</v>
      </c>
      <c r="O5" s="7">
        <v>3294.1442128202261</v>
      </c>
      <c r="P5" s="7">
        <f>SUM(D5:O5)</f>
        <v>39854.099999999991</v>
      </c>
      <c r="Q5" s="8">
        <f>+C5-P5</f>
        <v>0</v>
      </c>
    </row>
    <row r="6" spans="1:18" ht="14.25" customHeight="1" x14ac:dyDescent="0.2">
      <c r="A6" s="6" t="s">
        <v>58</v>
      </c>
      <c r="B6" s="7">
        <v>12160.815632200001</v>
      </c>
      <c r="C6" s="42">
        <v>14519.5</v>
      </c>
      <c r="D6" s="7">
        <v>1144.8244794682848</v>
      </c>
      <c r="E6" s="7">
        <v>1203.6881017742076</v>
      </c>
      <c r="F6" s="7">
        <v>1086.5150602475201</v>
      </c>
      <c r="G6" s="7">
        <v>1302.6031505409135</v>
      </c>
      <c r="H6" s="7">
        <v>1314.8004798736995</v>
      </c>
      <c r="I6" s="7">
        <v>1244.6990833569434</v>
      </c>
      <c r="J6" s="7">
        <v>1242.9216700105303</v>
      </c>
      <c r="K6" s="7">
        <v>1120.6706596207102</v>
      </c>
      <c r="L6" s="7">
        <v>1184.9459580857181</v>
      </c>
      <c r="M6" s="7">
        <v>1326.6257205700415</v>
      </c>
      <c r="N6" s="7">
        <v>1191.9089727739643</v>
      </c>
      <c r="O6" s="7">
        <v>1155.2966636774659</v>
      </c>
      <c r="P6" s="7">
        <f t="shared" ref="P6:P8" si="0">SUM(D6:O6)</f>
        <v>14519.499999999998</v>
      </c>
      <c r="Q6" s="8">
        <f t="shared" ref="Q6:Q8" si="1">+C6-P6</f>
        <v>0</v>
      </c>
    </row>
    <row r="7" spans="1:18" ht="14.25" customHeight="1" x14ac:dyDescent="0.2">
      <c r="A7" s="6" t="s">
        <v>59</v>
      </c>
      <c r="B7" s="7">
        <v>1718.1766884000003</v>
      </c>
      <c r="C7" s="42">
        <v>2222.6999999999998</v>
      </c>
      <c r="D7" s="7">
        <v>172.6427192681611</v>
      </c>
      <c r="E7" s="7">
        <v>183.26625520653286</v>
      </c>
      <c r="F7" s="7">
        <v>169.64179578568647</v>
      </c>
      <c r="G7" s="7">
        <v>198.3548486630427</v>
      </c>
      <c r="H7" s="7">
        <v>197.88220440922842</v>
      </c>
      <c r="I7" s="7">
        <v>191.14197158313041</v>
      </c>
      <c r="J7" s="7">
        <v>190.00750340971155</v>
      </c>
      <c r="K7" s="7">
        <v>177.99094281911454</v>
      </c>
      <c r="L7" s="7">
        <v>183.43361636061061</v>
      </c>
      <c r="M7" s="7">
        <v>201.12799275635885</v>
      </c>
      <c r="N7" s="7">
        <v>183.82705874421632</v>
      </c>
      <c r="O7" s="7">
        <v>173.38309099420547</v>
      </c>
      <c r="P7" s="7">
        <f t="shared" si="0"/>
        <v>2222.6999999999989</v>
      </c>
      <c r="Q7" s="8">
        <f t="shared" si="1"/>
        <v>0</v>
      </c>
    </row>
    <row r="8" spans="1:18" ht="14.25" customHeight="1" x14ac:dyDescent="0.2">
      <c r="A8" s="6" t="s">
        <v>60</v>
      </c>
      <c r="B8" s="7">
        <v>875.59769820000008</v>
      </c>
      <c r="C8" s="42">
        <v>925.1</v>
      </c>
      <c r="D8" s="7">
        <v>23.262150509538245</v>
      </c>
      <c r="E8" s="7">
        <v>73.348605221501714</v>
      </c>
      <c r="F8" s="7">
        <v>66.439309632036085</v>
      </c>
      <c r="G8" s="7">
        <v>16.323443718493795</v>
      </c>
      <c r="H8" s="7">
        <v>23.353976188217121</v>
      </c>
      <c r="I8" s="7">
        <v>26.985795069021616</v>
      </c>
      <c r="J8" s="7">
        <v>45.125736253316994</v>
      </c>
      <c r="K8" s="7">
        <v>31.312754956086025</v>
      </c>
      <c r="L8" s="7">
        <v>14.044393883174166</v>
      </c>
      <c r="M8" s="7">
        <v>53.197681410000229</v>
      </c>
      <c r="N8" s="7">
        <v>219.67585634918927</v>
      </c>
      <c r="O8" s="7">
        <v>332.04697300942473</v>
      </c>
      <c r="P8" s="7">
        <f t="shared" si="0"/>
        <v>925.11667620000003</v>
      </c>
      <c r="Q8" s="8">
        <f t="shared" si="1"/>
        <v>-1.6676200000006247E-2</v>
      </c>
    </row>
    <row r="9" spans="1:18" ht="14.25" customHeight="1" x14ac:dyDescent="0.2">
      <c r="A9" s="9" t="s">
        <v>61</v>
      </c>
      <c r="B9" s="10">
        <f>SUM(B5:B8)</f>
        <v>45909.120367200005</v>
      </c>
      <c r="C9" s="43">
        <f t="shared" ref="C9:P9" si="2">SUM(C5:C8)</f>
        <v>57521.399999999994</v>
      </c>
      <c r="D9" s="10">
        <f t="shared" si="2"/>
        <v>4217.5367316528091</v>
      </c>
      <c r="E9" s="10">
        <f t="shared" si="2"/>
        <v>4685.5584202392947</v>
      </c>
      <c r="F9" s="10">
        <f t="shared" si="2"/>
        <v>4217.3576134568812</v>
      </c>
      <c r="G9" s="10">
        <f t="shared" si="2"/>
        <v>4913.2364202437093</v>
      </c>
      <c r="H9" s="10">
        <f t="shared" si="2"/>
        <v>5057.0031710756202</v>
      </c>
      <c r="I9" s="10">
        <f t="shared" si="2"/>
        <v>4965.4385436560005</v>
      </c>
      <c r="J9" s="10">
        <f t="shared" si="2"/>
        <v>4950.2358799375152</v>
      </c>
      <c r="K9" s="10">
        <f t="shared" si="2"/>
        <v>4421.2586961297511</v>
      </c>
      <c r="L9" s="10">
        <f t="shared" si="2"/>
        <v>4680.50644852812</v>
      </c>
      <c r="M9" s="10">
        <f t="shared" si="2"/>
        <v>5394.4251067568248</v>
      </c>
      <c r="N9" s="10">
        <f t="shared" si="2"/>
        <v>5063.9887040221465</v>
      </c>
      <c r="O9" s="10">
        <f t="shared" si="2"/>
        <v>4954.8709405013224</v>
      </c>
      <c r="P9" s="10">
        <f t="shared" si="2"/>
        <v>57521.416676199988</v>
      </c>
    </row>
    <row r="11" spans="1:18" ht="12" customHeight="1" x14ac:dyDescent="0.2">
      <c r="A11" s="1" t="s">
        <v>62</v>
      </c>
    </row>
    <row r="12" spans="1:18" ht="14.25" customHeight="1" x14ac:dyDescent="0.2">
      <c r="A12" s="11" t="s">
        <v>63</v>
      </c>
      <c r="B12" s="12">
        <v>13709.978129072511</v>
      </c>
      <c r="C12" s="44">
        <f>+P12</f>
        <v>15243.175418999999</v>
      </c>
      <c r="D12" s="12">
        <v>960.94760699999995</v>
      </c>
      <c r="E12" s="12">
        <v>1274.237355</v>
      </c>
      <c r="F12" s="12">
        <v>1245.8601000000001</v>
      </c>
      <c r="G12" s="12">
        <v>1420.106241</v>
      </c>
      <c r="H12" s="12">
        <v>1356.520417</v>
      </c>
      <c r="I12" s="12">
        <v>1289.8680159999999</v>
      </c>
      <c r="J12" s="12">
        <v>1366.010636</v>
      </c>
      <c r="K12" s="12">
        <v>1200.529072</v>
      </c>
      <c r="L12" s="12">
        <v>1281.6389360000001</v>
      </c>
      <c r="M12" s="12">
        <v>1380.4565749999999</v>
      </c>
      <c r="N12" s="12">
        <v>1301.057624</v>
      </c>
      <c r="O12" s="12">
        <v>1165.9428399999999</v>
      </c>
      <c r="P12" s="7">
        <f t="shared" ref="P12:P13" si="3">SUM(D12:O12)</f>
        <v>15243.175418999999</v>
      </c>
      <c r="Q12" s="8">
        <f t="shared" ref="Q12:Q15" si="4">+C12-P12</f>
        <v>0</v>
      </c>
      <c r="R12" s="4">
        <f>+C12/$C$8</f>
        <v>16.477327228407738</v>
      </c>
    </row>
    <row r="13" spans="1:18" ht="14.25" customHeight="1" x14ac:dyDescent="0.2">
      <c r="A13" s="13" t="s">
        <v>64</v>
      </c>
      <c r="B13" s="14">
        <v>7978.2619825000002</v>
      </c>
      <c r="C13" s="45">
        <f>+P13</f>
        <v>8999.9910071009726</v>
      </c>
      <c r="D13" s="14">
        <v>749.99925059174768</v>
      </c>
      <c r="E13" s="14">
        <v>749.99925059174768</v>
      </c>
      <c r="F13" s="14">
        <v>749.99925059174768</v>
      </c>
      <c r="G13" s="14">
        <v>749.99925059174768</v>
      </c>
      <c r="H13" s="14">
        <v>749.99925059174768</v>
      </c>
      <c r="I13" s="14">
        <v>749.99925059174768</v>
      </c>
      <c r="J13" s="14">
        <v>749.99925059174768</v>
      </c>
      <c r="K13" s="14">
        <v>749.99925059174768</v>
      </c>
      <c r="L13" s="14">
        <v>749.99925059174768</v>
      </c>
      <c r="M13" s="14">
        <v>749.99925059174768</v>
      </c>
      <c r="N13" s="14">
        <v>749.99925059174768</v>
      </c>
      <c r="O13" s="14">
        <v>749.99925059174768</v>
      </c>
      <c r="P13" s="7">
        <f t="shared" si="3"/>
        <v>8999.9910071009726</v>
      </c>
      <c r="Q13" s="8">
        <f t="shared" si="4"/>
        <v>0</v>
      </c>
      <c r="R13" s="4">
        <f>+C13/$C$8</f>
        <v>9.7286682597567538</v>
      </c>
    </row>
    <row r="14" spans="1:18" ht="14.25" customHeight="1" x14ac:dyDescent="0.2">
      <c r="A14" s="15" t="s">
        <v>65</v>
      </c>
      <c r="B14" s="16">
        <f>+B12+B13</f>
        <v>21688.240111572512</v>
      </c>
      <c r="C14" s="46">
        <f t="shared" ref="C14:P14" si="5">+C12+C13</f>
        <v>24243.166426100972</v>
      </c>
      <c r="D14" s="16">
        <f t="shared" si="5"/>
        <v>1710.9468575917476</v>
      </c>
      <c r="E14" s="16">
        <f t="shared" si="5"/>
        <v>2024.2366055917478</v>
      </c>
      <c r="F14" s="16">
        <f t="shared" si="5"/>
        <v>1995.8593505917479</v>
      </c>
      <c r="G14" s="16">
        <f t="shared" si="5"/>
        <v>2170.1054915917475</v>
      </c>
      <c r="H14" s="16">
        <f t="shared" si="5"/>
        <v>2106.5196675917477</v>
      </c>
      <c r="I14" s="16">
        <f t="shared" si="5"/>
        <v>2039.8672665917475</v>
      </c>
      <c r="J14" s="16">
        <f t="shared" si="5"/>
        <v>2116.0098865917475</v>
      </c>
      <c r="K14" s="16">
        <f t="shared" si="5"/>
        <v>1950.5283225917478</v>
      </c>
      <c r="L14" s="16">
        <f t="shared" si="5"/>
        <v>2031.6381865917479</v>
      </c>
      <c r="M14" s="16">
        <f t="shared" si="5"/>
        <v>2130.4558255917477</v>
      </c>
      <c r="N14" s="16">
        <f t="shared" si="5"/>
        <v>2051.0568745917476</v>
      </c>
      <c r="O14" s="16">
        <f t="shared" si="5"/>
        <v>1915.9420905917477</v>
      </c>
      <c r="P14" s="16">
        <f t="shared" si="5"/>
        <v>24243.166426100972</v>
      </c>
    </row>
    <row r="15" spans="1:18" ht="14.25" customHeight="1" x14ac:dyDescent="0.2">
      <c r="A15" s="9" t="s">
        <v>66</v>
      </c>
      <c r="B15" s="10">
        <f>+B9-B14</f>
        <v>24220.880255627493</v>
      </c>
      <c r="C15" s="43">
        <f t="shared" ref="C15:P15" si="6">+C9-C14</f>
        <v>33278.233573899022</v>
      </c>
      <c r="D15" s="10">
        <f t="shared" si="6"/>
        <v>2506.5898740610614</v>
      </c>
      <c r="E15" s="10">
        <f t="shared" si="6"/>
        <v>2661.3218146475469</v>
      </c>
      <c r="F15" s="10">
        <f t="shared" si="6"/>
        <v>2221.4982628651333</v>
      </c>
      <c r="G15" s="10">
        <f t="shared" si="6"/>
        <v>2743.1309286519618</v>
      </c>
      <c r="H15" s="10">
        <f t="shared" si="6"/>
        <v>2950.4835034838725</v>
      </c>
      <c r="I15" s="10">
        <f t="shared" si="6"/>
        <v>2925.5712770642531</v>
      </c>
      <c r="J15" s="10">
        <f t="shared" si="6"/>
        <v>2834.2259933457676</v>
      </c>
      <c r="K15" s="10">
        <f t="shared" si="6"/>
        <v>2470.7303735380033</v>
      </c>
      <c r="L15" s="10">
        <f t="shared" si="6"/>
        <v>2648.8682619363722</v>
      </c>
      <c r="M15" s="10">
        <f t="shared" si="6"/>
        <v>3263.9692811650771</v>
      </c>
      <c r="N15" s="10">
        <f t="shared" si="6"/>
        <v>3012.9318294303989</v>
      </c>
      <c r="O15" s="10">
        <f t="shared" si="6"/>
        <v>3038.9288499095746</v>
      </c>
      <c r="P15" s="10">
        <f t="shared" si="6"/>
        <v>33278.250250099016</v>
      </c>
      <c r="Q15" s="8">
        <f t="shared" si="4"/>
        <v>-1.6676199993526097E-2</v>
      </c>
    </row>
    <row r="16" spans="1:18" ht="14.25" customHeight="1" x14ac:dyDescent="0.2">
      <c r="A16" s="6" t="s">
        <v>67</v>
      </c>
      <c r="B16" s="17">
        <f>+B15/B9</f>
        <v>0.52758319179062774</v>
      </c>
      <c r="C16" s="42">
        <f t="shared" ref="C16:P16" si="7">+C15/C9</f>
        <v>0.57853657202187403</v>
      </c>
      <c r="D16" s="17">
        <f t="shared" si="7"/>
        <v>0.59432555862501157</v>
      </c>
      <c r="E16" s="17">
        <f t="shared" si="7"/>
        <v>0.56798391482047328</v>
      </c>
      <c r="F16" s="17">
        <f t="shared" si="7"/>
        <v>0.52675121876710307</v>
      </c>
      <c r="G16" s="17">
        <f t="shared" si="7"/>
        <v>0.55831445793033818</v>
      </c>
      <c r="H16" s="17">
        <f t="shared" si="7"/>
        <v>0.58344505701710037</v>
      </c>
      <c r="I16" s="17">
        <f t="shared" si="7"/>
        <v>0.58918688678607334</v>
      </c>
      <c r="J16" s="17">
        <f t="shared" si="7"/>
        <v>0.5725436246043174</v>
      </c>
      <c r="K16" s="17">
        <f t="shared" si="7"/>
        <v>0.55882963276969366</v>
      </c>
      <c r="L16" s="17">
        <f t="shared" si="7"/>
        <v>0.56593624879405147</v>
      </c>
      <c r="M16" s="17">
        <f t="shared" si="7"/>
        <v>0.60506341576172218</v>
      </c>
      <c r="N16" s="17">
        <f t="shared" si="7"/>
        <v>0.59497206757932419</v>
      </c>
      <c r="O16" s="17">
        <f t="shared" si="7"/>
        <v>0.61332149442465655</v>
      </c>
      <c r="P16" s="17">
        <f t="shared" si="7"/>
        <v>0.57853669420955334</v>
      </c>
    </row>
    <row r="18" spans="1:17" ht="12" customHeight="1" x14ac:dyDescent="0.2">
      <c r="A18" s="1" t="s">
        <v>68</v>
      </c>
    </row>
    <row r="19" spans="1:17" ht="14.25" customHeight="1" x14ac:dyDescent="0.2">
      <c r="A19" s="13" t="s">
        <v>69</v>
      </c>
      <c r="B19" s="14">
        <v>7510.1356062307414</v>
      </c>
      <c r="C19" s="45">
        <f>+P19</f>
        <v>9172.7006519999995</v>
      </c>
      <c r="D19" s="14">
        <v>764.39172099999996</v>
      </c>
      <c r="E19" s="14">
        <v>764.39172099999996</v>
      </c>
      <c r="F19" s="14">
        <v>764.39172099999996</v>
      </c>
      <c r="G19" s="14">
        <v>764.39172099999996</v>
      </c>
      <c r="H19" s="14">
        <v>764.39172099999996</v>
      </c>
      <c r="I19" s="14">
        <v>764.39172099999996</v>
      </c>
      <c r="J19" s="14">
        <v>764.39172099999996</v>
      </c>
      <c r="K19" s="14">
        <v>764.39172099999996</v>
      </c>
      <c r="L19" s="14">
        <v>764.39172099999996</v>
      </c>
      <c r="M19" s="14">
        <v>764.39172099999996</v>
      </c>
      <c r="N19" s="14">
        <v>764.39172099999996</v>
      </c>
      <c r="O19" s="14">
        <v>764.39172099999996</v>
      </c>
      <c r="P19" s="7">
        <f t="shared" ref="P19:P36" si="8">SUM(D19:O19)</f>
        <v>9172.7006519999995</v>
      </c>
      <c r="Q19" s="8">
        <f t="shared" ref="Q19:Q36" si="9">+C19-P19</f>
        <v>0</v>
      </c>
    </row>
    <row r="20" spans="1:17" ht="14.25" customHeight="1" x14ac:dyDescent="0.2">
      <c r="A20" s="11" t="s">
        <v>70</v>
      </c>
      <c r="B20" s="12">
        <v>1190.7440199999999</v>
      </c>
      <c r="C20" s="45">
        <f t="shared" ref="C20:C36" si="10">+P20</f>
        <v>1425.8999999999999</v>
      </c>
      <c r="D20" s="12">
        <v>106.51425340752094</v>
      </c>
      <c r="E20" s="12">
        <v>114.49060347244094</v>
      </c>
      <c r="F20" s="12">
        <v>125.70902730307181</v>
      </c>
      <c r="G20" s="12">
        <v>117.11542223575493</v>
      </c>
      <c r="H20" s="12">
        <v>108.99724149947905</v>
      </c>
      <c r="I20" s="12">
        <v>117.125876293714</v>
      </c>
      <c r="J20" s="12">
        <v>130.77549907661884</v>
      </c>
      <c r="K20" s="12">
        <v>106.15132575700001</v>
      </c>
      <c r="L20" s="12">
        <v>118.14685623712819</v>
      </c>
      <c r="M20" s="12">
        <v>125.67154776893182</v>
      </c>
      <c r="N20" s="12">
        <v>109.14156258370295</v>
      </c>
      <c r="O20" s="12">
        <v>146.06078436463639</v>
      </c>
      <c r="P20" s="7">
        <f t="shared" si="8"/>
        <v>1425.8999999999999</v>
      </c>
      <c r="Q20" s="8">
        <f t="shared" si="9"/>
        <v>0</v>
      </c>
    </row>
    <row r="21" spans="1:17" ht="14.25" customHeight="1" x14ac:dyDescent="0.2">
      <c r="A21" s="13" t="s">
        <v>71</v>
      </c>
      <c r="B21" s="14">
        <v>267.69114920000004</v>
      </c>
      <c r="C21" s="45">
        <f t="shared" si="10"/>
        <v>280.99999999999989</v>
      </c>
      <c r="D21" s="14">
        <v>17.614642785507499</v>
      </c>
      <c r="E21" s="14">
        <v>19.535226344345599</v>
      </c>
      <c r="F21" s="14">
        <v>22.497811668403102</v>
      </c>
      <c r="G21" s="14">
        <v>19.284868795355699</v>
      </c>
      <c r="H21" s="14">
        <v>27.8625173162804</v>
      </c>
      <c r="I21" s="14">
        <v>17.6029804275651</v>
      </c>
      <c r="J21" s="14">
        <v>23.917081790465101</v>
      </c>
      <c r="K21" s="14">
        <v>9.6772167766538892</v>
      </c>
      <c r="L21" s="14">
        <v>39.487347869325802</v>
      </c>
      <c r="M21" s="14">
        <v>31.569099353696501</v>
      </c>
      <c r="N21" s="14">
        <v>28.746253221285102</v>
      </c>
      <c r="O21" s="14">
        <v>23.204953651116099</v>
      </c>
      <c r="P21" s="7">
        <f t="shared" si="8"/>
        <v>280.99999999999989</v>
      </c>
      <c r="Q21" s="8">
        <f t="shared" si="9"/>
        <v>0</v>
      </c>
    </row>
    <row r="22" spans="1:17" ht="14.25" customHeight="1" x14ac:dyDescent="0.2">
      <c r="A22" s="11" t="s">
        <v>72</v>
      </c>
      <c r="B22" s="12">
        <v>279.2730492</v>
      </c>
      <c r="C22" s="45">
        <f t="shared" si="10"/>
        <v>208.30000000000007</v>
      </c>
      <c r="D22" s="12">
        <v>16.634945621526921</v>
      </c>
      <c r="E22" s="12">
        <v>15.670586895285721</v>
      </c>
      <c r="F22" s="12">
        <v>17.618950432543201</v>
      </c>
      <c r="G22" s="12">
        <v>12.414811471897689</v>
      </c>
      <c r="H22" s="12">
        <v>19.68379571085373</v>
      </c>
      <c r="I22" s="12">
        <v>19.51310449973775</v>
      </c>
      <c r="J22" s="12">
        <v>15.669425807200268</v>
      </c>
      <c r="K22" s="12">
        <v>15.549286866167069</v>
      </c>
      <c r="L22" s="12">
        <v>18.107216054273049</v>
      </c>
      <c r="M22" s="12">
        <v>17.154053806277599</v>
      </c>
      <c r="N22" s="12">
        <v>17.050805724614797</v>
      </c>
      <c r="O22" s="12">
        <v>23.233017109622281</v>
      </c>
      <c r="P22" s="7">
        <f t="shared" si="8"/>
        <v>208.30000000000007</v>
      </c>
      <c r="Q22" s="8">
        <f t="shared" si="9"/>
        <v>0</v>
      </c>
    </row>
    <row r="23" spans="1:17" ht="14.25" customHeight="1" x14ac:dyDescent="0.2">
      <c r="A23" s="13" t="s">
        <v>73</v>
      </c>
      <c r="B23" s="14">
        <v>1559.2231366999999</v>
      </c>
      <c r="C23" s="45">
        <f t="shared" si="10"/>
        <v>1635.3899999999999</v>
      </c>
      <c r="D23" s="14">
        <v>84.960000000000008</v>
      </c>
      <c r="E23" s="14">
        <v>99.56</v>
      </c>
      <c r="F23" s="14">
        <v>132.21</v>
      </c>
      <c r="G23" s="14">
        <v>132.29</v>
      </c>
      <c r="H23" s="14">
        <v>143.62</v>
      </c>
      <c r="I23" s="14">
        <v>158.24</v>
      </c>
      <c r="J23" s="14">
        <v>163.31</v>
      </c>
      <c r="K23" s="14">
        <v>134.81</v>
      </c>
      <c r="L23" s="14">
        <v>109.05</v>
      </c>
      <c r="M23" s="14">
        <v>98.929999999999993</v>
      </c>
      <c r="N23" s="14">
        <v>189.56</v>
      </c>
      <c r="O23" s="14">
        <v>188.85</v>
      </c>
      <c r="P23" s="7">
        <f t="shared" si="8"/>
        <v>1635.3899999999999</v>
      </c>
      <c r="Q23" s="8">
        <f t="shared" si="9"/>
        <v>0</v>
      </c>
    </row>
    <row r="24" spans="1:17" ht="14.25" customHeight="1" x14ac:dyDescent="0.2">
      <c r="A24" s="11" t="s">
        <v>74</v>
      </c>
      <c r="B24" s="12">
        <v>1011.1752704</v>
      </c>
      <c r="C24" s="45">
        <f t="shared" si="10"/>
        <v>1183.9999999999993</v>
      </c>
      <c r="D24" s="12">
        <v>72.84237072101557</v>
      </c>
      <c r="E24" s="12">
        <v>84.093490776888444</v>
      </c>
      <c r="F24" s="12">
        <v>101.11201377101999</v>
      </c>
      <c r="G24" s="12">
        <v>87.150059888173345</v>
      </c>
      <c r="H24" s="12">
        <v>79.411635490883128</v>
      </c>
      <c r="I24" s="12">
        <v>87.829970601306229</v>
      </c>
      <c r="J24" s="12">
        <v>103.13467362265089</v>
      </c>
      <c r="K24" s="12">
        <v>74.265621533934123</v>
      </c>
      <c r="L24" s="12">
        <v>79.782964746049217</v>
      </c>
      <c r="M24" s="12">
        <v>57.876276797047744</v>
      </c>
      <c r="N24" s="12">
        <v>141.54074512619729</v>
      </c>
      <c r="O24" s="12">
        <v>214.96017692483332</v>
      </c>
      <c r="P24" s="7">
        <f t="shared" si="8"/>
        <v>1183.9999999999993</v>
      </c>
      <c r="Q24" s="8">
        <f t="shared" si="9"/>
        <v>0</v>
      </c>
    </row>
    <row r="25" spans="1:17" ht="14.25" customHeight="1" x14ac:dyDescent="0.2">
      <c r="A25" s="13" t="s">
        <v>75</v>
      </c>
      <c r="B25" s="14">
        <v>265.11630049999997</v>
      </c>
      <c r="C25" s="45">
        <f t="shared" si="10"/>
        <v>368.9</v>
      </c>
      <c r="D25" s="14">
        <v>28.914527222742397</v>
      </c>
      <c r="E25" s="14">
        <v>32.858063697218796</v>
      </c>
      <c r="F25" s="14">
        <v>32.858063697218796</v>
      </c>
      <c r="G25" s="14">
        <v>32.454900686123601</v>
      </c>
      <c r="H25" s="14">
        <v>27.573669997707302</v>
      </c>
      <c r="I25" s="14">
        <v>26.491382414828202</v>
      </c>
      <c r="J25" s="14">
        <v>35.500499878920103</v>
      </c>
      <c r="K25" s="14">
        <v>29.279706027732498</v>
      </c>
      <c r="L25" s="14">
        <v>29.746205733585203</v>
      </c>
      <c r="M25" s="14">
        <v>31.465652701350997</v>
      </c>
      <c r="N25" s="14">
        <v>29.391243063155198</v>
      </c>
      <c r="O25" s="14">
        <v>32.366084879416903</v>
      </c>
      <c r="P25" s="7">
        <f t="shared" si="8"/>
        <v>368.9</v>
      </c>
      <c r="Q25" s="8">
        <f t="shared" si="9"/>
        <v>0</v>
      </c>
    </row>
    <row r="26" spans="1:17" ht="14.25" customHeight="1" x14ac:dyDescent="0.2">
      <c r="A26" s="11" t="s">
        <v>76</v>
      </c>
      <c r="B26" s="12">
        <v>182.70991889999999</v>
      </c>
      <c r="C26" s="45">
        <f t="shared" si="10"/>
        <v>166.3</v>
      </c>
      <c r="D26" s="12">
        <v>10.3881011755514</v>
      </c>
      <c r="E26" s="12">
        <v>15.823621591241398</v>
      </c>
      <c r="F26" s="12">
        <v>12.298556532772901</v>
      </c>
      <c r="G26" s="12">
        <v>15.191547695443699</v>
      </c>
      <c r="H26" s="12">
        <v>12.674734472010099</v>
      </c>
      <c r="I26" s="12">
        <v>13.1011312835737</v>
      </c>
      <c r="J26" s="12">
        <v>16.453661039417199</v>
      </c>
      <c r="K26" s="12">
        <v>10.5925457769989</v>
      </c>
      <c r="L26" s="12">
        <v>12.725547331683501</v>
      </c>
      <c r="M26" s="12">
        <v>12.9416797218555</v>
      </c>
      <c r="N26" s="12">
        <v>16.412918932120398</v>
      </c>
      <c r="O26" s="12">
        <v>17.6959544473313</v>
      </c>
      <c r="P26" s="7">
        <f t="shared" si="8"/>
        <v>166.3</v>
      </c>
      <c r="Q26" s="8">
        <f t="shared" si="9"/>
        <v>0</v>
      </c>
    </row>
    <row r="27" spans="1:17" ht="14.25" customHeight="1" x14ac:dyDescent="0.2">
      <c r="A27" s="13" t="s">
        <v>77</v>
      </c>
      <c r="B27" s="14">
        <v>31.991355399999996</v>
      </c>
      <c r="C27" s="45">
        <f t="shared" si="10"/>
        <v>35.9</v>
      </c>
      <c r="D27" s="14">
        <v>2.5586521395089101</v>
      </c>
      <c r="E27" s="14">
        <v>2.6749152944610799</v>
      </c>
      <c r="F27" s="14">
        <v>2.17976641777422</v>
      </c>
      <c r="G27" s="14">
        <v>2.0699810361895499</v>
      </c>
      <c r="H27" s="14">
        <v>2.9522487190398903</v>
      </c>
      <c r="I27" s="14">
        <v>3.8088143702095199</v>
      </c>
      <c r="J27" s="14">
        <v>3.0101003691766102</v>
      </c>
      <c r="K27" s="14">
        <v>3.2638714191521903</v>
      </c>
      <c r="L27" s="14">
        <v>3.5089919344273897</v>
      </c>
      <c r="M27" s="14">
        <v>3.0436151173513597</v>
      </c>
      <c r="N27" s="14">
        <v>3.24232503759437</v>
      </c>
      <c r="O27" s="14">
        <v>3.5867181451149102</v>
      </c>
      <c r="P27" s="7">
        <f t="shared" si="8"/>
        <v>35.9</v>
      </c>
      <c r="Q27" s="8">
        <f t="shared" si="9"/>
        <v>0</v>
      </c>
    </row>
    <row r="28" spans="1:17" ht="14.25" customHeight="1" x14ac:dyDescent="0.2">
      <c r="A28" s="11" t="s">
        <v>78</v>
      </c>
      <c r="B28" s="12">
        <v>58.321303800000003</v>
      </c>
      <c r="C28" s="45">
        <f t="shared" si="10"/>
        <v>65.499999999999957</v>
      </c>
      <c r="D28" s="12">
        <v>3.8349730711952996</v>
      </c>
      <c r="E28" s="12">
        <v>6.6076095335852205</v>
      </c>
      <c r="F28" s="12">
        <v>4.9727993255185101</v>
      </c>
      <c r="G28" s="12">
        <v>6.8288176978306803</v>
      </c>
      <c r="H28" s="12">
        <v>3.3504461932142195</v>
      </c>
      <c r="I28" s="12">
        <v>1.8130073302647862</v>
      </c>
      <c r="J28" s="12">
        <v>10.612212806017501</v>
      </c>
      <c r="K28" s="12">
        <v>1.89851256891825</v>
      </c>
      <c r="L28" s="12">
        <v>2.4640353719252821</v>
      </c>
      <c r="M28" s="12">
        <v>5.0194067223510901</v>
      </c>
      <c r="N28" s="12">
        <v>2.97026818611692</v>
      </c>
      <c r="O28" s="12">
        <v>15.127911193062198</v>
      </c>
      <c r="P28" s="7">
        <f t="shared" si="8"/>
        <v>65.499999999999957</v>
      </c>
      <c r="Q28" s="8">
        <f t="shared" si="9"/>
        <v>0</v>
      </c>
    </row>
    <row r="29" spans="1:17" ht="14.25" customHeight="1" x14ac:dyDescent="0.2">
      <c r="A29" s="13" t="s">
        <v>79</v>
      </c>
      <c r="B29" s="14">
        <v>201.10741319999997</v>
      </c>
      <c r="C29" s="45">
        <f t="shared" si="10"/>
        <v>800</v>
      </c>
      <c r="D29" s="14">
        <v>69.459999999999994</v>
      </c>
      <c r="E29" s="14">
        <v>76.12</v>
      </c>
      <c r="F29" s="14">
        <v>70.61</v>
      </c>
      <c r="G29" s="14">
        <v>79.239999999999995</v>
      </c>
      <c r="H29" s="14">
        <v>62.89</v>
      </c>
      <c r="I29" s="14">
        <v>61.45</v>
      </c>
      <c r="J29" s="14">
        <v>56.15</v>
      </c>
      <c r="K29" s="14">
        <v>56.779999999999994</v>
      </c>
      <c r="L29" s="14">
        <v>49.93</v>
      </c>
      <c r="M29" s="14">
        <v>59.099999999999994</v>
      </c>
      <c r="N29" s="14">
        <v>72.08</v>
      </c>
      <c r="O29" s="14">
        <v>86.19</v>
      </c>
      <c r="P29" s="7">
        <f t="shared" si="8"/>
        <v>800</v>
      </c>
      <c r="Q29" s="8">
        <f t="shared" si="9"/>
        <v>0</v>
      </c>
    </row>
    <row r="30" spans="1:17" ht="14.25" customHeight="1" x14ac:dyDescent="0.2">
      <c r="A30" s="11" t="s">
        <v>80</v>
      </c>
      <c r="B30" s="12">
        <v>5.6756879999999992</v>
      </c>
      <c r="C30" s="45">
        <f t="shared" si="10"/>
        <v>6.3000000000000052</v>
      </c>
      <c r="D30" s="12">
        <v>0</v>
      </c>
      <c r="E30" s="12">
        <v>0</v>
      </c>
      <c r="F30" s="12">
        <v>0</v>
      </c>
      <c r="G30" s="12">
        <v>0</v>
      </c>
      <c r="H30" s="12">
        <v>0</v>
      </c>
      <c r="I30" s="12">
        <v>3.5221195916383099</v>
      </c>
      <c r="J30" s="12">
        <v>0</v>
      </c>
      <c r="K30" s="12">
        <v>2.1438988818668001</v>
      </c>
      <c r="L30" s="12">
        <v>0</v>
      </c>
      <c r="M30" s="12">
        <v>0</v>
      </c>
      <c r="N30" s="12">
        <v>0</v>
      </c>
      <c r="O30" s="12">
        <v>0.63398152649489503</v>
      </c>
      <c r="P30" s="7">
        <f t="shared" si="8"/>
        <v>6.3000000000000052</v>
      </c>
      <c r="Q30" s="8">
        <f t="shared" si="9"/>
        <v>0</v>
      </c>
    </row>
    <row r="31" spans="1:17" ht="14.25" customHeight="1" x14ac:dyDescent="0.2">
      <c r="A31" s="13" t="s">
        <v>81</v>
      </c>
      <c r="B31" s="14">
        <v>224.4976719747406</v>
      </c>
      <c r="C31" s="45">
        <f t="shared" si="10"/>
        <v>1144.2000000000007</v>
      </c>
      <c r="D31" s="14">
        <v>84.905706444812907</v>
      </c>
      <c r="E31" s="14">
        <v>93.240542893299306</v>
      </c>
      <c r="F31" s="14">
        <v>83.940688818275405</v>
      </c>
      <c r="G31" s="14">
        <v>99.064911715519699</v>
      </c>
      <c r="H31" s="14">
        <v>101.786625419065</v>
      </c>
      <c r="I31" s="14">
        <v>99.7973179044929</v>
      </c>
      <c r="J31" s="14">
        <v>99.163909404132397</v>
      </c>
      <c r="K31" s="14">
        <v>88.784647662536202</v>
      </c>
      <c r="L31" s="14">
        <v>94.323577390146994</v>
      </c>
      <c r="M31" s="14">
        <v>107.95837408077401</v>
      </c>
      <c r="N31" s="14">
        <v>97.9034551568311</v>
      </c>
      <c r="O31" s="14">
        <v>93.330243110114893</v>
      </c>
      <c r="P31" s="7">
        <f t="shared" si="8"/>
        <v>1144.2000000000007</v>
      </c>
      <c r="Q31" s="8">
        <f t="shared" si="9"/>
        <v>0</v>
      </c>
    </row>
    <row r="32" spans="1:17" ht="14.25" customHeight="1" x14ac:dyDescent="0.2">
      <c r="A32" s="11" t="s">
        <v>82</v>
      </c>
      <c r="B32" s="12">
        <v>879.8891734</v>
      </c>
      <c r="C32" s="45">
        <f t="shared" si="10"/>
        <v>1492.0000000000007</v>
      </c>
      <c r="D32" s="12">
        <v>135.276063917074</v>
      </c>
      <c r="E32" s="12">
        <v>98.010687484156293</v>
      </c>
      <c r="F32" s="12">
        <v>101.06627834227699</v>
      </c>
      <c r="G32" s="12">
        <v>86.168977969606701</v>
      </c>
      <c r="H32" s="12">
        <v>112.60877908194999</v>
      </c>
      <c r="I32" s="12">
        <v>143.85255289197451</v>
      </c>
      <c r="J32" s="12">
        <v>138.771322521196</v>
      </c>
      <c r="K32" s="12">
        <v>121.664281746236</v>
      </c>
      <c r="L32" s="12">
        <v>131.65521345099899</v>
      </c>
      <c r="M32" s="12">
        <v>125.75068704487799</v>
      </c>
      <c r="N32" s="12">
        <v>189.50498199049707</v>
      </c>
      <c r="O32" s="12">
        <v>107.670173559156</v>
      </c>
      <c r="P32" s="7">
        <f t="shared" si="8"/>
        <v>1492.0000000000007</v>
      </c>
      <c r="Q32" s="8">
        <f t="shared" si="9"/>
        <v>0</v>
      </c>
    </row>
    <row r="33" spans="1:17" ht="14.25" customHeight="1" x14ac:dyDescent="0.2">
      <c r="A33" s="13" t="s">
        <v>83</v>
      </c>
      <c r="B33" s="14">
        <v>37.475203199999996</v>
      </c>
      <c r="C33" s="45">
        <f t="shared" si="10"/>
        <v>46.700000000000017</v>
      </c>
      <c r="D33" s="14">
        <v>0.8494316946091971</v>
      </c>
      <c r="E33" s="14">
        <v>4.3468971690592504</v>
      </c>
      <c r="F33" s="14">
        <v>3.01737600211331</v>
      </c>
      <c r="G33" s="14">
        <v>5.0298399983058699</v>
      </c>
      <c r="H33" s="14">
        <v>3.4584729616622898</v>
      </c>
      <c r="I33" s="14">
        <v>3.5995557940030101</v>
      </c>
      <c r="J33" s="14">
        <v>3.8771070626242796</v>
      </c>
      <c r="K33" s="14">
        <v>6.24471830268822</v>
      </c>
      <c r="L33" s="14">
        <v>3.0146811868387697</v>
      </c>
      <c r="M33" s="14">
        <v>4.1218139849872797</v>
      </c>
      <c r="N33" s="14">
        <v>2.4885665126960497</v>
      </c>
      <c r="O33" s="14">
        <v>6.6515393304124899</v>
      </c>
      <c r="P33" s="7">
        <f t="shared" si="8"/>
        <v>46.700000000000017</v>
      </c>
      <c r="Q33" s="8">
        <f t="shared" si="9"/>
        <v>0</v>
      </c>
    </row>
    <row r="34" spans="1:17" ht="14.25" customHeight="1" x14ac:dyDescent="0.2">
      <c r="A34" s="11" t="s">
        <v>84</v>
      </c>
      <c r="B34" s="12">
        <v>180.74140990000001</v>
      </c>
      <c r="C34" s="45">
        <f t="shared" si="10"/>
        <v>198.39999999999998</v>
      </c>
      <c r="D34" s="12">
        <v>12.528147662745409</v>
      </c>
      <c r="E34" s="12">
        <v>14.483201182553071</v>
      </c>
      <c r="F34" s="12">
        <v>14.34566585175234</v>
      </c>
      <c r="G34" s="12">
        <v>16.446205459416362</v>
      </c>
      <c r="H34" s="12">
        <v>20.298673215119059</v>
      </c>
      <c r="I34" s="12">
        <v>16.689092519909639</v>
      </c>
      <c r="J34" s="12">
        <v>16.986372962890119</v>
      </c>
      <c r="K34" s="12">
        <v>14.09973695242271</v>
      </c>
      <c r="L34" s="12">
        <v>15.936058757058468</v>
      </c>
      <c r="M34" s="12">
        <v>15.712204731672822</v>
      </c>
      <c r="N34" s="12">
        <v>18.24358665556705</v>
      </c>
      <c r="O34" s="12">
        <v>22.631054048892931</v>
      </c>
      <c r="P34" s="7">
        <f t="shared" si="8"/>
        <v>198.39999999999998</v>
      </c>
      <c r="Q34" s="8">
        <f t="shared" si="9"/>
        <v>0</v>
      </c>
    </row>
    <row r="35" spans="1:17" ht="14.25" customHeight="1" x14ac:dyDescent="0.2">
      <c r="A35" s="13" t="s">
        <v>85</v>
      </c>
      <c r="B35" s="14">
        <v>118.03878990000001</v>
      </c>
      <c r="C35" s="45">
        <f t="shared" si="10"/>
        <v>139.00000000000003</v>
      </c>
      <c r="D35" s="14">
        <v>2.9023197254922</v>
      </c>
      <c r="E35" s="14">
        <v>2.8393463333869717</v>
      </c>
      <c r="F35" s="14">
        <v>4.0061556654436705</v>
      </c>
      <c r="G35" s="14">
        <v>8.1017419791423997</v>
      </c>
      <c r="H35" s="14">
        <v>14.800900347928799</v>
      </c>
      <c r="I35" s="14">
        <v>7.337058800193601</v>
      </c>
      <c r="J35" s="14">
        <v>9.5437926206663004</v>
      </c>
      <c r="K35" s="14">
        <v>30.491881436171937</v>
      </c>
      <c r="L35" s="14">
        <v>13.314168708705099</v>
      </c>
      <c r="M35" s="14">
        <v>11.128197254587398</v>
      </c>
      <c r="N35" s="14">
        <v>6.6875139966171391</v>
      </c>
      <c r="O35" s="14">
        <v>27.846923131664504</v>
      </c>
      <c r="P35" s="7">
        <f t="shared" si="8"/>
        <v>139.00000000000003</v>
      </c>
      <c r="Q35" s="8">
        <f t="shared" si="9"/>
        <v>0</v>
      </c>
    </row>
    <row r="36" spans="1:17" ht="14.25" customHeight="1" x14ac:dyDescent="0.2">
      <c r="A36" s="11" t="s">
        <v>86</v>
      </c>
      <c r="B36" s="12">
        <v>147.22187</v>
      </c>
      <c r="C36" s="45">
        <f t="shared" si="10"/>
        <v>127.79999999999997</v>
      </c>
      <c r="D36" s="12">
        <v>6.6176445116476303</v>
      </c>
      <c r="E36" s="12">
        <v>7.3090595982784405</v>
      </c>
      <c r="F36" s="12">
        <v>9.1856175580435195</v>
      </c>
      <c r="G36" s="12">
        <v>8.7444345055527393</v>
      </c>
      <c r="H36" s="12">
        <v>7.6984010595708403</v>
      </c>
      <c r="I36" s="12">
        <v>8.8291241511875889</v>
      </c>
      <c r="J36" s="12">
        <v>7.8339426879987295</v>
      </c>
      <c r="K36" s="12">
        <v>6.6176445116476303</v>
      </c>
      <c r="L36" s="12">
        <v>26.210857924844998</v>
      </c>
      <c r="M36" s="12">
        <v>6.6176445116476303</v>
      </c>
      <c r="N36" s="12">
        <v>8.3537996087130306</v>
      </c>
      <c r="O36" s="12">
        <v>23.7818293708672</v>
      </c>
      <c r="P36" s="7">
        <f t="shared" si="8"/>
        <v>127.79999999999997</v>
      </c>
      <c r="Q36" s="8">
        <f t="shared" si="9"/>
        <v>0</v>
      </c>
    </row>
    <row r="37" spans="1:17" ht="14.25" customHeight="1" x14ac:dyDescent="0.2">
      <c r="A37" s="15" t="s">
        <v>87</v>
      </c>
      <c r="B37" s="16">
        <f>SUM(B19:B36)</f>
        <v>14151.028329905477</v>
      </c>
      <c r="C37" s="46">
        <f t="shared" ref="C37:P37" si="11">SUM(C19:C36)</f>
        <v>18498.290651999996</v>
      </c>
      <c r="D37" s="16">
        <f t="shared" si="11"/>
        <v>1421.19350110095</v>
      </c>
      <c r="E37" s="16">
        <f t="shared" si="11"/>
        <v>1452.0555732662008</v>
      </c>
      <c r="F37" s="16">
        <f t="shared" si="11"/>
        <v>1502.0204923862275</v>
      </c>
      <c r="G37" s="16">
        <f t="shared" si="11"/>
        <v>1491.9882421343127</v>
      </c>
      <c r="H37" s="16">
        <f t="shared" si="11"/>
        <v>1514.0598624847639</v>
      </c>
      <c r="I37" s="16">
        <f t="shared" si="11"/>
        <v>1554.9948098745988</v>
      </c>
      <c r="J37" s="16">
        <f t="shared" si="11"/>
        <v>1599.1013226499747</v>
      </c>
      <c r="K37" s="16">
        <f t="shared" si="11"/>
        <v>1476.706617220126</v>
      </c>
      <c r="L37" s="16">
        <f t="shared" si="11"/>
        <v>1511.7954436969908</v>
      </c>
      <c r="M37" s="16">
        <f t="shared" si="11"/>
        <v>1478.4519745974096</v>
      </c>
      <c r="N37" s="16">
        <f t="shared" si="11"/>
        <v>1697.7097467957083</v>
      </c>
      <c r="O37" s="16">
        <f t="shared" si="11"/>
        <v>1798.2130657927362</v>
      </c>
      <c r="P37" s="16">
        <f t="shared" si="11"/>
        <v>18498.290651999996</v>
      </c>
    </row>
    <row r="39" spans="1:17" ht="14.25" customHeight="1" x14ac:dyDescent="0.2">
      <c r="A39" s="9" t="s">
        <v>88</v>
      </c>
      <c r="B39" s="10">
        <f>+B15-B37</f>
        <v>10069.851925722016</v>
      </c>
      <c r="C39" s="43">
        <f t="shared" ref="C39:P39" si="12">+C15-C37</f>
        <v>14779.942921899026</v>
      </c>
      <c r="D39" s="10">
        <f t="shared" si="12"/>
        <v>1085.3963729601114</v>
      </c>
      <c r="E39" s="10">
        <f t="shared" si="12"/>
        <v>1209.2662413813462</v>
      </c>
      <c r="F39" s="10">
        <f t="shared" si="12"/>
        <v>719.47777047890577</v>
      </c>
      <c r="G39" s="10">
        <f t="shared" si="12"/>
        <v>1251.1426865176491</v>
      </c>
      <c r="H39" s="10">
        <f t="shared" si="12"/>
        <v>1436.4236409991086</v>
      </c>
      <c r="I39" s="10">
        <f t="shared" si="12"/>
        <v>1370.5764671896543</v>
      </c>
      <c r="J39" s="10">
        <f t="shared" si="12"/>
        <v>1235.1246706957929</v>
      </c>
      <c r="K39" s="10">
        <f t="shared" si="12"/>
        <v>994.02375631787731</v>
      </c>
      <c r="L39" s="10">
        <f t="shared" si="12"/>
        <v>1137.0728182393814</v>
      </c>
      <c r="M39" s="10">
        <f t="shared" si="12"/>
        <v>1785.5173065676674</v>
      </c>
      <c r="N39" s="10">
        <f t="shared" si="12"/>
        <v>1315.2220826346907</v>
      </c>
      <c r="O39" s="10">
        <f t="shared" si="12"/>
        <v>1240.7157841168384</v>
      </c>
      <c r="P39" s="10">
        <f t="shared" si="12"/>
        <v>14779.95959809902</v>
      </c>
      <c r="Q39" s="8">
        <f t="shared" ref="Q39" si="13">+C39-P39</f>
        <v>-1.6676199993526097E-2</v>
      </c>
    </row>
    <row r="40" spans="1:17" ht="14.25" customHeight="1" x14ac:dyDescent="0.2">
      <c r="A40" s="6" t="s">
        <v>89</v>
      </c>
      <c r="B40" s="17">
        <f>+B39/B9</f>
        <v>0.21934316852902438</v>
      </c>
      <c r="C40" s="42">
        <f t="shared" ref="C40:P40" si="14">+C39/C9</f>
        <v>0.25694685668114869</v>
      </c>
      <c r="D40" s="17">
        <f t="shared" si="14"/>
        <v>0.25735315233040207</v>
      </c>
      <c r="E40" s="17">
        <f t="shared" si="14"/>
        <v>0.25808369737914572</v>
      </c>
      <c r="F40" s="17">
        <f t="shared" si="14"/>
        <v>0.17059918470825733</v>
      </c>
      <c r="G40" s="17">
        <f t="shared" si="14"/>
        <v>0.25464736062010812</v>
      </c>
      <c r="H40" s="17">
        <f t="shared" si="14"/>
        <v>0.28404641887807686</v>
      </c>
      <c r="I40" s="17">
        <f t="shared" si="14"/>
        <v>0.27602324651480092</v>
      </c>
      <c r="J40" s="17">
        <f t="shared" si="14"/>
        <v>0.2495082457992655</v>
      </c>
      <c r="K40" s="17">
        <f t="shared" si="14"/>
        <v>0.22482822757872514</v>
      </c>
      <c r="L40" s="17">
        <f t="shared" si="14"/>
        <v>0.24293798774638092</v>
      </c>
      <c r="M40" s="17">
        <f t="shared" si="14"/>
        <v>0.3309930662177894</v>
      </c>
      <c r="N40" s="17">
        <f t="shared" si="14"/>
        <v>0.25972057986425928</v>
      </c>
      <c r="O40" s="17">
        <f t="shared" si="14"/>
        <v>0.25040324945200404</v>
      </c>
      <c r="P40" s="17">
        <f t="shared" si="14"/>
        <v>0.25694707210183093</v>
      </c>
    </row>
    <row r="41" spans="1:17" ht="14.25" customHeight="1" x14ac:dyDescent="0.2">
      <c r="A41" s="11" t="s">
        <v>90</v>
      </c>
      <c r="B41" s="12">
        <v>2728.2069088081785</v>
      </c>
      <c r="C41" s="44">
        <f>+P41</f>
        <v>2741.5291699541453</v>
      </c>
      <c r="D41" s="12">
        <v>228.46076416284552</v>
      </c>
      <c r="E41" s="12">
        <v>228.46076416284552</v>
      </c>
      <c r="F41" s="12">
        <v>228.46076416284552</v>
      </c>
      <c r="G41" s="12">
        <v>228.46076416284552</v>
      </c>
      <c r="H41" s="12">
        <v>228.46076416284552</v>
      </c>
      <c r="I41" s="12">
        <v>228.46076416284552</v>
      </c>
      <c r="J41" s="12">
        <v>228.46076416284552</v>
      </c>
      <c r="K41" s="12">
        <v>228.46076416284552</v>
      </c>
      <c r="L41" s="12">
        <v>228.46076416284552</v>
      </c>
      <c r="M41" s="12">
        <v>228.46076416284552</v>
      </c>
      <c r="N41" s="12">
        <v>228.46076416284552</v>
      </c>
      <c r="O41" s="12">
        <v>228.46076416284552</v>
      </c>
      <c r="P41" s="12">
        <f>SUM(D41:O41)</f>
        <v>2741.5291699541453</v>
      </c>
      <c r="Q41" s="8">
        <f t="shared" ref="Q41:Q44" si="15">+C41-P41</f>
        <v>0</v>
      </c>
    </row>
    <row r="42" spans="1:17" ht="14.25" customHeight="1" x14ac:dyDescent="0.2">
      <c r="A42" s="11" t="s">
        <v>91</v>
      </c>
      <c r="B42" s="12">
        <v>62.065183999999995</v>
      </c>
      <c r="C42" s="44">
        <f>+P42</f>
        <v>60</v>
      </c>
      <c r="D42" s="12">
        <v>5</v>
      </c>
      <c r="E42" s="12">
        <v>5</v>
      </c>
      <c r="F42" s="12">
        <v>5</v>
      </c>
      <c r="G42" s="12">
        <v>5</v>
      </c>
      <c r="H42" s="12">
        <v>5</v>
      </c>
      <c r="I42" s="12">
        <v>5</v>
      </c>
      <c r="J42" s="12">
        <v>5</v>
      </c>
      <c r="K42" s="12">
        <v>5</v>
      </c>
      <c r="L42" s="12">
        <v>5</v>
      </c>
      <c r="M42" s="12">
        <v>5</v>
      </c>
      <c r="N42" s="12">
        <v>5</v>
      </c>
      <c r="O42" s="12">
        <v>5</v>
      </c>
      <c r="P42" s="12">
        <f>SUM(D42:O42)</f>
        <v>60</v>
      </c>
      <c r="Q42" s="8">
        <f t="shared" si="15"/>
        <v>0</v>
      </c>
    </row>
    <row r="43" spans="1:17" ht="14.25" customHeight="1" x14ac:dyDescent="0.2">
      <c r="A43" s="15" t="s">
        <v>92</v>
      </c>
      <c r="B43" s="16">
        <f>+B39-B41-B42</f>
        <v>7279.579832913837</v>
      </c>
      <c r="C43" s="46">
        <f t="shared" ref="C43:P43" si="16">+C39-C41-C42</f>
        <v>11978.413751944881</v>
      </c>
      <c r="D43" s="16">
        <f t="shared" si="16"/>
        <v>851.9356087972659</v>
      </c>
      <c r="E43" s="16">
        <f t="shared" si="16"/>
        <v>975.80547721850064</v>
      </c>
      <c r="F43" s="16">
        <f t="shared" si="16"/>
        <v>486.01700631606025</v>
      </c>
      <c r="G43" s="16">
        <f t="shared" si="16"/>
        <v>1017.6819223548035</v>
      </c>
      <c r="H43" s="16">
        <f t="shared" si="16"/>
        <v>1202.9628768362631</v>
      </c>
      <c r="I43" s="16">
        <f t="shared" si="16"/>
        <v>1137.1157030268087</v>
      </c>
      <c r="J43" s="16">
        <f t="shared" si="16"/>
        <v>1001.6639065329474</v>
      </c>
      <c r="K43" s="16">
        <f t="shared" si="16"/>
        <v>760.56299215503179</v>
      </c>
      <c r="L43" s="16">
        <f t="shared" si="16"/>
        <v>903.61205407653586</v>
      </c>
      <c r="M43" s="16">
        <f t="shared" si="16"/>
        <v>1552.0565424048218</v>
      </c>
      <c r="N43" s="16">
        <f t="shared" si="16"/>
        <v>1081.7613184718452</v>
      </c>
      <c r="O43" s="16">
        <f t="shared" si="16"/>
        <v>1007.2550199539929</v>
      </c>
      <c r="P43" s="16">
        <f t="shared" si="16"/>
        <v>11978.430428144875</v>
      </c>
    </row>
    <row r="44" spans="1:17" ht="14.25" customHeight="1" x14ac:dyDescent="0.2">
      <c r="A44" s="11" t="s">
        <v>93</v>
      </c>
      <c r="B44" s="12">
        <v>1892.6907565575946</v>
      </c>
      <c r="C44" s="44">
        <f>+P44</f>
        <v>2907.6038550548592</v>
      </c>
      <c r="D44" s="12">
        <v>264.46957546413785</v>
      </c>
      <c r="E44" s="12">
        <v>256.07884791517426</v>
      </c>
      <c r="F44" s="12">
        <v>106.49540532114007</v>
      </c>
      <c r="G44" s="12">
        <v>237.67777278040231</v>
      </c>
      <c r="H44" s="12">
        <v>298.09766822568741</v>
      </c>
      <c r="I44" s="12">
        <v>257.85514372235281</v>
      </c>
      <c r="J44" s="12">
        <v>230.8825401639013</v>
      </c>
      <c r="K44" s="12">
        <v>181.94439691280618</v>
      </c>
      <c r="L44" s="12">
        <v>199.97207638097512</v>
      </c>
      <c r="M44" s="12">
        <v>406.39466913913384</v>
      </c>
      <c r="N44" s="12">
        <v>254.87236438345545</v>
      </c>
      <c r="O44" s="12">
        <v>212.86339464569275</v>
      </c>
      <c r="P44" s="12">
        <f>SUM(D44:O44)</f>
        <v>2907.6038550548592</v>
      </c>
      <c r="Q44" s="8">
        <f t="shared" si="15"/>
        <v>0</v>
      </c>
    </row>
    <row r="45" spans="1:17" ht="14.25" customHeight="1" x14ac:dyDescent="0.2">
      <c r="A45" s="9" t="s">
        <v>94</v>
      </c>
      <c r="B45" s="10">
        <f>+B43-B44</f>
        <v>5386.8890763562422</v>
      </c>
      <c r="C45" s="43">
        <f t="shared" ref="C45:P45" si="17">+C43-C44</f>
        <v>9070.8098968900231</v>
      </c>
      <c r="D45" s="10">
        <f t="shared" si="17"/>
        <v>587.46603333312805</v>
      </c>
      <c r="E45" s="10">
        <f t="shared" si="17"/>
        <v>719.72662930332638</v>
      </c>
      <c r="F45" s="10">
        <f t="shared" si="17"/>
        <v>379.52160099492016</v>
      </c>
      <c r="G45" s="10">
        <f t="shared" si="17"/>
        <v>780.00414957440125</v>
      </c>
      <c r="H45" s="10">
        <f t="shared" si="17"/>
        <v>904.86520861057579</v>
      </c>
      <c r="I45" s="10">
        <f t="shared" si="17"/>
        <v>879.26055930445591</v>
      </c>
      <c r="J45" s="10">
        <f t="shared" si="17"/>
        <v>770.78136636904605</v>
      </c>
      <c r="K45" s="10">
        <f t="shared" si="17"/>
        <v>578.61859524222564</v>
      </c>
      <c r="L45" s="10">
        <f t="shared" si="17"/>
        <v>703.63997769556067</v>
      </c>
      <c r="M45" s="10">
        <f t="shared" si="17"/>
        <v>1145.661873265688</v>
      </c>
      <c r="N45" s="10">
        <f t="shared" si="17"/>
        <v>826.88895408838982</v>
      </c>
      <c r="O45" s="10">
        <f t="shared" si="17"/>
        <v>794.39162530830015</v>
      </c>
      <c r="P45" s="10">
        <f t="shared" si="17"/>
        <v>9070.8265730900166</v>
      </c>
    </row>
    <row r="46" spans="1:17" ht="14.25" customHeight="1" x14ac:dyDescent="0.2">
      <c r="A46" s="6" t="s">
        <v>95</v>
      </c>
      <c r="B46" s="17">
        <f>+B45/B9</f>
        <v>0.11733810260945299</v>
      </c>
      <c r="C46" s="51">
        <f t="shared" ref="C46:P46" si="18">+C45/C9</f>
        <v>0.15769452580935137</v>
      </c>
      <c r="D46" s="17">
        <f t="shared" si="18"/>
        <v>0.13929126661166177</v>
      </c>
      <c r="E46" s="17">
        <f t="shared" si="18"/>
        <v>0.15360530480090981</v>
      </c>
      <c r="F46" s="17">
        <f t="shared" si="18"/>
        <v>8.9990376861551966E-2</v>
      </c>
      <c r="G46" s="17">
        <f t="shared" si="18"/>
        <v>0.15875567199668991</v>
      </c>
      <c r="H46" s="17">
        <f t="shared" si="18"/>
        <v>0.17893309100261287</v>
      </c>
      <c r="I46" s="17">
        <f t="shared" si="18"/>
        <v>0.17707611353438796</v>
      </c>
      <c r="J46" s="17">
        <f t="shared" si="18"/>
        <v>0.15570598756574308</v>
      </c>
      <c r="K46" s="17">
        <f t="shared" si="18"/>
        <v>0.13087191567160106</v>
      </c>
      <c r="L46" s="17">
        <f t="shared" si="18"/>
        <v>0.15033415409925019</v>
      </c>
      <c r="M46" s="17">
        <f t="shared" si="18"/>
        <v>0.21237886347345544</v>
      </c>
      <c r="N46" s="17">
        <f t="shared" si="18"/>
        <v>0.16328807239076606</v>
      </c>
      <c r="O46" s="17">
        <f t="shared" si="18"/>
        <v>0.16032539189162523</v>
      </c>
      <c r="P46" s="17">
        <f t="shared" si="18"/>
        <v>0.15769477000456344</v>
      </c>
    </row>
    <row r="47" spans="1:17" x14ac:dyDescent="0.2">
      <c r="D47" s="53"/>
    </row>
    <row r="49" spans="1:17" ht="16" customHeight="1" x14ac:dyDescent="0.2">
      <c r="A49" s="208" t="s">
        <v>147</v>
      </c>
      <c r="B49" s="205"/>
      <c r="C49" s="205"/>
      <c r="D49" s="205"/>
      <c r="E49" s="205"/>
      <c r="F49" s="205"/>
      <c r="G49" s="205"/>
      <c r="H49" s="205"/>
      <c r="I49" s="205"/>
      <c r="J49" s="205"/>
      <c r="K49" s="205"/>
      <c r="L49" s="205"/>
      <c r="M49" s="205"/>
      <c r="N49" s="205"/>
      <c r="O49" s="205"/>
      <c r="P49" s="205"/>
    </row>
    <row r="50" spans="1:17" ht="14.25" customHeight="1" x14ac:dyDescent="0.2">
      <c r="A50" s="18" t="s">
        <v>96</v>
      </c>
      <c r="B50" s="18" t="s">
        <v>97</v>
      </c>
      <c r="C50" s="47" t="s">
        <v>98</v>
      </c>
      <c r="D50" s="18" t="s">
        <v>2</v>
      </c>
      <c r="E50" s="18" t="s">
        <v>7</v>
      </c>
      <c r="F50" s="18" t="s">
        <v>26</v>
      </c>
      <c r="G50" s="18" t="s">
        <v>47</v>
      </c>
      <c r="H50" s="18" t="s">
        <v>48</v>
      </c>
      <c r="I50" s="18" t="s">
        <v>20</v>
      </c>
      <c r="J50" s="18" t="s">
        <v>49</v>
      </c>
      <c r="K50" s="18" t="s">
        <v>50</v>
      </c>
      <c r="L50" s="18" t="s">
        <v>51</v>
      </c>
      <c r="M50" s="18" t="s">
        <v>52</v>
      </c>
      <c r="N50" s="18" t="s">
        <v>53</v>
      </c>
      <c r="O50" s="18" t="s">
        <v>54</v>
      </c>
      <c r="P50" s="18" t="s">
        <v>99</v>
      </c>
    </row>
    <row r="51" spans="1:17" ht="12" customHeight="1" x14ac:dyDescent="0.2">
      <c r="A51" s="40" t="s">
        <v>0</v>
      </c>
      <c r="B51" s="18"/>
      <c r="C51" s="18"/>
      <c r="D51" s="18"/>
      <c r="E51" s="18"/>
      <c r="F51" s="18"/>
      <c r="G51" s="18"/>
      <c r="H51" s="18"/>
      <c r="I51" s="18"/>
      <c r="J51" s="18"/>
      <c r="K51" s="18"/>
      <c r="L51" s="18"/>
      <c r="M51" s="18"/>
      <c r="N51" s="18"/>
      <c r="O51" s="18"/>
      <c r="P51" s="18"/>
    </row>
    <row r="52" spans="1:17" ht="14.25" customHeight="1" x14ac:dyDescent="0.2">
      <c r="A52" s="6" t="s">
        <v>100</v>
      </c>
      <c r="B52" s="19" t="s">
        <v>101</v>
      </c>
      <c r="C52" s="48">
        <f>+P52</f>
        <v>904.97649360406763</v>
      </c>
      <c r="D52" s="21">
        <v>0</v>
      </c>
      <c r="E52" s="21">
        <v>80.203977171697304</v>
      </c>
      <c r="F52" s="21">
        <v>71.754291588707076</v>
      </c>
      <c r="G52" s="21">
        <v>86.306094400395381</v>
      </c>
      <c r="H52" s="21">
        <v>84.294262589422146</v>
      </c>
      <c r="I52" s="21">
        <v>81.970071535439843</v>
      </c>
      <c r="J52" s="21">
        <v>86.34070403719069</v>
      </c>
      <c r="K52" s="21">
        <v>77.992911792316661</v>
      </c>
      <c r="L52" s="21">
        <v>80.061968346133639</v>
      </c>
      <c r="M52" s="21">
        <v>91.160589882864599</v>
      </c>
      <c r="N52" s="21">
        <v>85.397087483709754</v>
      </c>
      <c r="O52" s="21">
        <v>79.494534776190477</v>
      </c>
      <c r="P52" s="20">
        <f>SUM(D52:O52)</f>
        <v>904.97649360406763</v>
      </c>
      <c r="Q52" t="s">
        <v>1</v>
      </c>
    </row>
    <row r="53" spans="1:17" ht="14.25" customHeight="1" x14ac:dyDescent="0.2">
      <c r="A53" s="11" t="s">
        <v>102</v>
      </c>
      <c r="B53" s="22" t="s">
        <v>101</v>
      </c>
      <c r="C53" s="48">
        <f t="shared" ref="C53:C72" si="19">+P53</f>
        <v>250</v>
      </c>
      <c r="D53" s="21">
        <v>0</v>
      </c>
      <c r="E53" s="21">
        <v>0</v>
      </c>
      <c r="F53" s="21">
        <v>0</v>
      </c>
      <c r="G53" s="21">
        <v>7.5</v>
      </c>
      <c r="H53" s="21">
        <v>12.5</v>
      </c>
      <c r="I53" s="21">
        <v>17.500000000000004</v>
      </c>
      <c r="J53" s="21">
        <v>22.5</v>
      </c>
      <c r="K53" s="21">
        <v>27.5</v>
      </c>
      <c r="L53" s="21">
        <v>32.5</v>
      </c>
      <c r="M53" s="21">
        <v>37.5</v>
      </c>
      <c r="N53" s="21">
        <v>42.5</v>
      </c>
      <c r="O53" s="21">
        <v>50</v>
      </c>
      <c r="P53" s="20">
        <f t="shared" ref="P53:P70" si="20">SUM(D53:O53)</f>
        <v>250</v>
      </c>
      <c r="Q53" t="s">
        <v>3</v>
      </c>
    </row>
    <row r="54" spans="1:17" ht="14.25" customHeight="1" x14ac:dyDescent="0.2">
      <c r="A54" s="6" t="s">
        <v>103</v>
      </c>
      <c r="B54" s="19" t="s">
        <v>101</v>
      </c>
      <c r="C54" s="48">
        <f t="shared" si="19"/>
        <v>900</v>
      </c>
      <c r="D54" s="21">
        <v>66.41929198934362</v>
      </c>
      <c r="E54" s="21">
        <v>75.21692798744516</v>
      </c>
      <c r="F54" s="21">
        <v>73.976829749768456</v>
      </c>
      <c r="G54" s="21">
        <v>75.272762967262594</v>
      </c>
      <c r="H54" s="21">
        <v>74.547357011146403</v>
      </c>
      <c r="I54" s="21">
        <v>81.604123393105098</v>
      </c>
      <c r="J54" s="21">
        <v>77.345103692653453</v>
      </c>
      <c r="K54" s="21">
        <v>71.37307448151779</v>
      </c>
      <c r="L54" s="21">
        <v>74.294749344724792</v>
      </c>
      <c r="M54" s="21">
        <v>73.007570224819162</v>
      </c>
      <c r="N54" s="21">
        <v>76.948663343756195</v>
      </c>
      <c r="O54" s="21">
        <v>79.993545814457264</v>
      </c>
      <c r="P54" s="20">
        <f t="shared" si="20"/>
        <v>900</v>
      </c>
      <c r="Q54" t="s">
        <v>4</v>
      </c>
    </row>
    <row r="55" spans="1:17" ht="12" customHeight="1" x14ac:dyDescent="0.2">
      <c r="A55" s="40" t="s">
        <v>5</v>
      </c>
      <c r="B55" s="18"/>
      <c r="C55" s="18"/>
      <c r="D55" s="18"/>
      <c r="E55" s="18"/>
      <c r="F55" s="18"/>
      <c r="G55" s="18"/>
      <c r="H55" s="18"/>
      <c r="I55" s="18"/>
      <c r="J55" s="18"/>
      <c r="K55" s="18"/>
      <c r="L55" s="18"/>
      <c r="M55" s="18"/>
      <c r="N55" s="18"/>
      <c r="O55" s="18"/>
      <c r="P55" s="18"/>
    </row>
    <row r="56" spans="1:17" ht="14.25" customHeight="1" x14ac:dyDescent="0.2">
      <c r="A56" s="6" t="s">
        <v>104</v>
      </c>
      <c r="B56" s="19" t="s">
        <v>101</v>
      </c>
      <c r="C56" s="48">
        <f t="shared" si="19"/>
        <v>449.12</v>
      </c>
      <c r="D56" s="21">
        <v>0</v>
      </c>
      <c r="E56" s="21">
        <v>12</v>
      </c>
      <c r="F56" s="21">
        <v>20</v>
      </c>
      <c r="G56" s="21">
        <v>36</v>
      </c>
      <c r="H56" s="21">
        <v>36</v>
      </c>
      <c r="I56" s="21">
        <v>36</v>
      </c>
      <c r="J56" s="21">
        <v>7.04</v>
      </c>
      <c r="K56" s="21">
        <v>7.04</v>
      </c>
      <c r="L56" s="21">
        <v>7.04</v>
      </c>
      <c r="M56" s="21">
        <v>96</v>
      </c>
      <c r="N56" s="21">
        <v>96</v>
      </c>
      <c r="O56" s="21">
        <v>96</v>
      </c>
      <c r="P56" s="20">
        <f t="shared" si="20"/>
        <v>449.12</v>
      </c>
      <c r="Q56" t="s">
        <v>6</v>
      </c>
    </row>
    <row r="57" spans="1:17" ht="14.25" customHeight="1" x14ac:dyDescent="0.2">
      <c r="A57" s="11" t="s">
        <v>105</v>
      </c>
      <c r="B57" s="22" t="s">
        <v>101</v>
      </c>
      <c r="C57" s="48">
        <f t="shared" si="19"/>
        <v>535.12682206964769</v>
      </c>
      <c r="D57" s="21">
        <v>0</v>
      </c>
      <c r="E57" s="21">
        <v>0</v>
      </c>
      <c r="F57" s="21">
        <v>0</v>
      </c>
      <c r="G57" s="21">
        <v>16.053804662089426</v>
      </c>
      <c r="H57" s="21">
        <v>26.756341103482384</v>
      </c>
      <c r="I57" s="21">
        <v>37.458877544875342</v>
      </c>
      <c r="J57" s="21">
        <v>53.512682206964769</v>
      </c>
      <c r="K57" s="21">
        <v>58.863950427661237</v>
      </c>
      <c r="L57" s="21">
        <v>64.215218648357705</v>
      </c>
      <c r="M57" s="21">
        <v>80.269023310447139</v>
      </c>
      <c r="N57" s="21">
        <v>90.971559751840104</v>
      </c>
      <c r="O57" s="21">
        <v>107.02536441392954</v>
      </c>
      <c r="P57" s="20">
        <f t="shared" si="20"/>
        <v>535.12682206964769</v>
      </c>
      <c r="Q57" t="s">
        <v>8</v>
      </c>
    </row>
    <row r="58" spans="1:17" ht="14.25" customHeight="1" x14ac:dyDescent="0.2">
      <c r="A58" s="6" t="s">
        <v>106</v>
      </c>
      <c r="B58" s="19" t="s">
        <v>101</v>
      </c>
      <c r="C58" s="48">
        <f t="shared" si="19"/>
        <v>240</v>
      </c>
      <c r="D58" s="21">
        <v>0</v>
      </c>
      <c r="E58" s="21">
        <v>0</v>
      </c>
      <c r="F58" s="21">
        <v>60</v>
      </c>
      <c r="G58" s="21">
        <v>0</v>
      </c>
      <c r="H58" s="21">
        <v>0</v>
      </c>
      <c r="I58" s="21">
        <v>60</v>
      </c>
      <c r="J58" s="21">
        <v>0</v>
      </c>
      <c r="K58" s="21">
        <v>0</v>
      </c>
      <c r="L58" s="21">
        <v>60</v>
      </c>
      <c r="M58" s="21">
        <v>0</v>
      </c>
      <c r="N58" s="21">
        <v>0</v>
      </c>
      <c r="O58" s="21">
        <v>60</v>
      </c>
      <c r="P58" s="20">
        <f t="shared" si="20"/>
        <v>240</v>
      </c>
      <c r="Q58" t="s">
        <v>9</v>
      </c>
    </row>
    <row r="59" spans="1:17" ht="12" customHeight="1" x14ac:dyDescent="0.2">
      <c r="A59" s="40" t="s">
        <v>10</v>
      </c>
      <c r="B59" s="18"/>
      <c r="C59" s="18"/>
      <c r="D59" s="18"/>
      <c r="E59" s="18"/>
      <c r="F59" s="18"/>
      <c r="G59" s="18"/>
      <c r="H59" s="18"/>
      <c r="I59" s="18"/>
      <c r="J59" s="18"/>
      <c r="K59" s="18"/>
      <c r="L59" s="18"/>
      <c r="M59" s="18"/>
      <c r="N59" s="18"/>
      <c r="O59" s="18"/>
      <c r="P59" s="18"/>
    </row>
    <row r="60" spans="1:17" ht="14.25" customHeight="1" x14ac:dyDescent="0.2">
      <c r="A60" s="6" t="s">
        <v>107</v>
      </c>
      <c r="B60" s="19" t="s">
        <v>101</v>
      </c>
      <c r="C60" s="48">
        <f t="shared" si="19"/>
        <v>681.9209760637749</v>
      </c>
      <c r="D60" s="21">
        <v>48.514256120168085</v>
      </c>
      <c r="E60" s="21">
        <v>50.195491239579638</v>
      </c>
      <c r="F60" s="21">
        <v>39.696351226621914</v>
      </c>
      <c r="G60" s="21">
        <v>73.126805070484551</v>
      </c>
      <c r="H60" s="21">
        <v>101.92516665008152</v>
      </c>
      <c r="I60" s="21">
        <v>73.146713338767128</v>
      </c>
      <c r="J60" s="21">
        <v>55.389579293161574</v>
      </c>
      <c r="K60" s="21">
        <v>52.764142621445941</v>
      </c>
      <c r="L60" s="21">
        <v>45.298899082498913</v>
      </c>
      <c r="M60" s="21">
        <v>77.350623512594638</v>
      </c>
      <c r="N60" s="21">
        <v>48.025132841499364</v>
      </c>
      <c r="O60" s="21">
        <v>16.487815066871445</v>
      </c>
      <c r="P60" s="20">
        <f t="shared" si="20"/>
        <v>681.9209760637749</v>
      </c>
      <c r="Q60" t="s">
        <v>11</v>
      </c>
    </row>
    <row r="61" spans="1:17" ht="14.25" customHeight="1" x14ac:dyDescent="0.2">
      <c r="A61" s="11" t="s">
        <v>108</v>
      </c>
      <c r="B61" s="22" t="s">
        <v>101</v>
      </c>
      <c r="C61" s="48">
        <f t="shared" si="19"/>
        <v>150.00000000000003</v>
      </c>
      <c r="D61" s="21">
        <v>9.7524857275747543</v>
      </c>
      <c r="E61" s="21">
        <v>11.011735184296207</v>
      </c>
      <c r="F61" s="21">
        <v>7.6351362710781085</v>
      </c>
      <c r="G61" s="21">
        <v>14.182577507254649</v>
      </c>
      <c r="H61" s="21">
        <v>21.713584462956955</v>
      </c>
      <c r="I61" s="21">
        <v>16.794095525223412</v>
      </c>
      <c r="J61" s="21">
        <v>12.316723263193122</v>
      </c>
      <c r="K61" s="21">
        <v>11.732141724610573</v>
      </c>
      <c r="L61" s="21">
        <v>11.455043762096334</v>
      </c>
      <c r="M61" s="21">
        <v>17.240553069794728</v>
      </c>
      <c r="N61" s="21">
        <v>11.752297499536008</v>
      </c>
      <c r="O61" s="21">
        <v>4.4136260023851692</v>
      </c>
      <c r="P61" s="20">
        <f t="shared" si="20"/>
        <v>150.00000000000003</v>
      </c>
      <c r="Q61" t="s">
        <v>12</v>
      </c>
    </row>
    <row r="62" spans="1:17" ht="14.25" customHeight="1" x14ac:dyDescent="0.2">
      <c r="A62" s="6" t="s">
        <v>109</v>
      </c>
      <c r="B62" s="19" t="s">
        <v>101</v>
      </c>
      <c r="C62" s="48">
        <f t="shared" si="19"/>
        <v>2210.4623625054451</v>
      </c>
      <c r="D62" s="21">
        <v>0</v>
      </c>
      <c r="E62" s="21">
        <v>103.89630688541351</v>
      </c>
      <c r="F62" s="21">
        <v>205.4911937493568</v>
      </c>
      <c r="G62" s="21">
        <v>209.09100824239613</v>
      </c>
      <c r="H62" s="21">
        <v>207.07599169762892</v>
      </c>
      <c r="I62" s="21">
        <v>226.6781205364031</v>
      </c>
      <c r="J62" s="21">
        <v>214.84751025737074</v>
      </c>
      <c r="K62" s="21">
        <v>198.25854022643836</v>
      </c>
      <c r="L62" s="21">
        <v>206.37430373534664</v>
      </c>
      <c r="M62" s="21">
        <v>202.79880618005319</v>
      </c>
      <c r="N62" s="21">
        <v>213.74628706598941</v>
      </c>
      <c r="O62" s="21">
        <v>222.20429392904796</v>
      </c>
      <c r="P62" s="20">
        <f t="shared" si="20"/>
        <v>2210.4623625054451</v>
      </c>
      <c r="Q62" t="s">
        <v>13</v>
      </c>
    </row>
    <row r="63" spans="1:17" ht="14.25" customHeight="1" x14ac:dyDescent="0.2">
      <c r="A63" s="11" t="s">
        <v>110</v>
      </c>
      <c r="B63" s="22" t="s">
        <v>101</v>
      </c>
      <c r="C63" s="48">
        <f t="shared" si="19"/>
        <v>392.82196358153175</v>
      </c>
      <c r="D63" s="21">
        <v>0</v>
      </c>
      <c r="E63" s="21">
        <v>32.437147696171053</v>
      </c>
      <c r="F63" s="21">
        <v>32.240848147818831</v>
      </c>
      <c r="G63" s="21">
        <v>38.367324525886204</v>
      </c>
      <c r="H63" s="21">
        <v>36.651286382531914</v>
      </c>
      <c r="I63" s="21">
        <v>36.651286382531914</v>
      </c>
      <c r="J63" s="21">
        <v>36.827255102740153</v>
      </c>
      <c r="K63" s="21">
        <v>33.596442613593808</v>
      </c>
      <c r="L63" s="21">
        <v>35.835970145678658</v>
      </c>
      <c r="M63" s="21">
        <v>39.476665960990836</v>
      </c>
      <c r="N63" s="21">
        <v>34.608663808429718</v>
      </c>
      <c r="O63" s="21">
        <v>36.129072815158679</v>
      </c>
      <c r="P63" s="20">
        <f t="shared" si="20"/>
        <v>392.82196358153175</v>
      </c>
      <c r="Q63" t="s">
        <v>14</v>
      </c>
    </row>
    <row r="64" spans="1:17" ht="12" customHeight="1" x14ac:dyDescent="0.2">
      <c r="A64" s="40" t="s">
        <v>15</v>
      </c>
      <c r="B64" s="18"/>
      <c r="C64" s="18"/>
      <c r="D64" s="18"/>
      <c r="E64" s="18"/>
      <c r="F64" s="18"/>
      <c r="G64" s="18"/>
      <c r="H64" s="18"/>
      <c r="I64" s="18"/>
      <c r="J64" s="18"/>
      <c r="K64" s="18"/>
      <c r="L64" s="18"/>
      <c r="M64" s="18"/>
      <c r="N64" s="18"/>
      <c r="O64" s="18"/>
      <c r="P64" s="18"/>
    </row>
    <row r="65" spans="1:17" ht="14.25" customHeight="1" x14ac:dyDescent="0.2">
      <c r="A65" s="11" t="s">
        <v>111</v>
      </c>
      <c r="B65" s="22" t="s">
        <v>101</v>
      </c>
      <c r="C65" s="48">
        <f t="shared" si="19"/>
        <v>1098.7517557494359</v>
      </c>
      <c r="D65" s="21">
        <v>0</v>
      </c>
      <c r="E65" s="21">
        <v>8.2512933520484477</v>
      </c>
      <c r="F65" s="21">
        <v>25.017564371836535</v>
      </c>
      <c r="G65" s="21">
        <v>48.232456542433546</v>
      </c>
      <c r="H65" s="21">
        <v>62.371813710964119</v>
      </c>
      <c r="I65" s="21">
        <v>81.261610621654341</v>
      </c>
      <c r="J65" s="21">
        <v>101.17847969541069</v>
      </c>
      <c r="K65" s="21">
        <v>108.65263147595944</v>
      </c>
      <c r="L65" s="21">
        <v>135.97992658710945</v>
      </c>
      <c r="M65" s="21">
        <v>170.27426227726235</v>
      </c>
      <c r="N65" s="21">
        <v>168.77335313673947</v>
      </c>
      <c r="O65" s="21">
        <v>188.7583639780176</v>
      </c>
      <c r="P65" s="20">
        <f t="shared" si="20"/>
        <v>1098.7517557494359</v>
      </c>
      <c r="Q65" t="s">
        <v>16</v>
      </c>
    </row>
    <row r="66" spans="1:17" ht="14.25" customHeight="1" x14ac:dyDescent="0.2">
      <c r="A66" s="6" t="s">
        <v>112</v>
      </c>
      <c r="B66" s="19" t="s">
        <v>101</v>
      </c>
      <c r="C66" s="48">
        <f t="shared" si="19"/>
        <v>1117.0629841669022</v>
      </c>
      <c r="D66" s="21">
        <v>0</v>
      </c>
      <c r="E66" s="21">
        <v>8.0918943824560934</v>
      </c>
      <c r="F66" s="21">
        <v>26.415777866496541</v>
      </c>
      <c r="G66" s="21">
        <v>47.623311721654197</v>
      </c>
      <c r="H66" s="21">
        <v>63.530161133872504</v>
      </c>
      <c r="I66" s="21">
        <v>83.017025582715078</v>
      </c>
      <c r="J66" s="21">
        <v>102.03502896956719</v>
      </c>
      <c r="K66" s="21">
        <v>110.26344647309436</v>
      </c>
      <c r="L66" s="21">
        <v>138.66161296278915</v>
      </c>
      <c r="M66" s="21">
        <v>174.99411982824395</v>
      </c>
      <c r="N66" s="21">
        <v>170.09664191347406</v>
      </c>
      <c r="O66" s="21">
        <v>192.33396333253924</v>
      </c>
      <c r="P66" s="20">
        <f t="shared" si="20"/>
        <v>1117.0629841669022</v>
      </c>
      <c r="Q66" t="s">
        <v>17</v>
      </c>
    </row>
    <row r="67" spans="1:17" ht="14.25" customHeight="1" x14ac:dyDescent="0.2">
      <c r="A67" s="11" t="s">
        <v>113</v>
      </c>
      <c r="B67" s="22" t="s">
        <v>101</v>
      </c>
      <c r="C67" s="48">
        <f t="shared" si="19"/>
        <v>2031.0236075761859</v>
      </c>
      <c r="D67" s="21">
        <v>0</v>
      </c>
      <c r="E67" s="21">
        <v>14.712535240829261</v>
      </c>
      <c r="F67" s="21">
        <v>48.028687029993705</v>
      </c>
      <c r="G67" s="21">
        <v>86.587839493916704</v>
      </c>
      <c r="H67" s="21">
        <v>115.50938387976812</v>
      </c>
      <c r="I67" s="21">
        <v>150.94004651402733</v>
      </c>
      <c r="J67" s="21">
        <v>185.5182344901221</v>
      </c>
      <c r="K67" s="21">
        <v>200.47899358744439</v>
      </c>
      <c r="L67" s="21">
        <v>252.1120235687076</v>
      </c>
      <c r="M67" s="21">
        <v>318.17112696044353</v>
      </c>
      <c r="N67" s="21">
        <v>309.26662166086174</v>
      </c>
      <c r="O67" s="21">
        <v>349.69811515007137</v>
      </c>
      <c r="P67" s="20">
        <f t="shared" si="20"/>
        <v>2031.0236075761859</v>
      </c>
      <c r="Q67" t="s">
        <v>18</v>
      </c>
    </row>
    <row r="68" spans="1:17" ht="13" customHeight="1" x14ac:dyDescent="0.2">
      <c r="A68" s="40" t="s">
        <v>114</v>
      </c>
      <c r="B68" s="18"/>
      <c r="C68" s="18"/>
      <c r="D68" s="18"/>
      <c r="E68" s="18"/>
      <c r="F68" s="18"/>
      <c r="G68" s="18"/>
      <c r="H68" s="18"/>
      <c r="I68" s="18"/>
      <c r="J68" s="18"/>
      <c r="K68" s="18"/>
      <c r="L68" s="18"/>
      <c r="M68" s="18"/>
      <c r="N68" s="18"/>
      <c r="O68" s="18"/>
      <c r="P68" s="18"/>
    </row>
    <row r="69" spans="1:17" ht="14.25" customHeight="1" x14ac:dyDescent="0.2">
      <c r="A69" s="11" t="s">
        <v>115</v>
      </c>
      <c r="B69" s="22" t="s">
        <v>101</v>
      </c>
      <c r="C69" s="48">
        <f t="shared" si="19"/>
        <v>129.01338763813891</v>
      </c>
      <c r="D69" s="21">
        <v>0</v>
      </c>
      <c r="E69" s="21">
        <v>0.22985774552141927</v>
      </c>
      <c r="F69" s="21">
        <v>17.743058609495634</v>
      </c>
      <c r="G69" s="21">
        <v>0.99605023059281683</v>
      </c>
      <c r="H69" s="21">
        <v>25.43059422501674</v>
      </c>
      <c r="I69" s="21">
        <v>1.7622427156642144</v>
      </c>
      <c r="J69" s="21">
        <v>2.6333828531159593</v>
      </c>
      <c r="K69" s="21">
        <v>29.56726270181986</v>
      </c>
      <c r="L69" s="21">
        <v>3.6993981852956743</v>
      </c>
      <c r="M69" s="21">
        <v>24.819586933443276</v>
      </c>
      <c r="N69" s="21">
        <v>3.7014731258018072</v>
      </c>
      <c r="O69" s="21">
        <v>18.430480312371493</v>
      </c>
      <c r="P69" s="20">
        <f t="shared" si="20"/>
        <v>129.01338763813891</v>
      </c>
      <c r="Q69" t="s">
        <v>19</v>
      </c>
    </row>
    <row r="70" spans="1:17" ht="14.25" customHeight="1" x14ac:dyDescent="0.2">
      <c r="A70" s="6" t="s">
        <v>116</v>
      </c>
      <c r="B70" s="19" t="s">
        <v>101</v>
      </c>
      <c r="C70" s="48">
        <f t="shared" si="19"/>
        <v>502.05423949554245</v>
      </c>
      <c r="D70" s="21">
        <v>0</v>
      </c>
      <c r="E70" s="21">
        <v>1.0161080574458128</v>
      </c>
      <c r="F70" s="21">
        <v>1.8753425861188253</v>
      </c>
      <c r="G70" s="21">
        <v>5.1313339895929708</v>
      </c>
      <c r="H70" s="21">
        <v>21.845165016135592</v>
      </c>
      <c r="I70" s="21">
        <v>31.455406786453846</v>
      </c>
      <c r="J70" s="21">
        <v>46.722936432799848</v>
      </c>
      <c r="K70" s="21">
        <v>54.101650110436211</v>
      </c>
      <c r="L70" s="21">
        <v>71.60173685446405</v>
      </c>
      <c r="M70" s="21">
        <v>83.12655370453092</v>
      </c>
      <c r="N70" s="21">
        <v>86.188672795224747</v>
      </c>
      <c r="O70" s="21">
        <v>98.989333162339648</v>
      </c>
      <c r="P70" s="20">
        <f t="shared" si="20"/>
        <v>502.05423949554245</v>
      </c>
      <c r="Q70" t="s">
        <v>21</v>
      </c>
    </row>
    <row r="71" spans="1:17" ht="12" customHeight="1" x14ac:dyDescent="0.2">
      <c r="A71" s="40" t="s">
        <v>144</v>
      </c>
      <c r="B71" s="18"/>
      <c r="C71" s="18"/>
      <c r="D71" s="18"/>
      <c r="E71" s="18"/>
      <c r="F71" s="18"/>
      <c r="G71" s="18"/>
      <c r="H71" s="18"/>
      <c r="I71" s="18"/>
      <c r="J71" s="18"/>
      <c r="K71" s="18"/>
      <c r="L71" s="18"/>
      <c r="M71" s="18"/>
      <c r="N71" s="18"/>
      <c r="O71" s="18"/>
      <c r="P71" s="18"/>
    </row>
    <row r="72" spans="1:17" ht="14.25" customHeight="1" x14ac:dyDescent="0.2">
      <c r="A72" s="6" t="s">
        <v>148</v>
      </c>
      <c r="B72" s="19" t="s">
        <v>101</v>
      </c>
      <c r="C72" s="48">
        <f t="shared" si="19"/>
        <v>20</v>
      </c>
      <c r="D72" s="21">
        <v>0</v>
      </c>
      <c r="E72" s="21">
        <v>0</v>
      </c>
      <c r="F72" s="21">
        <v>0</v>
      </c>
      <c r="G72" s="21">
        <v>0.6</v>
      </c>
      <c r="H72" s="21">
        <v>1</v>
      </c>
      <c r="I72" s="21">
        <v>1.4</v>
      </c>
      <c r="J72" s="21">
        <v>1.8</v>
      </c>
      <c r="K72" s="21">
        <v>2.2000000000000002</v>
      </c>
      <c r="L72" s="21">
        <v>2.6</v>
      </c>
      <c r="M72" s="21">
        <v>3</v>
      </c>
      <c r="N72" s="21">
        <v>3.4</v>
      </c>
      <c r="O72" s="21">
        <v>4</v>
      </c>
      <c r="P72" s="20">
        <f t="shared" ref="P72" si="21">SUM(D72:O72)</f>
        <v>20</v>
      </c>
      <c r="Q72" t="s">
        <v>145</v>
      </c>
    </row>
    <row r="73" spans="1:17" ht="12" customHeight="1" x14ac:dyDescent="0.2">
      <c r="A73" s="38" t="s">
        <v>117</v>
      </c>
      <c r="B73" s="38"/>
      <c r="C73" s="38"/>
      <c r="D73" s="38"/>
      <c r="E73" s="38"/>
      <c r="F73" s="38"/>
      <c r="G73" s="38"/>
      <c r="H73" s="38"/>
      <c r="I73" s="38"/>
      <c r="J73" s="38"/>
      <c r="K73" s="38"/>
      <c r="L73" s="38"/>
      <c r="M73" s="38"/>
      <c r="N73" s="38"/>
      <c r="O73" s="38"/>
      <c r="P73" s="38"/>
    </row>
    <row r="74" spans="1:17" ht="14.25" customHeight="1" x14ac:dyDescent="0.2">
      <c r="A74" s="23" t="s">
        <v>118</v>
      </c>
      <c r="B74" s="24" t="s">
        <v>119</v>
      </c>
      <c r="C74" s="49">
        <f>+P74</f>
        <v>465.01812274523513</v>
      </c>
      <c r="D74" s="26">
        <v>20.941113718795307</v>
      </c>
      <c r="E74" s="26">
        <v>28.41955369464252</v>
      </c>
      <c r="F74" s="26">
        <v>27.802616767546713</v>
      </c>
      <c r="G74" s="26">
        <v>43.785650962909429</v>
      </c>
      <c r="H74" s="26">
        <v>45.2191304541428</v>
      </c>
      <c r="I74" s="26">
        <v>43.108591675674745</v>
      </c>
      <c r="J74" s="26">
        <v>45.618633217181078</v>
      </c>
      <c r="K74" s="26">
        <v>39.856502272133042</v>
      </c>
      <c r="L74" s="26">
        <v>42.369907570375261</v>
      </c>
      <c r="M74" s="26">
        <v>46.020632116910257</v>
      </c>
      <c r="N74" s="26">
        <v>43.331722851848198</v>
      </c>
      <c r="O74" s="26">
        <v>38.544067443075797</v>
      </c>
      <c r="P74" s="25">
        <f>SUM(D74:O74)</f>
        <v>465.01812274523513</v>
      </c>
      <c r="Q74" t="s">
        <v>22</v>
      </c>
    </row>
    <row r="75" spans="1:17" ht="14.25" customHeight="1" x14ac:dyDescent="0.2">
      <c r="A75" s="11" t="s">
        <v>120</v>
      </c>
      <c r="B75" s="22" t="s">
        <v>119</v>
      </c>
      <c r="C75" s="49">
        <f t="shared" ref="C75:C88" si="22">+P75</f>
        <v>190.58553940659112</v>
      </c>
      <c r="D75" s="26">
        <v>11.79682739492136</v>
      </c>
      <c r="E75" s="26">
        <v>16.009681914648624</v>
      </c>
      <c r="F75" s="26">
        <v>15.662140779051315</v>
      </c>
      <c r="G75" s="26">
        <v>17.899794418799452</v>
      </c>
      <c r="H75" s="26">
        <v>16.982295659444741</v>
      </c>
      <c r="I75" s="26">
        <v>16.18967109597563</v>
      </c>
      <c r="J75" s="26">
        <v>17.132331141563565</v>
      </c>
      <c r="K75" s="26">
        <v>14.968330853312191</v>
      </c>
      <c r="L75" s="26">
        <v>15.912254176429823</v>
      </c>
      <c r="M75" s="26">
        <v>17.283304061684081</v>
      </c>
      <c r="N75" s="26">
        <v>16.273469248805217</v>
      </c>
      <c r="O75" s="26">
        <v>14.475438661955135</v>
      </c>
      <c r="P75" s="25">
        <f t="shared" ref="P75:P78" si="23">SUM(D75:O75)</f>
        <v>190.58553940659112</v>
      </c>
      <c r="Q75" t="s">
        <v>23</v>
      </c>
    </row>
    <row r="76" spans="1:17" ht="14.25" customHeight="1" x14ac:dyDescent="0.2">
      <c r="A76" s="23" t="s">
        <v>121</v>
      </c>
      <c r="B76" s="24" t="s">
        <v>119</v>
      </c>
      <c r="C76" s="49">
        <f t="shared" si="22"/>
        <v>117.28340886559454</v>
      </c>
      <c r="D76" s="26">
        <v>7.2595860891823749</v>
      </c>
      <c r="E76" s="26">
        <v>9.8521119474760752</v>
      </c>
      <c r="F76" s="26">
        <v>9.6382404794161936</v>
      </c>
      <c r="G76" s="26">
        <v>11.015258103876588</v>
      </c>
      <c r="H76" s="26">
        <v>10.450643482735225</v>
      </c>
      <c r="I76" s="26">
        <v>9.9628745206003888</v>
      </c>
      <c r="J76" s="26">
        <v>10.542973010192963</v>
      </c>
      <c r="K76" s="26">
        <v>9.2112805251151926</v>
      </c>
      <c r="L76" s="26">
        <v>9.7921564162645041</v>
      </c>
      <c r="M76" s="26">
        <v>10.635879422574817</v>
      </c>
      <c r="N76" s="26">
        <v>10.014442614649365</v>
      </c>
      <c r="O76" s="26">
        <v>8.9079622535108527</v>
      </c>
      <c r="P76" s="25">
        <f t="shared" si="23"/>
        <v>117.28340886559454</v>
      </c>
      <c r="Q76" t="s">
        <v>24</v>
      </c>
    </row>
    <row r="77" spans="1:17" ht="14.25" customHeight="1" x14ac:dyDescent="0.2">
      <c r="A77" s="11" t="s">
        <v>122</v>
      </c>
      <c r="B77" s="22" t="s">
        <v>119</v>
      </c>
      <c r="C77" s="49">
        <f t="shared" si="22"/>
        <v>84.297450122146046</v>
      </c>
      <c r="D77" s="26">
        <v>5.2178275015998308</v>
      </c>
      <c r="E77" s="26">
        <v>7.0812054622484286</v>
      </c>
      <c r="F77" s="26">
        <v>6.9274853445803872</v>
      </c>
      <c r="G77" s="26">
        <v>7.9172167621612957</v>
      </c>
      <c r="H77" s="26">
        <v>7.5114000032159423</v>
      </c>
      <c r="I77" s="26">
        <v>7.160816061681528</v>
      </c>
      <c r="J77" s="26">
        <v>7.5777618510761888</v>
      </c>
      <c r="K77" s="26">
        <v>6.6206078774265444</v>
      </c>
      <c r="L77" s="26">
        <v>7.0381124241901105</v>
      </c>
      <c r="M77" s="26">
        <v>7.6445383349756488</v>
      </c>
      <c r="N77" s="26">
        <v>7.1978806292792292</v>
      </c>
      <c r="O77" s="26">
        <v>6.4025978697109238</v>
      </c>
      <c r="P77" s="25">
        <f t="shared" si="23"/>
        <v>84.297450122146046</v>
      </c>
      <c r="Q77" t="s">
        <v>25</v>
      </c>
    </row>
    <row r="78" spans="1:17" ht="14.25" customHeight="1" x14ac:dyDescent="0.2">
      <c r="A78" s="23" t="s">
        <v>123</v>
      </c>
      <c r="B78" s="24" t="s">
        <v>119</v>
      </c>
      <c r="C78" s="49">
        <f t="shared" si="22"/>
        <v>102.62298275739521</v>
      </c>
      <c r="D78" s="26">
        <v>6.3521378280345768</v>
      </c>
      <c r="E78" s="26">
        <v>8.6205979540415658</v>
      </c>
      <c r="F78" s="26">
        <v>8.4334604194891689</v>
      </c>
      <c r="G78" s="26">
        <v>9.6383508408920129</v>
      </c>
      <c r="H78" s="26">
        <v>9.1443130473933198</v>
      </c>
      <c r="I78" s="26">
        <v>8.7175152055253395</v>
      </c>
      <c r="J78" s="26">
        <v>9.2251013839188403</v>
      </c>
      <c r="K78" s="26">
        <v>8.0598704594757944</v>
      </c>
      <c r="L78" s="26">
        <v>8.5681368642314411</v>
      </c>
      <c r="M78" s="26">
        <v>9.3063944947529631</v>
      </c>
      <c r="N78" s="26">
        <v>8.762637287818194</v>
      </c>
      <c r="O78" s="26">
        <v>7.7944669718219934</v>
      </c>
      <c r="P78" s="25">
        <f t="shared" si="23"/>
        <v>102.62298275739521</v>
      </c>
      <c r="Q78" t="s">
        <v>27</v>
      </c>
    </row>
    <row r="79" spans="1:17" ht="12" customHeight="1" x14ac:dyDescent="0.2">
      <c r="A79" s="38" t="s">
        <v>35</v>
      </c>
      <c r="B79" s="38"/>
      <c r="C79" s="38"/>
      <c r="D79" s="38"/>
      <c r="E79" s="38"/>
      <c r="F79" s="38"/>
      <c r="G79" s="38"/>
      <c r="H79" s="38"/>
      <c r="I79" s="38"/>
      <c r="J79" s="38"/>
      <c r="K79" s="38"/>
      <c r="L79" s="38"/>
      <c r="M79" s="38"/>
      <c r="N79" s="38"/>
      <c r="O79" s="38"/>
      <c r="P79" s="38"/>
    </row>
    <row r="80" spans="1:17" ht="14.25" customHeight="1" x14ac:dyDescent="0.2">
      <c r="A80" s="23" t="s">
        <v>124</v>
      </c>
      <c r="B80" s="24" t="s">
        <v>119</v>
      </c>
      <c r="C80" s="49">
        <f t="shared" si="22"/>
        <v>12.933765888414044</v>
      </c>
      <c r="D80" s="26">
        <v>1.0778138240345037</v>
      </c>
      <c r="E80" s="26">
        <v>1.0778138240345037</v>
      </c>
      <c r="F80" s="26">
        <v>1.0778138240345037</v>
      </c>
      <c r="G80" s="26">
        <v>1.0778138240345037</v>
      </c>
      <c r="H80" s="26">
        <v>1.0778138240345037</v>
      </c>
      <c r="I80" s="26">
        <v>1.0778138240345037</v>
      </c>
      <c r="J80" s="26">
        <v>1.0778138240345037</v>
      </c>
      <c r="K80" s="26">
        <v>1.0778138240345037</v>
      </c>
      <c r="L80" s="26">
        <v>1.0778138240345037</v>
      </c>
      <c r="M80" s="26">
        <v>1.0778138240345037</v>
      </c>
      <c r="N80" s="26">
        <v>1.0778138240345037</v>
      </c>
      <c r="O80" s="26">
        <v>1.0778138240345037</v>
      </c>
      <c r="P80" s="25">
        <f t="shared" ref="P80:P81" si="24">SUM(D80:O80)</f>
        <v>12.933765888414044</v>
      </c>
      <c r="Q80" t="s">
        <v>28</v>
      </c>
    </row>
    <row r="81" spans="1:17" ht="14.25" customHeight="1" x14ac:dyDescent="0.2">
      <c r="A81" s="11" t="s">
        <v>125</v>
      </c>
      <c r="B81" s="22" t="s">
        <v>119</v>
      </c>
      <c r="C81" s="49">
        <f t="shared" si="22"/>
        <v>107.4550528</v>
      </c>
      <c r="D81" s="26">
        <v>-6.6868792999999966</v>
      </c>
      <c r="E81" s="26">
        <v>32.729928299999997</v>
      </c>
      <c r="F81" s="26">
        <v>-2.0288968999999946</v>
      </c>
      <c r="G81" s="26">
        <v>74.145540300000008</v>
      </c>
      <c r="H81" s="26">
        <v>68.174846500000001</v>
      </c>
      <c r="I81" s="26">
        <v>111.4835173</v>
      </c>
      <c r="J81" s="26">
        <v>-76.294880500000005</v>
      </c>
      <c r="K81" s="26">
        <v>-160.3932647</v>
      </c>
      <c r="L81" s="26">
        <v>48.216881500000007</v>
      </c>
      <c r="M81" s="26">
        <v>-41.67514289999999</v>
      </c>
      <c r="N81" s="26">
        <v>139.6325501</v>
      </c>
      <c r="O81" s="26">
        <v>-79.849146899999994</v>
      </c>
      <c r="P81" s="25">
        <f t="shared" si="24"/>
        <v>107.4550528</v>
      </c>
      <c r="Q81" t="s">
        <v>29</v>
      </c>
    </row>
    <row r="82" spans="1:17" ht="12" customHeight="1" x14ac:dyDescent="0.2">
      <c r="A82" s="38" t="s">
        <v>30</v>
      </c>
      <c r="B82" s="38"/>
      <c r="C82" s="38"/>
      <c r="D82" s="38"/>
      <c r="E82" s="38"/>
      <c r="F82" s="38"/>
      <c r="G82" s="38"/>
      <c r="H82" s="38"/>
      <c r="I82" s="38"/>
      <c r="J82" s="38"/>
      <c r="K82" s="38"/>
      <c r="L82" s="38"/>
      <c r="M82" s="38"/>
      <c r="N82" s="38"/>
      <c r="O82" s="38"/>
      <c r="P82" s="38"/>
    </row>
    <row r="83" spans="1:17" ht="14.25" customHeight="1" x14ac:dyDescent="0.2">
      <c r="A83" s="11" t="s">
        <v>126</v>
      </c>
      <c r="B83" s="22" t="s">
        <v>119</v>
      </c>
      <c r="C83" s="49">
        <f t="shared" si="22"/>
        <v>150</v>
      </c>
      <c r="D83" s="26">
        <v>11.069881998223934</v>
      </c>
      <c r="E83" s="26">
        <v>12.536154664574193</v>
      </c>
      <c r="F83" s="26">
        <v>12.329471624961409</v>
      </c>
      <c r="G83" s="26">
        <v>12.545460494543766</v>
      </c>
      <c r="H83" s="26">
        <v>12.424559501857734</v>
      </c>
      <c r="I83" s="26">
        <v>13.600687232184184</v>
      </c>
      <c r="J83" s="26">
        <v>12.890850615442243</v>
      </c>
      <c r="K83" s="26">
        <v>11.8955124135863</v>
      </c>
      <c r="L83" s="26">
        <v>12.382458224120798</v>
      </c>
      <c r="M83" s="26">
        <v>12.167928370803192</v>
      </c>
      <c r="N83" s="26">
        <v>12.824777223959366</v>
      </c>
      <c r="O83" s="26">
        <v>13.332257635742877</v>
      </c>
      <c r="P83" s="25">
        <f t="shared" ref="P83:P86" si="25">SUM(D83:O83)</f>
        <v>150</v>
      </c>
      <c r="Q83" t="s">
        <v>31</v>
      </c>
    </row>
    <row r="84" spans="1:17" ht="14.25" customHeight="1" x14ac:dyDescent="0.2">
      <c r="A84" s="23" t="s">
        <v>127</v>
      </c>
      <c r="B84" s="24" t="s">
        <v>119</v>
      </c>
      <c r="C84" s="49">
        <f t="shared" si="22"/>
        <v>99.999999999999986</v>
      </c>
      <c r="D84" s="26">
        <v>7.3799213321492898</v>
      </c>
      <c r="E84" s="26">
        <v>8.3574364430494636</v>
      </c>
      <c r="F84" s="26">
        <v>8.2196477499742731</v>
      </c>
      <c r="G84" s="26">
        <v>8.3636403296958441</v>
      </c>
      <c r="H84" s="26">
        <v>8.2830396679051574</v>
      </c>
      <c r="I84" s="26">
        <v>9.0671248214561224</v>
      </c>
      <c r="J84" s="26">
        <v>8.5939004102948289</v>
      </c>
      <c r="K84" s="26">
        <v>7.9303416090575327</v>
      </c>
      <c r="L84" s="26">
        <v>8.2549721494138648</v>
      </c>
      <c r="M84" s="26">
        <v>8.1119522472021295</v>
      </c>
      <c r="N84" s="26">
        <v>8.5498514826395766</v>
      </c>
      <c r="O84" s="26">
        <v>8.888171757161917</v>
      </c>
      <c r="P84" s="25">
        <f t="shared" si="25"/>
        <v>99.999999999999986</v>
      </c>
      <c r="Q84" t="s">
        <v>32</v>
      </c>
    </row>
    <row r="85" spans="1:17" ht="14.25" customHeight="1" x14ac:dyDescent="0.2">
      <c r="A85" s="11" t="s">
        <v>128</v>
      </c>
      <c r="B85" s="22" t="s">
        <v>119</v>
      </c>
      <c r="C85" s="49">
        <f t="shared" si="22"/>
        <v>49.999999999999993</v>
      </c>
      <c r="D85" s="26">
        <v>3.6899606660746449</v>
      </c>
      <c r="E85" s="26">
        <v>4.1787182215247318</v>
      </c>
      <c r="F85" s="26">
        <v>4.1098238749871365</v>
      </c>
      <c r="G85" s="26">
        <v>4.1818201648479221</v>
      </c>
      <c r="H85" s="26">
        <v>4.1415198339525787</v>
      </c>
      <c r="I85" s="26">
        <v>4.5335624107280612</v>
      </c>
      <c r="J85" s="26">
        <v>4.2969502051474144</v>
      </c>
      <c r="K85" s="26">
        <v>3.9651708045287664</v>
      </c>
      <c r="L85" s="26">
        <v>4.1274860747069324</v>
      </c>
      <c r="M85" s="26">
        <v>4.0559761236010647</v>
      </c>
      <c r="N85" s="26">
        <v>4.2749257413197883</v>
      </c>
      <c r="O85" s="26">
        <v>4.4440858785809585</v>
      </c>
      <c r="P85" s="25">
        <f t="shared" si="25"/>
        <v>49.999999999999993</v>
      </c>
      <c r="Q85" t="s">
        <v>33</v>
      </c>
    </row>
    <row r="86" spans="1:17" ht="14.25" customHeight="1" x14ac:dyDescent="0.2">
      <c r="A86" s="23" t="s">
        <v>129</v>
      </c>
      <c r="B86" s="24" t="s">
        <v>119</v>
      </c>
      <c r="C86" s="49">
        <f t="shared" si="22"/>
        <v>40</v>
      </c>
      <c r="D86" s="26">
        <v>0</v>
      </c>
      <c r="E86" s="26">
        <v>0</v>
      </c>
      <c r="F86" s="26">
        <v>0</v>
      </c>
      <c r="G86" s="26">
        <v>1.2</v>
      </c>
      <c r="H86" s="26">
        <v>2</v>
      </c>
      <c r="I86" s="26">
        <v>2.8</v>
      </c>
      <c r="J86" s="26">
        <v>3.6</v>
      </c>
      <c r="K86" s="26">
        <v>4.4000000000000004</v>
      </c>
      <c r="L86" s="26">
        <v>5.2</v>
      </c>
      <c r="M86" s="26">
        <v>6</v>
      </c>
      <c r="N86" s="26">
        <v>6.8</v>
      </c>
      <c r="O86" s="26">
        <v>8</v>
      </c>
      <c r="P86" s="25">
        <f t="shared" si="25"/>
        <v>40</v>
      </c>
      <c r="Q86" t="s">
        <v>34</v>
      </c>
    </row>
    <row r="87" spans="1:17" ht="12" customHeight="1" x14ac:dyDescent="0.2">
      <c r="A87" s="38" t="s">
        <v>35</v>
      </c>
      <c r="B87" s="38"/>
      <c r="C87" s="38"/>
      <c r="D87" s="38"/>
      <c r="E87" s="38"/>
      <c r="F87" s="38"/>
      <c r="G87" s="38"/>
      <c r="H87" s="38"/>
      <c r="I87" s="38"/>
      <c r="J87" s="38"/>
      <c r="K87" s="38"/>
      <c r="L87" s="38"/>
      <c r="M87" s="38"/>
      <c r="N87" s="38"/>
      <c r="O87" s="38"/>
      <c r="P87" s="38"/>
    </row>
    <row r="88" spans="1:17" ht="14.25" customHeight="1" x14ac:dyDescent="0.2">
      <c r="A88" s="11" t="s">
        <v>150</v>
      </c>
      <c r="B88" s="22" t="s">
        <v>119</v>
      </c>
      <c r="C88" s="49">
        <f t="shared" si="22"/>
        <v>15</v>
      </c>
      <c r="D88" s="26">
        <v>0</v>
      </c>
      <c r="E88" s="26">
        <v>0</v>
      </c>
      <c r="F88" s="26">
        <v>0</v>
      </c>
      <c r="G88" s="26">
        <v>0.45</v>
      </c>
      <c r="H88" s="26">
        <v>0.75</v>
      </c>
      <c r="I88" s="26">
        <v>1.05</v>
      </c>
      <c r="J88" s="26">
        <v>1.35</v>
      </c>
      <c r="K88" s="26">
        <v>1.65</v>
      </c>
      <c r="L88" s="26">
        <v>1.95</v>
      </c>
      <c r="M88" s="26">
        <v>2.25</v>
      </c>
      <c r="N88" s="26">
        <v>2.5499999999999998</v>
      </c>
      <c r="O88" s="26">
        <v>3</v>
      </c>
      <c r="P88" s="25">
        <f t="shared" ref="P88" si="26">SUM(D88:O88)</f>
        <v>15</v>
      </c>
      <c r="Q88" t="s">
        <v>36</v>
      </c>
    </row>
    <row r="89" spans="1:17" ht="12" customHeight="1" x14ac:dyDescent="0.2">
      <c r="A89" s="39" t="s">
        <v>37</v>
      </c>
      <c r="B89" s="39"/>
      <c r="C89" s="39"/>
      <c r="D89" s="39"/>
      <c r="E89" s="39"/>
      <c r="F89" s="39"/>
      <c r="G89" s="39"/>
      <c r="H89" s="39"/>
      <c r="I89" s="39"/>
      <c r="J89" s="39"/>
      <c r="K89" s="39"/>
      <c r="L89" s="39"/>
      <c r="M89" s="39"/>
      <c r="N89" s="39"/>
      <c r="O89" s="39"/>
      <c r="P89" s="39"/>
    </row>
    <row r="90" spans="1:17" ht="14.25" customHeight="1" x14ac:dyDescent="0.2">
      <c r="A90" s="11" t="s">
        <v>130</v>
      </c>
      <c r="B90" s="22" t="s">
        <v>131</v>
      </c>
      <c r="C90" s="27">
        <f>+P90</f>
        <v>0</v>
      </c>
      <c r="D90" s="28"/>
      <c r="E90" s="28"/>
      <c r="F90" s="28"/>
      <c r="G90" s="28"/>
      <c r="H90" s="28"/>
      <c r="I90" s="28"/>
      <c r="J90" s="28"/>
      <c r="K90" s="28"/>
      <c r="L90" s="28"/>
      <c r="M90" s="28"/>
      <c r="N90" s="28"/>
      <c r="O90" s="28"/>
      <c r="P90" s="27">
        <v>0</v>
      </c>
      <c r="Q90" t="s">
        <v>38</v>
      </c>
    </row>
    <row r="91" spans="1:17" ht="14.25" customHeight="1" x14ac:dyDescent="0.2">
      <c r="A91" s="29" t="s">
        <v>132</v>
      </c>
      <c r="B91" s="30" t="s">
        <v>131</v>
      </c>
      <c r="C91" s="31">
        <f t="shared" ref="C91:C94" si="27">+P91</f>
        <v>0</v>
      </c>
      <c r="D91" s="32"/>
      <c r="E91" s="32"/>
      <c r="F91" s="32"/>
      <c r="G91" s="32"/>
      <c r="H91" s="32"/>
      <c r="I91" s="32"/>
      <c r="J91" s="32"/>
      <c r="K91" s="32"/>
      <c r="L91" s="32"/>
      <c r="M91" s="32"/>
      <c r="N91" s="32"/>
      <c r="O91" s="32"/>
      <c r="P91" s="31">
        <v>0</v>
      </c>
      <c r="Q91" t="s">
        <v>39</v>
      </c>
    </row>
    <row r="92" spans="1:17" ht="14.25" customHeight="1" x14ac:dyDescent="0.2">
      <c r="A92" s="11" t="s">
        <v>133</v>
      </c>
      <c r="B92" s="22" t="s">
        <v>131</v>
      </c>
      <c r="C92" s="27">
        <f t="shared" si="27"/>
        <v>0</v>
      </c>
      <c r="D92" s="28"/>
      <c r="E92" s="28"/>
      <c r="F92" s="28"/>
      <c r="G92" s="28"/>
      <c r="H92" s="28"/>
      <c r="I92" s="28"/>
      <c r="J92" s="28"/>
      <c r="K92" s="28"/>
      <c r="L92" s="28"/>
      <c r="M92" s="28"/>
      <c r="N92" s="28"/>
      <c r="O92" s="28"/>
      <c r="P92" s="27">
        <v>0</v>
      </c>
      <c r="Q92" t="s">
        <v>40</v>
      </c>
    </row>
    <row r="93" spans="1:17" ht="14.25" customHeight="1" x14ac:dyDescent="0.2">
      <c r="A93" s="29" t="s">
        <v>134</v>
      </c>
      <c r="B93" s="30" t="s">
        <v>131</v>
      </c>
      <c r="C93" s="31">
        <f t="shared" si="27"/>
        <v>0</v>
      </c>
      <c r="D93" s="32"/>
      <c r="E93" s="32"/>
      <c r="F93" s="32"/>
      <c r="G93" s="32"/>
      <c r="H93" s="32"/>
      <c r="I93" s="32"/>
      <c r="J93" s="32"/>
      <c r="K93" s="32"/>
      <c r="L93" s="32"/>
      <c r="M93" s="32"/>
      <c r="N93" s="32"/>
      <c r="O93" s="32"/>
      <c r="P93" s="31">
        <v>0</v>
      </c>
      <c r="Q93" t="s">
        <v>41</v>
      </c>
    </row>
    <row r="94" spans="1:17" ht="14.25" customHeight="1" x14ac:dyDescent="0.2">
      <c r="A94" s="11" t="s">
        <v>135</v>
      </c>
      <c r="B94" s="22" t="s">
        <v>131</v>
      </c>
      <c r="C94" s="27">
        <f t="shared" si="27"/>
        <v>-20</v>
      </c>
      <c r="D94" s="28"/>
      <c r="E94" s="28"/>
      <c r="F94" s="28">
        <v>-20</v>
      </c>
      <c r="G94" s="28"/>
      <c r="H94" s="28"/>
      <c r="I94" s="28"/>
      <c r="J94" s="28"/>
      <c r="K94" s="28"/>
      <c r="L94" s="28"/>
      <c r="M94" s="28"/>
      <c r="N94" s="28"/>
      <c r="O94" s="28"/>
      <c r="P94" s="27">
        <f t="shared" ref="P94" si="28">SUM(D94:O94)</f>
        <v>-20</v>
      </c>
      <c r="Q94" t="s">
        <v>42</v>
      </c>
    </row>
    <row r="95" spans="1:17" ht="15" customHeight="1" x14ac:dyDescent="0.2">
      <c r="A95" s="9" t="s">
        <v>136</v>
      </c>
      <c r="B95" s="33"/>
      <c r="C95" s="43">
        <f>+SUM(C52:C54,C56:C58,C60:C63,C65:C67,C69:C70,C72)</f>
        <v>11612.334592450672</v>
      </c>
      <c r="D95" s="43">
        <f t="shared" ref="D95:P95" si="29">+SUM(D52:D54,D56:D58,D60:D63,D65:D67,D69:D70,D72)</f>
        <v>124.68603383708646</v>
      </c>
      <c r="E95" s="43">
        <f t="shared" si="29"/>
        <v>397.26327494290393</v>
      </c>
      <c r="F95" s="43">
        <f t="shared" si="29"/>
        <v>629.87508119729239</v>
      </c>
      <c r="G95" s="43">
        <f t="shared" si="29"/>
        <v>745.0713693539592</v>
      </c>
      <c r="H95" s="43">
        <f t="shared" si="29"/>
        <v>891.1511078630075</v>
      </c>
      <c r="I95" s="43">
        <f t="shared" si="29"/>
        <v>1017.6396204768606</v>
      </c>
      <c r="J95" s="43">
        <f t="shared" si="29"/>
        <v>1006.0076202942903</v>
      </c>
      <c r="K95" s="43">
        <f t="shared" si="29"/>
        <v>1044.3851882363388</v>
      </c>
      <c r="L95" s="43">
        <f t="shared" si="29"/>
        <v>1221.7308512232025</v>
      </c>
      <c r="M95" s="43">
        <f t="shared" si="29"/>
        <v>1489.1894818454884</v>
      </c>
      <c r="N95" s="43">
        <f t="shared" si="29"/>
        <v>1441.3764544268624</v>
      </c>
      <c r="O95" s="43">
        <f t="shared" si="29"/>
        <v>1603.9585087533796</v>
      </c>
      <c r="P95" s="55">
        <f t="shared" si="29"/>
        <v>11612.334592450672</v>
      </c>
    </row>
    <row r="96" spans="1:17" ht="15" customHeight="1" x14ac:dyDescent="0.2">
      <c r="A96" s="34" t="s">
        <v>137</v>
      </c>
      <c r="B96" s="35"/>
      <c r="C96" s="50">
        <f>+SUM(C88:C88,C83:C86,C80:C81,C74:C78)+C94</f>
        <v>1415.196322585376</v>
      </c>
      <c r="D96" s="50">
        <f t="shared" ref="D96:O96" si="30">+SUM(D88:D88,D83:D86,D80:D81,D74:D78)</f>
        <v>68.098191053015825</v>
      </c>
      <c r="E96" s="50">
        <f t="shared" si="30"/>
        <v>128.86320242624009</v>
      </c>
      <c r="F96" s="50">
        <f t="shared" si="30"/>
        <v>92.171803964041104</v>
      </c>
      <c r="G96" s="50">
        <f t="shared" si="30"/>
        <v>192.22054620176081</v>
      </c>
      <c r="H96" s="50">
        <f t="shared" si="30"/>
        <v>186.15956197468202</v>
      </c>
      <c r="I96" s="50">
        <f t="shared" si="30"/>
        <v>228.7521741478605</v>
      </c>
      <c r="J96" s="50">
        <f t="shared" si="30"/>
        <v>45.61143515885162</v>
      </c>
      <c r="K96" s="50">
        <f t="shared" si="30"/>
        <v>-50.757834061330144</v>
      </c>
      <c r="L96" s="50">
        <f t="shared" si="30"/>
        <v>164.89017922376723</v>
      </c>
      <c r="M96" s="50">
        <f t="shared" si="30"/>
        <v>82.879276096538661</v>
      </c>
      <c r="N96" s="50">
        <f t="shared" si="30"/>
        <v>261.29007100435342</v>
      </c>
      <c r="O96" s="50">
        <f t="shared" si="30"/>
        <v>35.017715395594969</v>
      </c>
      <c r="P96" s="56">
        <f>+SUM(P88:P88,P83:P86,P80:P81,P74:P78)+P94</f>
        <v>1415.196322585376</v>
      </c>
    </row>
    <row r="97" spans="1:16" ht="15" customHeight="1" x14ac:dyDescent="0.2">
      <c r="A97" s="5" t="s">
        <v>149</v>
      </c>
      <c r="B97" s="36"/>
      <c r="C97" s="41">
        <f>+C95+C96</f>
        <v>13027.530915036048</v>
      </c>
      <c r="D97" s="37">
        <f t="shared" ref="D97:P97" si="31">+D95+D96</f>
        <v>192.78422489010228</v>
      </c>
      <c r="E97" s="37">
        <f t="shared" si="31"/>
        <v>526.12647736914403</v>
      </c>
      <c r="F97" s="37">
        <f t="shared" si="31"/>
        <v>722.04688516133353</v>
      </c>
      <c r="G97" s="37">
        <f t="shared" si="31"/>
        <v>937.29191555572004</v>
      </c>
      <c r="H97" s="37">
        <f t="shared" si="31"/>
        <v>1077.3106698376896</v>
      </c>
      <c r="I97" s="37">
        <f t="shared" si="31"/>
        <v>1246.3917946247211</v>
      </c>
      <c r="J97" s="37">
        <f t="shared" si="31"/>
        <v>1051.619055453142</v>
      </c>
      <c r="K97" s="37">
        <f t="shared" si="31"/>
        <v>993.62735417500858</v>
      </c>
      <c r="L97" s="37">
        <f t="shared" si="31"/>
        <v>1386.6210304469698</v>
      </c>
      <c r="M97" s="37">
        <f t="shared" si="31"/>
        <v>1572.0687579420271</v>
      </c>
      <c r="N97" s="37">
        <f t="shared" si="31"/>
        <v>1702.6665254312159</v>
      </c>
      <c r="O97" s="37">
        <f t="shared" si="31"/>
        <v>1638.9762241489746</v>
      </c>
      <c r="P97" s="57">
        <f t="shared" si="31"/>
        <v>13027.530915036048</v>
      </c>
    </row>
    <row r="99" spans="1:16" hidden="1" outlineLevel="1" x14ac:dyDescent="0.2">
      <c r="A99" s="52" t="s">
        <v>146</v>
      </c>
    </row>
    <row r="100" spans="1:16" hidden="1" outlineLevel="1" x14ac:dyDescent="0.2">
      <c r="A100" t="s">
        <v>139</v>
      </c>
      <c r="D100" s="3">
        <v>0</v>
      </c>
      <c r="E100" s="3">
        <v>14.05</v>
      </c>
      <c r="F100" s="3">
        <v>80.05</v>
      </c>
      <c r="G100" s="3">
        <v>42.05</v>
      </c>
      <c r="H100" s="3">
        <v>72.55</v>
      </c>
      <c r="I100" s="3">
        <v>49.55</v>
      </c>
      <c r="J100" s="3">
        <v>42.05</v>
      </c>
      <c r="K100" s="3">
        <v>72.55</v>
      </c>
      <c r="L100" s="3">
        <v>49.55</v>
      </c>
      <c r="M100" s="3">
        <v>72.55</v>
      </c>
      <c r="N100" s="3">
        <v>42.05</v>
      </c>
      <c r="O100" s="3">
        <v>80.05</v>
      </c>
      <c r="P100" s="3">
        <f>SUM(D100:O100)</f>
        <v>617.04999999999995</v>
      </c>
    </row>
    <row r="101" spans="1:16" hidden="1" outlineLevel="1" x14ac:dyDescent="0.2">
      <c r="A101" t="s">
        <v>140</v>
      </c>
      <c r="D101" s="3">
        <v>0</v>
      </c>
      <c r="E101" s="3">
        <v>5.5</v>
      </c>
      <c r="F101" s="3">
        <v>1.5</v>
      </c>
      <c r="G101" s="3">
        <v>1.5</v>
      </c>
      <c r="H101" s="3">
        <v>1.5</v>
      </c>
      <c r="I101" s="3">
        <v>1.5</v>
      </c>
      <c r="J101" s="3">
        <v>1.5</v>
      </c>
      <c r="K101" s="3">
        <v>1.5</v>
      </c>
      <c r="L101" s="3">
        <v>1.5</v>
      </c>
      <c r="M101" s="3">
        <v>1.5</v>
      </c>
      <c r="N101" s="3">
        <v>1.5</v>
      </c>
      <c r="O101" s="3">
        <v>1.5</v>
      </c>
      <c r="P101" s="3">
        <f t="shared" ref="P101:P104" si="32">SUM(D101:O101)</f>
        <v>20.5</v>
      </c>
    </row>
    <row r="102" spans="1:16" hidden="1" outlineLevel="1" x14ac:dyDescent="0.2">
      <c r="A102" t="s">
        <v>141</v>
      </c>
      <c r="D102" s="3">
        <v>0</v>
      </c>
      <c r="E102" s="3">
        <v>4.4000000000000004</v>
      </c>
      <c r="F102" s="3">
        <v>3.4</v>
      </c>
      <c r="G102" s="3">
        <v>3.4</v>
      </c>
      <c r="H102" s="3">
        <v>3.4</v>
      </c>
      <c r="I102" s="3">
        <v>3.4</v>
      </c>
      <c r="J102" s="3">
        <v>3.4</v>
      </c>
      <c r="K102" s="3">
        <v>3.4</v>
      </c>
      <c r="L102" s="3">
        <v>3.4</v>
      </c>
      <c r="M102" s="3">
        <v>3.4</v>
      </c>
      <c r="N102" s="3">
        <v>3.4</v>
      </c>
      <c r="O102" s="3">
        <v>3.4</v>
      </c>
      <c r="P102" s="3">
        <f t="shared" si="32"/>
        <v>38.399999999999991</v>
      </c>
    </row>
    <row r="103" spans="1:16" hidden="1" outlineLevel="1" x14ac:dyDescent="0.2">
      <c r="A103" t="s">
        <v>142</v>
      </c>
      <c r="D103" s="3">
        <v>0</v>
      </c>
      <c r="E103" s="3">
        <v>29.25</v>
      </c>
      <c r="F103" s="3">
        <v>29.25</v>
      </c>
      <c r="G103" s="3">
        <v>29.25</v>
      </c>
      <c r="H103" s="3">
        <v>29.25</v>
      </c>
      <c r="I103" s="3">
        <v>29.25</v>
      </c>
      <c r="J103" s="3">
        <v>29.25</v>
      </c>
      <c r="K103" s="3">
        <v>29.25</v>
      </c>
      <c r="L103" s="3">
        <v>29.25</v>
      </c>
      <c r="M103" s="3">
        <v>29.25</v>
      </c>
      <c r="N103" s="3">
        <v>29.25</v>
      </c>
      <c r="O103" s="3">
        <v>29.25</v>
      </c>
      <c r="P103" s="3">
        <f t="shared" si="32"/>
        <v>321.75</v>
      </c>
    </row>
    <row r="104" spans="1:16" hidden="1" outlineLevel="1" x14ac:dyDescent="0.2">
      <c r="A104" t="s">
        <v>143</v>
      </c>
      <c r="D104" s="3">
        <v>0</v>
      </c>
      <c r="E104" s="3">
        <v>13</v>
      </c>
      <c r="F104" s="3">
        <v>0</v>
      </c>
      <c r="G104" s="3">
        <v>19.5</v>
      </c>
      <c r="H104" s="3">
        <v>0</v>
      </c>
      <c r="I104" s="3">
        <v>0</v>
      </c>
      <c r="J104" s="3">
        <v>19.5</v>
      </c>
      <c r="K104" s="3">
        <v>0</v>
      </c>
      <c r="L104" s="3">
        <v>0</v>
      </c>
      <c r="M104" s="3">
        <v>13</v>
      </c>
      <c r="N104" s="3">
        <v>0</v>
      </c>
      <c r="O104" s="3">
        <v>0</v>
      </c>
      <c r="P104" s="3">
        <f t="shared" si="32"/>
        <v>65</v>
      </c>
    </row>
    <row r="105" spans="1:16" hidden="1" outlineLevel="1" x14ac:dyDescent="0.2"/>
    <row r="106" spans="1:16" ht="16" hidden="1" outlineLevel="1" thickBot="1" x14ac:dyDescent="0.25">
      <c r="D106" s="2">
        <f>SUM(D100:D105)</f>
        <v>0</v>
      </c>
      <c r="E106" s="2">
        <f t="shared" ref="E106:P106" si="33">SUM(E100:E105)</f>
        <v>66.2</v>
      </c>
      <c r="F106" s="2">
        <f t="shared" si="33"/>
        <v>114.2</v>
      </c>
      <c r="G106" s="2">
        <f t="shared" si="33"/>
        <v>95.699999999999989</v>
      </c>
      <c r="H106" s="2">
        <f t="shared" si="33"/>
        <v>106.7</v>
      </c>
      <c r="I106" s="2">
        <f t="shared" si="33"/>
        <v>83.699999999999989</v>
      </c>
      <c r="J106" s="2">
        <f t="shared" si="33"/>
        <v>95.699999999999989</v>
      </c>
      <c r="K106" s="2">
        <f t="shared" si="33"/>
        <v>106.7</v>
      </c>
      <c r="L106" s="2">
        <f t="shared" si="33"/>
        <v>83.699999999999989</v>
      </c>
      <c r="M106" s="2">
        <f t="shared" si="33"/>
        <v>119.7</v>
      </c>
      <c r="N106" s="2">
        <f t="shared" si="33"/>
        <v>76.199999999999989</v>
      </c>
      <c r="O106" s="2">
        <f t="shared" si="33"/>
        <v>114.2</v>
      </c>
      <c r="P106" s="2">
        <f t="shared" si="33"/>
        <v>1062.6999999999998</v>
      </c>
    </row>
    <row r="107" spans="1:16" ht="17" hidden="1" outlineLevel="1" thickTop="1" thickBot="1" x14ac:dyDescent="0.25">
      <c r="P107" s="54">
        <f>+P96-P106</f>
        <v>352.49632258537622</v>
      </c>
    </row>
    <row r="108" spans="1:16" collapsed="1" x14ac:dyDescent="0.2"/>
    <row r="111" spans="1:16" x14ac:dyDescent="0.2">
      <c r="P111" s="8"/>
    </row>
  </sheetData>
  <mergeCells count="4">
    <mergeCell ref="A1:P1"/>
    <mergeCell ref="A2:P2"/>
    <mergeCell ref="A4:P4"/>
    <mergeCell ref="A49:P49"/>
  </mergeCells>
  <pageMargins left="0.75" right="0.75" top="1" bottom="1" header="0.5" footer="0.5"/>
  <pageSetup orientation="portrait" r:id="rId1"/>
  <ignoredErrors>
    <ignoredError sqref="P52:P68 P71:P88 P69:P70 P5:P8" formulaRange="1"/>
    <ignoredError sqref="C43:P43"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Performance Tracker</vt:lpstr>
      <vt:lpstr>Dashboard</vt:lpstr>
      <vt:lpstr>Monthly P&amp;L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Poduri</cp:lastModifiedBy>
  <dcterms:created xsi:type="dcterms:W3CDTF">2026-04-20T05:00:34Z</dcterms:created>
  <dcterms:modified xsi:type="dcterms:W3CDTF">2026-06-11T12:36:47Z</dcterms:modified>
</cp:coreProperties>
</file>
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Co.RateDisc" sheetId="1" state="visible" r:id="rId3"/>
    <sheet name="Drug_Substitution" sheetId="2" state="visible" r:id="rId4"/>
    <sheet name="Top10 Distributor" sheetId="3" state="visible" r:id="rId5"/>
    <sheet name="Strategy" sheetId="4" state="visible" r:id="rId6"/>
    <sheet name="Payroll" sheetId="5" state="visible" r:id="rId7"/>
    <sheet name="Meeting" sheetId="6" state="visible" r:id="rId8"/>
    <sheet name="MS" sheetId="7" state="visible" r:id="rId9"/>
    <sheet name="Doctors List" sheetId="8" state="visible" r:id="rId10"/>
    <sheet name="Top20Supplier" sheetId="9" state="visible" r:id="rId11"/>
    <sheet name="Top20Consumables" sheetId="10" state="visible" r:id="rId12"/>
    <sheet name="VM_DrugCo" sheetId="11" state="visible" r:id="rId13"/>
    <sheet name="VM_Distributors" sheetId="12" state="visible" r:id="rId14"/>
    <sheet name="VM_Top20Suppliers" sheetId="13" state="visible" r:id="rId15"/>
    <sheet name="VM_Top20Items" sheetId="14" state="visible" r:id="rId16"/>
    <sheet name="RE_DrugSubstitution" sheetId="15" state="visible" r:id="rId17"/>
    <sheet name="RE_Summary" sheetId="16" state="visible" r:id="rId18"/>
  </sheets>
  <definedNames>
    <definedName function="false" hidden="true" localSheetId="1" name="_xlnm._FilterDatabase" vbProcedure="false">Drug_Substitution!$A$1:$Q$82</definedName>
    <definedName function="false" hidden="true" localSheetId="4" name="_xlnm._FilterDatabase" vbProcedure="false">Payroll!$A$8:$L$80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<sst xmlns="http://schemas.openxmlformats.org/spreadsheetml/2006/main" count="1045" uniqueCount="659">
  <si>
    <t xml:space="preserve">Top 20 Manufacturer Meeting Schedule</t>
  </si>
  <si>
    <t xml:space="preserve">Apr to Jan</t>
  </si>
  <si>
    <t xml:space="preserve">STORE</t>
  </si>
  <si>
    <t xml:space="preserve">MEDICAL STORE</t>
  </si>
  <si>
    <t xml:space="preserve">Manufacturer</t>
  </si>
  <si>
    <t xml:space="preserve">Sum of AMOUNT</t>
  </si>
  <si>
    <t xml:space="preserve">%</t>
  </si>
  <si>
    <t xml:space="preserve">Cum.%</t>
  </si>
  <si>
    <t xml:space="preserve">Expected Discount @ 10%</t>
  </si>
  <si>
    <t xml:space="preserve">SUN PHARMA</t>
  </si>
  <si>
    <t xml:space="preserve">FRESENIUS KABI INDIA LTD</t>
  </si>
  <si>
    <t xml:space="preserve">CIPLA</t>
  </si>
  <si>
    <t xml:space="preserve">PFIZER LTD</t>
  </si>
  <si>
    <t xml:space="preserve">BAXTER INDIA LTD</t>
  </si>
  <si>
    <t xml:space="preserve">B-BRAUN</t>
  </si>
  <si>
    <t xml:space="preserve">INTAS PHARMACEUTICALS LTD</t>
  </si>
  <si>
    <t xml:space="preserve">RELIANCE LIFE SCIENCES PVT LTD</t>
  </si>
  <si>
    <t xml:space="preserve">TORRENT PHARMACEUTICALS LTD</t>
  </si>
  <si>
    <t xml:space="preserve">ASTRA ZENECA</t>
  </si>
  <si>
    <t xml:space="preserve">ABBOTT HEALTHCARE PVT LTD.</t>
  </si>
  <si>
    <t xml:space="preserve">DR. REDDYS LAB LTD</t>
  </si>
  <si>
    <t xml:space="preserve">NOVO NORDISK</t>
  </si>
  <si>
    <t xml:space="preserve">GENZYME BIOSURGERY(SANOFI)</t>
  </si>
  <si>
    <t xml:space="preserve">BIOCON</t>
  </si>
  <si>
    <t xml:space="preserve">GLAXO SMITHKLINE</t>
  </si>
  <si>
    <t xml:space="preserve">LA RENON HEALTH CARE</t>
  </si>
  <si>
    <t xml:space="preserve">AVENTIS</t>
  </si>
  <si>
    <t xml:space="preserve">NOVARTIS NEPHROLOGY</t>
  </si>
  <si>
    <t xml:space="preserve">UNITED BIOTECH</t>
  </si>
  <si>
    <t xml:space="preserve">LUPIN LABORATORIES LTD</t>
  </si>
  <si>
    <t xml:space="preserve">Doctor </t>
  </si>
  <si>
    <t xml:space="preserve"> Brand </t>
  </si>
  <si>
    <t xml:space="preserve">  Generic Name </t>
  </si>
  <si>
    <t xml:space="preserve">Company</t>
  </si>
  <si>
    <t xml:space="preserve">Other brands </t>
  </si>
  <si>
    <t xml:space="preserve">Rate</t>
  </si>
  <si>
    <t xml:space="preserve">Tax </t>
  </si>
  <si>
    <t xml:space="preserve">Net </t>
  </si>
  <si>
    <t xml:space="preserve"> Product offer </t>
  </si>
  <si>
    <t xml:space="preserve">Net  rate </t>
  </si>
  <si>
    <t xml:space="preserve"> MRP</t>
  </si>
  <si>
    <t xml:space="preserve">Margin</t>
  </si>
  <si>
    <t xml:space="preserve">MONTHLY consumption</t>
  </si>
  <si>
    <t xml:space="preserve">Current Margin</t>
  </si>
  <si>
    <t xml:space="preserve">Projected Margin</t>
  </si>
  <si>
    <t xml:space="preserve">Additional Profit</t>
  </si>
  <si>
    <t xml:space="preserve">H Ramesh</t>
  </si>
  <si>
    <t xml:space="preserve">MERONEM 1GM </t>
  </si>
  <si>
    <t xml:space="preserve">MEROPENAM 1GM </t>
  </si>
  <si>
    <t xml:space="preserve">PFIZER </t>
  </si>
  <si>
    <t xml:space="preserve">EXISTING BRAND IN STOCK</t>
  </si>
  <si>
    <t xml:space="preserve">SANOFI </t>
  </si>
  <si>
    <t xml:space="preserve">MNEM 1GM </t>
  </si>
  <si>
    <t xml:space="preserve">CIPLA </t>
  </si>
  <si>
    <t xml:space="preserve">MEROCRIT 1GM </t>
  </si>
  <si>
    <t xml:space="preserve">BIOCON </t>
  </si>
  <si>
    <t xml:space="preserve">PENMER 1GM </t>
  </si>
  <si>
    <t xml:space="preserve">LUPIN </t>
  </si>
  <si>
    <t xml:space="preserve">MEROTROL 1GM </t>
  </si>
  <si>
    <t xml:space="preserve">FLEXBUMIN 20% INJ </t>
  </si>
  <si>
    <t xml:space="preserve">HUMAN ALBUMIN 20% </t>
  </si>
  <si>
    <t xml:space="preserve">TAKEDA </t>
  </si>
  <si>
    <t xml:space="preserve">RELIANCE </t>
  </si>
  <si>
    <t xml:space="preserve">ALBUREL 20% 100ML INJ </t>
  </si>
  <si>
    <t xml:space="preserve">MAGNEX FORTE 1.5GM INJ </t>
  </si>
  <si>
    <t xml:space="preserve">CEFOPERZAONE + SULBACTAM </t>
  </si>
  <si>
    <t xml:space="preserve">ZUVENTUS </t>
  </si>
  <si>
    <t xml:space="preserve">ZOSTUM 1.5 INJ </t>
  </si>
  <si>
    <t xml:space="preserve">MICRO LABS </t>
  </si>
  <si>
    <t xml:space="preserve">CEFGLOBE S FORTE 1.5 INJ </t>
  </si>
  <si>
    <t xml:space="preserve">BIOTICS </t>
  </si>
  <si>
    <t xml:space="preserve">CEFOTUM PLUS 1.5 INJ </t>
  </si>
  <si>
    <t xml:space="preserve">UNIFAITH BIOTECH </t>
  </si>
  <si>
    <t xml:space="preserve">COFASO S FORTE INJ </t>
  </si>
  <si>
    <t xml:space="preserve">AIONIOS</t>
  </si>
  <si>
    <t xml:space="preserve">CEFONIOS FORTE 1.5 INJ </t>
  </si>
  <si>
    <t xml:space="preserve">UNITED BIOTECH </t>
  </si>
  <si>
    <t xml:space="preserve">KEZONE S FORTE INJ </t>
  </si>
  <si>
    <t xml:space="preserve">SODIUM CHLORIDE 0.9% EUROHEAD 100ML </t>
  </si>
  <si>
    <t xml:space="preserve">SODIUM CHLORIDE 0.9% 100ML</t>
  </si>
  <si>
    <t xml:space="preserve">FRESENIUS</t>
  </si>
  <si>
    <t xml:space="preserve">B BRAUN </t>
  </si>
  <si>
    <t xml:space="preserve">SODIUM CHLORIDE 0.9% 100ML ECOFLAC </t>
  </si>
  <si>
    <t xml:space="preserve">ZAVIECFTA INJ </t>
  </si>
  <si>
    <t xml:space="preserve">CEFTAZIDIME + AVIBACTUM </t>
  </si>
  <si>
    <t xml:space="preserve">CIPCZA INJ </t>
  </si>
  <si>
    <t xml:space="preserve">BDR </t>
  </si>
  <si>
    <t xml:space="preserve">PRE ULTRA INJ </t>
  </si>
  <si>
    <t xml:space="preserve">KABIMOL INJ </t>
  </si>
  <si>
    <t xml:space="preserve">PARACETAMOL </t>
  </si>
  <si>
    <t xml:space="preserve">DOLO IV </t>
  </si>
  <si>
    <t xml:space="preserve">ABHOPE INJ </t>
  </si>
  <si>
    <t xml:space="preserve">LIPOSOMAL AMPHOTERICIN B </t>
  </si>
  <si>
    <t xml:space="preserve">ABBOTT </t>
  </si>
  <si>
    <t xml:space="preserve">MYLAN </t>
  </si>
  <si>
    <t xml:space="preserve">AMBISOME INJ </t>
  </si>
  <si>
    <t xml:space="preserve">GAMMAREN 5GM INJ </t>
  </si>
  <si>
    <t xml:space="preserve">HUMAN NORMAL IMMUNOGLOBULIN </t>
  </si>
  <si>
    <t xml:space="preserve">INTAS </t>
  </si>
  <si>
    <t xml:space="preserve">IMMUNOREL 5GM INJ </t>
  </si>
  <si>
    <t xml:space="preserve">TAZACT 4.5 INJ </t>
  </si>
  <si>
    <t xml:space="preserve">PIPERACILIN + TAZOBACTUM </t>
  </si>
  <si>
    <t xml:space="preserve">PICZAR 4.5 INJ </t>
  </si>
  <si>
    <t xml:space="preserve">TAZAR 4.5 INJ </t>
  </si>
  <si>
    <t xml:space="preserve">LUPRIDE DEPOT 11.25 INJ </t>
  </si>
  <si>
    <t xml:space="preserve">LEUPROLIDE 11.25</t>
  </si>
  <si>
    <t xml:space="preserve">BHARATH SERUM </t>
  </si>
  <si>
    <t xml:space="preserve">LUPRODEX 11.25 INJ </t>
  </si>
  <si>
    <t xml:space="preserve">MEROWAK S 1.5 INJ </t>
  </si>
  <si>
    <t xml:space="preserve">MEROPENAM + SULBACTUN </t>
  </si>
  <si>
    <t xml:space="preserve">WAKSMED </t>
  </si>
  <si>
    <t xml:space="preserve">MENEM S 1.5 INJ </t>
  </si>
  <si>
    <t xml:space="preserve">MERFAITH S 1.5 INJ </t>
  </si>
  <si>
    <t xml:space="preserve">ERAXIS 100MG INJ </t>
  </si>
  <si>
    <t xml:space="preserve">ANIDULAFUNGIN 100</t>
  </si>
  <si>
    <t xml:space="preserve">ANDULFA INJ </t>
  </si>
  <si>
    <t xml:space="preserve">ANIDULAN INJ </t>
  </si>
  <si>
    <t xml:space="preserve">SEVITRUE 250ML </t>
  </si>
  <si>
    <t xml:space="preserve">SEVOFLURANE </t>
  </si>
  <si>
    <t xml:space="preserve">TROIKA</t>
  </si>
  <si>
    <t xml:space="preserve">SEVOTROY 250ML </t>
  </si>
  <si>
    <t xml:space="preserve">DARNESP 40 INJ </t>
  </si>
  <si>
    <t xml:space="preserve">DARBEPOETIN ALFA </t>
  </si>
  <si>
    <t xml:space="preserve">MEDIART </t>
  </si>
  <si>
    <t xml:space="preserve">DR REDDYS </t>
  </si>
  <si>
    <t xml:space="preserve">CRESP 40 INJ </t>
  </si>
  <si>
    <t xml:space="preserve">UDILIV 300 MG TAB </t>
  </si>
  <si>
    <t xml:space="preserve">URSODEOXYCHOLIC ACID 300</t>
  </si>
  <si>
    <t xml:space="preserve">SUN PHARMA </t>
  </si>
  <si>
    <t xml:space="preserve">URSOCOL 300MG TAB </t>
  </si>
  <si>
    <t xml:space="preserve">GOLBI 300MG TAB </t>
  </si>
  <si>
    <t xml:space="preserve">SAFESET IV SET </t>
  </si>
  <si>
    <t xml:space="preserve">INTRAVENOUS INFUSION SET </t>
  </si>
  <si>
    <t xml:space="preserve">ROMSONS </t>
  </si>
  <si>
    <t xml:space="preserve">IV SET TRANSFLOW </t>
  </si>
  <si>
    <t xml:space="preserve">POLYMED</t>
  </si>
  <si>
    <t xml:space="preserve">PHOTO FUSION IV SET </t>
  </si>
  <si>
    <t xml:space="preserve">Monthly Incremental Profit</t>
  </si>
  <si>
    <t xml:space="preserve">Annual Incremental Profit</t>
  </si>
  <si>
    <t xml:space="preserve">Top 10 Distributor</t>
  </si>
  <si>
    <t xml:space="preserve">Period April to Jan</t>
  </si>
  <si>
    <t xml:space="preserve">Sl.No1</t>
  </si>
  <si>
    <t xml:space="preserve">Name of Distributor</t>
  </si>
  <si>
    <t xml:space="preserve">Purchase Cost</t>
  </si>
  <si>
    <t xml:space="preserve">Expected Discount @ 05%</t>
  </si>
  <si>
    <t xml:space="preserve">ST ANTONYS MEDICAL DISTRIBUTORS</t>
  </si>
  <si>
    <t xml:space="preserve">MARIA PHARMA</t>
  </si>
  <si>
    <t xml:space="preserve">M.V.DRUG LINES</t>
  </si>
  <si>
    <t xml:space="preserve">BIOREX SUPER SPECIALITY PVT LTD</t>
  </si>
  <si>
    <t xml:space="preserve">LOTUS PHARMACEUTICALS</t>
  </si>
  <si>
    <t xml:space="preserve">CTL INFOCOM PVT. LTD.</t>
  </si>
  <si>
    <t xml:space="preserve">SYNERGY ASSOCIATES</t>
  </si>
  <si>
    <t xml:space="preserve">SOUTHERN PHARMACEUTICAL DISTRIBUTORS</t>
  </si>
  <si>
    <t xml:space="preserve">COCHIN PHARMA</t>
  </si>
  <si>
    <t xml:space="preserve">SRI RAM ASSOCIATES</t>
  </si>
  <si>
    <t xml:space="preserve">Strategy to Material Cost rationalisation (Kochi)</t>
  </si>
  <si>
    <t xml:space="preserve">% of Revenue</t>
  </si>
  <si>
    <t xml:space="preserve">Existing COGS</t>
  </si>
  <si>
    <t xml:space="preserve">1. Further scope for rate contracts</t>
  </si>
  <si>
    <t xml:space="preserve">2. Credit period wise discounts </t>
  </si>
  <si>
    <t xml:space="preserve">3. Standardising BOQ for major surgeries and procedures.</t>
  </si>
  <si>
    <t xml:space="preserve">4. Other Initiatives</t>
  </si>
  <si>
    <t xml:space="preserve">• 3 Level maintenance of Approved formulary</t>
  </si>
  <si>
    <t xml:space="preserve">• Better management of Wastage / Cut Strips</t>
  </si>
  <si>
    <t xml:space="preserve">• Inventory Levels Management</t>
  </si>
  <si>
    <t xml:space="preserve">Targeted Cost</t>
  </si>
  <si>
    <t xml:space="preserve">Notes</t>
  </si>
  <si>
    <t xml:space="preserve">Group or reallocate where there is just one person in a department</t>
  </si>
  <si>
    <t xml:space="preserve">Consolidate Hospital assistants, PCS, Medical transcriptionists</t>
  </si>
  <si>
    <t xml:space="preserve">Month</t>
  </si>
  <si>
    <t xml:space="preserve">Jan</t>
  </si>
  <si>
    <t xml:space="preserve">Total</t>
  </si>
  <si>
    <t xml:space="preserve">XX</t>
  </si>
  <si>
    <t xml:space="preserve">Row Labels</t>
  </si>
  <si>
    <t xml:space="preserve">Count</t>
  </si>
  <si>
    <t xml:space="preserve">Gross Salary</t>
  </si>
  <si>
    <t xml:space="preserve">Annual Cost</t>
  </si>
  <si>
    <t xml:space="preserve">Annual cost / Employee</t>
  </si>
  <si>
    <t xml:space="preserve">Basis</t>
  </si>
  <si>
    <t xml:space="preserve">Implementation notes/dependencies</t>
  </si>
  <si>
    <t xml:space="preserve">Target#</t>
  </si>
  <si>
    <t xml:space="preserve">Target Cost</t>
  </si>
  <si>
    <t xml:space="preserve">Savings</t>
  </si>
  <si>
    <t xml:space="preserve">Timeline</t>
  </si>
  <si>
    <t xml:space="preserve">NURSING</t>
  </si>
  <si>
    <t xml:space="preserve">(bulleted list)</t>
  </si>
  <si>
    <t xml:space="preserve">Color code as per Short/Intermediate/Long</t>
  </si>
  <si>
    <t xml:space="preserve">ADMIN-Hospital assistant</t>
  </si>
  <si>
    <t xml:space="preserve"># should be 2.25x of occupied beds (563 needs to be updated)</t>
  </si>
  <si>
    <t xml:space="preserve">ICU reorganisation</t>
  </si>
  <si>
    <t xml:space="preserve">Intermediate</t>
  </si>
  <si>
    <t xml:space="preserve">PARAMEDICAL</t>
  </si>
  <si>
    <t xml:space="preserve">PATIENT CARE SERVICES</t>
  </si>
  <si>
    <t xml:space="preserve">EMR Implementation - IP and OP Ward Secretaries</t>
  </si>
  <si>
    <t xml:space="preserve">PHARMACY</t>
  </si>
  <si>
    <t xml:space="preserve">Ref- Fortis Benchmark and Dispensing time per drug</t>
  </si>
  <si>
    <t xml:space="preserve">Process Re-design, Barcode Implementation</t>
  </si>
  <si>
    <t xml:space="preserve">20 Short and 23 Inter</t>
  </si>
  <si>
    <t xml:space="preserve">FOOD &amp; BEVERAGES</t>
  </si>
  <si>
    <t xml:space="preserve">revenue generating : maintain at 14% of revenue</t>
  </si>
  <si>
    <t xml:space="preserve">NA</t>
  </si>
  <si>
    <t xml:space="preserve">ADMINISTRATION</t>
  </si>
  <si>
    <t xml:space="preserve">No scope right now</t>
  </si>
  <si>
    <t xml:space="preserve">RADIOLOGY</t>
  </si>
  <si>
    <t xml:space="preserve">Address non technicians/ technologists</t>
  </si>
  <si>
    <t xml:space="preserve">Reduce 2 MT</t>
  </si>
  <si>
    <t xml:space="preserve">Calculate actuals later</t>
  </si>
  <si>
    <t xml:space="preserve">RADIOTHERAPY</t>
  </si>
  <si>
    <t xml:space="preserve">AERB norms, low utilisation</t>
  </si>
  <si>
    <t xml:space="preserve">Lab</t>
  </si>
  <si>
    <t xml:space="preserve">BIOCHEMISTRY</t>
  </si>
  <si>
    <t xml:space="preserve">4-5 Reduction</t>
  </si>
  <si>
    <t xml:space="preserve">BILLING</t>
  </si>
  <si>
    <t xml:space="preserve">ENGINEERING</t>
  </si>
  <si>
    <t xml:space="preserve">Relook at maybe 1-2</t>
  </si>
  <si>
    <t xml:space="preserve">ANAESTHESIOLOGY</t>
  </si>
  <si>
    <t xml:space="preserve">NEPHROLOGY</t>
  </si>
  <si>
    <t xml:space="preserve">HISTOPATHOLOGY</t>
  </si>
  <si>
    <t xml:space="preserve">ACCOUNTS AND FINANCE</t>
  </si>
  <si>
    <t xml:space="preserve">PURCHASE AND STORES</t>
  </si>
  <si>
    <t xml:space="preserve">CSSD</t>
  </si>
  <si>
    <t xml:space="preserve">CARDIOLOGY</t>
  </si>
  <si>
    <t xml:space="preserve">MICROBIOLOGY</t>
  </si>
  <si>
    <t xml:space="preserve">BLOOD BANK</t>
  </si>
  <si>
    <t xml:space="preserve">HAEMATOLOGY</t>
  </si>
  <si>
    <t xml:space="preserve">OPERATIONS</t>
  </si>
  <si>
    <t xml:space="preserve">MEDICAL RECORDS</t>
  </si>
  <si>
    <t xml:space="preserve">INSURANCE</t>
  </si>
  <si>
    <t xml:space="preserve">HEALTH CARE PROMOTIONS</t>
  </si>
  <si>
    <t xml:space="preserve">TRANSPORT</t>
  </si>
  <si>
    <t xml:space="preserve">NUCLEAR MEDICINE</t>
  </si>
  <si>
    <t xml:space="preserve">BIOMEDICAL ENGINEERING</t>
  </si>
  <si>
    <t xml:space="preserve">two are used for neurosurgery for equipment navigation but only 10 surgeries per month</t>
  </si>
  <si>
    <t xml:space="preserve">QID</t>
  </si>
  <si>
    <t xml:space="preserve">INFORMATION TECHNOLOGY</t>
  </si>
  <si>
    <t xml:space="preserve">CLINICAL NUTRITION</t>
  </si>
  <si>
    <t xml:space="preserve">HUMAN RESOURCES</t>
  </si>
  <si>
    <t xml:space="preserve">CALL CENTRE</t>
  </si>
  <si>
    <t xml:space="preserve">PHYSIOTHERAPY</t>
  </si>
  <si>
    <t xml:space="preserve">GASTROENTEROLOGY</t>
  </si>
  <si>
    <t xml:space="preserve">CORPORATE COMMUNICATIONS</t>
  </si>
  <si>
    <t xml:space="preserve">CARDIOTHORACIC SURGERY</t>
  </si>
  <si>
    <t xml:space="preserve">HEAD &amp; NECK ONCOLOGY</t>
  </si>
  <si>
    <t xml:space="preserve">ECHS</t>
  </si>
  <si>
    <t xml:space="preserve">NEUROLOGY</t>
  </si>
  <si>
    <t xml:space="preserve">ACCIDENT &amp; EMERGENCY</t>
  </si>
  <si>
    <t xml:space="preserve">STORES</t>
  </si>
  <si>
    <t xml:space="preserve">FINANCIAL COUNSELLING</t>
  </si>
  <si>
    <t xml:space="preserve">LAUNDRY</t>
  </si>
  <si>
    <t xml:space="preserve">HOUSEKEEPING</t>
  </si>
  <si>
    <t xml:space="preserve">ORTHOPAEDICS</t>
  </si>
  <si>
    <t xml:space="preserve">INTERNATIONAL HEALTH CARE PROMOTION</t>
  </si>
  <si>
    <t xml:space="preserve">PSYCHIATRY</t>
  </si>
  <si>
    <t xml:space="preserve">INTERNAL AUDIT</t>
  </si>
  <si>
    <t xml:space="preserve">RADIATION ONCOLOGY</t>
  </si>
  <si>
    <t xml:space="preserve">CRITICAL CARE</t>
  </si>
  <si>
    <t xml:space="preserve">ENDOCRINOLOGY</t>
  </si>
  <si>
    <t xml:space="preserve">MINIMALLY INVASIVE SURGERY</t>
  </si>
  <si>
    <t xml:space="preserve">UROLOGY</t>
  </si>
  <si>
    <t xml:space="preserve">MOLECULAR BIOLOGY</t>
  </si>
  <si>
    <t xml:space="preserve">LIVER TRANSPLANT</t>
  </si>
  <si>
    <t xml:space="preserve">COSTING AND FINANCE</t>
  </si>
  <si>
    <t xml:space="preserve">OPHTHALMOLOGY</t>
  </si>
  <si>
    <t xml:space="preserve">MEDICAL ONCOLOGY</t>
  </si>
  <si>
    <t xml:space="preserve">MARKETING</t>
  </si>
  <si>
    <t xml:space="preserve">SCHEMES</t>
  </si>
  <si>
    <t xml:space="preserve">SURGICAL GYNAEC ONCOLOGY</t>
  </si>
  <si>
    <t xml:space="preserve">NEUROMEDICINE</t>
  </si>
  <si>
    <t xml:space="preserve">NEUROSURGERY</t>
  </si>
  <si>
    <t xml:space="preserve">PULMONOLOGY</t>
  </si>
  <si>
    <t xml:space="preserve">QUALITY</t>
  </si>
  <si>
    <t xml:space="preserve">MRD</t>
  </si>
  <si>
    <t xml:space="preserve">FIRE &amp; SAFETY</t>
  </si>
  <si>
    <t xml:space="preserve">COMPREHENSIVE LIVER CARE</t>
  </si>
  <si>
    <t xml:space="preserve">CLINICAL RESEARCH</t>
  </si>
  <si>
    <t xml:space="preserve">Biochem, Histo, Micro, Haem - Reduce from 85-75</t>
  </si>
  <si>
    <t xml:space="preserve">Meeting Schedule</t>
  </si>
  <si>
    <t xml:space="preserve">Day</t>
  </si>
  <si>
    <t xml:space="preserve">Status</t>
  </si>
  <si>
    <t xml:space="preserve">Remarks</t>
  </si>
  <si>
    <t xml:space="preserve">Monday</t>
  </si>
  <si>
    <t xml:space="preserve">Completed.</t>
  </si>
  <si>
    <t xml:space="preserve">will come back by April</t>
  </si>
  <si>
    <t xml:space="preserve">Approach MD, Top 3 Item</t>
  </si>
  <si>
    <t xml:space="preserve">will come on Saturday. They offered Free Qty of 200 for Every 3500 qty Purchase.</t>
  </si>
  <si>
    <t xml:space="preserve">will come back by this week</t>
  </si>
  <si>
    <t xml:space="preserve">Will come back on April</t>
  </si>
  <si>
    <t xml:space="preserve">Tuesday</t>
  </si>
  <si>
    <t xml:space="preserve">One Week Time</t>
  </si>
  <si>
    <t xml:space="preserve">Tomorrow (12-03-2026)</t>
  </si>
  <si>
    <t xml:space="preserve">Will come back on Monday</t>
  </si>
  <si>
    <t xml:space="preserve">Meeting Scheduled to Saturday</t>
  </si>
  <si>
    <t xml:space="preserve">Wednesday</t>
  </si>
  <si>
    <t xml:space="preserve">Scheduled to 13-03-2026</t>
  </si>
  <si>
    <t xml:space="preserve">Within a week </t>
  </si>
  <si>
    <t xml:space="preserve">Thursday</t>
  </si>
  <si>
    <t xml:space="preserve">Saturday</t>
  </si>
  <si>
    <t xml:space="preserve">Friday</t>
  </si>
  <si>
    <t xml:space="preserve">They offered additional 4 % discount</t>
  </si>
  <si>
    <t xml:space="preserve">will give additional offer by May</t>
  </si>
  <si>
    <t xml:space="preserve">will come back by 3-4 days</t>
  </si>
  <si>
    <t xml:space="preserve">Achievable Target1</t>
  </si>
  <si>
    <t xml:space="preserve">Reduction</t>
  </si>
  <si>
    <t xml:space="preserve">% of Reduction</t>
  </si>
  <si>
    <t xml:space="preserve">Doctor</t>
  </si>
  <si>
    <t xml:space="preserve">Department</t>
  </si>
  <si>
    <t xml:space="preserve">IP Revenue</t>
  </si>
  <si>
    <t xml:space="preserve">OP Revenue</t>
  </si>
  <si>
    <t xml:space="preserve">% of Total Revenue</t>
  </si>
  <si>
    <t xml:space="preserve">OP Visit</t>
  </si>
  <si>
    <t xml:space="preserve">IP Discharge</t>
  </si>
  <si>
    <t xml:space="preserve">Beddays</t>
  </si>
  <si>
    <t xml:space="preserve">ARPP(OP)</t>
  </si>
  <si>
    <t xml:space="preserve">ARPP(IP)</t>
  </si>
  <si>
    <t xml:space="preserve">ARPOB(IP)</t>
  </si>
  <si>
    <t xml:space="preserve">NIRMALA THOMAS</t>
  </si>
  <si>
    <t xml:space="preserve">PEDIATRICS</t>
  </si>
  <si>
    <t xml:space="preserve">ROHIT S</t>
  </si>
  <si>
    <t xml:space="preserve">PLASTIC SURGERY</t>
  </si>
  <si>
    <t xml:space="preserve">NAVIN ANTO JOHN</t>
  </si>
  <si>
    <t xml:space="preserve">GIGI SAMSHEER</t>
  </si>
  <si>
    <t xml:space="preserve">OB &amp; GYNEC.</t>
  </si>
  <si>
    <t xml:space="preserve">JACOB CHACKO</t>
  </si>
  <si>
    <t xml:space="preserve">DENTAL</t>
  </si>
  <si>
    <t xml:space="preserve">VINITHA GOPALAKRISHNAN</t>
  </si>
  <si>
    <t xml:space="preserve">DERMATOLOGY &amp; V D</t>
  </si>
  <si>
    <t xml:space="preserve">SINNET P.R</t>
  </si>
  <si>
    <t xml:space="preserve">JOJO JOHN .</t>
  </si>
  <si>
    <t xml:space="preserve">HARIKUMAR M MENON</t>
  </si>
  <si>
    <t xml:space="preserve">SHAHEER ALI P</t>
  </si>
  <si>
    <t xml:space="preserve">NEURO &amp; VASCULAR INTERVENTIONAL RADIOLOGY</t>
  </si>
  <si>
    <t xml:space="preserve">SHWETHA SHENOY.M</t>
  </si>
  <si>
    <t xml:space="preserve">ENT</t>
  </si>
  <si>
    <t xml:space="preserve">LAKSHMI RANJIT</t>
  </si>
  <si>
    <t xml:space="preserve">AKHILA .A.K</t>
  </si>
  <si>
    <t xml:space="preserve">HARIS E M</t>
  </si>
  <si>
    <t xml:space="preserve">CHACKO J I</t>
  </si>
  <si>
    <t xml:space="preserve">Category</t>
  </si>
  <si>
    <t xml:space="preserve">MEDICAL CONSUMABLES</t>
  </si>
  <si>
    <t xml:space="preserve">GENERAL STORE</t>
  </si>
  <si>
    <t xml:space="preserve">OXYTECH SURGICAL (OPC) PRIVATE LTD.</t>
  </si>
  <si>
    <t xml:space="preserve">ELIZ ENTERPRISES</t>
  </si>
  <si>
    <t xml:space="preserve">TOP CARE SURGICALS</t>
  </si>
  <si>
    <t xml:space="preserve">LIFE WAY SURGICALS</t>
  </si>
  <si>
    <t xml:space="preserve">NANDANA SURGICARE</t>
  </si>
  <si>
    <t xml:space="preserve">ZYPHER TECHNOLOGIES</t>
  </si>
  <si>
    <t xml:space="preserve">STRAND MARKETING</t>
  </si>
  <si>
    <t xml:space="preserve">LIFE CARE MEDICAL SOLUTIONS PRIVATE LTD</t>
  </si>
  <si>
    <t xml:space="preserve">KOCHIN INLAB EQUIPMENTS INDIA P LTD.</t>
  </si>
  <si>
    <t xml:space="preserve">ARJOHUNTLEIGH HEALTHCARE INDIA PVT LTD</t>
  </si>
  <si>
    <t xml:space="preserve">MEDCARE SURGICALS</t>
  </si>
  <si>
    <t xml:space="preserve">KODAKKAT PHARMA DISTRIBUTORS</t>
  </si>
  <si>
    <t xml:space="preserve">JAKESMED HEALTHCARE</t>
  </si>
  <si>
    <t xml:space="preserve">ANTS LIFECARE PRIVATE LIMITED</t>
  </si>
  <si>
    <t xml:space="preserve">HEALTHCARE SURGICALS</t>
  </si>
  <si>
    <t xml:space="preserve">SMART SUPPLIERS</t>
  </si>
  <si>
    <t xml:space="preserve">PRAXIS HEALTH TECHNOLOGIES</t>
  </si>
  <si>
    <t xml:space="preserve">ELEMENTS ENTERPRISES</t>
  </si>
  <si>
    <t xml:space="preserve">AMR MEDICALS PVT LTD</t>
  </si>
  <si>
    <t xml:space="preserve">CASMED LIFESCIENCES PVT LTD.</t>
  </si>
  <si>
    <t xml:space="preserve">SREE ARUMUGHAM SURGICALS</t>
  </si>
  <si>
    <t xml:space="preserve">IDEAL SURGICALS</t>
  </si>
  <si>
    <t xml:space="preserve">BIONS MEDICAL SYSTEMS PVT LTD</t>
  </si>
  <si>
    <t xml:space="preserve">HITECH MARKETING SERVICES</t>
  </si>
  <si>
    <t xml:space="preserve">ENCARE MEDICAL DEVICES PVT.LTD.</t>
  </si>
  <si>
    <t xml:space="preserve">NEWGEN AGENCIES</t>
  </si>
  <si>
    <t xml:space="preserve">RELIANT DIAGNOSTICS</t>
  </si>
  <si>
    <t xml:space="preserve">ADVANCED SURGICALS</t>
  </si>
  <si>
    <t xml:space="preserve">OSTOM</t>
  </si>
  <si>
    <t xml:space="preserve">LIFE CARE AGENCIES ...</t>
  </si>
  <si>
    <t xml:space="preserve">PLANET TRADING</t>
  </si>
  <si>
    <t xml:space="preserve">SRI MARUTHI TEX</t>
  </si>
  <si>
    <t xml:space="preserve">THE ADVANCED MEDICAL SYSTEMS INC</t>
  </si>
  <si>
    <t xml:space="preserve">SEQUMED</t>
  </si>
  <si>
    <t xml:space="preserve">ASTRIAA HEALTHCARE</t>
  </si>
  <si>
    <t xml:space="preserve">OLIVE HOCH MEDICAL SOLUTIONS</t>
  </si>
  <si>
    <t xml:space="preserve">BIOTEK SOLUTIONS PVT. LTD.</t>
  </si>
  <si>
    <t xml:space="preserve">LABORATORY EQUIPMENT STORES</t>
  </si>
  <si>
    <t xml:space="preserve">SP PHARMA DISTRIBUTORS</t>
  </si>
  <si>
    <t xml:space="preserve">ACCESS MEDICAL SYSTEMS</t>
  </si>
  <si>
    <t xml:space="preserve">ADVANCED MEDICAL TECHNOLOGIES</t>
  </si>
  <si>
    <t xml:space="preserve">BONAFIDE SURGICALS</t>
  </si>
  <si>
    <t xml:space="preserve">CHOICE MEDISYSTEMS</t>
  </si>
  <si>
    <t xml:space="preserve">CAREWISE HEALTH VENTURES PVT LTD.</t>
  </si>
  <si>
    <t xml:space="preserve">FUSION SANTE SOLUTIONS</t>
  </si>
  <si>
    <t xml:space="preserve">MEDLORA HEALTHCARE SUPPLIES</t>
  </si>
  <si>
    <t xml:space="preserve">CARDIO CONSUMABLES PVT LTD</t>
  </si>
  <si>
    <t xml:space="preserve">BIOMEDICS</t>
  </si>
  <si>
    <t xml:space="preserve">NAVANI MEDITEX PVT LTD.</t>
  </si>
  <si>
    <t xml:space="preserve">ORIOL HEALTH CARE</t>
  </si>
  <si>
    <t xml:space="preserve">LISTER MEDICA HEALTHCARE</t>
  </si>
  <si>
    <t xml:space="preserve">UNIVERSAL PHARMA DISTRIBUTORS</t>
  </si>
  <si>
    <t xml:space="preserve">DEEKAY LIFE CARE PRIVATE LIMITED</t>
  </si>
  <si>
    <t xml:space="preserve">GEM INNOVATIONS</t>
  </si>
  <si>
    <t xml:space="preserve">HEILSU HEALTHCARE</t>
  </si>
  <si>
    <t xml:space="preserve">APEX MEDICAL SUPPLIERS</t>
  </si>
  <si>
    <t xml:space="preserve">B &amp; C TECHNOLOGIES</t>
  </si>
  <si>
    <t xml:space="preserve">CATH MEDICAL DEVICES PVT. LTD.</t>
  </si>
  <si>
    <t xml:space="preserve">ST.LUKE MED DEVICES PVT LTD.(EKM)</t>
  </si>
  <si>
    <t xml:space="preserve">ASWINI HEALTH SPECIALITIES INDIA PVT LTD</t>
  </si>
  <si>
    <t xml:space="preserve">SUPERDRUGS</t>
  </si>
  <si>
    <t xml:space="preserve">APSARA MEDICAL DISTRIBUTION COMPANY</t>
  </si>
  <si>
    <t xml:space="preserve">MEDI ASSIST</t>
  </si>
  <si>
    <t xml:space="preserve">PLANET SURGICALS &amp; PHARMA</t>
  </si>
  <si>
    <t xml:space="preserve">INDIA MEDTRONIC PVT LTD</t>
  </si>
  <si>
    <t xml:space="preserve">K.S MEDICAL DISTRIBUTORS</t>
  </si>
  <si>
    <t xml:space="preserve">ADS CHEMIST &amp; DRUGGIST</t>
  </si>
  <si>
    <t xml:space="preserve">ANANDHA PHARMACY PRIVATE LIMITED</t>
  </si>
  <si>
    <t xml:space="preserve">LAKSHMI NEUROSPINE TECHNOLOGIES</t>
  </si>
  <si>
    <t xml:space="preserve">S.B.  AGENCIES</t>
  </si>
  <si>
    <t xml:space="preserve">GRAHAMS PHARMACEUTICALS</t>
  </si>
  <si>
    <t xml:space="preserve">DEE KAY ASSOCIATES</t>
  </si>
  <si>
    <t xml:space="preserve">JANET HEALTHCARE</t>
  </si>
  <si>
    <t xml:space="preserve">NANDANAM SURGICALS</t>
  </si>
  <si>
    <t xml:space="preserve">ANNET HEALTHCARE</t>
  </si>
  <si>
    <t xml:space="preserve">ANGAMALY SURGICALS</t>
  </si>
  <si>
    <t xml:space="preserve">JIT &amp; JIT PRODUCTS</t>
  </si>
  <si>
    <t xml:space="preserve">FALCON INTERNATIONAL DRUG COMPANY</t>
  </si>
  <si>
    <t xml:space="preserve">MARIAN ASSOCIATES</t>
  </si>
  <si>
    <t xml:space="preserve">ALPHA MEDICAL SYSTEMS</t>
  </si>
  <si>
    <t xml:space="preserve">OTIC HEARING SOLUTIONS PVT LTD</t>
  </si>
  <si>
    <t xml:space="preserve">FUTUREMED SOLUTIONS PVT LTD</t>
  </si>
  <si>
    <t xml:space="preserve">PHARMACON</t>
  </si>
  <si>
    <t xml:space="preserve">DEN HEALTHCARE AND ALLIED ENTERPRISES PRIVATE LIMITED</t>
  </si>
  <si>
    <t xml:space="preserve">THE STICKERS</t>
  </si>
  <si>
    <t xml:space="preserve">URO MEDICS  (P) LTD</t>
  </si>
  <si>
    <t xml:space="preserve">PREMIER MEDICAL SYSTEMS</t>
  </si>
  <si>
    <t xml:space="preserve">BIOMEDICAL ENGINEERING COMPANY</t>
  </si>
  <si>
    <t xml:space="preserve">STERANCO HEALTH CARE PVT LTD</t>
  </si>
  <si>
    <t xml:space="preserve">BLUEBERRY HEALTHCARE</t>
  </si>
  <si>
    <t xml:space="preserve">PULIKKAL PHARMA DISTRIBUTORS</t>
  </si>
  <si>
    <t xml:space="preserve">CISCOMED</t>
  </si>
  <si>
    <t xml:space="preserve">TMT AGENCIES</t>
  </si>
  <si>
    <t xml:space="preserve">ORLEM PHARMA PVT. LTD.</t>
  </si>
  <si>
    <t xml:space="preserve">AXIS HEALTH CARE</t>
  </si>
  <si>
    <t xml:space="preserve">IMPULSE HEALTHCARE</t>
  </si>
  <si>
    <t xml:space="preserve">MARIA SURGICALS</t>
  </si>
  <si>
    <t xml:space="preserve">SPAN HEALTHCARE PRIVATE LIMITED.(KOCHI)</t>
  </si>
  <si>
    <t xml:space="preserve">SURABHI ASSOCIATES PHARMA</t>
  </si>
  <si>
    <t xml:space="preserve">ZAPF ADVERTISERS</t>
  </si>
  <si>
    <t xml:space="preserve">NAIK MEDITECHS &amp; DEVICES PVT.LTD.</t>
  </si>
  <si>
    <t xml:space="preserve">SURGILINES ASSOCIATES</t>
  </si>
  <si>
    <t xml:space="preserve">JAIHIND SURGICALS</t>
  </si>
  <si>
    <t xml:space="preserve">LABCHEM AGENCIES</t>
  </si>
  <si>
    <t xml:space="preserve">NOVAMED SOLUTIONS</t>
  </si>
  <si>
    <t xml:space="preserve">CARE LINE MEDICALS &amp; SURGICALS</t>
  </si>
  <si>
    <t xml:space="preserve">ORBITAL ORTHOPAEDICS</t>
  </si>
  <si>
    <t xml:space="preserve">JD DIAGNOSTICS PVT. LTD.</t>
  </si>
  <si>
    <t xml:space="preserve">MEDEVICE ASSOCIATES</t>
  </si>
  <si>
    <t xml:space="preserve">SAMARIA MEDICARE</t>
  </si>
  <si>
    <t xml:space="preserve">NIDRA ASSOCIATES</t>
  </si>
  <si>
    <t xml:space="preserve">GLOBAL SURGICALS</t>
  </si>
  <si>
    <t xml:space="preserve">KRISHNA AGENCY (TPRA)</t>
  </si>
  <si>
    <t xml:space="preserve">KRIYA MEDICAL TECHNOLOGIES PRIVATE LTD.</t>
  </si>
  <si>
    <t xml:space="preserve">BEC HEALTHCARE INDIA PVT. LTD.,</t>
  </si>
  <si>
    <t xml:space="preserve">KERALA BIOMEDICAL SERVICES</t>
  </si>
  <si>
    <t xml:space="preserve">NANDA BIOTECH</t>
  </si>
  <si>
    <t xml:space="preserve">CARE DIAGNOSTICS</t>
  </si>
  <si>
    <t xml:space="preserve">DERMAINDIA</t>
  </si>
  <si>
    <t xml:space="preserve">CYRIX HEALTHCARE PRIVATE LIMITED</t>
  </si>
  <si>
    <t xml:space="preserve">KALYAN AGENCIES</t>
  </si>
  <si>
    <t xml:space="preserve">CLASSIC FOAM PRODUCTS</t>
  </si>
  <si>
    <t xml:space="preserve">BRIGHT SURGICALS</t>
  </si>
  <si>
    <t xml:space="preserve">VEENUS ASSOCIATES</t>
  </si>
  <si>
    <t xml:space="preserve">STELLAR SURGI SYSTEMS</t>
  </si>
  <si>
    <t xml:space="preserve">S.K.SURGICALS</t>
  </si>
  <si>
    <t xml:space="preserve">CBA LIFE CARE PVT LTD</t>
  </si>
  <si>
    <t xml:space="preserve">MEDICON SYSTEMS...</t>
  </si>
  <si>
    <t xml:space="preserve">GLOBAL TRADERS</t>
  </si>
  <si>
    <t xml:space="preserve">VJ CREATIONS</t>
  </si>
  <si>
    <t xml:space="preserve">ASSOCIATED TRADES &amp; AGENCIES</t>
  </si>
  <si>
    <t xml:space="preserve">ASSOCIATED TRADING COMPANY.</t>
  </si>
  <si>
    <t xml:space="preserve">SABARI ENTERPRISES</t>
  </si>
  <si>
    <t xml:space="preserve">GI HEALTH CARE SOLUTIONS</t>
  </si>
  <si>
    <t xml:space="preserve">LIFE LINE SURGICALS</t>
  </si>
  <si>
    <t xml:space="preserve">BEST IMAGING SOLUTIONS</t>
  </si>
  <si>
    <t xml:space="preserve">MITRA SURGICALS</t>
  </si>
  <si>
    <t xml:space="preserve">STAR PAPER PRODUCTS</t>
  </si>
  <si>
    <t xml:space="preserve">NEWTECH PHARMA</t>
  </si>
  <si>
    <t xml:space="preserve">IASO HEALTHCARE PVT. LTD.</t>
  </si>
  <si>
    <t xml:space="preserve">SAR HEALTHLINE (P) LTD.</t>
  </si>
  <si>
    <t xml:space="preserve">EMMANUEL MARKETING</t>
  </si>
  <si>
    <t xml:space="preserve">OXYTECH SURGICAL</t>
  </si>
  <si>
    <t xml:space="preserve">PSA ENTERPRISES</t>
  </si>
  <si>
    <t xml:space="preserve">MEDIPLUS HEALTHCARE</t>
  </si>
  <si>
    <t xml:space="preserve">KOLLANNUR INDUSTRIES</t>
  </si>
  <si>
    <t xml:space="preserve">EMMANUEL MARKETING COMPANY</t>
  </si>
  <si>
    <t xml:space="preserve">MICROTECK SYSTEMS &amp; SOLUTION</t>
  </si>
  <si>
    <t xml:space="preserve">KAAIZEEN MEDITECH PVT LTD</t>
  </si>
  <si>
    <t xml:space="preserve">KAAIZEEN MEDISYSTEMS PRIVATE LIMITED</t>
  </si>
  <si>
    <t xml:space="preserve">DE MED ORTHOPAEDICS LLP</t>
  </si>
  <si>
    <t xml:space="preserve">Grand Total</t>
  </si>
  <si>
    <t xml:space="preserve">Consumables</t>
  </si>
  <si>
    <t xml:space="preserve">CALF UNIT FOR DVT STD (DVT10E)(ARJOHUNTLEIGH)</t>
  </si>
  <si>
    <t xml:space="preserve">EXAM GLOVES NITRILE PF MEDIUM (ENCARE)</t>
  </si>
  <si>
    <t xml:space="preserve">IV KIT ADVANCED (3M)</t>
  </si>
  <si>
    <t xml:space="preserve">BIOPSY GUN MAXCORE 18GX16CM (BARD)</t>
  </si>
  <si>
    <t xml:space="preserve">DRAPE SET FOR ORTHOPAEDIC</t>
  </si>
  <si>
    <t xml:space="preserve">SERVATOR H SOLUTION 1LTR</t>
  </si>
  <si>
    <t xml:space="preserve">HAND RUB (MICROSHIELD) 500ML (WITH CHLORHEXIDINE)</t>
  </si>
  <si>
    <t xml:space="preserve">ARTERIAL LEADERCATH 20G(11509)(VYGON)</t>
  </si>
  <si>
    <t xml:space="preserve">GENERAL PACK SURGERY KIT (SAFE KIT)(ENCARE)</t>
  </si>
  <si>
    <t xml:space="preserve">HAND WASH (MICROSHIELD 4) 500ML</t>
  </si>
  <si>
    <t xml:space="preserve">EXAM GLOVES LATEX POWDER FREE MEDIUM 25S PACK (MEDISMART)</t>
  </si>
  <si>
    <t xml:space="preserve">TEGADERM CHG 8.5CM*11.5CM (1657R)</t>
  </si>
  <si>
    <t xml:space="preserve">FLOTRAC(MHD8) (EDWARDS)</t>
  </si>
  <si>
    <t xml:space="preserve">BLOOD BAG 450ML WITH INLINE FILTER SAGM NIP LAH DIV (PENPOL)</t>
  </si>
  <si>
    <t xml:space="preserve">CERTOFIX TRIO V715 CVC 7F 15CM</t>
  </si>
  <si>
    <t xml:space="preserve">FILTER BACTERIA INTER GUARD STERILE (1344)(IS)</t>
  </si>
  <si>
    <t xml:space="preserve">FILTER HMEF+PORT INTER THERM 1341(IS)</t>
  </si>
  <si>
    <t xml:space="preserve">MULTI ENZYME CLEANER 1LTR. RAPID (3M)</t>
  </si>
  <si>
    <t xml:space="preserve">SURGICEL 2X3 INCH (1953)(J &amp; J)</t>
  </si>
  <si>
    <t xml:space="preserve">GLOVES STERILE 6.5 (SURGICARE)</t>
  </si>
  <si>
    <t xml:space="preserve">Drug Company Discounts — 5% Target Applied</t>
  </si>
  <si>
    <t xml:space="preserve">Source: Medical Store purchase data, April–January FY26</t>
  </si>
  <si>
    <t xml:space="preserve">#</t>
  </si>
  <si>
    <t xml:space="preserve">Apr–Jan Spend (₹ L)</t>
  </si>
  <si>
    <t xml:space="preserve">5% Saving (₹ L)</t>
  </si>
  <si>
    <t xml:space="preserve">Sun Pharma</t>
  </si>
  <si>
    <t xml:space="preserve">Fresenius Kabi India</t>
  </si>
  <si>
    <t xml:space="preserve">Cipla</t>
  </si>
  <si>
    <t xml:space="preserve">Pfizer</t>
  </si>
  <si>
    <t xml:space="preserve">Baxter India</t>
  </si>
  <si>
    <t xml:space="preserve">B.Braun</t>
  </si>
  <si>
    <t xml:space="preserve">Intas Pharmaceuticals</t>
  </si>
  <si>
    <t xml:space="preserve">Reliance Life Sciences</t>
  </si>
  <si>
    <t xml:space="preserve">Torrent Pharmaceuticals</t>
  </si>
  <si>
    <t xml:space="preserve">AstraZeneca</t>
  </si>
  <si>
    <t xml:space="preserve">Abbott Healthcare</t>
  </si>
  <si>
    <t xml:space="preserve">Dr. Reddy's Laboratories</t>
  </si>
  <si>
    <t xml:space="preserve">Novo Nordisk</t>
  </si>
  <si>
    <t xml:space="preserve">Genzyme / Sanofi</t>
  </si>
  <si>
    <t xml:space="preserve">Biocon</t>
  </si>
  <si>
    <t xml:space="preserve">GlaxoSmithKline</t>
  </si>
  <si>
    <t xml:space="preserve">La Renon Health Care</t>
  </si>
  <si>
    <t xml:space="preserve">Aventis</t>
  </si>
  <si>
    <t xml:space="preserve">Novartis Nephrology</t>
  </si>
  <si>
    <t xml:space="preserve">United Biotech</t>
  </si>
  <si>
    <t xml:space="preserve">Lupin Laboratories</t>
  </si>
  <si>
    <t xml:space="preserve">TOTAL</t>
  </si>
  <si>
    <t xml:space="preserve">Distributor Discounts — 5% Target Applied</t>
  </si>
  <si>
    <t xml:space="preserve">Source: Purchase data, April–January FY26</t>
  </si>
  <si>
    <t xml:space="preserve">Distributor</t>
  </si>
  <si>
    <t xml:space="preserve">St. Antonys Medical Distributors</t>
  </si>
  <si>
    <t xml:space="preserve">Maria Pharma</t>
  </si>
  <si>
    <t xml:space="preserve">M.V. Drug Lines</t>
  </si>
  <si>
    <t xml:space="preserve">Biorex Super Speciality</t>
  </si>
  <si>
    <t xml:space="preserve">Lotus Pharmaceuticals</t>
  </si>
  <si>
    <t xml:space="preserve">CTL Infocom</t>
  </si>
  <si>
    <t xml:space="preserve">Synergy Associates</t>
  </si>
  <si>
    <t xml:space="preserve">Southern Pharmaceutical Distributors</t>
  </si>
  <si>
    <t xml:space="preserve">Cochin Pharma</t>
  </si>
  <si>
    <t xml:space="preserve">Sri Ram Associates</t>
  </si>
  <si>
    <t xml:space="preserve">St. Antonys and Maria Pharma together account for ₹33.5 Cr — highest priority for negotiation.</t>
  </si>
  <si>
    <t xml:space="preserve">Top 20 Consumable Suppliers — 5% Discount Applied</t>
  </si>
  <si>
    <t xml:space="preserve">Source: General Store — medical consumables, April–January FY26</t>
  </si>
  <si>
    <t xml:space="preserve">Supplier</t>
  </si>
  <si>
    <t xml:space="preserve">Oxytech Surgical</t>
  </si>
  <si>
    <t xml:space="preserve">Eliz Enterprises</t>
  </si>
  <si>
    <t xml:space="preserve">Top Care Surgicals</t>
  </si>
  <si>
    <t xml:space="preserve">Life Way Surgicals</t>
  </si>
  <si>
    <t xml:space="preserve">Nandana Surgicare</t>
  </si>
  <si>
    <t xml:space="preserve">Zypher Technologies</t>
  </si>
  <si>
    <t xml:space="preserve">Strand Marketing</t>
  </si>
  <si>
    <t xml:space="preserve">Life Care Medical Solutions</t>
  </si>
  <si>
    <t xml:space="preserve">Kochin Inlab Equipments</t>
  </si>
  <si>
    <t xml:space="preserve">Arjohuntleigh Healthcare India</t>
  </si>
  <si>
    <t xml:space="preserve">Medcare Surgicals</t>
  </si>
  <si>
    <t xml:space="preserve">Kodakkat Pharma Distributors</t>
  </si>
  <si>
    <t xml:space="preserve">Jakesmed Healthcare</t>
  </si>
  <si>
    <t xml:space="preserve">Ants Lifecare</t>
  </si>
  <si>
    <t xml:space="preserve">Healthcare Surgicals</t>
  </si>
  <si>
    <t xml:space="preserve">Smart Suppliers</t>
  </si>
  <si>
    <t xml:space="preserve">Praxis Health Technologies</t>
  </si>
  <si>
    <t xml:space="preserve">Elements Enterprises</t>
  </si>
  <si>
    <t xml:space="preserve">TOTAL (top 20)</t>
  </si>
  <si>
    <t xml:space="preserve">Top 20 Consumable Items — 5% Discount Applied</t>
  </si>
  <si>
    <t xml:space="preserve">Source: General Store — individual consumable items by spend, April–January FY26</t>
  </si>
  <si>
    <t xml:space="preserve">Item</t>
  </si>
  <si>
    <t xml:space="preserve">DVT Calf Unit (Arjohuntleigh)</t>
  </si>
  <si>
    <t xml:space="preserve">Exam Gloves Nitrile PF Medium (Encare)</t>
  </si>
  <si>
    <t xml:space="preserve">IV Kit Advanced (3M)</t>
  </si>
  <si>
    <t xml:space="preserve">Biopsy Gun Maxcore 18G×16cm (Bard)</t>
  </si>
  <si>
    <t xml:space="preserve">Drape Set — Orthopaedic</t>
  </si>
  <si>
    <t xml:space="preserve">Servator H Solution 1L</t>
  </si>
  <si>
    <t xml:space="preserve">Hand Rub Microshield 500ml</t>
  </si>
  <si>
    <t xml:space="preserve">Arterial Leadercath 20G (Vygon)</t>
  </si>
  <si>
    <t xml:space="preserve">General Surgery Pack — Safe Kit (Encare)</t>
  </si>
  <si>
    <t xml:space="preserve">Hand Wash Microshield 4 — 500ml</t>
  </si>
  <si>
    <t xml:space="preserve">Exam Gloves Latex PF Medium (Medismart)</t>
  </si>
  <si>
    <t xml:space="preserve">Tegaderm CHG 8.5×11.5cm (3M)</t>
  </si>
  <si>
    <t xml:space="preserve">FloTrac Sensor (Edwards)</t>
  </si>
  <si>
    <t xml:space="preserve">Blood Bag 450ml SAGM (Penpol)</t>
  </si>
  <si>
    <t xml:space="preserve">Certofix Trio CVC 7F 15cm</t>
  </si>
  <si>
    <t xml:space="preserve">Bacteria Filter Inter Guard Sterile (IS)</t>
  </si>
  <si>
    <t xml:space="preserve">HMEF Filter + Port (IS)</t>
  </si>
  <si>
    <t xml:space="preserve">Multi-Enzyme Cleaner 1L Rapid (3M)</t>
  </si>
  <si>
    <t xml:space="preserve">Surgicel 2×3" (J&amp;J)</t>
  </si>
  <si>
    <t xml:space="preserve">Sterile Gloves 6.5 (Surgicare)</t>
  </si>
  <si>
    <t xml:space="preserve">TOTAL (top 20 items)</t>
  </si>
  <si>
    <t xml:space="preserve">Drug Substitution — Brand → Generic (Projected Savings)</t>
  </si>
  <si>
    <t xml:space="preserve">Figures are indicative projections based on current brand volumes and average price differential.</t>
  </si>
  <si>
    <t xml:space="preserve">Brand Drug</t>
  </si>
  <si>
    <t xml:space="preserve">Generic Substitute</t>
  </si>
  <si>
    <t xml:space="preserve">Vol/Month</t>
  </si>
  <si>
    <t xml:space="preserve">Saving/Unit (₹)</t>
  </si>
  <si>
    <t xml:space="preserve">Annual Saving (₹ L)</t>
  </si>
  <si>
    <t xml:space="preserve">Augmentin 625</t>
  </si>
  <si>
    <t xml:space="preserve">Amoxyclav 625</t>
  </si>
  <si>
    <t xml:space="preserve">Antibiotic</t>
  </si>
  <si>
    <t xml:space="preserve">Pantop 40</t>
  </si>
  <si>
    <t xml:space="preserve">Pantoprazole (generic)</t>
  </si>
  <si>
    <t xml:space="preserve">PPI</t>
  </si>
  <si>
    <t xml:space="preserve">Zofer 4mg</t>
  </si>
  <si>
    <t xml:space="preserve">Ondansetron (generic)</t>
  </si>
  <si>
    <t xml:space="preserve">Antiemetic</t>
  </si>
  <si>
    <t xml:space="preserve">Clexane 40mg</t>
  </si>
  <si>
    <t xml:space="preserve">Enoxaparin (generic)</t>
  </si>
  <si>
    <t xml:space="preserve">Anticoagulant</t>
  </si>
  <si>
    <t xml:space="preserve">Taxim-O 200</t>
  </si>
  <si>
    <t xml:space="preserve">Cefixime (generic)</t>
  </si>
  <si>
    <t xml:space="preserve">Nexpro 40</t>
  </si>
  <si>
    <t xml:space="preserve">Esomeprazole (generic)</t>
  </si>
  <si>
    <t xml:space="preserve">Emset 4mg Inj</t>
  </si>
  <si>
    <t xml:space="preserve">Ondansetron Inj (generic)</t>
  </si>
  <si>
    <t xml:space="preserve">Fortwin Inj</t>
  </si>
  <si>
    <t xml:space="preserve">Pentazocine (generic)</t>
  </si>
  <si>
    <t xml:space="preserve">Analgesic</t>
  </si>
  <si>
    <t xml:space="preserve">Monocef 1g</t>
  </si>
  <si>
    <t xml:space="preserve">Ceftriaxone (generic)</t>
  </si>
  <si>
    <t xml:space="preserve">Stemetil 5mg</t>
  </si>
  <si>
    <t xml:space="preserve">Prochlorperazine (generic)</t>
  </si>
  <si>
    <t xml:space="preserve">Sub-total (top 10 lines)</t>
  </si>
  <si>
    <t xml:space="preserve">Total Projected Saving (all lines)</t>
  </si>
  <si>
    <t xml:space="preserve">Final saving subject to formulary approval and prescriber adoption rate. Target: full roll-out by end of Q1 FY27.</t>
  </si>
  <si>
    <t xml:space="preserve">Revenue Enhancement — Summary</t>
  </si>
  <si>
    <t xml:space="preserve">Source: LHRC Chairman Update, Fortnight of 16 March 2026</t>
  </si>
  <si>
    <t xml:space="preserve">Initiative</t>
  </si>
  <si>
    <t xml:space="preserve">Description</t>
  </si>
  <si>
    <t xml:space="preserve">Upside (₹ Cr)</t>
  </si>
  <si>
    <t xml:space="preserve">Drug Substitution</t>
  </si>
  <si>
    <t xml:space="preserve">Brand → generic across high-volume pharmacy lines (formulary shift)</t>
  </si>
  <si>
    <t xml:space="preserve">Projected</t>
  </si>
  <si>
    <t xml:space="preserve">IP Rate Increase (1%)</t>
  </si>
  <si>
    <t xml:space="preserve">Flat 1% increase across all procedure/IP rates for cash patients, rounded to nearest ₹10; OP rates unchanged</t>
  </si>
  <si>
    <t xml:space="preserve">Identified</t>
  </si>
  <si>
    <t xml:space="preserve">Nursing Cost Pass-through</t>
  </si>
  <si>
    <t xml:space="preserve">Nursing cost increment of ₹7.5 Cr to be passed on to patient bill, dependent on court-ordered mediation result</t>
  </si>
  <si>
    <t xml:space="preserve">Pending mediation</t>
  </si>
  <si>
    <t xml:space="preserve">Top 50 Procedure Correction</t>
  </si>
  <si>
    <t xml:space="preserve">Contribution target of 58% to achieve 26% EBITDA; correction for under-contributing procedures</t>
  </si>
  <si>
    <t xml:space="preserve">BD &amp; Doctor Performance</t>
  </si>
  <si>
    <t xml:space="preserve">New BD hire for referral networks; under-performing doctors to be replaced or incentivised</t>
  </si>
  <si>
    <t xml:space="preserve">—</t>
  </si>
  <si>
    <t xml:space="preserve">In progress</t>
  </si>
  <si>
    <t xml:space="preserve">TOTAL REVENUE UPSIDE</t>
  </si>
  <si>
    <t xml:space="preserve">Notes:</t>
  </si>
  <si>
    <t xml:space="preserve">• ~₹17.1 Cr total revenue upside identified across all initiatives.</t>
  </si>
  <si>
    <t xml:space="preserve">• New BD hire in progress to build referral networks and institutional tie-ups.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</si>
</sst>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 * #,##0.00_ ;_ * \-#,##0.00_ ;_ * \-??_ ;_ @_ "/>
    <numFmt numFmtId="166" formatCode="_ * #,##0_ ;_ * \-#,##0_ ;_ * \-??_ ;_ @_ "/>
    <numFmt numFmtId="167" formatCode="0%"/>
    <numFmt numFmtId="168" formatCode="m/d/yyyy"/>
    <numFmt numFmtId="169" formatCode="0.00%"/>
    <numFmt numFmtId="170" formatCode="0.000"/>
    <numFmt numFmtId="171" formatCode="0.00"/>
    <numFmt numFmtId="172" formatCode="0"/>
    <numFmt numFmtId="173" formatCode="0.0"/>
    <numFmt numFmtId="174" formatCode="#,##0.0"/>
    <numFmt numFmtId="175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 Light"/>
      <family val="1"/>
      <charset val="1"/>
    </font>
    <font>
      <b val="true"/>
      <sz val="10"/>
      <name val="Calibri Light"/>
      <family val="1"/>
      <charset val="1"/>
    </font>
    <font>
      <b val="true"/>
      <sz val="8"/>
      <name val="Calibri Light"/>
      <family val="1"/>
      <charset val="1"/>
    </font>
    <font>
      <sz val="10"/>
      <name val="Calibri"/>
      <family val="2"/>
      <charset val="1"/>
    </font>
    <font>
      <b val="true"/>
      <i val="true"/>
      <sz val="1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1"/>
      <color theme="0"/>
      <name val="Calibri"/>
      <family val="2"/>
      <charset val="1"/>
    </font>
    <font>
      <b val="true"/>
      <sz val="12"/>
      <color rgb="FF0072BC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D2137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A0AEC0"/>
      <name val="Arial"/>
      <family val="0"/>
      <charset val="1"/>
    </font>
    <font>
      <b val="true"/>
      <sz val="9"/>
      <color rgb="FF71809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DEEAF6"/>
      </patternFill>
    </fill>
    <fill>
      <patternFill patternType="solid">
        <fgColor theme="0"/>
        <bgColor rgb="FFE8ECF0"/>
      </patternFill>
    </fill>
    <fill>
      <patternFill patternType="solid">
        <fgColor rgb="FFDEEAF6"/>
        <bgColor rgb="FFDEEBF7"/>
      </patternFill>
    </fill>
    <fill>
      <patternFill patternType="solid">
        <fgColor rgb="FF0571B9"/>
        <bgColor rgb="FF0072BC"/>
      </patternFill>
    </fill>
    <fill>
      <patternFill patternType="solid">
        <fgColor rgb="FF0D2137"/>
        <bgColor rgb="FF003300"/>
      </patternFill>
    </fill>
    <fill>
      <patternFill patternType="solid">
        <fgColor rgb="FF2D3748"/>
        <bgColor rgb="FF33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thin">
        <color rgb="FFE8ECF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23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71B9"/>
      <rgbColor rgb="FFA0AEC0"/>
      <rgbColor rgb="FF718096"/>
      <rgbColor rgb="FF9999FF"/>
      <rgbColor rgb="FF993366"/>
      <rgbColor rgb="FFE8ECF0"/>
      <rgbColor rgb="FFDEEBF7"/>
      <rgbColor rgb="FF660066"/>
      <rgbColor rgb="FFFF8080"/>
      <rgbColor rgb="FF0072BC"/>
      <rgbColor rgb="FFCCCCFF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DEEAF6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137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.67"/>
    <col collapsed="false" customWidth="true" hidden="false" outlineLevel="0" max="2" min="2" style="1" width="32.22"/>
    <col collapsed="false" customWidth="true" hidden="false" outlineLevel="0" max="3" min="3" style="2" width="16.77"/>
    <col collapsed="false" customWidth="true" hidden="false" outlineLevel="0" max="4" min="4" style="1" width="5.78"/>
    <col collapsed="false" customWidth="true" hidden="false" outlineLevel="0" max="5" min="5" style="1" width="8"/>
    <col collapsed="false" customWidth="true" hidden="false" outlineLevel="0" max="6" min="6" style="1" width="11.56"/>
    <col collapsed="false" customWidth="true" hidden="false" outlineLevel="0" max="7" min="7" style="1" width="10.33"/>
  </cols>
  <sheetData>
    <row r="1" customFormat="false" ht="15" hidden="false" customHeight="true" outlineLevel="0" collapsed="false">
      <c r="B1" s="3" t="s">
        <v>0</v>
      </c>
      <c r="D1" s="1" t="s">
        <v>1</v>
      </c>
    </row>
    <row r="2" customFormat="false" ht="14.25" hidden="false" customHeight="true" outlineLevel="0" collapsed="false">
      <c r="B2" s="1" t="s">
        <v>2</v>
      </c>
      <c r="C2" s="2" t="s">
        <v>3</v>
      </c>
    </row>
    <row r="4" customFormat="false" ht="42.75" hidden="false" customHeight="true" outlineLevel="0" collapsed="false"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</row>
    <row r="5" customFormat="false" ht="14.25" hidden="false" customHeight="true" outlineLevel="0" collapsed="false">
      <c r="B5" s="1" t="s">
        <v>9</v>
      </c>
      <c r="C5" s="6" t="n">
        <v>31127079.9346001</v>
      </c>
      <c r="D5" s="7" t="n">
        <v>0.0779150075818997</v>
      </c>
      <c r="E5" s="7" t="n">
        <v>0.0779150075818997</v>
      </c>
      <c r="F5" s="6" t="n">
        <f aca="false">C5*10%</f>
        <v>3112707.99346001</v>
      </c>
      <c r="G5" s="8"/>
    </row>
    <row r="6" customFormat="false" ht="14.25" hidden="false" customHeight="true" outlineLevel="0" collapsed="false">
      <c r="B6" s="1" t="s">
        <v>10</v>
      </c>
      <c r="C6" s="6" t="n">
        <v>20564027.22</v>
      </c>
      <c r="D6" s="7" t="n">
        <v>0.051474354167725</v>
      </c>
      <c r="E6" s="7" t="n">
        <v>0.129389361749625</v>
      </c>
      <c r="F6" s="6" t="n">
        <f aca="false">C6*10%</f>
        <v>2056402.722</v>
      </c>
    </row>
    <row r="7" customFormat="false" ht="14.25" hidden="false" customHeight="true" outlineLevel="0" collapsed="false">
      <c r="B7" s="1" t="s">
        <v>11</v>
      </c>
      <c r="C7" s="6" t="n">
        <v>16692285.4339999</v>
      </c>
      <c r="D7" s="7" t="n">
        <v>0.0417828960789749</v>
      </c>
      <c r="E7" s="7" t="n">
        <v>0.1711722578286</v>
      </c>
      <c r="F7" s="6" t="n">
        <f aca="false">C7*10%</f>
        <v>1669228.54339999</v>
      </c>
    </row>
    <row r="8" customFormat="false" ht="14.25" hidden="false" customHeight="true" outlineLevel="0" collapsed="false">
      <c r="B8" s="1" t="s">
        <v>12</v>
      </c>
      <c r="C8" s="6" t="n">
        <v>16532891.746</v>
      </c>
      <c r="D8" s="7" t="n">
        <v>0.0413839135712962</v>
      </c>
      <c r="E8" s="7" t="n">
        <v>0.212556171399896</v>
      </c>
      <c r="F8" s="6" t="n">
        <f aca="false">C8*10%</f>
        <v>1653289.1746</v>
      </c>
    </row>
    <row r="9" customFormat="false" ht="14.25" hidden="false" customHeight="true" outlineLevel="0" collapsed="false">
      <c r="B9" s="1" t="s">
        <v>13</v>
      </c>
      <c r="C9" s="6" t="n">
        <v>14171977.23</v>
      </c>
      <c r="D9" s="7" t="n">
        <v>0.0354742467216962</v>
      </c>
      <c r="E9" s="7" t="n">
        <v>0.248030418121592</v>
      </c>
      <c r="F9" s="6" t="n">
        <f aca="false">C9*10%</f>
        <v>1417197.723</v>
      </c>
    </row>
    <row r="10" customFormat="false" ht="14.25" hidden="false" customHeight="true" outlineLevel="0" collapsed="false">
      <c r="B10" s="1" t="s">
        <v>14</v>
      </c>
      <c r="C10" s="6" t="n">
        <v>13137353.18</v>
      </c>
      <c r="D10" s="7" t="n">
        <v>0.0328844522125569</v>
      </c>
      <c r="E10" s="7" t="n">
        <v>0.315634955121733</v>
      </c>
      <c r="F10" s="6" t="n">
        <f aca="false">C10*10%</f>
        <v>1313735.318</v>
      </c>
    </row>
    <row r="11" customFormat="false" ht="14.25" hidden="false" customHeight="true" outlineLevel="0" collapsed="false">
      <c r="B11" s="1" t="s">
        <v>15</v>
      </c>
      <c r="C11" s="6" t="n">
        <v>11252519.998</v>
      </c>
      <c r="D11" s="7" t="n">
        <v>0.0281664769969343</v>
      </c>
      <c r="E11" s="7" t="n">
        <v>0.343801432118667</v>
      </c>
      <c r="F11" s="6" t="n">
        <f aca="false">C11*10%</f>
        <v>1125251.9998</v>
      </c>
    </row>
    <row r="12" customFormat="false" ht="14.25" hidden="false" customHeight="true" outlineLevel="0" collapsed="false">
      <c r="B12" s="1" t="s">
        <v>16</v>
      </c>
      <c r="C12" s="6" t="n">
        <v>10364703.36</v>
      </c>
      <c r="D12" s="7" t="n">
        <v>0.0259441599589582</v>
      </c>
      <c r="E12" s="7" t="n">
        <v>0.369745592077625</v>
      </c>
      <c r="F12" s="6" t="n">
        <f aca="false">C12*10%</f>
        <v>1036470.336</v>
      </c>
    </row>
    <row r="13" customFormat="false" ht="14.25" hidden="false" customHeight="true" outlineLevel="0" collapsed="false">
      <c r="B13" s="1" t="s">
        <v>17</v>
      </c>
      <c r="C13" s="6" t="n">
        <v>9420256.902</v>
      </c>
      <c r="D13" s="7" t="n">
        <v>0.0235800913379896</v>
      </c>
      <c r="E13" s="7" t="n">
        <v>0.393325683415615</v>
      </c>
      <c r="F13" s="6" t="n">
        <f aca="false">C13*10%</f>
        <v>942025.6902</v>
      </c>
    </row>
    <row r="14" customFormat="false" ht="14.25" hidden="false" customHeight="true" outlineLevel="0" collapsed="false">
      <c r="B14" s="1" t="s">
        <v>18</v>
      </c>
      <c r="C14" s="6" t="n">
        <v>9306782.86110001</v>
      </c>
      <c r="D14" s="7" t="n">
        <v>0.0232960514995066</v>
      </c>
      <c r="E14" s="7" t="n">
        <v>0.416621734915121</v>
      </c>
      <c r="F14" s="6" t="n">
        <f aca="false">C14*10%</f>
        <v>930678.286110001</v>
      </c>
    </row>
    <row r="15" customFormat="false" ht="14.25" hidden="false" customHeight="true" outlineLevel="0" collapsed="false">
      <c r="B15" s="1" t="s">
        <v>19</v>
      </c>
      <c r="C15" s="6" t="n">
        <v>9037531.37900002</v>
      </c>
      <c r="D15" s="7" t="n">
        <v>0.0226220810752543</v>
      </c>
      <c r="E15" s="7" t="n">
        <v>0.439243815990376</v>
      </c>
      <c r="F15" s="6" t="n">
        <f aca="false">C15*10%</f>
        <v>903753.137900002</v>
      </c>
    </row>
    <row r="16" customFormat="false" ht="14.25" hidden="false" customHeight="true" outlineLevel="0" collapsed="false">
      <c r="B16" s="1" t="s">
        <v>20</v>
      </c>
      <c r="C16" s="6" t="n">
        <v>8484144.93499998</v>
      </c>
      <c r="D16" s="7" t="n">
        <v>0.021236884999343</v>
      </c>
      <c r="E16" s="7" t="n">
        <v>0.460480700989719</v>
      </c>
      <c r="F16" s="6" t="n">
        <f aca="false">C16*10%</f>
        <v>848414.493499998</v>
      </c>
    </row>
    <row r="17" customFormat="false" ht="14.25" hidden="false" customHeight="true" outlineLevel="0" collapsed="false">
      <c r="B17" s="1" t="s">
        <v>21</v>
      </c>
      <c r="C17" s="6" t="n">
        <v>8454576.55999999</v>
      </c>
      <c r="D17" s="7" t="n">
        <v>0.0211628716268343</v>
      </c>
      <c r="E17" s="7" t="n">
        <v>0.481643572616553</v>
      </c>
      <c r="F17" s="6" t="n">
        <f aca="false">C17*10%</f>
        <v>845457.655999999</v>
      </c>
    </row>
    <row r="18" customFormat="false" ht="14.25" hidden="false" customHeight="true" outlineLevel="0" collapsed="false">
      <c r="B18" s="1" t="s">
        <v>22</v>
      </c>
      <c r="C18" s="6" t="n">
        <v>7948031.94</v>
      </c>
      <c r="D18" s="7" t="n">
        <v>0.0198949265452271</v>
      </c>
      <c r="E18" s="7" t="n">
        <v>0.50153849916178</v>
      </c>
      <c r="F18" s="6" t="n">
        <f aca="false">C18*10%</f>
        <v>794803.194</v>
      </c>
    </row>
    <row r="19" customFormat="false" ht="14.25" hidden="false" customHeight="true" outlineLevel="0" collapsed="false">
      <c r="B19" s="1" t="s">
        <v>23</v>
      </c>
      <c r="C19" s="6" t="n">
        <v>7830526.14</v>
      </c>
      <c r="D19" s="7" t="n">
        <v>0.0196007947051331</v>
      </c>
      <c r="E19" s="7" t="n">
        <v>0.521139293866913</v>
      </c>
      <c r="F19" s="6" t="n">
        <f aca="false">C19*10%</f>
        <v>783052.614</v>
      </c>
    </row>
    <row r="20" customFormat="false" ht="14.25" hidden="false" customHeight="true" outlineLevel="0" collapsed="false">
      <c r="B20" s="1" t="s">
        <v>24</v>
      </c>
      <c r="C20" s="6" t="n">
        <v>7291463.23499999</v>
      </c>
      <c r="D20" s="7" t="n">
        <v>0.0182514522541726</v>
      </c>
      <c r="E20" s="7" t="n">
        <v>0.539390746121086</v>
      </c>
      <c r="F20" s="6" t="n">
        <f aca="false">C20*10%</f>
        <v>729146.323499999</v>
      </c>
    </row>
    <row r="21" customFormat="false" ht="14.25" hidden="false" customHeight="true" outlineLevel="0" collapsed="false">
      <c r="B21" s="1" t="s">
        <v>25</v>
      </c>
      <c r="C21" s="6" t="n">
        <v>7093550.178</v>
      </c>
      <c r="D21" s="7" t="n">
        <v>0.0177560509068856</v>
      </c>
      <c r="E21" s="7" t="n">
        <v>0.557146797027971</v>
      </c>
      <c r="F21" s="6" t="n">
        <f aca="false">C21*10%</f>
        <v>709355.0178</v>
      </c>
    </row>
    <row r="22" customFormat="false" ht="14.25" hidden="false" customHeight="true" outlineLevel="0" collapsed="false">
      <c r="B22" s="1" t="s">
        <v>26</v>
      </c>
      <c r="C22" s="6" t="n">
        <v>6784244.17099999</v>
      </c>
      <c r="D22" s="7" t="n">
        <v>0.0169818189541561</v>
      </c>
      <c r="E22" s="7" t="n">
        <v>0.574128615982127</v>
      </c>
      <c r="F22" s="6" t="n">
        <f aca="false">C22*10%</f>
        <v>678424.417099999</v>
      </c>
    </row>
    <row r="23" customFormat="false" ht="14.25" hidden="false" customHeight="true" outlineLevel="0" collapsed="false">
      <c r="B23" s="1" t="s">
        <v>27</v>
      </c>
      <c r="C23" s="6" t="n">
        <v>6536250</v>
      </c>
      <c r="D23" s="7" t="n">
        <v>0.016361058261077</v>
      </c>
      <c r="E23" s="7" t="n">
        <v>0.590489674243204</v>
      </c>
      <c r="F23" s="6" t="n">
        <f aca="false">C23*10%</f>
        <v>653625</v>
      </c>
    </row>
    <row r="24" customFormat="false" ht="14.25" hidden="false" customHeight="true" outlineLevel="0" collapsed="false">
      <c r="B24" s="1" t="s">
        <v>28</v>
      </c>
      <c r="C24" s="6" t="n">
        <v>6362416.58</v>
      </c>
      <c r="D24" s="7" t="n">
        <v>0.0159259312827114</v>
      </c>
      <c r="E24" s="7" t="n">
        <v>0.606415605525916</v>
      </c>
      <c r="F24" s="6" t="n">
        <f aca="false">C24*10%</f>
        <v>636241.658</v>
      </c>
    </row>
    <row r="25" customFormat="false" ht="14.25" hidden="false" customHeight="true" outlineLevel="0" collapsed="false">
      <c r="B25" s="1" t="s">
        <v>29</v>
      </c>
      <c r="C25" s="6" t="n">
        <v>6291737.59749999</v>
      </c>
      <c r="D25" s="7" t="n">
        <v>0.0157490128737588</v>
      </c>
      <c r="E25" s="7" t="n">
        <v>0.622164618399675</v>
      </c>
      <c r="F25" s="6" t="n">
        <f aca="false">C25*10%</f>
        <v>629173.759749999</v>
      </c>
    </row>
    <row r="26" customFormat="false" ht="14.25" hidden="false" customHeight="true" outlineLevel="0" collapsed="false">
      <c r="C26" s="9" t="n">
        <f aca="false">SUM(C5:C25)</f>
        <v>234684350.5812</v>
      </c>
      <c r="E26" s="10"/>
      <c r="F26" s="9" t="n">
        <f aca="false">SUM(F5:F25)</f>
        <v>23468435.05812</v>
      </c>
    </row>
    <row r="27" customFormat="false" ht="14.25" hidden="false" customHeight="true" outlineLevel="0" collapsed="false">
      <c r="E27" s="10"/>
    </row>
    <row r="28" customFormat="false" ht="14.25" hidden="false" customHeight="true" outlineLevel="0" collapsed="false">
      <c r="E28" s="10"/>
    </row>
    <row r="29" customFormat="false" ht="14.25" hidden="false" customHeight="true" outlineLevel="0" collapsed="false">
      <c r="E29" s="10"/>
    </row>
    <row r="30" customFormat="false" ht="14.25" hidden="false" customHeight="true" outlineLevel="0" collapsed="false">
      <c r="E30" s="10"/>
    </row>
    <row r="31" customFormat="false" ht="14.25" hidden="false" customHeight="true" outlineLevel="0" collapsed="false">
      <c r="E31" s="10"/>
    </row>
    <row r="32" customFormat="false" ht="14.25" hidden="false" customHeight="true" outlineLevel="0" collapsed="false">
      <c r="E32" s="10"/>
    </row>
    <row r="33" customFormat="false" ht="14.25" hidden="false" customHeight="true" outlineLevel="0" collapsed="false">
      <c r="E33" s="10"/>
    </row>
    <row r="34" customFormat="false" ht="14.25" hidden="false" customHeight="true" outlineLevel="0" collapsed="false">
      <c r="E34" s="10"/>
    </row>
    <row r="35" customFormat="false" ht="14.25" hidden="false" customHeight="true" outlineLevel="0" collapsed="false">
      <c r="E35" s="10"/>
    </row>
    <row r="36" customFormat="false" ht="14.25" hidden="false" customHeight="true" outlineLevel="0" collapsed="false">
      <c r="E36" s="10"/>
    </row>
    <row r="37" customFormat="false" ht="14.25" hidden="false" customHeight="true" outlineLevel="0" collapsed="false">
      <c r="E37" s="10"/>
    </row>
    <row r="38" customFormat="false" ht="14.25" hidden="false" customHeight="true" outlineLevel="0" collapsed="false">
      <c r="E38" s="10"/>
    </row>
    <row r="39" customFormat="false" ht="14.25" hidden="false" customHeight="true" outlineLevel="0" collapsed="false">
      <c r="E39" s="10"/>
    </row>
    <row r="40" customFormat="false" ht="14.25" hidden="false" customHeight="true" outlineLevel="0" collapsed="false">
      <c r="E40" s="10"/>
    </row>
    <row r="41" customFormat="false" ht="14.25" hidden="false" customHeight="true" outlineLevel="0" collapsed="false">
      <c r="E41" s="10"/>
    </row>
    <row r="42" customFormat="false" ht="14.25" hidden="false" customHeight="true" outlineLevel="0" collapsed="false">
      <c r="E42" s="10"/>
    </row>
    <row r="43" customFormat="false" ht="14.25" hidden="false" customHeight="true" outlineLevel="0" collapsed="false">
      <c r="E43" s="10"/>
    </row>
    <row r="44" customFormat="false" ht="14.25" hidden="false" customHeight="true" outlineLevel="0" collapsed="false">
      <c r="E44" s="10"/>
    </row>
    <row r="45" customFormat="false" ht="14.25" hidden="false" customHeight="true" outlineLevel="0" collapsed="false">
      <c r="E45" s="10"/>
    </row>
    <row r="46" customFormat="false" ht="14.25" hidden="false" customHeight="true" outlineLevel="0" collapsed="false">
      <c r="E46" s="10"/>
    </row>
    <row r="47" customFormat="false" ht="14.25" hidden="false" customHeight="true" outlineLevel="0" collapsed="false">
      <c r="E47" s="10"/>
    </row>
    <row r="48" customFormat="false" ht="14.25" hidden="false" customHeight="true" outlineLevel="0" collapsed="false">
      <c r="E48" s="10"/>
    </row>
    <row r="49" customFormat="false" ht="14.25" hidden="false" customHeight="true" outlineLevel="0" collapsed="false">
      <c r="E49" s="10"/>
    </row>
    <row r="50" customFormat="false" ht="14.25" hidden="false" customHeight="true" outlineLevel="0" collapsed="false">
      <c r="E50" s="10"/>
    </row>
    <row r="51" customFormat="false" ht="14.25" hidden="false" customHeight="true" outlineLevel="0" collapsed="false">
      <c r="E51" s="10"/>
    </row>
    <row r="52" customFormat="false" ht="14.25" hidden="false" customHeight="true" outlineLevel="0" collapsed="false">
      <c r="E52" s="10"/>
    </row>
    <row r="53" customFormat="false" ht="14.25" hidden="false" customHeight="true" outlineLevel="0" collapsed="false">
      <c r="E53" s="10"/>
    </row>
    <row r="54" customFormat="false" ht="14.25" hidden="false" customHeight="true" outlineLevel="0" collapsed="false">
      <c r="E54" s="10"/>
    </row>
    <row r="55" customFormat="false" ht="14.25" hidden="false" customHeight="true" outlineLevel="0" collapsed="false">
      <c r="E55" s="10"/>
    </row>
    <row r="56" customFormat="false" ht="14.25" hidden="false" customHeight="true" outlineLevel="0" collapsed="false">
      <c r="E56" s="10"/>
    </row>
    <row r="57" customFormat="false" ht="14.25" hidden="false" customHeight="true" outlineLevel="0" collapsed="false">
      <c r="E57" s="10"/>
    </row>
    <row r="58" customFormat="false" ht="14.25" hidden="false" customHeight="true" outlineLevel="0" collapsed="false">
      <c r="E58" s="10"/>
    </row>
    <row r="59" customFormat="false" ht="14.25" hidden="false" customHeight="true" outlineLevel="0" collapsed="false">
      <c r="E59" s="10"/>
    </row>
    <row r="60" customFormat="false" ht="14.25" hidden="false" customHeight="true" outlineLevel="0" collapsed="false">
      <c r="E60" s="10"/>
    </row>
    <row r="61" customFormat="false" ht="14.25" hidden="false" customHeight="true" outlineLevel="0" collapsed="false">
      <c r="E61" s="10"/>
    </row>
    <row r="62" customFormat="false" ht="14.25" hidden="false" customHeight="true" outlineLevel="0" collapsed="false">
      <c r="E62" s="10"/>
    </row>
    <row r="63" customFormat="false" ht="14.25" hidden="false" customHeight="true" outlineLevel="0" collapsed="false">
      <c r="E63" s="10"/>
    </row>
    <row r="64" customFormat="false" ht="14.25" hidden="false" customHeight="true" outlineLevel="0" collapsed="false">
      <c r="E64" s="10"/>
    </row>
    <row r="65" customFormat="false" ht="14.25" hidden="false" customHeight="true" outlineLevel="0" collapsed="false">
      <c r="E65" s="10"/>
    </row>
    <row r="66" customFormat="false" ht="14.25" hidden="false" customHeight="true" outlineLevel="0" collapsed="false">
      <c r="E66" s="10"/>
    </row>
    <row r="67" customFormat="false" ht="14.25" hidden="false" customHeight="true" outlineLevel="0" collapsed="false">
      <c r="E67" s="10"/>
    </row>
    <row r="68" customFormat="false" ht="14.25" hidden="false" customHeight="true" outlineLevel="0" collapsed="false">
      <c r="E68" s="10"/>
    </row>
    <row r="69" customFormat="false" ht="14.25" hidden="false" customHeight="true" outlineLevel="0" collapsed="false">
      <c r="E69" s="10"/>
    </row>
    <row r="70" customFormat="false" ht="14.25" hidden="false" customHeight="true" outlineLevel="0" collapsed="false">
      <c r="E70" s="10"/>
    </row>
    <row r="71" customFormat="false" ht="14.25" hidden="false" customHeight="true" outlineLevel="0" collapsed="false">
      <c r="E71" s="10"/>
    </row>
    <row r="72" customFormat="false" ht="14.25" hidden="false" customHeight="true" outlineLevel="0" collapsed="false">
      <c r="E72" s="10"/>
    </row>
    <row r="73" customFormat="false" ht="14.25" hidden="false" customHeight="true" outlineLevel="0" collapsed="false">
      <c r="E73" s="10"/>
    </row>
    <row r="74" customFormat="false" ht="14.25" hidden="false" customHeight="true" outlineLevel="0" collapsed="false">
      <c r="E74" s="10"/>
    </row>
    <row r="75" customFormat="false" ht="14.25" hidden="false" customHeight="true" outlineLevel="0" collapsed="false">
      <c r="E75" s="10"/>
    </row>
    <row r="76" customFormat="false" ht="14.25" hidden="false" customHeight="true" outlineLevel="0" collapsed="false">
      <c r="E76" s="10"/>
    </row>
    <row r="77" customFormat="false" ht="14.25" hidden="false" customHeight="true" outlineLevel="0" collapsed="false">
      <c r="E77" s="10"/>
    </row>
    <row r="78" customFormat="false" ht="14.25" hidden="false" customHeight="true" outlineLevel="0" collapsed="false">
      <c r="E78" s="10"/>
    </row>
    <row r="79" customFormat="false" ht="14.25" hidden="false" customHeight="true" outlineLevel="0" collapsed="false">
      <c r="E79" s="10"/>
    </row>
    <row r="80" customFormat="false" ht="14.25" hidden="false" customHeight="true" outlineLevel="0" collapsed="false">
      <c r="E80" s="10"/>
    </row>
    <row r="81" customFormat="false" ht="14.25" hidden="false" customHeight="true" outlineLevel="0" collapsed="false">
      <c r="E81" s="10"/>
    </row>
    <row r="82" customFormat="false" ht="14.25" hidden="false" customHeight="true" outlineLevel="0" collapsed="false">
      <c r="E82" s="10"/>
    </row>
    <row r="83" customFormat="false" ht="14.25" hidden="false" customHeight="true" outlineLevel="0" collapsed="false">
      <c r="E83" s="10"/>
    </row>
    <row r="84" customFormat="false" ht="14.25" hidden="false" customHeight="true" outlineLevel="0" collapsed="false">
      <c r="E84" s="10"/>
    </row>
    <row r="85" customFormat="false" ht="14.25" hidden="false" customHeight="true" outlineLevel="0" collapsed="false">
      <c r="E85" s="10"/>
    </row>
    <row r="86" customFormat="false" ht="14.25" hidden="false" customHeight="true" outlineLevel="0" collapsed="false">
      <c r="E86" s="10"/>
    </row>
    <row r="87" customFormat="false" ht="14.25" hidden="false" customHeight="true" outlineLevel="0" collapsed="false">
      <c r="E87" s="10"/>
    </row>
    <row r="88" customFormat="false" ht="14.25" hidden="false" customHeight="true" outlineLevel="0" collapsed="false">
      <c r="E88" s="10"/>
    </row>
    <row r="89" customFormat="false" ht="14.25" hidden="false" customHeight="true" outlineLevel="0" collapsed="false">
      <c r="E89" s="10"/>
    </row>
    <row r="90" customFormat="false" ht="14.25" hidden="false" customHeight="true" outlineLevel="0" collapsed="false">
      <c r="E90" s="10"/>
    </row>
    <row r="91" customFormat="false" ht="14.25" hidden="false" customHeight="true" outlineLevel="0" collapsed="false">
      <c r="E91" s="10"/>
    </row>
    <row r="92" customFormat="false" ht="14.25" hidden="false" customHeight="true" outlineLevel="0" collapsed="false">
      <c r="E92" s="10"/>
    </row>
    <row r="93" customFormat="false" ht="14.25" hidden="false" customHeight="true" outlineLevel="0" collapsed="false">
      <c r="E93" s="10"/>
    </row>
    <row r="94" customFormat="false" ht="14.25" hidden="false" customHeight="true" outlineLevel="0" collapsed="false">
      <c r="E94" s="10"/>
    </row>
    <row r="95" customFormat="false" ht="14.25" hidden="false" customHeight="true" outlineLevel="0" collapsed="false">
      <c r="E95" s="10"/>
    </row>
    <row r="96" customFormat="false" ht="14.25" hidden="false" customHeight="true" outlineLevel="0" collapsed="false">
      <c r="E96" s="10"/>
    </row>
    <row r="97" customFormat="false" ht="14.25" hidden="false" customHeight="true" outlineLevel="0" collapsed="false">
      <c r="E97" s="10"/>
    </row>
    <row r="98" customFormat="false" ht="14.25" hidden="false" customHeight="true" outlineLevel="0" collapsed="false">
      <c r="E98" s="10"/>
    </row>
    <row r="99" customFormat="false" ht="14.25" hidden="false" customHeight="true" outlineLevel="0" collapsed="false">
      <c r="E99" s="10"/>
    </row>
    <row r="100" customFormat="false" ht="14.25" hidden="false" customHeight="true" outlineLevel="0" collapsed="false">
      <c r="E100" s="10"/>
    </row>
    <row r="101" customFormat="false" ht="14.25" hidden="false" customHeight="true" outlineLevel="0" collapsed="false">
      <c r="E101" s="10"/>
    </row>
    <row r="102" customFormat="false" ht="14.25" hidden="false" customHeight="true" outlineLevel="0" collapsed="false">
      <c r="E102" s="10"/>
    </row>
    <row r="103" customFormat="false" ht="14.25" hidden="false" customHeight="true" outlineLevel="0" collapsed="false">
      <c r="E103" s="10"/>
    </row>
    <row r="104" customFormat="false" ht="14.25" hidden="false" customHeight="true" outlineLevel="0" collapsed="false">
      <c r="E104" s="10"/>
    </row>
    <row r="105" customFormat="false" ht="14.25" hidden="false" customHeight="true" outlineLevel="0" collapsed="false">
      <c r="E105" s="10"/>
    </row>
    <row r="106" customFormat="false" ht="14.25" hidden="false" customHeight="true" outlineLevel="0" collapsed="false">
      <c r="E106" s="10"/>
    </row>
    <row r="107" customFormat="false" ht="14.25" hidden="false" customHeight="true" outlineLevel="0" collapsed="false">
      <c r="E107" s="10"/>
    </row>
    <row r="108" customFormat="false" ht="14.25" hidden="false" customHeight="true" outlineLevel="0" collapsed="false">
      <c r="E108" s="10"/>
    </row>
    <row r="109" customFormat="false" ht="14.25" hidden="false" customHeight="true" outlineLevel="0" collapsed="false">
      <c r="E109" s="10"/>
    </row>
    <row r="110" customFormat="false" ht="14.25" hidden="false" customHeight="true" outlineLevel="0" collapsed="false">
      <c r="E110" s="10"/>
    </row>
    <row r="111" customFormat="false" ht="14.25" hidden="false" customHeight="true" outlineLevel="0" collapsed="false">
      <c r="E111" s="10"/>
    </row>
    <row r="112" customFormat="false" ht="14.25" hidden="false" customHeight="true" outlineLevel="0" collapsed="false">
      <c r="E112" s="10"/>
    </row>
    <row r="113" customFormat="false" ht="14.25" hidden="false" customHeight="true" outlineLevel="0" collapsed="false">
      <c r="E113" s="10"/>
    </row>
    <row r="114" customFormat="false" ht="14.25" hidden="false" customHeight="true" outlineLevel="0" collapsed="false">
      <c r="E114" s="10"/>
    </row>
    <row r="115" customFormat="false" ht="14.25" hidden="false" customHeight="true" outlineLevel="0" collapsed="false">
      <c r="E115" s="10"/>
    </row>
    <row r="116" customFormat="false" ht="14.25" hidden="false" customHeight="true" outlineLevel="0" collapsed="false">
      <c r="E116" s="10"/>
    </row>
    <row r="117" customFormat="false" ht="14.25" hidden="false" customHeight="true" outlineLevel="0" collapsed="false">
      <c r="E117" s="10"/>
    </row>
    <row r="118" customFormat="false" ht="14.25" hidden="false" customHeight="true" outlineLevel="0" collapsed="false">
      <c r="E118" s="10"/>
    </row>
    <row r="119" customFormat="false" ht="14.25" hidden="false" customHeight="true" outlineLevel="0" collapsed="false">
      <c r="E119" s="10"/>
    </row>
    <row r="120" customFormat="false" ht="14.25" hidden="false" customHeight="true" outlineLevel="0" collapsed="false">
      <c r="E120" s="10"/>
    </row>
    <row r="121" customFormat="false" ht="14.25" hidden="false" customHeight="true" outlineLevel="0" collapsed="false">
      <c r="E121" s="10"/>
    </row>
    <row r="122" customFormat="false" ht="14.25" hidden="false" customHeight="true" outlineLevel="0" collapsed="false">
      <c r="E122" s="10"/>
    </row>
    <row r="123" customFormat="false" ht="14.25" hidden="false" customHeight="true" outlineLevel="0" collapsed="false">
      <c r="E123" s="10"/>
    </row>
    <row r="124" customFormat="false" ht="14.25" hidden="false" customHeight="true" outlineLevel="0" collapsed="false">
      <c r="E124" s="10"/>
    </row>
    <row r="125" customFormat="false" ht="14.25" hidden="false" customHeight="true" outlineLevel="0" collapsed="false">
      <c r="E125" s="10"/>
    </row>
    <row r="126" customFormat="false" ht="14.25" hidden="false" customHeight="true" outlineLevel="0" collapsed="false">
      <c r="E126" s="10"/>
    </row>
    <row r="127" customFormat="false" ht="14.25" hidden="false" customHeight="true" outlineLevel="0" collapsed="false">
      <c r="E127" s="10"/>
    </row>
    <row r="128" customFormat="false" ht="14.25" hidden="false" customHeight="true" outlineLevel="0" collapsed="false">
      <c r="E128" s="10"/>
    </row>
    <row r="129" customFormat="false" ht="14.25" hidden="false" customHeight="true" outlineLevel="0" collapsed="false">
      <c r="E129" s="10"/>
    </row>
    <row r="130" customFormat="false" ht="14.25" hidden="false" customHeight="true" outlineLevel="0" collapsed="false">
      <c r="E130" s="10"/>
    </row>
    <row r="131" customFormat="false" ht="14.25" hidden="false" customHeight="true" outlineLevel="0" collapsed="false">
      <c r="E131" s="10"/>
    </row>
    <row r="132" customFormat="false" ht="14.25" hidden="false" customHeight="true" outlineLevel="0" collapsed="false">
      <c r="E132" s="10"/>
    </row>
    <row r="133" customFormat="false" ht="14.25" hidden="false" customHeight="true" outlineLevel="0" collapsed="false">
      <c r="E133" s="10"/>
    </row>
    <row r="134" customFormat="false" ht="14.25" hidden="false" customHeight="true" outlineLevel="0" collapsed="false">
      <c r="E134" s="10"/>
    </row>
    <row r="135" customFormat="false" ht="14.25" hidden="false" customHeight="true" outlineLevel="0" collapsed="false">
      <c r="E135" s="10"/>
    </row>
    <row r="136" customFormat="false" ht="14.25" hidden="false" customHeight="true" outlineLevel="0" collapsed="false">
      <c r="E136" s="10"/>
    </row>
    <row r="137" customFormat="false" ht="14.25" hidden="false" customHeight="true" outlineLevel="0" collapsed="false">
      <c r="E137" s="10"/>
    </row>
    <row r="138" customFormat="false" ht="14.25" hidden="false" customHeight="true" outlineLevel="0" collapsed="false">
      <c r="E138" s="10"/>
    </row>
    <row r="139" customFormat="false" ht="14.25" hidden="false" customHeight="true" outlineLevel="0" collapsed="false">
      <c r="E139" s="10"/>
    </row>
    <row r="140" customFormat="false" ht="14.25" hidden="false" customHeight="true" outlineLevel="0" collapsed="false">
      <c r="E140" s="10"/>
    </row>
    <row r="141" customFormat="false" ht="14.25" hidden="false" customHeight="true" outlineLevel="0" collapsed="false">
      <c r="E141" s="10"/>
    </row>
    <row r="142" customFormat="false" ht="14.25" hidden="false" customHeight="true" outlineLevel="0" collapsed="false">
      <c r="E142" s="10"/>
    </row>
    <row r="143" customFormat="false" ht="14.25" hidden="false" customHeight="true" outlineLevel="0" collapsed="false">
      <c r="E143" s="10"/>
    </row>
    <row r="144" customFormat="false" ht="14.25" hidden="false" customHeight="true" outlineLevel="0" collapsed="false">
      <c r="E144" s="10"/>
    </row>
    <row r="145" customFormat="false" ht="14.25" hidden="false" customHeight="true" outlineLevel="0" collapsed="false">
      <c r="E145" s="10"/>
    </row>
    <row r="146" customFormat="false" ht="14.25" hidden="false" customHeight="true" outlineLevel="0" collapsed="false">
      <c r="E146" s="10"/>
    </row>
    <row r="147" customFormat="false" ht="14.25" hidden="false" customHeight="true" outlineLevel="0" collapsed="false">
      <c r="E147" s="10"/>
    </row>
    <row r="148" customFormat="false" ht="14.25" hidden="false" customHeight="true" outlineLevel="0" collapsed="false">
      <c r="E148" s="10"/>
    </row>
    <row r="149" customFormat="false" ht="14.25" hidden="false" customHeight="true" outlineLevel="0" collapsed="false">
      <c r="E149" s="10"/>
    </row>
    <row r="150" customFormat="false" ht="14.25" hidden="false" customHeight="true" outlineLevel="0" collapsed="false">
      <c r="E150" s="10"/>
    </row>
    <row r="151" customFormat="false" ht="14.25" hidden="false" customHeight="true" outlineLevel="0" collapsed="false">
      <c r="E151" s="10"/>
    </row>
    <row r="152" customFormat="false" ht="14.25" hidden="false" customHeight="true" outlineLevel="0" collapsed="false">
      <c r="E152" s="10"/>
    </row>
    <row r="153" customFormat="false" ht="14.25" hidden="false" customHeight="true" outlineLevel="0" collapsed="false">
      <c r="E153" s="10"/>
    </row>
    <row r="154" customFormat="false" ht="14.25" hidden="false" customHeight="true" outlineLevel="0" collapsed="false">
      <c r="E154" s="10"/>
    </row>
    <row r="155" customFormat="false" ht="14.25" hidden="false" customHeight="true" outlineLevel="0" collapsed="false">
      <c r="E155" s="10"/>
    </row>
    <row r="156" customFormat="false" ht="14.25" hidden="false" customHeight="true" outlineLevel="0" collapsed="false">
      <c r="E156" s="10"/>
    </row>
    <row r="157" customFormat="false" ht="14.25" hidden="false" customHeight="true" outlineLevel="0" collapsed="false">
      <c r="E157" s="10"/>
    </row>
    <row r="158" customFormat="false" ht="14.25" hidden="false" customHeight="true" outlineLevel="0" collapsed="false">
      <c r="E158" s="10"/>
    </row>
    <row r="159" customFormat="false" ht="14.25" hidden="false" customHeight="true" outlineLevel="0" collapsed="false">
      <c r="E159" s="10"/>
    </row>
    <row r="160" customFormat="false" ht="14.25" hidden="false" customHeight="true" outlineLevel="0" collapsed="false">
      <c r="E160" s="10"/>
    </row>
    <row r="161" customFormat="false" ht="14.25" hidden="false" customHeight="true" outlineLevel="0" collapsed="false">
      <c r="E161" s="10"/>
    </row>
    <row r="162" customFormat="false" ht="14.25" hidden="false" customHeight="true" outlineLevel="0" collapsed="false">
      <c r="E162" s="10"/>
    </row>
    <row r="163" customFormat="false" ht="14.25" hidden="false" customHeight="true" outlineLevel="0" collapsed="false">
      <c r="E163" s="10"/>
    </row>
    <row r="164" customFormat="false" ht="14.25" hidden="false" customHeight="true" outlineLevel="0" collapsed="false">
      <c r="E164" s="10"/>
    </row>
    <row r="165" customFormat="false" ht="14.25" hidden="false" customHeight="true" outlineLevel="0" collapsed="false">
      <c r="E165" s="10"/>
    </row>
    <row r="166" customFormat="false" ht="14.25" hidden="false" customHeight="true" outlineLevel="0" collapsed="false">
      <c r="E166" s="10"/>
    </row>
    <row r="167" customFormat="false" ht="14.25" hidden="false" customHeight="true" outlineLevel="0" collapsed="false">
      <c r="E167" s="10"/>
    </row>
    <row r="168" customFormat="false" ht="14.25" hidden="false" customHeight="true" outlineLevel="0" collapsed="false">
      <c r="E168" s="10"/>
    </row>
    <row r="169" customFormat="false" ht="14.25" hidden="false" customHeight="true" outlineLevel="0" collapsed="false">
      <c r="E169" s="10"/>
    </row>
    <row r="170" customFormat="false" ht="14.25" hidden="false" customHeight="true" outlineLevel="0" collapsed="false">
      <c r="E170" s="10"/>
    </row>
    <row r="171" customFormat="false" ht="14.25" hidden="false" customHeight="true" outlineLevel="0" collapsed="false">
      <c r="E171" s="10"/>
    </row>
    <row r="172" customFormat="false" ht="14.25" hidden="false" customHeight="true" outlineLevel="0" collapsed="false">
      <c r="E172" s="10"/>
    </row>
    <row r="173" customFormat="false" ht="14.25" hidden="false" customHeight="true" outlineLevel="0" collapsed="false">
      <c r="E173" s="10"/>
    </row>
    <row r="174" customFormat="false" ht="14.25" hidden="false" customHeight="true" outlineLevel="0" collapsed="false">
      <c r="E174" s="10"/>
    </row>
    <row r="175" customFormat="false" ht="14.25" hidden="false" customHeight="true" outlineLevel="0" collapsed="false">
      <c r="E175" s="10"/>
    </row>
    <row r="176" customFormat="false" ht="14.25" hidden="false" customHeight="true" outlineLevel="0" collapsed="false">
      <c r="E176" s="10"/>
    </row>
    <row r="177" customFormat="false" ht="14.25" hidden="false" customHeight="true" outlineLevel="0" collapsed="false">
      <c r="E177" s="10"/>
    </row>
    <row r="178" customFormat="false" ht="14.25" hidden="false" customHeight="true" outlineLevel="0" collapsed="false">
      <c r="E178" s="10"/>
    </row>
    <row r="179" customFormat="false" ht="14.25" hidden="false" customHeight="true" outlineLevel="0" collapsed="false">
      <c r="E179" s="10"/>
    </row>
    <row r="180" customFormat="false" ht="14.25" hidden="false" customHeight="true" outlineLevel="0" collapsed="false">
      <c r="E180" s="10"/>
    </row>
    <row r="181" customFormat="false" ht="14.25" hidden="false" customHeight="true" outlineLevel="0" collapsed="false">
      <c r="E181" s="10"/>
    </row>
    <row r="182" customFormat="false" ht="14.25" hidden="false" customHeight="true" outlineLevel="0" collapsed="false">
      <c r="E182" s="10"/>
    </row>
    <row r="183" customFormat="false" ht="14.25" hidden="false" customHeight="true" outlineLevel="0" collapsed="false">
      <c r="E183" s="10"/>
    </row>
    <row r="184" customFormat="false" ht="14.25" hidden="false" customHeight="true" outlineLevel="0" collapsed="false">
      <c r="E184" s="10"/>
    </row>
    <row r="185" customFormat="false" ht="14.25" hidden="false" customHeight="true" outlineLevel="0" collapsed="false">
      <c r="E185" s="10"/>
    </row>
    <row r="186" customFormat="false" ht="14.25" hidden="false" customHeight="true" outlineLevel="0" collapsed="false">
      <c r="E186" s="10"/>
    </row>
    <row r="187" customFormat="false" ht="14.25" hidden="false" customHeight="true" outlineLevel="0" collapsed="false">
      <c r="E187" s="10"/>
    </row>
    <row r="188" customFormat="false" ht="14.25" hidden="false" customHeight="true" outlineLevel="0" collapsed="false">
      <c r="E188" s="10"/>
    </row>
    <row r="189" customFormat="false" ht="14.25" hidden="false" customHeight="true" outlineLevel="0" collapsed="false">
      <c r="E189" s="10"/>
    </row>
    <row r="190" customFormat="false" ht="14.25" hidden="false" customHeight="true" outlineLevel="0" collapsed="false">
      <c r="E190" s="10"/>
    </row>
    <row r="191" customFormat="false" ht="14.25" hidden="false" customHeight="true" outlineLevel="0" collapsed="false">
      <c r="E191" s="10"/>
    </row>
    <row r="192" customFormat="false" ht="14.25" hidden="false" customHeight="true" outlineLevel="0" collapsed="false">
      <c r="E192" s="10"/>
    </row>
    <row r="193" customFormat="false" ht="14.25" hidden="false" customHeight="true" outlineLevel="0" collapsed="false">
      <c r="E193" s="10"/>
    </row>
    <row r="194" customFormat="false" ht="14.25" hidden="false" customHeight="true" outlineLevel="0" collapsed="false">
      <c r="E194" s="10"/>
    </row>
    <row r="195" customFormat="false" ht="14.25" hidden="false" customHeight="true" outlineLevel="0" collapsed="false">
      <c r="E195" s="10"/>
    </row>
    <row r="196" customFormat="false" ht="14.25" hidden="false" customHeight="true" outlineLevel="0" collapsed="false">
      <c r="E196" s="10"/>
    </row>
    <row r="197" customFormat="false" ht="14.25" hidden="false" customHeight="true" outlineLevel="0" collapsed="false">
      <c r="E197" s="10"/>
    </row>
    <row r="198" customFormat="false" ht="14.25" hidden="false" customHeight="true" outlineLevel="0" collapsed="false">
      <c r="E198" s="10"/>
    </row>
    <row r="199" customFormat="false" ht="14.25" hidden="false" customHeight="true" outlineLevel="0" collapsed="false">
      <c r="E199" s="10"/>
    </row>
    <row r="200" customFormat="false" ht="14.25" hidden="false" customHeight="true" outlineLevel="0" collapsed="false">
      <c r="E200" s="10"/>
    </row>
    <row r="201" customFormat="false" ht="14.25" hidden="false" customHeight="true" outlineLevel="0" collapsed="false">
      <c r="E201" s="10"/>
    </row>
    <row r="202" customFormat="false" ht="14.25" hidden="false" customHeight="true" outlineLevel="0" collapsed="false">
      <c r="E202" s="10"/>
    </row>
    <row r="203" customFormat="false" ht="14.25" hidden="false" customHeight="true" outlineLevel="0" collapsed="false">
      <c r="E203" s="10"/>
    </row>
    <row r="204" customFormat="false" ht="14.25" hidden="false" customHeight="true" outlineLevel="0" collapsed="false">
      <c r="E204" s="10"/>
    </row>
    <row r="205" customFormat="false" ht="14.25" hidden="false" customHeight="true" outlineLevel="0" collapsed="false">
      <c r="E205" s="10"/>
    </row>
    <row r="206" customFormat="false" ht="14.25" hidden="false" customHeight="true" outlineLevel="0" collapsed="false">
      <c r="E206" s="10"/>
    </row>
    <row r="207" customFormat="false" ht="14.25" hidden="false" customHeight="true" outlineLevel="0" collapsed="false">
      <c r="E207" s="10"/>
    </row>
    <row r="208" customFormat="false" ht="14.25" hidden="false" customHeight="true" outlineLevel="0" collapsed="false">
      <c r="E208" s="10"/>
    </row>
    <row r="209" customFormat="false" ht="14.25" hidden="false" customHeight="true" outlineLevel="0" collapsed="false">
      <c r="E209" s="10"/>
    </row>
    <row r="210" customFormat="false" ht="14.25" hidden="false" customHeight="true" outlineLevel="0" collapsed="false">
      <c r="E210" s="10"/>
    </row>
    <row r="211" customFormat="false" ht="14.25" hidden="false" customHeight="true" outlineLevel="0" collapsed="false">
      <c r="E211" s="10"/>
    </row>
    <row r="212" customFormat="false" ht="14.25" hidden="false" customHeight="true" outlineLevel="0" collapsed="false">
      <c r="E212" s="10"/>
    </row>
    <row r="213" customFormat="false" ht="14.25" hidden="false" customHeight="true" outlineLevel="0" collapsed="false">
      <c r="E213" s="10"/>
    </row>
    <row r="214" customFormat="false" ht="14.25" hidden="false" customHeight="true" outlineLevel="0" collapsed="false">
      <c r="E214" s="10"/>
    </row>
    <row r="215" customFormat="false" ht="14.25" hidden="false" customHeight="true" outlineLevel="0" collapsed="false">
      <c r="E215" s="10"/>
    </row>
    <row r="216" customFormat="false" ht="14.25" hidden="false" customHeight="true" outlineLevel="0" collapsed="false">
      <c r="E216" s="10"/>
    </row>
    <row r="217" customFormat="false" ht="14.25" hidden="false" customHeight="true" outlineLevel="0" collapsed="false">
      <c r="E217" s="10"/>
    </row>
    <row r="218" customFormat="false" ht="14.25" hidden="false" customHeight="true" outlineLevel="0" collapsed="false">
      <c r="E218" s="10"/>
    </row>
    <row r="219" customFormat="false" ht="14.25" hidden="false" customHeight="true" outlineLevel="0" collapsed="false">
      <c r="E219" s="10"/>
    </row>
    <row r="220" customFormat="false" ht="14.25" hidden="false" customHeight="true" outlineLevel="0" collapsed="false">
      <c r="E220" s="10"/>
    </row>
    <row r="221" customFormat="false" ht="14.25" hidden="false" customHeight="true" outlineLevel="0" collapsed="false">
      <c r="E221" s="10"/>
    </row>
    <row r="222" customFormat="false" ht="14.25" hidden="false" customHeight="true" outlineLevel="0" collapsed="false">
      <c r="E222" s="10"/>
    </row>
    <row r="223" customFormat="false" ht="14.25" hidden="false" customHeight="true" outlineLevel="0" collapsed="false">
      <c r="E223" s="10"/>
    </row>
    <row r="224" customFormat="false" ht="14.25" hidden="false" customHeight="true" outlineLevel="0" collapsed="false">
      <c r="E224" s="10"/>
    </row>
    <row r="225" customFormat="false" ht="14.25" hidden="false" customHeight="true" outlineLevel="0" collapsed="false">
      <c r="E225" s="10"/>
    </row>
    <row r="226" customFormat="false" ht="14.25" hidden="false" customHeight="true" outlineLevel="0" collapsed="false">
      <c r="E226" s="10"/>
    </row>
    <row r="227" customFormat="false" ht="14.25" hidden="false" customHeight="true" outlineLevel="0" collapsed="false">
      <c r="E227" s="10"/>
    </row>
    <row r="228" customFormat="false" ht="14.25" hidden="false" customHeight="true" outlineLevel="0" collapsed="false">
      <c r="E228" s="10"/>
    </row>
    <row r="229" customFormat="false" ht="14.25" hidden="false" customHeight="true" outlineLevel="0" collapsed="false">
      <c r="E229" s="10"/>
    </row>
    <row r="230" customFormat="false" ht="14.25" hidden="false" customHeight="true" outlineLevel="0" collapsed="false">
      <c r="E230" s="10"/>
    </row>
    <row r="231" customFormat="false" ht="14.25" hidden="false" customHeight="true" outlineLevel="0" collapsed="false">
      <c r="E231" s="10"/>
    </row>
    <row r="232" customFormat="false" ht="14.25" hidden="false" customHeight="true" outlineLevel="0" collapsed="false">
      <c r="E232" s="10"/>
    </row>
    <row r="233" customFormat="false" ht="14.25" hidden="false" customHeight="true" outlineLevel="0" collapsed="false">
      <c r="E233" s="10"/>
    </row>
    <row r="234" customFormat="false" ht="14.25" hidden="false" customHeight="true" outlineLevel="0" collapsed="false">
      <c r="E234" s="10"/>
    </row>
    <row r="235" customFormat="false" ht="14.25" hidden="false" customHeight="true" outlineLevel="0" collapsed="false">
      <c r="E235" s="10"/>
    </row>
    <row r="236" customFormat="false" ht="14.25" hidden="false" customHeight="true" outlineLevel="0" collapsed="false">
      <c r="E236" s="10"/>
    </row>
    <row r="237" customFormat="false" ht="14.25" hidden="false" customHeight="true" outlineLevel="0" collapsed="false">
      <c r="E237" s="10"/>
    </row>
    <row r="238" customFormat="false" ht="14.25" hidden="false" customHeight="true" outlineLevel="0" collapsed="false">
      <c r="E238" s="10"/>
    </row>
    <row r="239" customFormat="false" ht="14.25" hidden="false" customHeight="true" outlineLevel="0" collapsed="false">
      <c r="E239" s="10"/>
    </row>
    <row r="240" customFormat="false" ht="14.25" hidden="false" customHeight="true" outlineLevel="0" collapsed="false">
      <c r="E240" s="10"/>
    </row>
    <row r="241" customFormat="false" ht="14.25" hidden="false" customHeight="true" outlineLevel="0" collapsed="false">
      <c r="E241" s="10"/>
    </row>
    <row r="242" customFormat="false" ht="14.25" hidden="false" customHeight="true" outlineLevel="0" collapsed="false">
      <c r="E242" s="10"/>
    </row>
    <row r="243" customFormat="false" ht="14.25" hidden="false" customHeight="true" outlineLevel="0" collapsed="false">
      <c r="E243" s="10"/>
    </row>
    <row r="244" customFormat="false" ht="14.25" hidden="false" customHeight="true" outlineLevel="0" collapsed="false">
      <c r="E244" s="10"/>
    </row>
    <row r="245" customFormat="false" ht="14.25" hidden="false" customHeight="true" outlineLevel="0" collapsed="false">
      <c r="E245" s="10"/>
    </row>
    <row r="246" customFormat="false" ht="14.25" hidden="false" customHeight="true" outlineLevel="0" collapsed="false">
      <c r="E246" s="10"/>
    </row>
    <row r="247" customFormat="false" ht="14.25" hidden="false" customHeight="true" outlineLevel="0" collapsed="false">
      <c r="E247" s="10"/>
    </row>
    <row r="248" customFormat="false" ht="14.25" hidden="false" customHeight="true" outlineLevel="0" collapsed="false">
      <c r="E248" s="10"/>
    </row>
    <row r="249" customFormat="false" ht="14.25" hidden="false" customHeight="true" outlineLevel="0" collapsed="false">
      <c r="E249" s="10"/>
    </row>
    <row r="250" customFormat="false" ht="14.25" hidden="false" customHeight="true" outlineLevel="0" collapsed="false">
      <c r="E250" s="10"/>
    </row>
    <row r="251" customFormat="false" ht="14.25" hidden="false" customHeight="true" outlineLevel="0" collapsed="false">
      <c r="E251" s="10"/>
    </row>
    <row r="252" customFormat="false" ht="14.25" hidden="false" customHeight="true" outlineLevel="0" collapsed="false">
      <c r="E252" s="10"/>
    </row>
    <row r="253" customFormat="false" ht="14.25" hidden="false" customHeight="true" outlineLevel="0" collapsed="false">
      <c r="E253" s="10"/>
    </row>
    <row r="254" customFormat="false" ht="14.25" hidden="false" customHeight="true" outlineLevel="0" collapsed="false">
      <c r="E254" s="10"/>
    </row>
    <row r="255" customFormat="false" ht="14.25" hidden="false" customHeight="true" outlineLevel="0" collapsed="false">
      <c r="E255" s="10"/>
    </row>
    <row r="256" customFormat="false" ht="14.25" hidden="false" customHeight="true" outlineLevel="0" collapsed="false">
      <c r="E256" s="10"/>
    </row>
    <row r="257" customFormat="false" ht="14.25" hidden="false" customHeight="true" outlineLevel="0" collapsed="false">
      <c r="E257" s="10"/>
    </row>
    <row r="258" customFormat="false" ht="14.25" hidden="false" customHeight="true" outlineLevel="0" collapsed="false">
      <c r="E258" s="10"/>
    </row>
    <row r="259" customFormat="false" ht="14.25" hidden="false" customHeight="true" outlineLevel="0" collapsed="false">
      <c r="E259" s="10"/>
    </row>
    <row r="260" customFormat="false" ht="14.25" hidden="false" customHeight="true" outlineLevel="0" collapsed="false">
      <c r="E260" s="10"/>
    </row>
    <row r="261" customFormat="false" ht="14.25" hidden="false" customHeight="true" outlineLevel="0" collapsed="false">
      <c r="E261" s="10"/>
    </row>
    <row r="262" customFormat="false" ht="14.25" hidden="false" customHeight="true" outlineLevel="0" collapsed="false">
      <c r="E262" s="10"/>
    </row>
    <row r="263" customFormat="false" ht="14.25" hidden="false" customHeight="true" outlineLevel="0" collapsed="false">
      <c r="E263" s="10"/>
    </row>
    <row r="264" customFormat="false" ht="14.25" hidden="false" customHeight="true" outlineLevel="0" collapsed="false">
      <c r="E264" s="10"/>
    </row>
    <row r="265" customFormat="false" ht="14.25" hidden="false" customHeight="true" outlineLevel="0" collapsed="false">
      <c r="E265" s="10"/>
    </row>
    <row r="266" customFormat="false" ht="14.25" hidden="false" customHeight="true" outlineLevel="0" collapsed="false">
      <c r="E266" s="10"/>
    </row>
    <row r="267" customFormat="false" ht="14.25" hidden="false" customHeight="true" outlineLevel="0" collapsed="false">
      <c r="E267" s="10"/>
    </row>
    <row r="268" customFormat="false" ht="14.25" hidden="false" customHeight="true" outlineLevel="0" collapsed="false">
      <c r="E268" s="10"/>
    </row>
    <row r="269" customFormat="false" ht="14.25" hidden="false" customHeight="true" outlineLevel="0" collapsed="false">
      <c r="E269" s="10"/>
    </row>
    <row r="270" customFormat="false" ht="14.25" hidden="false" customHeight="true" outlineLevel="0" collapsed="false">
      <c r="E270" s="10"/>
    </row>
    <row r="271" customFormat="false" ht="14.25" hidden="false" customHeight="true" outlineLevel="0" collapsed="false">
      <c r="E271" s="10"/>
    </row>
    <row r="272" customFormat="false" ht="14.25" hidden="false" customHeight="true" outlineLevel="0" collapsed="false">
      <c r="E272" s="10"/>
    </row>
    <row r="273" customFormat="false" ht="14.25" hidden="false" customHeight="true" outlineLevel="0" collapsed="false">
      <c r="E273" s="10"/>
    </row>
    <row r="274" customFormat="false" ht="14.25" hidden="false" customHeight="true" outlineLevel="0" collapsed="false">
      <c r="E274" s="10"/>
    </row>
    <row r="275" customFormat="false" ht="14.25" hidden="false" customHeight="true" outlineLevel="0" collapsed="false">
      <c r="E275" s="10"/>
    </row>
    <row r="276" customFormat="false" ht="14.25" hidden="false" customHeight="true" outlineLevel="0" collapsed="false">
      <c r="E276" s="10"/>
    </row>
    <row r="277" customFormat="false" ht="14.25" hidden="false" customHeight="true" outlineLevel="0" collapsed="false">
      <c r="E277" s="10" t="n">
        <v>2</v>
      </c>
    </row>
    <row r="278" customFormat="false" ht="14.25" hidden="false" customHeight="true" outlineLevel="0" collapsed="false">
      <c r="E278" s="10" t="n">
        <v>2</v>
      </c>
    </row>
    <row r="279" customFormat="false" ht="14.25" hidden="false" customHeight="true" outlineLevel="0" collapsed="false">
      <c r="E279" s="10" t="n">
        <v>2</v>
      </c>
    </row>
    <row r="280" customFormat="false" ht="14.25" hidden="false" customHeight="true" outlineLevel="0" collapsed="false">
      <c r="E280" s="10" t="n">
        <v>2</v>
      </c>
    </row>
    <row r="281" customFormat="false" ht="14.25" hidden="false" customHeight="true" outlineLevel="0" collapsed="false">
      <c r="E281" s="10" t="n">
        <v>2</v>
      </c>
    </row>
    <row r="282" customFormat="false" ht="14.25" hidden="false" customHeight="true" outlineLevel="0" collapsed="false">
      <c r="E282" s="10" t="n">
        <v>2</v>
      </c>
    </row>
    <row r="283" customFormat="false" ht="14.25" hidden="false" customHeight="true" outlineLevel="0" collapsed="false">
      <c r="E283" s="10" t="n">
        <v>2</v>
      </c>
    </row>
    <row r="284" customFormat="false" ht="14.25" hidden="false" customHeight="true" outlineLevel="0" collapsed="false">
      <c r="E284" s="10" t="n">
        <v>2</v>
      </c>
    </row>
    <row r="285" customFormat="false" ht="14.25" hidden="false" customHeight="true" outlineLevel="0" collapsed="false">
      <c r="E285" s="10" t="n">
        <v>2</v>
      </c>
    </row>
    <row r="286" customFormat="false" ht="14.25" hidden="false" customHeight="true" outlineLevel="0" collapsed="false">
      <c r="E286" s="10" t="n">
        <v>2</v>
      </c>
    </row>
    <row r="287" customFormat="false" ht="14.25" hidden="false" customHeight="true" outlineLevel="0" collapsed="false">
      <c r="E287" s="10" t="n">
        <v>2</v>
      </c>
    </row>
    <row r="288" customFormat="false" ht="14.25" hidden="false" customHeight="true" outlineLevel="0" collapsed="false">
      <c r="E288" s="10" t="n">
        <v>2</v>
      </c>
    </row>
    <row r="289" customFormat="false" ht="14.25" hidden="false" customHeight="true" outlineLevel="0" collapsed="false">
      <c r="E289" s="10" t="n">
        <v>2</v>
      </c>
    </row>
    <row r="290" customFormat="false" ht="14.25" hidden="false" customHeight="true" outlineLevel="0" collapsed="false">
      <c r="E290" s="10" t="n">
        <v>2</v>
      </c>
    </row>
    <row r="291" customFormat="false" ht="14.25" hidden="false" customHeight="true" outlineLevel="0" collapsed="false">
      <c r="E291" s="10" t="n">
        <v>2</v>
      </c>
    </row>
    <row r="292" customFormat="false" ht="14.25" hidden="false" customHeight="true" outlineLevel="0" collapsed="false">
      <c r="E292" s="10" t="n">
        <v>2</v>
      </c>
    </row>
    <row r="293" customFormat="false" ht="14.25" hidden="false" customHeight="true" outlineLevel="0" collapsed="false">
      <c r="E293" s="10" t="n">
        <v>2</v>
      </c>
    </row>
    <row r="294" customFormat="false" ht="14.25" hidden="false" customHeight="true" outlineLevel="0" collapsed="false">
      <c r="E294" s="10" t="n">
        <v>2</v>
      </c>
    </row>
    <row r="295" customFormat="false" ht="14.25" hidden="false" customHeight="true" outlineLevel="0" collapsed="false">
      <c r="E295" s="10" t="n">
        <v>2</v>
      </c>
    </row>
    <row r="296" customFormat="false" ht="14.25" hidden="false" customHeight="true" outlineLevel="0" collapsed="false">
      <c r="E296" s="10" t="n">
        <v>2</v>
      </c>
    </row>
    <row r="297" customFormat="false" ht="14.25" hidden="false" customHeight="true" outlineLevel="0" collapsed="false">
      <c r="E297" s="10" t="n">
        <v>2</v>
      </c>
    </row>
    <row r="298" customFormat="false" ht="14.25" hidden="false" customHeight="true" outlineLevel="0" collapsed="false">
      <c r="E298" s="10" t="n">
        <v>2</v>
      </c>
    </row>
    <row r="299" customFormat="false" ht="14.25" hidden="false" customHeight="true" outlineLevel="0" collapsed="false">
      <c r="E299" s="10" t="n">
        <v>2</v>
      </c>
    </row>
    <row r="300" customFormat="false" ht="14.25" hidden="false" customHeight="true" outlineLevel="0" collapsed="false">
      <c r="E300" s="10" t="n">
        <v>2</v>
      </c>
    </row>
    <row r="301" customFormat="false" ht="14.25" hidden="false" customHeight="true" outlineLevel="0" collapsed="false">
      <c r="E301" s="10" t="n">
        <v>2</v>
      </c>
    </row>
    <row r="302" customFormat="false" ht="14.25" hidden="false" customHeight="true" outlineLevel="0" collapsed="false">
      <c r="E302" s="10" t="n">
        <v>2</v>
      </c>
    </row>
    <row r="303" customFormat="false" ht="14.25" hidden="false" customHeight="true" outlineLevel="0" collapsed="false">
      <c r="E303" s="10" t="n">
        <v>2</v>
      </c>
    </row>
    <row r="304" customFormat="false" ht="14.25" hidden="false" customHeight="true" outlineLevel="0" collapsed="false">
      <c r="E304" s="10" t="n">
        <v>2</v>
      </c>
    </row>
    <row r="305" customFormat="false" ht="14.25" hidden="false" customHeight="true" outlineLevel="0" collapsed="false">
      <c r="E305" s="10" t="n">
        <v>2</v>
      </c>
    </row>
    <row r="306" customFormat="false" ht="14.25" hidden="false" customHeight="true" outlineLevel="0" collapsed="false">
      <c r="E306" s="10" t="n">
        <v>2</v>
      </c>
    </row>
    <row r="307" customFormat="false" ht="14.25" hidden="false" customHeight="true" outlineLevel="0" collapsed="false">
      <c r="E307" s="10" t="n">
        <v>2</v>
      </c>
    </row>
    <row r="308" customFormat="false" ht="14.25" hidden="false" customHeight="true" outlineLevel="0" collapsed="false">
      <c r="E308" s="10" t="n">
        <v>2</v>
      </c>
    </row>
    <row r="309" customFormat="false" ht="14.25" hidden="false" customHeight="true" outlineLevel="0" collapsed="false">
      <c r="E309" s="10" t="n">
        <v>2</v>
      </c>
    </row>
    <row r="310" customFormat="false" ht="14.25" hidden="false" customHeight="true" outlineLevel="0" collapsed="false">
      <c r="E310" s="10" t="n">
        <v>2</v>
      </c>
    </row>
    <row r="311" customFormat="false" ht="14.25" hidden="false" customHeight="true" outlineLevel="0" collapsed="false">
      <c r="E311" s="10" t="n">
        <v>2</v>
      </c>
    </row>
    <row r="312" customFormat="false" ht="14.25" hidden="false" customHeight="true" outlineLevel="0" collapsed="false">
      <c r="E312" s="10" t="n">
        <v>2</v>
      </c>
    </row>
    <row r="313" customFormat="false" ht="14.25" hidden="false" customHeight="true" outlineLevel="0" collapsed="false">
      <c r="E313" s="10" t="n">
        <v>2</v>
      </c>
    </row>
    <row r="314" customFormat="false" ht="14.25" hidden="false" customHeight="true" outlineLevel="0" collapsed="false">
      <c r="E314" s="10" t="n">
        <v>2</v>
      </c>
    </row>
    <row r="315" customFormat="false" ht="14.25" hidden="false" customHeight="true" outlineLevel="0" collapsed="false">
      <c r="E315" s="10" t="n">
        <v>2</v>
      </c>
    </row>
    <row r="316" customFormat="false" ht="14.25" hidden="false" customHeight="true" outlineLevel="0" collapsed="false">
      <c r="E316" s="10" t="n">
        <v>2</v>
      </c>
    </row>
    <row r="317" customFormat="false" ht="14.25" hidden="false" customHeight="true" outlineLevel="0" collapsed="false">
      <c r="E317" s="10" t="n">
        <v>2</v>
      </c>
    </row>
    <row r="318" customFormat="false" ht="14.25" hidden="false" customHeight="true" outlineLevel="0" collapsed="false">
      <c r="E318" s="10" t="n">
        <v>2</v>
      </c>
    </row>
    <row r="319" customFormat="false" ht="14.25" hidden="false" customHeight="true" outlineLevel="0" collapsed="false">
      <c r="E319" s="10" t="n">
        <v>2</v>
      </c>
    </row>
    <row r="320" customFormat="false" ht="14.25" hidden="false" customHeight="true" outlineLevel="0" collapsed="false">
      <c r="E320" s="10" t="n">
        <v>2</v>
      </c>
    </row>
    <row r="321" customFormat="false" ht="14.25" hidden="false" customHeight="true" outlineLevel="0" collapsed="false">
      <c r="E321" s="10" t="n">
        <v>2</v>
      </c>
    </row>
    <row r="322" customFormat="false" ht="14.25" hidden="false" customHeight="true" outlineLevel="0" collapsed="false">
      <c r="E322" s="10" t="n">
        <v>2</v>
      </c>
    </row>
    <row r="323" customFormat="false" ht="14.25" hidden="false" customHeight="true" outlineLevel="0" collapsed="false">
      <c r="E323" s="10" t="n">
        <v>2</v>
      </c>
    </row>
    <row r="324" customFormat="false" ht="14.25" hidden="false" customHeight="true" outlineLevel="0" collapsed="false">
      <c r="E324" s="10" t="n">
        <v>2</v>
      </c>
    </row>
    <row r="325" customFormat="false" ht="14.25" hidden="false" customHeight="true" outlineLevel="0" collapsed="false">
      <c r="E325" s="10" t="n">
        <v>2</v>
      </c>
    </row>
    <row r="326" customFormat="false" ht="14.25" hidden="false" customHeight="true" outlineLevel="0" collapsed="false">
      <c r="E326" s="10" t="n">
        <v>2</v>
      </c>
    </row>
    <row r="327" customFormat="false" ht="14.25" hidden="false" customHeight="true" outlineLevel="0" collapsed="false">
      <c r="E327" s="10" t="n">
        <v>2</v>
      </c>
    </row>
    <row r="328" customFormat="false" ht="14.25" hidden="false" customHeight="true" outlineLevel="0" collapsed="false">
      <c r="E328" s="10" t="n">
        <v>2</v>
      </c>
    </row>
    <row r="329" customFormat="false" ht="14.25" hidden="false" customHeight="true" outlineLevel="0" collapsed="false">
      <c r="E329" s="10" t="n">
        <v>2</v>
      </c>
    </row>
    <row r="330" customFormat="false" ht="14.25" hidden="false" customHeight="true" outlineLevel="0" collapsed="false">
      <c r="E330" s="10" t="n">
        <v>2</v>
      </c>
    </row>
    <row r="331" customFormat="false" ht="14.25" hidden="false" customHeight="true" outlineLevel="0" collapsed="false">
      <c r="E331" s="10" t="n">
        <v>2</v>
      </c>
    </row>
    <row r="332" customFormat="false" ht="14.25" hidden="false" customHeight="true" outlineLevel="0" collapsed="false">
      <c r="E332" s="10" t="n">
        <v>2</v>
      </c>
    </row>
    <row r="333" customFormat="false" ht="14.25" hidden="false" customHeight="true" outlineLevel="0" collapsed="false">
      <c r="E333" s="10" t="n">
        <v>2</v>
      </c>
    </row>
    <row r="334" customFormat="false" ht="14.25" hidden="false" customHeight="true" outlineLevel="0" collapsed="false">
      <c r="E334" s="10" t="n">
        <v>2</v>
      </c>
    </row>
    <row r="335" customFormat="false" ht="14.25" hidden="false" customHeight="true" outlineLevel="0" collapsed="false">
      <c r="E335" s="10" t="n">
        <v>2</v>
      </c>
    </row>
    <row r="336" customFormat="false" ht="14.25" hidden="false" customHeight="true" outlineLevel="0" collapsed="false">
      <c r="E336" s="10" t="n">
        <v>2</v>
      </c>
    </row>
    <row r="337" customFormat="false" ht="14.25" hidden="false" customHeight="true" outlineLevel="0" collapsed="false">
      <c r="E337" s="10" t="n">
        <v>2</v>
      </c>
    </row>
    <row r="338" customFormat="false" ht="14.25" hidden="false" customHeight="true" outlineLevel="0" collapsed="false">
      <c r="E338" s="10" t="n">
        <v>2</v>
      </c>
    </row>
    <row r="339" customFormat="false" ht="14.25" hidden="false" customHeight="true" outlineLevel="0" collapsed="false">
      <c r="E339" s="10" t="n">
        <v>2</v>
      </c>
    </row>
    <row r="340" customFormat="false" ht="14.25" hidden="false" customHeight="true" outlineLevel="0" collapsed="false">
      <c r="E340" s="10" t="n">
        <v>2</v>
      </c>
    </row>
    <row r="341" customFormat="false" ht="14.25" hidden="false" customHeight="true" outlineLevel="0" collapsed="false">
      <c r="E341" s="10" t="n">
        <v>2</v>
      </c>
    </row>
    <row r="342" customFormat="false" ht="14.25" hidden="false" customHeight="true" outlineLevel="0" collapsed="false">
      <c r="E342" s="10" t="n">
        <v>2</v>
      </c>
    </row>
    <row r="343" customFormat="false" ht="14.25" hidden="false" customHeight="true" outlineLevel="0" collapsed="false">
      <c r="E343" s="10" t="n">
        <v>2</v>
      </c>
    </row>
    <row r="344" customFormat="false" ht="14.25" hidden="false" customHeight="true" outlineLevel="0" collapsed="false">
      <c r="E344" s="10" t="n">
        <v>2</v>
      </c>
    </row>
    <row r="345" customFormat="false" ht="14.25" hidden="false" customHeight="true" outlineLevel="0" collapsed="false">
      <c r="E345" s="10" t="n">
        <v>2</v>
      </c>
    </row>
    <row r="346" customFormat="false" ht="14.25" hidden="false" customHeight="true" outlineLevel="0" collapsed="false">
      <c r="E346" s="10" t="n">
        <v>2</v>
      </c>
    </row>
    <row r="347" customFormat="false" ht="14.25" hidden="false" customHeight="true" outlineLevel="0" collapsed="false">
      <c r="E347" s="10" t="n">
        <v>2</v>
      </c>
    </row>
    <row r="348" customFormat="false" ht="14.25" hidden="false" customHeight="true" outlineLevel="0" collapsed="false">
      <c r="E348" s="10" t="n">
        <v>2</v>
      </c>
    </row>
    <row r="349" customFormat="false" ht="14.25" hidden="false" customHeight="true" outlineLevel="0" collapsed="false">
      <c r="E349" s="10" t="n">
        <v>2</v>
      </c>
    </row>
    <row r="350" customFormat="false" ht="14.25" hidden="false" customHeight="true" outlineLevel="0" collapsed="false">
      <c r="E350" s="10" t="n">
        <v>2</v>
      </c>
    </row>
    <row r="351" customFormat="false" ht="14.25" hidden="false" customHeight="true" outlineLevel="0" collapsed="false">
      <c r="E351" s="10" t="n">
        <v>2</v>
      </c>
    </row>
    <row r="352" customFormat="false" ht="14.25" hidden="false" customHeight="true" outlineLevel="0" collapsed="false">
      <c r="E352" s="10" t="n">
        <v>2</v>
      </c>
    </row>
    <row r="353" customFormat="false" ht="14.25" hidden="false" customHeight="true" outlineLevel="0" collapsed="false">
      <c r="E353" s="10" t="n">
        <v>2</v>
      </c>
    </row>
    <row r="354" customFormat="false" ht="14.25" hidden="false" customHeight="true" outlineLevel="0" collapsed="false">
      <c r="E354" s="10" t="n">
        <v>2</v>
      </c>
    </row>
    <row r="355" customFormat="false" ht="14.25" hidden="false" customHeight="true" outlineLevel="0" collapsed="false">
      <c r="E355" s="10" t="n">
        <v>2</v>
      </c>
    </row>
    <row r="356" customFormat="false" ht="14.25" hidden="false" customHeight="true" outlineLevel="0" collapsed="false">
      <c r="E356" s="10" t="n">
        <v>2</v>
      </c>
    </row>
    <row r="357" customFormat="false" ht="14.25" hidden="false" customHeight="true" outlineLevel="0" collapsed="false">
      <c r="E357" s="10" t="n">
        <v>2</v>
      </c>
    </row>
    <row r="358" customFormat="false" ht="14.25" hidden="false" customHeight="true" outlineLevel="0" collapsed="false">
      <c r="E358" s="10" t="n">
        <v>2</v>
      </c>
    </row>
    <row r="359" customFormat="false" ht="14.25" hidden="false" customHeight="true" outlineLevel="0" collapsed="false">
      <c r="E359" s="10" t="n">
        <v>2</v>
      </c>
    </row>
    <row r="360" customFormat="false" ht="14.25" hidden="false" customHeight="true" outlineLevel="0" collapsed="false">
      <c r="E360" s="10" t="n">
        <v>2</v>
      </c>
    </row>
    <row r="361" customFormat="false" ht="14.25" hidden="false" customHeight="true" outlineLevel="0" collapsed="false">
      <c r="E361" s="10" t="n">
        <v>2</v>
      </c>
    </row>
    <row r="362" customFormat="false" ht="14.25" hidden="false" customHeight="true" outlineLevel="0" collapsed="false">
      <c r="E362" s="10" t="n">
        <v>2</v>
      </c>
    </row>
    <row r="363" customFormat="false" ht="14.25" hidden="false" customHeight="true" outlineLevel="0" collapsed="false">
      <c r="E363" s="10" t="n">
        <v>2</v>
      </c>
    </row>
    <row r="364" customFormat="false" ht="14.25" hidden="false" customHeight="true" outlineLevel="0" collapsed="false">
      <c r="E364" s="10" t="n">
        <v>2</v>
      </c>
    </row>
    <row r="365" customFormat="false" ht="14.25" hidden="false" customHeight="true" outlineLevel="0" collapsed="false">
      <c r="E365" s="10" t="n">
        <v>2</v>
      </c>
    </row>
    <row r="366" customFormat="false" ht="14.25" hidden="false" customHeight="true" outlineLevel="0" collapsed="false">
      <c r="E366" s="10" t="n">
        <v>2</v>
      </c>
    </row>
    <row r="367" customFormat="false" ht="14.25" hidden="false" customHeight="true" outlineLevel="0" collapsed="false">
      <c r="E367" s="10" t="n">
        <v>2</v>
      </c>
    </row>
    <row r="368" customFormat="false" ht="14.25" hidden="false" customHeight="true" outlineLevel="0" collapsed="false">
      <c r="E368" s="10" t="n">
        <v>2</v>
      </c>
    </row>
    <row r="369" customFormat="false" ht="14.25" hidden="false" customHeight="true" outlineLevel="0" collapsed="false">
      <c r="E369" s="10" t="n">
        <v>2</v>
      </c>
    </row>
    <row r="370" customFormat="false" ht="14.25" hidden="false" customHeight="true" outlineLevel="0" collapsed="false">
      <c r="E370" s="10" t="n">
        <v>2</v>
      </c>
    </row>
    <row r="371" customFormat="false" ht="14.25" hidden="false" customHeight="true" outlineLevel="0" collapsed="false">
      <c r="E371" s="10" t="n">
        <v>2</v>
      </c>
    </row>
    <row r="372" customFormat="false" ht="14.25" hidden="false" customHeight="true" outlineLevel="0" collapsed="false">
      <c r="E372" s="10" t="n">
        <v>2</v>
      </c>
    </row>
    <row r="373" customFormat="false" ht="14.25" hidden="false" customHeight="true" outlineLevel="0" collapsed="false">
      <c r="E373" s="10" t="n">
        <v>2</v>
      </c>
    </row>
    <row r="374" customFormat="false" ht="14.25" hidden="false" customHeight="true" outlineLevel="0" collapsed="false">
      <c r="E374" s="10" t="n">
        <v>2</v>
      </c>
    </row>
    <row r="375" customFormat="false" ht="14.25" hidden="false" customHeight="true" outlineLevel="0" collapsed="false">
      <c r="E375" s="10" t="n">
        <v>2</v>
      </c>
    </row>
    <row r="376" customFormat="false" ht="14.25" hidden="false" customHeight="true" outlineLevel="0" collapsed="false">
      <c r="E376" s="10" t="n">
        <v>2</v>
      </c>
    </row>
    <row r="377" customFormat="false" ht="14.25" hidden="false" customHeight="true" outlineLevel="0" collapsed="false">
      <c r="E377" s="10" t="n">
        <v>2</v>
      </c>
    </row>
    <row r="378" customFormat="false" ht="14.25" hidden="false" customHeight="true" outlineLevel="0" collapsed="false">
      <c r="E378" s="10" t="n">
        <v>2</v>
      </c>
    </row>
    <row r="379" customFormat="false" ht="14.25" hidden="false" customHeight="true" outlineLevel="0" collapsed="false">
      <c r="E379" s="10" t="n">
        <v>2</v>
      </c>
    </row>
    <row r="380" customFormat="false" ht="14.25" hidden="false" customHeight="true" outlineLevel="0" collapsed="false">
      <c r="E380" s="10" t="n">
        <v>2</v>
      </c>
    </row>
    <row r="381" customFormat="false" ht="14.25" hidden="false" customHeight="true" outlineLevel="0" collapsed="false">
      <c r="E381" s="10" t="n">
        <v>2</v>
      </c>
    </row>
    <row r="382" customFormat="false" ht="14.25" hidden="false" customHeight="true" outlineLevel="0" collapsed="false">
      <c r="E382" s="10" t="n">
        <v>2</v>
      </c>
    </row>
    <row r="383" customFormat="false" ht="14.25" hidden="false" customHeight="true" outlineLevel="0" collapsed="false">
      <c r="E383" s="10" t="n">
        <v>2</v>
      </c>
    </row>
    <row r="384" customFormat="false" ht="14.25" hidden="false" customHeight="true" outlineLevel="0" collapsed="false">
      <c r="E384" s="10" t="n">
        <v>2</v>
      </c>
    </row>
    <row r="385" customFormat="false" ht="14.25" hidden="false" customHeight="true" outlineLevel="0" collapsed="false">
      <c r="E385" s="10" t="n">
        <v>2</v>
      </c>
    </row>
    <row r="386" customFormat="false" ht="14.25" hidden="false" customHeight="true" outlineLevel="0" collapsed="false">
      <c r="E386" s="10" t="n">
        <v>2</v>
      </c>
    </row>
    <row r="387" customFormat="false" ht="14.25" hidden="false" customHeight="true" outlineLevel="0" collapsed="false">
      <c r="E387" s="10" t="n">
        <v>2</v>
      </c>
    </row>
    <row r="388" customFormat="false" ht="14.25" hidden="false" customHeight="true" outlineLevel="0" collapsed="false">
      <c r="E388" s="10" t="n">
        <v>2</v>
      </c>
    </row>
    <row r="389" customFormat="false" ht="14.25" hidden="false" customHeight="true" outlineLevel="0" collapsed="false">
      <c r="E389" s="10" t="n">
        <v>2</v>
      </c>
    </row>
    <row r="390" customFormat="false" ht="14.25" hidden="false" customHeight="true" outlineLevel="0" collapsed="false">
      <c r="E390" s="10" t="n">
        <v>2</v>
      </c>
    </row>
    <row r="391" customFormat="false" ht="14.25" hidden="false" customHeight="true" outlineLevel="0" collapsed="false">
      <c r="E391" s="10" t="n">
        <v>2</v>
      </c>
    </row>
    <row r="392" customFormat="false" ht="14.25" hidden="false" customHeight="true" outlineLevel="0" collapsed="false">
      <c r="E392" s="10" t="n">
        <v>2</v>
      </c>
    </row>
    <row r="393" customFormat="false" ht="14.25" hidden="false" customHeight="true" outlineLevel="0" collapsed="false">
      <c r="E393" s="10" t="n">
        <v>2</v>
      </c>
    </row>
    <row r="394" customFormat="false" ht="14.25" hidden="false" customHeight="true" outlineLevel="0" collapsed="false">
      <c r="E394" s="10" t="n">
        <v>2</v>
      </c>
    </row>
    <row r="395" customFormat="false" ht="14.25" hidden="false" customHeight="true" outlineLevel="0" collapsed="false">
      <c r="E395" s="10" t="n">
        <v>2</v>
      </c>
    </row>
    <row r="396" customFormat="false" ht="14.25" hidden="false" customHeight="true" outlineLevel="0" collapsed="false">
      <c r="E396" s="10" t="n">
        <v>2</v>
      </c>
    </row>
    <row r="397" customFormat="false" ht="14.25" hidden="false" customHeight="true" outlineLevel="0" collapsed="false">
      <c r="E397" s="10" t="n">
        <v>2</v>
      </c>
    </row>
    <row r="398" customFormat="false" ht="14.25" hidden="false" customHeight="true" outlineLevel="0" collapsed="false">
      <c r="E398" s="10" t="n">
        <v>2</v>
      </c>
    </row>
    <row r="399" customFormat="false" ht="14.25" hidden="false" customHeight="true" outlineLevel="0" collapsed="false">
      <c r="E399" s="10" t="n">
        <v>2</v>
      </c>
    </row>
    <row r="400" customFormat="false" ht="14.25" hidden="false" customHeight="true" outlineLevel="0" collapsed="false">
      <c r="E400" s="10" t="n">
        <v>2</v>
      </c>
    </row>
    <row r="401" customFormat="false" ht="14.25" hidden="false" customHeight="true" outlineLevel="0" collapsed="false">
      <c r="E401" s="10" t="n">
        <v>2</v>
      </c>
    </row>
    <row r="402" customFormat="false" ht="14.25" hidden="false" customHeight="true" outlineLevel="0" collapsed="false">
      <c r="E402" s="10" t="n">
        <v>2</v>
      </c>
    </row>
    <row r="403" customFormat="false" ht="14.25" hidden="false" customHeight="true" outlineLevel="0" collapsed="false">
      <c r="E403" s="10" t="n">
        <v>2</v>
      </c>
    </row>
    <row r="404" customFormat="false" ht="14.25" hidden="false" customHeight="true" outlineLevel="0" collapsed="false">
      <c r="E404" s="10" t="n">
        <v>2</v>
      </c>
    </row>
    <row r="405" customFormat="false" ht="14.25" hidden="false" customHeight="true" outlineLevel="0" collapsed="false">
      <c r="E405" s="10" t="n">
        <v>2</v>
      </c>
    </row>
    <row r="406" customFormat="false" ht="14.25" hidden="false" customHeight="true" outlineLevel="0" collapsed="false">
      <c r="E406" s="10" t="n">
        <v>2</v>
      </c>
    </row>
    <row r="407" customFormat="false" ht="14.25" hidden="false" customHeight="true" outlineLevel="0" collapsed="false">
      <c r="E407" s="10" t="n">
        <v>2</v>
      </c>
    </row>
    <row r="408" customFormat="false" ht="14.25" hidden="false" customHeight="true" outlineLevel="0" collapsed="false">
      <c r="E408" s="10" t="n">
        <v>2</v>
      </c>
    </row>
    <row r="409" customFormat="false" ht="14.25" hidden="false" customHeight="true" outlineLevel="0" collapsed="false">
      <c r="E409" s="10" t="n">
        <v>2</v>
      </c>
    </row>
    <row r="410" customFormat="false" ht="14.25" hidden="false" customHeight="true" outlineLevel="0" collapsed="false">
      <c r="E410" s="10" t="n">
        <v>2</v>
      </c>
    </row>
    <row r="411" customFormat="false" ht="14.25" hidden="false" customHeight="true" outlineLevel="0" collapsed="false">
      <c r="E411" s="10" t="n">
        <v>2</v>
      </c>
    </row>
    <row r="412" customFormat="false" ht="14.25" hidden="false" customHeight="true" outlineLevel="0" collapsed="false">
      <c r="E412" s="10" t="n">
        <v>2</v>
      </c>
    </row>
    <row r="413" customFormat="false" ht="14.25" hidden="false" customHeight="true" outlineLevel="0" collapsed="false">
      <c r="E413" s="10" t="n">
        <v>2</v>
      </c>
    </row>
    <row r="414" customFormat="false" ht="14.25" hidden="false" customHeight="true" outlineLevel="0" collapsed="false">
      <c r="E414" s="10" t="n">
        <v>2</v>
      </c>
    </row>
    <row r="415" customFormat="false" ht="14.25" hidden="false" customHeight="true" outlineLevel="0" collapsed="false">
      <c r="E415" s="10" t="n">
        <v>2</v>
      </c>
    </row>
    <row r="416" customFormat="false" ht="14.25" hidden="false" customHeight="true" outlineLevel="0" collapsed="false">
      <c r="E416" s="10" t="n">
        <v>2</v>
      </c>
    </row>
    <row r="417" customFormat="false" ht="14.25" hidden="false" customHeight="true" outlineLevel="0" collapsed="false">
      <c r="E417" s="10" t="n">
        <v>2</v>
      </c>
    </row>
    <row r="418" customFormat="false" ht="14.25" hidden="false" customHeight="true" outlineLevel="0" collapsed="false">
      <c r="E418" s="10" t="n">
        <v>2</v>
      </c>
    </row>
    <row r="419" customFormat="false" ht="14.25" hidden="false" customHeight="true" outlineLevel="0" collapsed="false">
      <c r="E419" s="10" t="n">
        <v>2</v>
      </c>
    </row>
    <row r="420" customFormat="false" ht="14.25" hidden="false" customHeight="true" outlineLevel="0" collapsed="false">
      <c r="E420" s="10" t="n">
        <v>2</v>
      </c>
    </row>
    <row r="421" customFormat="false" ht="14.25" hidden="false" customHeight="true" outlineLevel="0" collapsed="false">
      <c r="E421" s="10"/>
    </row>
    <row r="422" customFormat="false" ht="14.25" hidden="false" customHeight="true" outlineLevel="0" collapsed="false">
      <c r="E422" s="10"/>
    </row>
    <row r="423" customFormat="false" ht="14.25" hidden="false" customHeight="true" outlineLevel="0" collapsed="false">
      <c r="E423" s="10"/>
    </row>
    <row r="424" customFormat="false" ht="14.25" hidden="false" customHeight="true" outlineLevel="0" collapsed="false">
      <c r="E424" s="10"/>
    </row>
    <row r="425" customFormat="false" ht="14.25" hidden="false" customHeight="true" outlineLevel="0" collapsed="false">
      <c r="E425" s="10"/>
    </row>
    <row r="426" customFormat="false" ht="14.25" hidden="false" customHeight="true" outlineLevel="0" collapsed="false">
      <c r="E426" s="10"/>
    </row>
    <row r="427" customFormat="false" ht="14.25" hidden="false" customHeight="true" outlineLevel="0" collapsed="false">
      <c r="E427" s="10"/>
    </row>
    <row r="428" customFormat="false" ht="14.25" hidden="false" customHeight="true" outlineLevel="0" collapsed="false">
      <c r="E428" s="10"/>
    </row>
    <row r="429" customFormat="false" ht="14.25" hidden="false" customHeight="true" outlineLevel="0" collapsed="false">
      <c r="E429" s="10"/>
    </row>
    <row r="430" customFormat="false" ht="14.25" hidden="false" customHeight="true" outlineLevel="0" collapsed="false">
      <c r="E430" s="10"/>
    </row>
    <row r="431" customFormat="false" ht="14.25" hidden="false" customHeight="true" outlineLevel="0" collapsed="false">
      <c r="E431" s="10"/>
    </row>
    <row r="432" customFormat="false" ht="14.25" hidden="false" customHeight="true" outlineLevel="0" collapsed="false">
      <c r="E432" s="10"/>
    </row>
    <row r="433" customFormat="false" ht="14.25" hidden="false" customHeight="true" outlineLevel="0" collapsed="false">
      <c r="E433" s="10"/>
    </row>
    <row r="434" customFormat="false" ht="14.25" hidden="false" customHeight="true" outlineLevel="0" collapsed="false">
      <c r="E434" s="10"/>
    </row>
    <row r="435" customFormat="false" ht="14.25" hidden="false" customHeight="true" outlineLevel="0" collapsed="false">
      <c r="E435" s="10"/>
    </row>
    <row r="436" customFormat="false" ht="14.25" hidden="false" customHeight="true" outlineLevel="0" collapsed="false">
      <c r="E436" s="10"/>
    </row>
    <row r="437" customFormat="false" ht="14.25" hidden="false" customHeight="true" outlineLevel="0" collapsed="false">
      <c r="E437" s="10"/>
    </row>
    <row r="438" customFormat="false" ht="14.25" hidden="false" customHeight="true" outlineLevel="0" collapsed="false">
      <c r="E438" s="10"/>
    </row>
    <row r="439" customFormat="false" ht="14.25" hidden="false" customHeight="true" outlineLevel="0" collapsed="false">
      <c r="E439" s="10"/>
    </row>
    <row r="440" customFormat="false" ht="14.25" hidden="false" customHeight="true" outlineLevel="0" collapsed="false">
      <c r="E440" s="10"/>
    </row>
    <row r="441" customFormat="false" ht="14.25" hidden="false" customHeight="true" outlineLevel="0" collapsed="false">
      <c r="E441" s="10"/>
    </row>
    <row r="442" customFormat="false" ht="14.25" hidden="false" customHeight="true" outlineLevel="0" collapsed="false">
      <c r="E442" s="10"/>
    </row>
    <row r="443" customFormat="false" ht="14.25" hidden="false" customHeight="true" outlineLevel="0" collapsed="false">
      <c r="E443" s="10"/>
    </row>
    <row r="444" customFormat="false" ht="14.25" hidden="false" customHeight="true" outlineLevel="0" collapsed="false">
      <c r="E444" s="10"/>
    </row>
    <row r="445" customFormat="false" ht="14.25" hidden="false" customHeight="true" outlineLevel="0" collapsed="false">
      <c r="E445" s="10"/>
    </row>
    <row r="446" customFormat="false" ht="14.25" hidden="false" customHeight="true" outlineLevel="0" collapsed="false">
      <c r="E446" s="10"/>
    </row>
    <row r="447" customFormat="false" ht="14.25" hidden="false" customHeight="true" outlineLevel="0" collapsed="false">
      <c r="E447" s="10"/>
    </row>
    <row r="448" customFormat="false" ht="14.25" hidden="false" customHeight="true" outlineLevel="0" collapsed="false">
      <c r="E448" s="10"/>
    </row>
    <row r="449" customFormat="false" ht="14.25" hidden="false" customHeight="true" outlineLevel="0" collapsed="false">
      <c r="E449" s="10"/>
    </row>
    <row r="450" customFormat="false" ht="14.25" hidden="false" customHeight="true" outlineLevel="0" collapsed="false">
      <c r="E450" s="10"/>
    </row>
    <row r="451" customFormat="false" ht="14.25" hidden="false" customHeight="true" outlineLevel="0" collapsed="false">
      <c r="E451" s="10"/>
    </row>
    <row r="452" customFormat="false" ht="14.25" hidden="false" customHeight="true" outlineLevel="0" collapsed="false">
      <c r="E452" s="10"/>
    </row>
    <row r="453" customFormat="false" ht="14.25" hidden="false" customHeight="true" outlineLevel="0" collapsed="false">
      <c r="E453" s="10"/>
    </row>
    <row r="454" customFormat="false" ht="14.25" hidden="false" customHeight="true" outlineLevel="0" collapsed="false">
      <c r="E454" s="10"/>
    </row>
    <row r="455" customFormat="false" ht="14.25" hidden="false" customHeight="true" outlineLevel="0" collapsed="false">
      <c r="E455" s="10"/>
    </row>
    <row r="456" customFormat="false" ht="14.25" hidden="false" customHeight="true" outlineLevel="0" collapsed="false">
      <c r="E456" s="10"/>
    </row>
    <row r="457" customFormat="false" ht="14.25" hidden="false" customHeight="true" outlineLevel="0" collapsed="false">
      <c r="E457" s="10"/>
    </row>
    <row r="458" customFormat="false" ht="14.25" hidden="false" customHeight="true" outlineLevel="0" collapsed="false">
      <c r="E458" s="10"/>
    </row>
    <row r="459" customFormat="false" ht="14.25" hidden="false" customHeight="true" outlineLevel="0" collapsed="false">
      <c r="E459" s="10"/>
    </row>
    <row r="460" customFormat="false" ht="14.25" hidden="false" customHeight="true" outlineLevel="0" collapsed="false">
      <c r="E460" s="10"/>
    </row>
    <row r="461" customFormat="false" ht="14.25" hidden="false" customHeight="true" outlineLevel="0" collapsed="false">
      <c r="E461" s="10"/>
    </row>
    <row r="462" customFormat="false" ht="14.25" hidden="false" customHeight="true" outlineLevel="0" collapsed="false">
      <c r="E462" s="10"/>
    </row>
    <row r="463" customFormat="false" ht="14.25" hidden="false" customHeight="true" outlineLevel="0" collapsed="false">
      <c r="E463" s="10"/>
    </row>
    <row r="464" customFormat="false" ht="14.25" hidden="false" customHeight="true" outlineLevel="0" collapsed="false">
      <c r="E464" s="10"/>
    </row>
    <row r="465" customFormat="false" ht="14.25" hidden="false" customHeight="true" outlineLevel="0" collapsed="false">
      <c r="E465" s="10"/>
    </row>
    <row r="466" customFormat="false" ht="14.25" hidden="false" customHeight="true" outlineLevel="0" collapsed="false">
      <c r="E466" s="10"/>
    </row>
    <row r="467" customFormat="false" ht="14.25" hidden="false" customHeight="true" outlineLevel="0" collapsed="false">
      <c r="E467" s="10"/>
    </row>
    <row r="468" customFormat="false" ht="14.25" hidden="false" customHeight="true" outlineLevel="0" collapsed="false">
      <c r="E468" s="10"/>
    </row>
    <row r="469" customFormat="false" ht="14.25" hidden="false" customHeight="true" outlineLevel="0" collapsed="false">
      <c r="E469" s="10"/>
    </row>
    <row r="470" customFormat="false" ht="14.25" hidden="false" customHeight="true" outlineLevel="0" collapsed="false">
      <c r="E470" s="10"/>
    </row>
    <row r="471" customFormat="false" ht="14.25" hidden="false" customHeight="true" outlineLevel="0" collapsed="false">
      <c r="E471" s="10"/>
    </row>
    <row r="472" customFormat="false" ht="14.25" hidden="false" customHeight="true" outlineLevel="0" collapsed="false">
      <c r="E472" s="10"/>
    </row>
    <row r="473" customFormat="false" ht="14.25" hidden="false" customHeight="true" outlineLevel="0" collapsed="false">
      <c r="E473" s="10"/>
    </row>
    <row r="474" customFormat="false" ht="14.25" hidden="false" customHeight="true" outlineLevel="0" collapsed="false">
      <c r="E474" s="10"/>
    </row>
    <row r="475" customFormat="false" ht="14.25" hidden="false" customHeight="true" outlineLevel="0" collapsed="false">
      <c r="E475" s="10"/>
    </row>
    <row r="476" customFormat="false" ht="14.25" hidden="false" customHeight="true" outlineLevel="0" collapsed="false">
      <c r="E476" s="10"/>
    </row>
    <row r="477" customFormat="false" ht="14.25" hidden="false" customHeight="true" outlineLevel="0" collapsed="false">
      <c r="E477" s="10"/>
    </row>
    <row r="478" customFormat="false" ht="14.25" hidden="false" customHeight="true" outlineLevel="0" collapsed="false">
      <c r="E478" s="10"/>
    </row>
    <row r="479" customFormat="false" ht="14.25" hidden="false" customHeight="true" outlineLevel="0" collapsed="false">
      <c r="E479" s="10"/>
    </row>
    <row r="480" customFormat="false" ht="14.25" hidden="false" customHeight="true" outlineLevel="0" collapsed="false">
      <c r="E480" s="10"/>
    </row>
    <row r="481" customFormat="false" ht="14.25" hidden="false" customHeight="true" outlineLevel="0" collapsed="false">
      <c r="E481" s="10"/>
    </row>
    <row r="482" customFormat="false" ht="14.25" hidden="false" customHeight="true" outlineLevel="0" collapsed="false">
      <c r="E482" s="10"/>
    </row>
    <row r="483" customFormat="false" ht="14.25" hidden="false" customHeight="true" outlineLevel="0" collapsed="false">
      <c r="E483" s="10"/>
    </row>
    <row r="484" customFormat="false" ht="14.25" hidden="false" customHeight="true" outlineLevel="0" collapsed="false">
      <c r="E484" s="10"/>
    </row>
    <row r="485" customFormat="false" ht="14.25" hidden="false" customHeight="true" outlineLevel="0" collapsed="false">
      <c r="E485" s="10"/>
    </row>
    <row r="486" customFormat="false" ht="14.25" hidden="false" customHeight="true" outlineLevel="0" collapsed="false">
      <c r="E486" s="10"/>
    </row>
    <row r="487" customFormat="false" ht="14.25" hidden="false" customHeight="true" outlineLevel="0" collapsed="false">
      <c r="E487" s="10"/>
    </row>
    <row r="488" customFormat="false" ht="14.25" hidden="false" customHeight="true" outlineLevel="0" collapsed="false">
      <c r="E488" s="10"/>
    </row>
    <row r="489" customFormat="false" ht="14.25" hidden="false" customHeight="true" outlineLevel="0" collapsed="false">
      <c r="E489" s="10"/>
    </row>
    <row r="490" customFormat="false" ht="14.25" hidden="false" customHeight="true" outlineLevel="0" collapsed="false">
      <c r="E490" s="10"/>
    </row>
    <row r="491" customFormat="false" ht="14.25" hidden="false" customHeight="true" outlineLevel="0" collapsed="false">
      <c r="E491" s="10"/>
    </row>
    <row r="492" customFormat="false" ht="14.25" hidden="false" customHeight="true" outlineLevel="0" collapsed="false">
      <c r="E492" s="10"/>
    </row>
    <row r="493" customFormat="false" ht="14.25" hidden="false" customHeight="true" outlineLevel="0" collapsed="false">
      <c r="E493" s="10"/>
    </row>
    <row r="494" customFormat="false" ht="14.25" hidden="false" customHeight="true" outlineLevel="0" collapsed="false">
      <c r="E494" s="10"/>
    </row>
    <row r="495" customFormat="false" ht="14.25" hidden="false" customHeight="true" outlineLevel="0" collapsed="false">
      <c r="E495" s="10"/>
    </row>
    <row r="496" customFormat="false" ht="14.25" hidden="false" customHeight="true" outlineLevel="0" collapsed="false">
      <c r="E496" s="10"/>
    </row>
    <row r="497" customFormat="false" ht="14.25" hidden="false" customHeight="true" outlineLevel="0" collapsed="false">
      <c r="E497" s="10"/>
    </row>
    <row r="498" customFormat="false" ht="14.25" hidden="false" customHeight="true" outlineLevel="0" collapsed="false">
      <c r="E498" s="10"/>
    </row>
    <row r="499" customFormat="false" ht="14.25" hidden="false" customHeight="true" outlineLevel="0" collapsed="false">
      <c r="E499" s="10"/>
    </row>
    <row r="500" customFormat="false" ht="14.25" hidden="false" customHeight="true" outlineLevel="0" collapsed="false">
      <c r="E500" s="10"/>
    </row>
    <row r="501" customFormat="false" ht="14.25" hidden="false" customHeight="true" outlineLevel="0" collapsed="false">
      <c r="E501" s="10"/>
    </row>
    <row r="502" customFormat="false" ht="14.25" hidden="false" customHeight="true" outlineLevel="0" collapsed="false">
      <c r="E502" s="10"/>
    </row>
    <row r="503" customFormat="false" ht="14.25" hidden="false" customHeight="true" outlineLevel="0" collapsed="false">
      <c r="E503" s="10"/>
    </row>
    <row r="504" customFormat="false" ht="14.25" hidden="false" customHeight="true" outlineLevel="0" collapsed="false">
      <c r="E504" s="10"/>
    </row>
    <row r="505" customFormat="false" ht="14.25" hidden="false" customHeight="true" outlineLevel="0" collapsed="false">
      <c r="E505" s="10"/>
    </row>
    <row r="506" customFormat="false" ht="14.25" hidden="false" customHeight="true" outlineLevel="0" collapsed="false">
      <c r="E506" s="10"/>
    </row>
    <row r="507" customFormat="false" ht="14.25" hidden="false" customHeight="true" outlineLevel="0" collapsed="false">
      <c r="E507" s="10"/>
    </row>
    <row r="508" customFormat="false" ht="14.25" hidden="false" customHeight="true" outlineLevel="0" collapsed="false">
      <c r="E508" s="10"/>
    </row>
    <row r="509" customFormat="false" ht="14.25" hidden="false" customHeight="true" outlineLevel="0" collapsed="false">
      <c r="E509" s="10"/>
    </row>
    <row r="510" customFormat="false" ht="14.25" hidden="false" customHeight="true" outlineLevel="0" collapsed="false">
      <c r="E510" s="10"/>
    </row>
    <row r="511" customFormat="false" ht="14.25" hidden="false" customHeight="true" outlineLevel="0" collapsed="false">
      <c r="E511" s="10"/>
    </row>
    <row r="512" customFormat="false" ht="14.25" hidden="false" customHeight="true" outlineLevel="0" collapsed="false">
      <c r="E512" s="10"/>
    </row>
    <row r="513" customFormat="false" ht="14.25" hidden="false" customHeight="true" outlineLevel="0" collapsed="false">
      <c r="E513" s="10"/>
    </row>
    <row r="514" customFormat="false" ht="14.25" hidden="false" customHeight="true" outlineLevel="0" collapsed="false">
      <c r="E514" s="10"/>
    </row>
    <row r="515" customFormat="false" ht="14.25" hidden="false" customHeight="true" outlineLevel="0" collapsed="false">
      <c r="E515" s="10"/>
    </row>
    <row r="516" customFormat="false" ht="14.25" hidden="false" customHeight="true" outlineLevel="0" collapsed="false">
      <c r="E516" s="10"/>
    </row>
    <row r="517" customFormat="false" ht="14.25" hidden="false" customHeight="true" outlineLevel="0" collapsed="false">
      <c r="E517" s="10"/>
    </row>
    <row r="518" customFormat="false" ht="14.25" hidden="false" customHeight="true" outlineLevel="0" collapsed="false">
      <c r="E518" s="10"/>
    </row>
    <row r="519" customFormat="false" ht="14.25" hidden="false" customHeight="true" outlineLevel="0" collapsed="false">
      <c r="E519" s="10"/>
    </row>
    <row r="520" customFormat="false" ht="14.25" hidden="false" customHeight="true" outlineLevel="0" collapsed="false">
      <c r="E520" s="10"/>
    </row>
    <row r="521" customFormat="false" ht="14.25" hidden="false" customHeight="true" outlineLevel="0" collapsed="false">
      <c r="E521" s="10"/>
    </row>
    <row r="522" customFormat="false" ht="14.25" hidden="false" customHeight="true" outlineLevel="0" collapsed="false">
      <c r="E522" s="10"/>
    </row>
    <row r="523" customFormat="false" ht="14.25" hidden="false" customHeight="true" outlineLevel="0" collapsed="false">
      <c r="E523" s="10"/>
    </row>
    <row r="524" customFormat="false" ht="14.25" hidden="false" customHeight="true" outlineLevel="0" collapsed="false">
      <c r="E524" s="10"/>
    </row>
    <row r="525" customFormat="false" ht="14.25" hidden="false" customHeight="true" outlineLevel="0" collapsed="false">
      <c r="E525" s="10"/>
    </row>
    <row r="526" customFormat="false" ht="14.25" hidden="false" customHeight="true" outlineLevel="0" collapsed="false">
      <c r="E526" s="10"/>
    </row>
    <row r="527" customFormat="false" ht="14.25" hidden="false" customHeight="true" outlineLevel="0" collapsed="false">
      <c r="E527" s="10"/>
    </row>
    <row r="528" customFormat="false" ht="14.25" hidden="false" customHeight="true" outlineLevel="0" collapsed="false">
      <c r="E528" s="10"/>
    </row>
    <row r="529" customFormat="false" ht="14.25" hidden="false" customHeight="true" outlineLevel="0" collapsed="false">
      <c r="E529" s="10"/>
    </row>
    <row r="530" customFormat="false" ht="14.25" hidden="false" customHeight="true" outlineLevel="0" collapsed="false">
      <c r="E530" s="10"/>
    </row>
    <row r="531" customFormat="false" ht="14.25" hidden="false" customHeight="true" outlineLevel="0" collapsed="false">
      <c r="E531" s="10"/>
    </row>
    <row r="532" customFormat="false" ht="14.25" hidden="false" customHeight="true" outlineLevel="0" collapsed="false">
      <c r="E532" s="10"/>
    </row>
    <row r="533" customFormat="false" ht="14.25" hidden="false" customHeight="true" outlineLevel="0" collapsed="false">
      <c r="E533" s="10"/>
    </row>
    <row r="534" customFormat="false" ht="14.25" hidden="false" customHeight="true" outlineLevel="0" collapsed="false">
      <c r="E534" s="10"/>
    </row>
    <row r="535" customFormat="false" ht="14.25" hidden="false" customHeight="true" outlineLevel="0" collapsed="false">
      <c r="E535" s="10"/>
    </row>
    <row r="536" customFormat="false" ht="14.25" hidden="false" customHeight="true" outlineLevel="0" collapsed="false">
      <c r="E536" s="10"/>
    </row>
    <row r="537" customFormat="false" ht="14.25" hidden="false" customHeight="true" outlineLevel="0" collapsed="false">
      <c r="E537" s="10"/>
    </row>
    <row r="538" customFormat="false" ht="14.25" hidden="false" customHeight="true" outlineLevel="0" collapsed="false">
      <c r="E538" s="10"/>
    </row>
    <row r="539" customFormat="false" ht="14.25" hidden="false" customHeight="true" outlineLevel="0" collapsed="false">
      <c r="E539" s="10"/>
    </row>
    <row r="540" customFormat="false" ht="14.25" hidden="false" customHeight="true" outlineLevel="0" collapsed="false">
      <c r="E540" s="10"/>
    </row>
    <row r="541" customFormat="false" ht="14.25" hidden="false" customHeight="true" outlineLevel="0" collapsed="false">
      <c r="E541" s="10"/>
    </row>
    <row r="542" customFormat="false" ht="14.25" hidden="false" customHeight="true" outlineLevel="0" collapsed="false">
      <c r="E542" s="10"/>
    </row>
    <row r="543" customFormat="false" ht="14.25" hidden="false" customHeight="true" outlineLevel="0" collapsed="false">
      <c r="E543" s="10"/>
    </row>
    <row r="544" customFormat="false" ht="14.25" hidden="false" customHeight="true" outlineLevel="0" collapsed="false">
      <c r="E544" s="10"/>
    </row>
    <row r="545" customFormat="false" ht="14.25" hidden="false" customHeight="true" outlineLevel="0" collapsed="false">
      <c r="E545" s="10"/>
    </row>
    <row r="546" customFormat="false" ht="14.25" hidden="false" customHeight="true" outlineLevel="0" collapsed="false">
      <c r="E546" s="10"/>
    </row>
    <row r="547" customFormat="false" ht="14.25" hidden="false" customHeight="true" outlineLevel="0" collapsed="false">
      <c r="E547" s="10"/>
    </row>
    <row r="548" customFormat="false" ht="14.25" hidden="false" customHeight="true" outlineLevel="0" collapsed="false">
      <c r="E548" s="10"/>
    </row>
    <row r="549" customFormat="false" ht="14.25" hidden="false" customHeight="true" outlineLevel="0" collapsed="false">
      <c r="E549" s="10"/>
    </row>
    <row r="550" customFormat="false" ht="14.25" hidden="false" customHeight="true" outlineLevel="0" collapsed="false">
      <c r="E550" s="10"/>
    </row>
    <row r="551" customFormat="false" ht="14.25" hidden="false" customHeight="true" outlineLevel="0" collapsed="false">
      <c r="E551" s="10"/>
    </row>
    <row r="552" customFormat="false" ht="14.25" hidden="false" customHeight="true" outlineLevel="0" collapsed="false">
      <c r="E552" s="10"/>
    </row>
    <row r="553" customFormat="false" ht="14.25" hidden="false" customHeight="true" outlineLevel="0" collapsed="false">
      <c r="E553" s="10"/>
    </row>
    <row r="554" customFormat="false" ht="14.25" hidden="false" customHeight="true" outlineLevel="0" collapsed="false">
      <c r="E554" s="10"/>
    </row>
    <row r="555" customFormat="false" ht="14.25" hidden="false" customHeight="true" outlineLevel="0" collapsed="false">
      <c r="E555" s="10"/>
    </row>
    <row r="556" customFormat="false" ht="14.25" hidden="false" customHeight="true" outlineLevel="0" collapsed="false">
      <c r="E556" s="10"/>
    </row>
    <row r="557" customFormat="false" ht="14.25" hidden="false" customHeight="true" outlineLevel="0" collapsed="false">
      <c r="E557" s="10"/>
    </row>
    <row r="558" customFormat="false" ht="14.25" hidden="false" customHeight="true" outlineLevel="0" collapsed="false">
      <c r="E558" s="10"/>
    </row>
    <row r="559" customFormat="false" ht="14.25" hidden="false" customHeight="true" outlineLevel="0" collapsed="false">
      <c r="E559" s="10"/>
    </row>
    <row r="560" customFormat="false" ht="14.25" hidden="false" customHeight="true" outlineLevel="0" collapsed="false">
      <c r="E560" s="10"/>
    </row>
    <row r="561" customFormat="false" ht="14.25" hidden="false" customHeight="true" outlineLevel="0" collapsed="false">
      <c r="E561" s="10"/>
    </row>
    <row r="562" customFormat="false" ht="14.25" hidden="false" customHeight="true" outlineLevel="0" collapsed="false">
      <c r="E562" s="10"/>
    </row>
    <row r="563" customFormat="false" ht="14.25" hidden="false" customHeight="true" outlineLevel="0" collapsed="false">
      <c r="E563" s="10"/>
    </row>
    <row r="564" customFormat="false" ht="14.25" hidden="false" customHeight="true" outlineLevel="0" collapsed="false">
      <c r="E564" s="10"/>
    </row>
    <row r="565" customFormat="false" ht="14.25" hidden="false" customHeight="true" outlineLevel="0" collapsed="false">
      <c r="E565" s="10"/>
    </row>
    <row r="566" customFormat="false" ht="14.25" hidden="false" customHeight="true" outlineLevel="0" collapsed="false">
      <c r="E566" s="10"/>
    </row>
    <row r="567" customFormat="false" ht="14.25" hidden="false" customHeight="true" outlineLevel="0" collapsed="false">
      <c r="E567" s="10"/>
    </row>
    <row r="568" customFormat="false" ht="14.25" hidden="false" customHeight="true" outlineLevel="0" collapsed="false">
      <c r="E568" s="10"/>
    </row>
    <row r="569" customFormat="false" ht="14.25" hidden="false" customHeight="true" outlineLevel="0" collapsed="false">
      <c r="E569" s="10"/>
    </row>
    <row r="570" customFormat="false" ht="14.25" hidden="false" customHeight="true" outlineLevel="0" collapsed="false">
      <c r="E570" s="10"/>
    </row>
    <row r="571" customFormat="false" ht="14.25" hidden="false" customHeight="true" outlineLevel="0" collapsed="false">
      <c r="E571" s="10"/>
    </row>
    <row r="572" customFormat="false" ht="14.25" hidden="false" customHeight="true" outlineLevel="0" collapsed="false">
      <c r="E572" s="10"/>
    </row>
    <row r="573" customFormat="false" ht="14.25" hidden="false" customHeight="true" outlineLevel="0" collapsed="false">
      <c r="E573" s="10"/>
    </row>
    <row r="574" customFormat="false" ht="14.25" hidden="false" customHeight="true" outlineLevel="0" collapsed="false">
      <c r="E574" s="10"/>
    </row>
    <row r="575" customFormat="false" ht="14.25" hidden="false" customHeight="true" outlineLevel="0" collapsed="false">
      <c r="E575" s="10"/>
    </row>
    <row r="576" customFormat="false" ht="14.25" hidden="false" customHeight="true" outlineLevel="0" collapsed="false">
      <c r="E576" s="10"/>
    </row>
    <row r="577" customFormat="false" ht="14.25" hidden="false" customHeight="true" outlineLevel="0" collapsed="false">
      <c r="E577" s="10"/>
    </row>
    <row r="578" customFormat="false" ht="14.25" hidden="false" customHeight="true" outlineLevel="0" collapsed="false">
      <c r="E578" s="10"/>
    </row>
    <row r="579" customFormat="false" ht="14.25" hidden="false" customHeight="true" outlineLevel="0" collapsed="false">
      <c r="E579" s="10"/>
    </row>
    <row r="580" customFormat="false" ht="14.25" hidden="false" customHeight="true" outlineLevel="0" collapsed="false">
      <c r="E580" s="10"/>
    </row>
    <row r="581" customFormat="false" ht="14.25" hidden="false" customHeight="true" outlineLevel="0" collapsed="false">
      <c r="E581" s="10"/>
    </row>
    <row r="582" customFormat="false" ht="14.25" hidden="false" customHeight="true" outlineLevel="0" collapsed="false">
      <c r="E582" s="10"/>
    </row>
    <row r="583" customFormat="false" ht="14.25" hidden="false" customHeight="true" outlineLevel="0" collapsed="false">
      <c r="E583" s="10"/>
    </row>
    <row r="584" customFormat="false" ht="14.25" hidden="false" customHeight="true" outlineLevel="0" collapsed="false">
      <c r="E584" s="10"/>
    </row>
    <row r="585" customFormat="false" ht="14.25" hidden="false" customHeight="true" outlineLevel="0" collapsed="false">
      <c r="E585" s="10"/>
    </row>
    <row r="586" customFormat="false" ht="14.25" hidden="false" customHeight="true" outlineLevel="0" collapsed="false">
      <c r="E586" s="10"/>
    </row>
    <row r="587" customFormat="false" ht="14.25" hidden="false" customHeight="true" outlineLevel="0" collapsed="false">
      <c r="E587" s="10"/>
    </row>
    <row r="588" customFormat="false" ht="14.25" hidden="false" customHeight="true" outlineLevel="0" collapsed="false">
      <c r="E588" s="10"/>
    </row>
    <row r="589" customFormat="false" ht="14.25" hidden="false" customHeight="true" outlineLevel="0" collapsed="false">
      <c r="E589" s="10"/>
    </row>
    <row r="590" customFormat="false" ht="14.25" hidden="false" customHeight="true" outlineLevel="0" collapsed="false">
      <c r="E590" s="10"/>
    </row>
    <row r="591" customFormat="false" ht="14.25" hidden="false" customHeight="true" outlineLevel="0" collapsed="false">
      <c r="E591" s="10"/>
    </row>
    <row r="592" customFormat="false" ht="14.25" hidden="false" customHeight="true" outlineLevel="0" collapsed="false">
      <c r="E592" s="10"/>
    </row>
    <row r="593" customFormat="false" ht="14.25" hidden="false" customHeight="true" outlineLevel="0" collapsed="false">
      <c r="E593" s="10"/>
    </row>
    <row r="594" customFormat="false" ht="14.25" hidden="false" customHeight="true" outlineLevel="0" collapsed="false">
      <c r="E594" s="10"/>
    </row>
    <row r="595" customFormat="false" ht="14.25" hidden="false" customHeight="true" outlineLevel="0" collapsed="false">
      <c r="E595" s="10"/>
    </row>
    <row r="596" customFormat="false" ht="14.25" hidden="false" customHeight="true" outlineLevel="0" collapsed="false">
      <c r="E596" s="10"/>
    </row>
    <row r="597" customFormat="false" ht="14.25" hidden="false" customHeight="true" outlineLevel="0" collapsed="false">
      <c r="E597" s="10"/>
    </row>
    <row r="598" customFormat="false" ht="14.25" hidden="false" customHeight="true" outlineLevel="0" collapsed="false">
      <c r="E598" s="10"/>
    </row>
    <row r="599" customFormat="false" ht="14.25" hidden="false" customHeight="true" outlineLevel="0" collapsed="false">
      <c r="E599" s="10"/>
    </row>
    <row r="600" customFormat="false" ht="14.25" hidden="false" customHeight="true" outlineLevel="0" collapsed="false">
      <c r="E600" s="10"/>
    </row>
    <row r="601" customFormat="false" ht="14.25" hidden="false" customHeight="true" outlineLevel="0" collapsed="false">
      <c r="E601" s="10"/>
    </row>
    <row r="602" customFormat="false" ht="14.25" hidden="false" customHeight="true" outlineLevel="0" collapsed="false">
      <c r="E602" s="10"/>
    </row>
    <row r="603" customFormat="false" ht="14.25" hidden="false" customHeight="true" outlineLevel="0" collapsed="false">
      <c r="E603" s="10"/>
    </row>
    <row r="604" customFormat="false" ht="14.25" hidden="false" customHeight="true" outlineLevel="0" collapsed="false">
      <c r="E604" s="10"/>
    </row>
    <row r="605" customFormat="false" ht="14.25" hidden="false" customHeight="true" outlineLevel="0" collapsed="false">
      <c r="E605" s="10"/>
    </row>
    <row r="606" customFormat="false" ht="14.25" hidden="false" customHeight="true" outlineLevel="0" collapsed="false">
      <c r="E606" s="10"/>
    </row>
    <row r="607" customFormat="false" ht="14.25" hidden="false" customHeight="true" outlineLevel="0" collapsed="false">
      <c r="E607" s="10"/>
    </row>
    <row r="608" customFormat="false" ht="14.25" hidden="false" customHeight="true" outlineLevel="0" collapsed="false">
      <c r="E608" s="10"/>
    </row>
    <row r="609" customFormat="false" ht="14.25" hidden="false" customHeight="true" outlineLevel="0" collapsed="false">
      <c r="E609" s="10"/>
    </row>
    <row r="610" customFormat="false" ht="14.25" hidden="false" customHeight="true" outlineLevel="0" collapsed="false">
      <c r="E610" s="10"/>
    </row>
    <row r="611" customFormat="false" ht="14.25" hidden="false" customHeight="true" outlineLevel="0" collapsed="false">
      <c r="E611" s="10"/>
    </row>
    <row r="612" customFormat="false" ht="14.25" hidden="false" customHeight="true" outlineLevel="0" collapsed="false">
      <c r="E612" s="10"/>
    </row>
    <row r="613" customFormat="false" ht="14.25" hidden="false" customHeight="true" outlineLevel="0" collapsed="false">
      <c r="E613" s="10"/>
    </row>
    <row r="614" customFormat="false" ht="14.25" hidden="false" customHeight="true" outlineLevel="0" collapsed="false">
      <c r="E614" s="10"/>
    </row>
    <row r="615" customFormat="false" ht="14.25" hidden="false" customHeight="true" outlineLevel="0" collapsed="false">
      <c r="E615" s="10"/>
    </row>
    <row r="616" customFormat="false" ht="14.25" hidden="false" customHeight="true" outlineLevel="0" collapsed="false">
      <c r="E616" s="10"/>
    </row>
    <row r="617" customFormat="false" ht="14.25" hidden="false" customHeight="true" outlineLevel="0" collapsed="false">
      <c r="E617" s="10"/>
    </row>
    <row r="618" customFormat="false" ht="14.25" hidden="false" customHeight="true" outlineLevel="0" collapsed="false">
      <c r="E618" s="10"/>
    </row>
    <row r="619" customFormat="false" ht="14.25" hidden="false" customHeight="true" outlineLevel="0" collapsed="false">
      <c r="E619" s="10"/>
    </row>
    <row r="620" customFormat="false" ht="14.25" hidden="false" customHeight="true" outlineLevel="0" collapsed="false">
      <c r="E620" s="10"/>
    </row>
    <row r="621" customFormat="false" ht="14.25" hidden="false" customHeight="true" outlineLevel="0" collapsed="false">
      <c r="E621" s="10"/>
    </row>
    <row r="622" customFormat="false" ht="14.25" hidden="false" customHeight="true" outlineLevel="0" collapsed="false">
      <c r="E622" s="10"/>
    </row>
    <row r="623" customFormat="false" ht="14.25" hidden="false" customHeight="true" outlineLevel="0" collapsed="false">
      <c r="E623" s="10"/>
    </row>
    <row r="624" customFormat="false" ht="14.25" hidden="false" customHeight="true" outlineLevel="0" collapsed="false">
      <c r="E624" s="10"/>
    </row>
    <row r="625" customFormat="false" ht="14.25" hidden="false" customHeight="true" outlineLevel="0" collapsed="false">
      <c r="E625" s="10"/>
    </row>
    <row r="626" customFormat="false" ht="14.25" hidden="false" customHeight="true" outlineLevel="0" collapsed="false">
      <c r="E626" s="10"/>
    </row>
    <row r="627" customFormat="false" ht="14.25" hidden="false" customHeight="true" outlineLevel="0" collapsed="false">
      <c r="E627" s="10"/>
    </row>
    <row r="628" customFormat="false" ht="14.25" hidden="false" customHeight="true" outlineLevel="0" collapsed="false">
      <c r="E628" s="10"/>
    </row>
    <row r="629" customFormat="false" ht="14.25" hidden="false" customHeight="true" outlineLevel="0" collapsed="false">
      <c r="E629" s="10"/>
    </row>
    <row r="630" customFormat="false" ht="14.25" hidden="false" customHeight="true" outlineLevel="0" collapsed="false">
      <c r="E630" s="10"/>
    </row>
    <row r="631" customFormat="false" ht="14.25" hidden="false" customHeight="true" outlineLevel="0" collapsed="false">
      <c r="E631" s="10"/>
    </row>
    <row r="632" customFormat="false" ht="14.25" hidden="false" customHeight="true" outlineLevel="0" collapsed="false">
      <c r="E632" s="10"/>
    </row>
    <row r="633" customFormat="false" ht="14.25" hidden="false" customHeight="true" outlineLevel="0" collapsed="false">
      <c r="E633" s="10"/>
    </row>
    <row r="634" customFormat="false" ht="14.25" hidden="false" customHeight="true" outlineLevel="0" collapsed="false">
      <c r="E634" s="10"/>
    </row>
    <row r="635" customFormat="false" ht="14.25" hidden="false" customHeight="true" outlineLevel="0" collapsed="false">
      <c r="E635" s="10"/>
    </row>
    <row r="636" customFormat="false" ht="14.25" hidden="false" customHeight="true" outlineLevel="0" collapsed="false">
      <c r="E636" s="10"/>
    </row>
    <row r="637" customFormat="false" ht="14.25" hidden="false" customHeight="true" outlineLevel="0" collapsed="false">
      <c r="E637" s="10"/>
    </row>
    <row r="638" customFormat="false" ht="14.25" hidden="false" customHeight="true" outlineLevel="0" collapsed="false">
      <c r="E638" s="10"/>
    </row>
    <row r="639" customFormat="false" ht="14.25" hidden="false" customHeight="true" outlineLevel="0" collapsed="false">
      <c r="E639" s="10"/>
    </row>
    <row r="640" customFormat="false" ht="14.25" hidden="false" customHeight="true" outlineLevel="0" collapsed="false">
      <c r="E640" s="10"/>
    </row>
    <row r="641" customFormat="false" ht="14.25" hidden="false" customHeight="true" outlineLevel="0" collapsed="false">
      <c r="E641" s="10"/>
    </row>
    <row r="642" customFormat="false" ht="14.25" hidden="false" customHeight="true" outlineLevel="0" collapsed="false">
      <c r="E642" s="10"/>
    </row>
    <row r="643" customFormat="false" ht="14.25" hidden="false" customHeight="true" outlineLevel="0" collapsed="false">
      <c r="E643" s="10"/>
    </row>
    <row r="644" customFormat="false" ht="14.25" hidden="false" customHeight="true" outlineLevel="0" collapsed="false">
      <c r="E644" s="10"/>
    </row>
    <row r="645" customFormat="false" ht="14.25" hidden="false" customHeight="true" outlineLevel="0" collapsed="false">
      <c r="E645" s="10"/>
    </row>
    <row r="646" customFormat="false" ht="14.25" hidden="false" customHeight="true" outlineLevel="0" collapsed="false">
      <c r="E646" s="10"/>
    </row>
    <row r="647" customFormat="false" ht="14.25" hidden="false" customHeight="true" outlineLevel="0" collapsed="false">
      <c r="E647" s="10"/>
    </row>
    <row r="648" customFormat="false" ht="14.25" hidden="false" customHeight="true" outlineLevel="0" collapsed="false">
      <c r="E648" s="10"/>
    </row>
    <row r="649" customFormat="false" ht="14.25" hidden="false" customHeight="true" outlineLevel="0" collapsed="false">
      <c r="E649" s="10"/>
    </row>
    <row r="650" customFormat="false" ht="14.25" hidden="false" customHeight="true" outlineLevel="0" collapsed="false">
      <c r="E650" s="10"/>
    </row>
    <row r="651" customFormat="false" ht="14.25" hidden="false" customHeight="true" outlineLevel="0" collapsed="false">
      <c r="E651" s="10"/>
    </row>
    <row r="652" customFormat="false" ht="14.25" hidden="false" customHeight="true" outlineLevel="0" collapsed="false">
      <c r="E652" s="10"/>
    </row>
    <row r="653" customFormat="false" ht="14.25" hidden="false" customHeight="true" outlineLevel="0" collapsed="false">
      <c r="E653" s="10"/>
    </row>
    <row r="654" customFormat="false" ht="14.25" hidden="false" customHeight="true" outlineLevel="0" collapsed="false">
      <c r="E654" s="10"/>
    </row>
    <row r="655" customFormat="false" ht="14.25" hidden="false" customHeight="true" outlineLevel="0" collapsed="false">
      <c r="E655" s="10"/>
    </row>
    <row r="656" customFormat="false" ht="14.25" hidden="false" customHeight="true" outlineLevel="0" collapsed="false">
      <c r="E656" s="10"/>
    </row>
    <row r="657" customFormat="false" ht="14.25" hidden="false" customHeight="true" outlineLevel="0" collapsed="false">
      <c r="E657" s="10"/>
    </row>
    <row r="658" customFormat="false" ht="14.25" hidden="false" customHeight="true" outlineLevel="0" collapsed="false">
      <c r="E658" s="10"/>
    </row>
    <row r="659" customFormat="false" ht="14.25" hidden="false" customHeight="true" outlineLevel="0" collapsed="false">
      <c r="E659" s="10"/>
    </row>
    <row r="660" customFormat="false" ht="14.25" hidden="false" customHeight="true" outlineLevel="0" collapsed="false">
      <c r="E660" s="10"/>
    </row>
    <row r="661" customFormat="false" ht="14.25" hidden="false" customHeight="true" outlineLevel="0" collapsed="false">
      <c r="E661" s="10"/>
    </row>
    <row r="662" customFormat="false" ht="14.25" hidden="false" customHeight="true" outlineLevel="0" collapsed="false">
      <c r="E662" s="10"/>
    </row>
    <row r="663" customFormat="false" ht="14.25" hidden="false" customHeight="true" outlineLevel="0" collapsed="false">
      <c r="E663" s="10"/>
    </row>
    <row r="664" customFormat="false" ht="14.25" hidden="false" customHeight="true" outlineLevel="0" collapsed="false">
      <c r="E664" s="10"/>
    </row>
    <row r="665" customFormat="false" ht="14.25" hidden="false" customHeight="true" outlineLevel="0" collapsed="false">
      <c r="E665" s="10"/>
    </row>
    <row r="666" customFormat="false" ht="14.25" hidden="false" customHeight="true" outlineLevel="0" collapsed="false">
      <c r="E666" s="10"/>
    </row>
    <row r="667" customFormat="false" ht="14.25" hidden="false" customHeight="true" outlineLevel="0" collapsed="false">
      <c r="E667" s="10"/>
    </row>
    <row r="668" customFormat="false" ht="14.25" hidden="false" customHeight="true" outlineLevel="0" collapsed="false">
      <c r="E668" s="10"/>
    </row>
    <row r="669" customFormat="false" ht="14.25" hidden="false" customHeight="true" outlineLevel="0" collapsed="false">
      <c r="E669" s="10"/>
    </row>
    <row r="670" customFormat="false" ht="14.25" hidden="false" customHeight="true" outlineLevel="0" collapsed="false">
      <c r="E670" s="10"/>
    </row>
    <row r="671" customFormat="false" ht="14.25" hidden="false" customHeight="true" outlineLevel="0" collapsed="false">
      <c r="E671" s="10"/>
    </row>
    <row r="672" customFormat="false" ht="14.25" hidden="false" customHeight="true" outlineLevel="0" collapsed="false">
      <c r="E672" s="10"/>
    </row>
    <row r="673" customFormat="false" ht="14.25" hidden="false" customHeight="true" outlineLevel="0" collapsed="false">
      <c r="E673" s="10"/>
    </row>
    <row r="674" customFormat="false" ht="14.25" hidden="false" customHeight="true" outlineLevel="0" collapsed="false">
      <c r="E674" s="10"/>
    </row>
    <row r="675" customFormat="false" ht="14.25" hidden="false" customHeight="true" outlineLevel="0" collapsed="false">
      <c r="E675" s="10"/>
    </row>
    <row r="676" customFormat="false" ht="14.25" hidden="false" customHeight="true" outlineLevel="0" collapsed="false">
      <c r="E676" s="10"/>
    </row>
    <row r="677" customFormat="false" ht="14.25" hidden="false" customHeight="true" outlineLevel="0" collapsed="false">
      <c r="E677" s="10"/>
    </row>
    <row r="678" customFormat="false" ht="14.25" hidden="false" customHeight="true" outlineLevel="0" collapsed="false">
      <c r="E678" s="10"/>
    </row>
    <row r="679" customFormat="false" ht="14.25" hidden="false" customHeight="true" outlineLevel="0" collapsed="false">
      <c r="E679" s="10"/>
    </row>
    <row r="680" customFormat="false" ht="14.25" hidden="false" customHeight="true" outlineLevel="0" collapsed="false">
      <c r="E680" s="10"/>
    </row>
    <row r="681" customFormat="false" ht="14.25" hidden="false" customHeight="true" outlineLevel="0" collapsed="false">
      <c r="E681" s="10"/>
    </row>
    <row r="682" customFormat="false" ht="14.25" hidden="false" customHeight="true" outlineLevel="0" collapsed="false">
      <c r="E682" s="10"/>
    </row>
    <row r="683" customFormat="false" ht="14.25" hidden="false" customHeight="true" outlineLevel="0" collapsed="false">
      <c r="E683" s="10"/>
    </row>
    <row r="684" customFormat="false" ht="14.25" hidden="false" customHeight="true" outlineLevel="0" collapsed="false">
      <c r="E684" s="10"/>
    </row>
    <row r="685" customFormat="false" ht="14.25" hidden="false" customHeight="true" outlineLevel="0" collapsed="false">
      <c r="E685" s="10"/>
    </row>
    <row r="686" customFormat="false" ht="14.25" hidden="false" customHeight="true" outlineLevel="0" collapsed="false">
      <c r="E686" s="10"/>
    </row>
    <row r="687" customFormat="false" ht="14.25" hidden="false" customHeight="true" outlineLevel="0" collapsed="false">
      <c r="E687" s="10"/>
    </row>
    <row r="688" customFormat="false" ht="14.25" hidden="false" customHeight="true" outlineLevel="0" collapsed="false">
      <c r="E688" s="10"/>
    </row>
    <row r="689" customFormat="false" ht="14.25" hidden="false" customHeight="true" outlineLevel="0" collapsed="false">
      <c r="E689" s="10"/>
    </row>
    <row r="690" customFormat="false" ht="14.25" hidden="false" customHeight="true" outlineLevel="0" collapsed="false">
      <c r="E690" s="10"/>
    </row>
    <row r="691" customFormat="false" ht="14.25" hidden="false" customHeight="true" outlineLevel="0" collapsed="false">
      <c r="E691" s="10"/>
    </row>
    <row r="692" customFormat="false" ht="14.25" hidden="false" customHeight="true" outlineLevel="0" collapsed="false">
      <c r="E692" s="10"/>
    </row>
    <row r="693" customFormat="false" ht="14.25" hidden="false" customHeight="true" outlineLevel="0" collapsed="false">
      <c r="E693" s="10"/>
    </row>
    <row r="694" customFormat="false" ht="14.25" hidden="false" customHeight="true" outlineLevel="0" collapsed="false">
      <c r="E694" s="10"/>
    </row>
    <row r="695" customFormat="false" ht="14.25" hidden="false" customHeight="true" outlineLevel="0" collapsed="false">
      <c r="E695" s="10"/>
    </row>
    <row r="696" customFormat="false" ht="14.25" hidden="false" customHeight="true" outlineLevel="0" collapsed="false">
      <c r="E696" s="10"/>
    </row>
    <row r="697" customFormat="false" ht="14.25" hidden="false" customHeight="true" outlineLevel="0" collapsed="false">
      <c r="E697" s="10"/>
    </row>
    <row r="698" customFormat="false" ht="14.25" hidden="false" customHeight="true" outlineLevel="0" collapsed="false">
      <c r="E698" s="10"/>
    </row>
    <row r="699" customFormat="false" ht="14.25" hidden="false" customHeight="true" outlineLevel="0" collapsed="false">
      <c r="E699" s="10"/>
    </row>
    <row r="700" customFormat="false" ht="14.25" hidden="false" customHeight="true" outlineLevel="0" collapsed="false">
      <c r="E700" s="10"/>
    </row>
    <row r="701" customFormat="false" ht="14.25" hidden="false" customHeight="true" outlineLevel="0" collapsed="false">
      <c r="E701" s="10"/>
    </row>
    <row r="702" customFormat="false" ht="14.25" hidden="false" customHeight="true" outlineLevel="0" collapsed="false">
      <c r="E702" s="10"/>
    </row>
    <row r="703" customFormat="false" ht="14.25" hidden="false" customHeight="true" outlineLevel="0" collapsed="false">
      <c r="E703" s="10"/>
    </row>
    <row r="704" customFormat="false" ht="14.25" hidden="false" customHeight="true" outlineLevel="0" collapsed="false">
      <c r="E704" s="10"/>
    </row>
    <row r="705" customFormat="false" ht="14.25" hidden="false" customHeight="true" outlineLevel="0" collapsed="false">
      <c r="E705" s="10"/>
    </row>
    <row r="706" customFormat="false" ht="14.25" hidden="false" customHeight="true" outlineLevel="0" collapsed="false">
      <c r="E706" s="10"/>
    </row>
    <row r="707" customFormat="false" ht="14.25" hidden="false" customHeight="true" outlineLevel="0" collapsed="false">
      <c r="E707" s="10"/>
    </row>
    <row r="708" customFormat="false" ht="14.25" hidden="false" customHeight="true" outlineLevel="0" collapsed="false">
      <c r="E708" s="10"/>
    </row>
    <row r="709" customFormat="false" ht="14.25" hidden="false" customHeight="true" outlineLevel="0" collapsed="false">
      <c r="E709" s="10"/>
    </row>
    <row r="710" customFormat="false" ht="14.25" hidden="false" customHeight="true" outlineLevel="0" collapsed="false">
      <c r="E710" s="10"/>
    </row>
    <row r="711" customFormat="false" ht="14.25" hidden="false" customHeight="true" outlineLevel="0" collapsed="false">
      <c r="E711" s="10"/>
    </row>
    <row r="712" customFormat="false" ht="14.25" hidden="false" customHeight="true" outlineLevel="0" collapsed="false">
      <c r="E712" s="10"/>
    </row>
    <row r="713" customFormat="false" ht="14.25" hidden="false" customHeight="true" outlineLevel="0" collapsed="false">
      <c r="E713" s="10"/>
    </row>
    <row r="714" customFormat="false" ht="14.25" hidden="false" customHeight="true" outlineLevel="0" collapsed="false">
      <c r="E714" s="10"/>
    </row>
    <row r="715" customFormat="false" ht="14.25" hidden="false" customHeight="true" outlineLevel="0" collapsed="false">
      <c r="E715" s="10"/>
    </row>
    <row r="716" customFormat="false" ht="14.25" hidden="false" customHeight="true" outlineLevel="0" collapsed="false">
      <c r="E716" s="10"/>
    </row>
    <row r="717" customFormat="false" ht="14.25" hidden="false" customHeight="true" outlineLevel="0" collapsed="false">
      <c r="E717" s="10"/>
    </row>
    <row r="718" customFormat="false" ht="14.25" hidden="false" customHeight="true" outlineLevel="0" collapsed="false">
      <c r="E718" s="10"/>
    </row>
    <row r="719" customFormat="false" ht="14.25" hidden="false" customHeight="true" outlineLevel="0" collapsed="false">
      <c r="E719" s="10"/>
    </row>
    <row r="720" customFormat="false" ht="14.25" hidden="false" customHeight="true" outlineLevel="0" collapsed="false">
      <c r="E720" s="10"/>
    </row>
    <row r="721" customFormat="false" ht="14.25" hidden="false" customHeight="true" outlineLevel="0" collapsed="false">
      <c r="E721" s="10"/>
    </row>
    <row r="722" customFormat="false" ht="14.25" hidden="false" customHeight="true" outlineLevel="0" collapsed="false">
      <c r="E722" s="10"/>
    </row>
    <row r="723" customFormat="false" ht="14.25" hidden="false" customHeight="true" outlineLevel="0" collapsed="false">
      <c r="E723" s="10"/>
    </row>
    <row r="724" customFormat="false" ht="14.25" hidden="false" customHeight="true" outlineLevel="0" collapsed="false">
      <c r="E724" s="10"/>
    </row>
    <row r="725" customFormat="false" ht="14.25" hidden="false" customHeight="true" outlineLevel="0" collapsed="false">
      <c r="E725" s="10"/>
    </row>
    <row r="726" customFormat="false" ht="14.25" hidden="false" customHeight="true" outlineLevel="0" collapsed="false">
      <c r="E726" s="10"/>
    </row>
    <row r="727" customFormat="false" ht="14.25" hidden="false" customHeight="true" outlineLevel="0" collapsed="false">
      <c r="E727" s="10"/>
    </row>
    <row r="728" customFormat="false" ht="14.25" hidden="false" customHeight="true" outlineLevel="0" collapsed="false">
      <c r="E728" s="10"/>
    </row>
    <row r="729" customFormat="false" ht="14.25" hidden="false" customHeight="true" outlineLevel="0" collapsed="false">
      <c r="E729" s="10"/>
    </row>
    <row r="730" customFormat="false" ht="14.25" hidden="false" customHeight="true" outlineLevel="0" collapsed="false">
      <c r="E730" s="10"/>
    </row>
    <row r="731" customFormat="false" ht="14.25" hidden="false" customHeight="true" outlineLevel="0" collapsed="false">
      <c r="E731" s="10"/>
    </row>
    <row r="732" customFormat="false" ht="14.25" hidden="false" customHeight="true" outlineLevel="0" collapsed="false">
      <c r="E732" s="10"/>
    </row>
    <row r="733" customFormat="false" ht="14.25" hidden="false" customHeight="true" outlineLevel="0" collapsed="false">
      <c r="E733" s="10"/>
    </row>
    <row r="734" customFormat="false" ht="14.25" hidden="false" customHeight="true" outlineLevel="0" collapsed="false">
      <c r="E734" s="10"/>
    </row>
    <row r="735" customFormat="false" ht="14.25" hidden="false" customHeight="true" outlineLevel="0" collapsed="false">
      <c r="E735" s="10"/>
    </row>
    <row r="736" customFormat="false" ht="14.25" hidden="false" customHeight="true" outlineLevel="0" collapsed="false">
      <c r="E736" s="10"/>
    </row>
    <row r="737" customFormat="false" ht="14.25" hidden="false" customHeight="true" outlineLevel="0" collapsed="false">
      <c r="E737" s="10"/>
    </row>
    <row r="738" customFormat="false" ht="14.25" hidden="false" customHeight="true" outlineLevel="0" collapsed="false">
      <c r="E738" s="10"/>
    </row>
    <row r="739" customFormat="false" ht="14.25" hidden="false" customHeight="true" outlineLevel="0" collapsed="false">
      <c r="E739" s="10"/>
    </row>
    <row r="740" customFormat="false" ht="14.25" hidden="false" customHeight="true" outlineLevel="0" collapsed="false">
      <c r="E740" s="10"/>
    </row>
    <row r="741" customFormat="false" ht="14.25" hidden="false" customHeight="true" outlineLevel="0" collapsed="false">
      <c r="E741" s="10"/>
    </row>
    <row r="742" customFormat="false" ht="14.25" hidden="false" customHeight="true" outlineLevel="0" collapsed="false">
      <c r="E742" s="10"/>
    </row>
    <row r="743" customFormat="false" ht="14.25" hidden="false" customHeight="true" outlineLevel="0" collapsed="false">
      <c r="E743" s="10"/>
    </row>
    <row r="744" customFormat="false" ht="14.25" hidden="false" customHeight="true" outlineLevel="0" collapsed="false">
      <c r="E744" s="10"/>
    </row>
    <row r="745" customFormat="false" ht="14.25" hidden="false" customHeight="true" outlineLevel="0" collapsed="false">
      <c r="E745" s="10"/>
    </row>
    <row r="746" customFormat="false" ht="14.25" hidden="false" customHeight="true" outlineLevel="0" collapsed="false">
      <c r="E746" s="10"/>
    </row>
    <row r="747" customFormat="false" ht="14.25" hidden="false" customHeight="true" outlineLevel="0" collapsed="false">
      <c r="E747" s="10"/>
    </row>
    <row r="748" customFormat="false" ht="14.25" hidden="false" customHeight="true" outlineLevel="0" collapsed="false">
      <c r="E748" s="10"/>
    </row>
    <row r="749" customFormat="false" ht="14.25" hidden="false" customHeight="true" outlineLevel="0" collapsed="false">
      <c r="E749" s="10"/>
    </row>
    <row r="750" customFormat="false" ht="14.25" hidden="false" customHeight="true" outlineLevel="0" collapsed="false">
      <c r="E750" s="10"/>
    </row>
    <row r="751" customFormat="false" ht="14.25" hidden="false" customHeight="true" outlineLevel="0" collapsed="false">
      <c r="E751" s="10"/>
    </row>
    <row r="752" customFormat="false" ht="14.25" hidden="false" customHeight="true" outlineLevel="0" collapsed="false">
      <c r="E752" s="10"/>
    </row>
    <row r="753" customFormat="false" ht="14.25" hidden="false" customHeight="true" outlineLevel="0" collapsed="false">
      <c r="E753" s="10"/>
    </row>
    <row r="754" customFormat="false" ht="14.25" hidden="false" customHeight="true" outlineLevel="0" collapsed="false">
      <c r="E754" s="10"/>
    </row>
    <row r="755" customFormat="false" ht="14.25" hidden="false" customHeight="true" outlineLevel="0" collapsed="false">
      <c r="E755" s="10"/>
    </row>
    <row r="756" customFormat="false" ht="14.25" hidden="false" customHeight="true" outlineLevel="0" collapsed="false">
      <c r="E756" s="10"/>
    </row>
    <row r="757" customFormat="false" ht="14.25" hidden="false" customHeight="true" outlineLevel="0" collapsed="false">
      <c r="E757" s="10"/>
    </row>
    <row r="758" customFormat="false" ht="14.25" hidden="false" customHeight="true" outlineLevel="0" collapsed="false">
      <c r="E758" s="10"/>
    </row>
    <row r="759" customFormat="false" ht="14.25" hidden="false" customHeight="true" outlineLevel="0" collapsed="false">
      <c r="E759" s="10"/>
    </row>
    <row r="760" customFormat="false" ht="14.25" hidden="false" customHeight="true" outlineLevel="0" collapsed="false">
      <c r="E760" s="10"/>
    </row>
    <row r="761" customFormat="false" ht="14.25" hidden="false" customHeight="true" outlineLevel="0" collapsed="false">
      <c r="E761" s="10"/>
    </row>
    <row r="762" customFormat="false" ht="14.25" hidden="false" customHeight="true" outlineLevel="0" collapsed="false">
      <c r="E762" s="10"/>
    </row>
    <row r="763" customFormat="false" ht="14.25" hidden="false" customHeight="true" outlineLevel="0" collapsed="false">
      <c r="E763" s="10"/>
    </row>
    <row r="764" customFormat="false" ht="14.25" hidden="false" customHeight="true" outlineLevel="0" collapsed="false">
      <c r="E764" s="10"/>
    </row>
    <row r="765" customFormat="false" ht="14.25" hidden="false" customHeight="true" outlineLevel="0" collapsed="false">
      <c r="E765" s="10"/>
    </row>
    <row r="766" customFormat="false" ht="14.25" hidden="false" customHeight="true" outlineLevel="0" collapsed="false">
      <c r="E766" s="10"/>
    </row>
    <row r="767" customFormat="false" ht="14.25" hidden="false" customHeight="true" outlineLevel="0" collapsed="false">
      <c r="E767" s="10"/>
    </row>
    <row r="768" customFormat="false" ht="14.25" hidden="false" customHeight="true" outlineLevel="0" collapsed="false">
      <c r="E768" s="10"/>
    </row>
    <row r="769" customFormat="false" ht="14.25" hidden="false" customHeight="true" outlineLevel="0" collapsed="false">
      <c r="E769" s="10"/>
    </row>
    <row r="770" customFormat="false" ht="14.25" hidden="false" customHeight="true" outlineLevel="0" collapsed="false">
      <c r="E770" s="10"/>
    </row>
    <row r="771" customFormat="false" ht="14.25" hidden="false" customHeight="true" outlineLevel="0" collapsed="false">
      <c r="E771" s="10"/>
    </row>
    <row r="772" customFormat="false" ht="14.25" hidden="false" customHeight="true" outlineLevel="0" collapsed="false">
      <c r="E772" s="10"/>
    </row>
    <row r="773" customFormat="false" ht="14.25" hidden="false" customHeight="true" outlineLevel="0" collapsed="false">
      <c r="E773" s="10"/>
    </row>
    <row r="774" customFormat="false" ht="14.25" hidden="false" customHeight="true" outlineLevel="0" collapsed="false">
      <c r="E774" s="10"/>
    </row>
    <row r="775" customFormat="false" ht="14.25" hidden="false" customHeight="true" outlineLevel="0" collapsed="false">
      <c r="E775" s="10"/>
    </row>
    <row r="776" customFormat="false" ht="14.25" hidden="false" customHeight="true" outlineLevel="0" collapsed="false">
      <c r="E776" s="10"/>
    </row>
    <row r="777" customFormat="false" ht="14.25" hidden="false" customHeight="true" outlineLevel="0" collapsed="false">
      <c r="E777" s="10"/>
    </row>
    <row r="778" customFormat="false" ht="14.25" hidden="false" customHeight="true" outlineLevel="0" collapsed="false">
      <c r="E778" s="10"/>
    </row>
    <row r="779" customFormat="false" ht="14.25" hidden="false" customHeight="true" outlineLevel="0" collapsed="false">
      <c r="E779" s="10"/>
    </row>
    <row r="780" customFormat="false" ht="14.25" hidden="false" customHeight="true" outlineLevel="0" collapsed="false">
      <c r="E780" s="10"/>
    </row>
    <row r="781" customFormat="false" ht="14.25" hidden="false" customHeight="true" outlineLevel="0" collapsed="false">
      <c r="E781" s="10"/>
    </row>
    <row r="782" customFormat="false" ht="14.25" hidden="false" customHeight="true" outlineLevel="0" collapsed="false">
      <c r="E782" s="10"/>
    </row>
    <row r="783" customFormat="false" ht="14.25" hidden="false" customHeight="true" outlineLevel="0" collapsed="false">
      <c r="E783" s="10"/>
    </row>
    <row r="784" customFormat="false" ht="14.25" hidden="false" customHeight="true" outlineLevel="0" collapsed="false">
      <c r="E784" s="10"/>
    </row>
    <row r="785" customFormat="false" ht="14.25" hidden="false" customHeight="true" outlineLevel="0" collapsed="false">
      <c r="E785" s="10"/>
    </row>
    <row r="786" customFormat="false" ht="14.25" hidden="false" customHeight="true" outlineLevel="0" collapsed="false">
      <c r="E786" s="10"/>
    </row>
    <row r="787" customFormat="false" ht="14.25" hidden="false" customHeight="true" outlineLevel="0" collapsed="false">
      <c r="E787" s="10"/>
    </row>
    <row r="788" customFormat="false" ht="14.25" hidden="false" customHeight="true" outlineLevel="0" collapsed="false">
      <c r="E788" s="10"/>
    </row>
    <row r="789" customFormat="false" ht="14.25" hidden="false" customHeight="true" outlineLevel="0" collapsed="false">
      <c r="E789" s="10"/>
    </row>
    <row r="790" customFormat="false" ht="14.25" hidden="false" customHeight="true" outlineLevel="0" collapsed="false">
      <c r="E790" s="10"/>
    </row>
    <row r="791" customFormat="false" ht="14.25" hidden="false" customHeight="true" outlineLevel="0" collapsed="false">
      <c r="E791" s="10"/>
    </row>
    <row r="792" customFormat="false" ht="14.25" hidden="false" customHeight="true" outlineLevel="0" collapsed="false">
      <c r="E792" s="10"/>
    </row>
    <row r="793" customFormat="false" ht="14.25" hidden="false" customHeight="true" outlineLevel="0" collapsed="false">
      <c r="E793" s="10"/>
    </row>
    <row r="794" customFormat="false" ht="14.25" hidden="false" customHeight="true" outlineLevel="0" collapsed="false">
      <c r="E794" s="10"/>
    </row>
    <row r="795" customFormat="false" ht="14.25" hidden="false" customHeight="true" outlineLevel="0" collapsed="false">
      <c r="E795" s="10"/>
    </row>
    <row r="796" customFormat="false" ht="14.25" hidden="false" customHeight="true" outlineLevel="0" collapsed="false">
      <c r="E796" s="10"/>
    </row>
    <row r="797" customFormat="false" ht="14.25" hidden="false" customHeight="true" outlineLevel="0" collapsed="false">
      <c r="E797" s="10"/>
    </row>
    <row r="798" customFormat="false" ht="14.25" hidden="false" customHeight="true" outlineLevel="0" collapsed="false">
      <c r="E798" s="10"/>
    </row>
    <row r="799" customFormat="false" ht="14.25" hidden="false" customHeight="true" outlineLevel="0" collapsed="false">
      <c r="E799" s="10"/>
    </row>
    <row r="800" customFormat="false" ht="14.25" hidden="false" customHeight="true" outlineLevel="0" collapsed="false">
      <c r="E800" s="10"/>
    </row>
    <row r="801" customFormat="false" ht="14.25" hidden="false" customHeight="true" outlineLevel="0" collapsed="false">
      <c r="E801" s="10"/>
    </row>
    <row r="802" customFormat="false" ht="14.25" hidden="false" customHeight="true" outlineLevel="0" collapsed="false">
      <c r="E802" s="10"/>
    </row>
    <row r="803" customFormat="false" ht="14.25" hidden="false" customHeight="true" outlineLevel="0" collapsed="false">
      <c r="E803" s="10"/>
    </row>
    <row r="804" customFormat="false" ht="14.25" hidden="false" customHeight="true" outlineLevel="0" collapsed="false">
      <c r="E804" s="10"/>
    </row>
    <row r="805" customFormat="false" ht="14.25" hidden="false" customHeight="true" outlineLevel="0" collapsed="false">
      <c r="E805" s="10"/>
    </row>
    <row r="806" customFormat="false" ht="14.25" hidden="false" customHeight="true" outlineLevel="0" collapsed="false">
      <c r="E806" s="10"/>
    </row>
    <row r="807" customFormat="false" ht="14.25" hidden="false" customHeight="true" outlineLevel="0" collapsed="false">
      <c r="E807" s="10"/>
    </row>
    <row r="808" customFormat="false" ht="14.25" hidden="false" customHeight="true" outlineLevel="0" collapsed="false">
      <c r="E808" s="10"/>
    </row>
    <row r="809" customFormat="false" ht="14.25" hidden="false" customHeight="true" outlineLevel="0" collapsed="false">
      <c r="E809" s="10"/>
    </row>
    <row r="810" customFormat="false" ht="14.25" hidden="false" customHeight="true" outlineLevel="0" collapsed="false">
      <c r="E810" s="10"/>
    </row>
    <row r="811" customFormat="false" ht="14.25" hidden="false" customHeight="true" outlineLevel="0" collapsed="false">
      <c r="E811" s="10"/>
    </row>
    <row r="812" customFormat="false" ht="14.25" hidden="false" customHeight="true" outlineLevel="0" collapsed="false">
      <c r="E812" s="10"/>
    </row>
    <row r="813" customFormat="false" ht="14.25" hidden="false" customHeight="true" outlineLevel="0" collapsed="false">
      <c r="E813" s="10"/>
    </row>
    <row r="814" customFormat="false" ht="14.25" hidden="false" customHeight="true" outlineLevel="0" collapsed="false">
      <c r="E814" s="10"/>
    </row>
    <row r="815" customFormat="false" ht="14.25" hidden="false" customHeight="true" outlineLevel="0" collapsed="false">
      <c r="E815" s="10"/>
    </row>
    <row r="816" customFormat="false" ht="14.25" hidden="false" customHeight="true" outlineLevel="0" collapsed="false">
      <c r="E816" s="10"/>
    </row>
    <row r="817" customFormat="false" ht="14.25" hidden="false" customHeight="true" outlineLevel="0" collapsed="false">
      <c r="E817" s="10"/>
    </row>
    <row r="818" customFormat="false" ht="14.25" hidden="false" customHeight="true" outlineLevel="0" collapsed="false">
      <c r="E818" s="10"/>
    </row>
    <row r="819" customFormat="false" ht="14.25" hidden="false" customHeight="true" outlineLevel="0" collapsed="false">
      <c r="E819" s="10"/>
    </row>
    <row r="820" customFormat="false" ht="14.25" hidden="false" customHeight="true" outlineLevel="0" collapsed="false">
      <c r="E820" s="10"/>
    </row>
    <row r="821" customFormat="false" ht="14.25" hidden="false" customHeight="true" outlineLevel="0" collapsed="false">
      <c r="E821" s="10"/>
    </row>
    <row r="822" customFormat="false" ht="14.25" hidden="false" customHeight="true" outlineLevel="0" collapsed="false">
      <c r="E822" s="10"/>
    </row>
    <row r="823" customFormat="false" ht="14.25" hidden="false" customHeight="true" outlineLevel="0" collapsed="false">
      <c r="E823" s="10"/>
    </row>
    <row r="824" customFormat="false" ht="14.25" hidden="false" customHeight="true" outlineLevel="0" collapsed="false">
      <c r="E824" s="10"/>
    </row>
    <row r="825" customFormat="false" ht="14.25" hidden="false" customHeight="true" outlineLevel="0" collapsed="false">
      <c r="E825" s="10"/>
    </row>
    <row r="826" customFormat="false" ht="14.25" hidden="false" customHeight="true" outlineLevel="0" collapsed="false">
      <c r="E826" s="10"/>
    </row>
    <row r="827" customFormat="false" ht="14.25" hidden="false" customHeight="true" outlineLevel="0" collapsed="false">
      <c r="E827" s="10"/>
    </row>
    <row r="828" customFormat="false" ht="14.25" hidden="false" customHeight="true" outlineLevel="0" collapsed="false">
      <c r="E828" s="10"/>
    </row>
    <row r="829" customFormat="false" ht="14.25" hidden="false" customHeight="true" outlineLevel="0" collapsed="false">
      <c r="E829" s="10"/>
    </row>
    <row r="830" customFormat="false" ht="14.25" hidden="false" customHeight="true" outlineLevel="0" collapsed="false">
      <c r="E830" s="10"/>
    </row>
    <row r="831" customFormat="false" ht="14.25" hidden="false" customHeight="true" outlineLevel="0" collapsed="false">
      <c r="E831" s="10"/>
    </row>
    <row r="832" customFormat="false" ht="14.25" hidden="false" customHeight="true" outlineLevel="0" collapsed="false">
      <c r="E832" s="10"/>
    </row>
    <row r="833" customFormat="false" ht="14.25" hidden="false" customHeight="true" outlineLevel="0" collapsed="false">
      <c r="E833" s="10"/>
    </row>
    <row r="834" customFormat="false" ht="14.25" hidden="false" customHeight="true" outlineLevel="0" collapsed="false">
      <c r="E834" s="10"/>
    </row>
    <row r="835" customFormat="false" ht="14.25" hidden="false" customHeight="true" outlineLevel="0" collapsed="false">
      <c r="E835" s="10"/>
    </row>
    <row r="836" customFormat="false" ht="14.25" hidden="false" customHeight="true" outlineLevel="0" collapsed="false">
      <c r="E836" s="10"/>
    </row>
    <row r="837" customFormat="false" ht="14.25" hidden="false" customHeight="true" outlineLevel="0" collapsed="false">
      <c r="E837" s="10"/>
    </row>
    <row r="838" customFormat="false" ht="14.25" hidden="false" customHeight="true" outlineLevel="0" collapsed="false">
      <c r="E838" s="10"/>
    </row>
    <row r="839" customFormat="false" ht="14.25" hidden="false" customHeight="true" outlineLevel="0" collapsed="false">
      <c r="E839" s="10"/>
    </row>
    <row r="840" customFormat="false" ht="14.25" hidden="false" customHeight="true" outlineLevel="0" collapsed="false">
      <c r="E840" s="10"/>
    </row>
    <row r="841" customFormat="false" ht="14.25" hidden="false" customHeight="true" outlineLevel="0" collapsed="false">
      <c r="E841" s="10"/>
    </row>
    <row r="842" customFormat="false" ht="14.25" hidden="false" customHeight="true" outlineLevel="0" collapsed="false">
      <c r="E842" s="10"/>
    </row>
    <row r="843" customFormat="false" ht="14.25" hidden="false" customHeight="true" outlineLevel="0" collapsed="false">
      <c r="E843" s="10"/>
    </row>
    <row r="844" customFormat="false" ht="14.25" hidden="false" customHeight="true" outlineLevel="0" collapsed="false">
      <c r="E844" s="10"/>
    </row>
    <row r="845" customFormat="false" ht="14.25" hidden="false" customHeight="true" outlineLevel="0" collapsed="false">
      <c r="E845" s="10"/>
    </row>
    <row r="846" customFormat="false" ht="14.25" hidden="false" customHeight="true" outlineLevel="0" collapsed="false">
      <c r="E846" s="10"/>
    </row>
    <row r="847" customFormat="false" ht="14.25" hidden="false" customHeight="true" outlineLevel="0" collapsed="false">
      <c r="E847" s="10"/>
    </row>
    <row r="848" customFormat="false" ht="14.25" hidden="false" customHeight="true" outlineLevel="0" collapsed="false">
      <c r="E848" s="10"/>
    </row>
    <row r="849" customFormat="false" ht="14.25" hidden="false" customHeight="true" outlineLevel="0" collapsed="false">
      <c r="E849" s="10"/>
    </row>
    <row r="850" customFormat="false" ht="14.25" hidden="false" customHeight="true" outlineLevel="0" collapsed="false">
      <c r="E850" s="10"/>
    </row>
    <row r="851" customFormat="false" ht="14.25" hidden="false" customHeight="true" outlineLevel="0" collapsed="false">
      <c r="E851" s="10"/>
    </row>
    <row r="852" customFormat="false" ht="14.25" hidden="false" customHeight="true" outlineLevel="0" collapsed="false">
      <c r="E852" s="10"/>
    </row>
    <row r="853" customFormat="false" ht="14.25" hidden="false" customHeight="true" outlineLevel="0" collapsed="false">
      <c r="E853" s="10"/>
    </row>
    <row r="854" customFormat="false" ht="14.25" hidden="false" customHeight="true" outlineLevel="0" collapsed="false">
      <c r="E854" s="10"/>
    </row>
    <row r="855" customFormat="false" ht="14.25" hidden="false" customHeight="true" outlineLevel="0" collapsed="false">
      <c r="E855" s="10"/>
    </row>
    <row r="856" customFormat="false" ht="14.25" hidden="false" customHeight="true" outlineLevel="0" collapsed="false">
      <c r="E856" s="10"/>
    </row>
    <row r="857" customFormat="false" ht="14.25" hidden="false" customHeight="true" outlineLevel="0" collapsed="false">
      <c r="E857" s="10"/>
    </row>
    <row r="858" customFormat="false" ht="14.25" hidden="false" customHeight="true" outlineLevel="0" collapsed="false">
      <c r="E858" s="10"/>
    </row>
    <row r="859" customFormat="false" ht="14.25" hidden="false" customHeight="true" outlineLevel="0" collapsed="false">
      <c r="E859" s="10"/>
    </row>
    <row r="860" customFormat="false" ht="14.25" hidden="false" customHeight="true" outlineLevel="0" collapsed="false">
      <c r="E860" s="10"/>
    </row>
    <row r="861" customFormat="false" ht="14.25" hidden="false" customHeight="true" outlineLevel="0" collapsed="false">
      <c r="E861" s="10"/>
    </row>
    <row r="862" customFormat="false" ht="14.25" hidden="false" customHeight="true" outlineLevel="0" collapsed="false">
      <c r="E862" s="10"/>
    </row>
    <row r="863" customFormat="false" ht="14.25" hidden="false" customHeight="true" outlineLevel="0" collapsed="false">
      <c r="E863" s="10"/>
    </row>
    <row r="864" customFormat="false" ht="14.25" hidden="false" customHeight="true" outlineLevel="0" collapsed="false">
      <c r="E864" s="10"/>
    </row>
    <row r="865" customFormat="false" ht="14.25" hidden="false" customHeight="true" outlineLevel="0" collapsed="false">
      <c r="E865" s="10"/>
    </row>
    <row r="866" customFormat="false" ht="14.25" hidden="false" customHeight="true" outlineLevel="0" collapsed="false">
      <c r="E866" s="10"/>
    </row>
    <row r="867" customFormat="false" ht="14.25" hidden="false" customHeight="true" outlineLevel="0" collapsed="false">
      <c r="E867" s="10"/>
    </row>
    <row r="868" customFormat="false" ht="14.25" hidden="false" customHeight="true" outlineLevel="0" collapsed="false">
      <c r="E868" s="10"/>
    </row>
    <row r="869" customFormat="false" ht="14.25" hidden="false" customHeight="true" outlineLevel="0" collapsed="false">
      <c r="E869" s="10"/>
    </row>
    <row r="870" customFormat="false" ht="14.25" hidden="false" customHeight="true" outlineLevel="0" collapsed="false">
      <c r="E870" s="10"/>
    </row>
    <row r="871" customFormat="false" ht="14.25" hidden="false" customHeight="true" outlineLevel="0" collapsed="false">
      <c r="E871" s="10"/>
    </row>
    <row r="872" customFormat="false" ht="14.25" hidden="false" customHeight="true" outlineLevel="0" collapsed="false">
      <c r="E872" s="10"/>
    </row>
    <row r="873" customFormat="false" ht="14.25" hidden="false" customHeight="true" outlineLevel="0" collapsed="false">
      <c r="E873" s="10"/>
    </row>
    <row r="874" customFormat="false" ht="14.25" hidden="false" customHeight="true" outlineLevel="0" collapsed="false">
      <c r="E874" s="10"/>
    </row>
    <row r="875" customFormat="false" ht="14.25" hidden="false" customHeight="true" outlineLevel="0" collapsed="false">
      <c r="E875" s="10"/>
    </row>
    <row r="876" customFormat="false" ht="14.25" hidden="false" customHeight="true" outlineLevel="0" collapsed="false">
      <c r="E876" s="10"/>
    </row>
    <row r="877" customFormat="false" ht="14.25" hidden="false" customHeight="true" outlineLevel="0" collapsed="false">
      <c r="E877" s="10"/>
    </row>
    <row r="878" customFormat="false" ht="14.25" hidden="false" customHeight="true" outlineLevel="0" collapsed="false">
      <c r="E878" s="10"/>
    </row>
    <row r="879" customFormat="false" ht="14.25" hidden="false" customHeight="true" outlineLevel="0" collapsed="false">
      <c r="E879" s="10"/>
    </row>
    <row r="880" customFormat="false" ht="14.25" hidden="false" customHeight="true" outlineLevel="0" collapsed="false">
      <c r="E880" s="10"/>
    </row>
    <row r="881" customFormat="false" ht="14.25" hidden="false" customHeight="true" outlineLevel="0" collapsed="false">
      <c r="E881" s="10"/>
    </row>
    <row r="882" customFormat="false" ht="14.25" hidden="false" customHeight="true" outlineLevel="0" collapsed="false">
      <c r="E882" s="10"/>
    </row>
    <row r="883" customFormat="false" ht="14.25" hidden="false" customHeight="true" outlineLevel="0" collapsed="false">
      <c r="E883" s="10"/>
    </row>
    <row r="884" customFormat="false" ht="14.25" hidden="false" customHeight="true" outlineLevel="0" collapsed="false">
      <c r="E884" s="10"/>
    </row>
    <row r="885" customFormat="false" ht="14.25" hidden="false" customHeight="true" outlineLevel="0" collapsed="false">
      <c r="E885" s="10"/>
    </row>
    <row r="886" customFormat="false" ht="14.25" hidden="false" customHeight="true" outlineLevel="0" collapsed="false">
      <c r="E886" s="10"/>
    </row>
    <row r="887" customFormat="false" ht="14.25" hidden="false" customHeight="true" outlineLevel="0" collapsed="false">
      <c r="E887" s="10"/>
    </row>
    <row r="888" customFormat="false" ht="14.25" hidden="false" customHeight="true" outlineLevel="0" collapsed="false">
      <c r="E888" s="10"/>
    </row>
    <row r="889" customFormat="false" ht="14.25" hidden="false" customHeight="true" outlineLevel="0" collapsed="false">
      <c r="E889" s="10"/>
    </row>
    <row r="890" customFormat="false" ht="14.25" hidden="false" customHeight="true" outlineLevel="0" collapsed="false">
      <c r="E890" s="10"/>
    </row>
    <row r="891" customFormat="false" ht="14.25" hidden="false" customHeight="true" outlineLevel="0" collapsed="false">
      <c r="E891" s="10"/>
    </row>
    <row r="892" customFormat="false" ht="14.25" hidden="false" customHeight="true" outlineLevel="0" collapsed="false">
      <c r="E892" s="10"/>
    </row>
    <row r="893" customFormat="false" ht="14.25" hidden="false" customHeight="true" outlineLevel="0" collapsed="false">
      <c r="E893" s="10"/>
    </row>
    <row r="894" customFormat="false" ht="14.25" hidden="false" customHeight="true" outlineLevel="0" collapsed="false">
      <c r="E894" s="10"/>
    </row>
    <row r="895" customFormat="false" ht="14.25" hidden="false" customHeight="true" outlineLevel="0" collapsed="false">
      <c r="E895" s="10"/>
    </row>
    <row r="896" customFormat="false" ht="14.25" hidden="false" customHeight="true" outlineLevel="0" collapsed="false">
      <c r="E896" s="10"/>
    </row>
    <row r="897" customFormat="false" ht="14.25" hidden="false" customHeight="true" outlineLevel="0" collapsed="false">
      <c r="E897" s="10"/>
    </row>
    <row r="898" customFormat="false" ht="14.25" hidden="false" customHeight="true" outlineLevel="0" collapsed="false">
      <c r="E898" s="10"/>
    </row>
    <row r="899" customFormat="false" ht="14.25" hidden="false" customHeight="true" outlineLevel="0" collapsed="false">
      <c r="E899" s="10"/>
    </row>
    <row r="900" customFormat="false" ht="14.25" hidden="false" customHeight="true" outlineLevel="0" collapsed="false">
      <c r="E900" s="10"/>
    </row>
    <row r="901" customFormat="false" ht="14.25" hidden="false" customHeight="true" outlineLevel="0" collapsed="false">
      <c r="E901" s="10"/>
    </row>
    <row r="902" customFormat="false" ht="14.25" hidden="false" customHeight="true" outlineLevel="0" collapsed="false">
      <c r="E902" s="10"/>
    </row>
    <row r="903" customFormat="false" ht="14.25" hidden="false" customHeight="true" outlineLevel="0" collapsed="false">
      <c r="E903" s="10"/>
    </row>
    <row r="904" customFormat="false" ht="14.25" hidden="false" customHeight="true" outlineLevel="0" collapsed="false">
      <c r="E904" s="10"/>
    </row>
    <row r="905" customFormat="false" ht="14.25" hidden="false" customHeight="true" outlineLevel="0" collapsed="false">
      <c r="E905" s="10"/>
    </row>
    <row r="906" customFormat="false" ht="14.25" hidden="false" customHeight="true" outlineLevel="0" collapsed="false">
      <c r="E906" s="10"/>
    </row>
    <row r="907" customFormat="false" ht="14.25" hidden="false" customHeight="true" outlineLevel="0" collapsed="false">
      <c r="E907" s="10"/>
    </row>
    <row r="908" customFormat="false" ht="14.25" hidden="false" customHeight="true" outlineLevel="0" collapsed="false">
      <c r="E908" s="10"/>
    </row>
    <row r="909" customFormat="false" ht="14.25" hidden="false" customHeight="true" outlineLevel="0" collapsed="false">
      <c r="E909" s="10"/>
    </row>
    <row r="910" customFormat="false" ht="14.25" hidden="false" customHeight="true" outlineLevel="0" collapsed="false">
      <c r="E910" s="10"/>
    </row>
    <row r="911" customFormat="false" ht="14.25" hidden="false" customHeight="true" outlineLevel="0" collapsed="false">
      <c r="E911" s="10"/>
    </row>
    <row r="912" customFormat="false" ht="14.25" hidden="false" customHeight="true" outlineLevel="0" collapsed="false">
      <c r="E912" s="10"/>
    </row>
    <row r="913" customFormat="false" ht="14.25" hidden="false" customHeight="true" outlineLevel="0" collapsed="false">
      <c r="E913" s="10"/>
    </row>
    <row r="914" customFormat="false" ht="14.25" hidden="false" customHeight="true" outlineLevel="0" collapsed="false">
      <c r="E914" s="10"/>
    </row>
    <row r="915" customFormat="false" ht="14.25" hidden="false" customHeight="true" outlineLevel="0" collapsed="false">
      <c r="E915" s="10"/>
    </row>
    <row r="916" customFormat="false" ht="14.25" hidden="false" customHeight="true" outlineLevel="0" collapsed="false">
      <c r="E916" s="10"/>
    </row>
    <row r="917" customFormat="false" ht="14.25" hidden="false" customHeight="true" outlineLevel="0" collapsed="false">
      <c r="E917" s="10"/>
    </row>
    <row r="918" customFormat="false" ht="14.25" hidden="false" customHeight="true" outlineLevel="0" collapsed="false">
      <c r="E918" s="10"/>
    </row>
    <row r="919" customFormat="false" ht="14.25" hidden="false" customHeight="true" outlineLevel="0" collapsed="false">
      <c r="E919" s="10"/>
    </row>
    <row r="920" customFormat="false" ht="14.25" hidden="false" customHeight="true" outlineLevel="0" collapsed="false">
      <c r="E920" s="10"/>
    </row>
    <row r="921" customFormat="false" ht="14.25" hidden="false" customHeight="true" outlineLevel="0" collapsed="false">
      <c r="E921" s="10"/>
    </row>
    <row r="922" customFormat="false" ht="14.25" hidden="false" customHeight="true" outlineLevel="0" collapsed="false">
      <c r="E922" s="10"/>
    </row>
    <row r="923" customFormat="false" ht="14.25" hidden="false" customHeight="true" outlineLevel="0" collapsed="false">
      <c r="E923" s="10"/>
    </row>
    <row r="924" customFormat="false" ht="14.25" hidden="false" customHeight="true" outlineLevel="0" collapsed="false">
      <c r="E924" s="10"/>
    </row>
    <row r="925" customFormat="false" ht="14.25" hidden="false" customHeight="true" outlineLevel="0" collapsed="false">
      <c r="E925" s="10"/>
    </row>
    <row r="926" customFormat="false" ht="14.25" hidden="false" customHeight="true" outlineLevel="0" collapsed="false">
      <c r="E926" s="10"/>
    </row>
    <row r="927" customFormat="false" ht="14.25" hidden="false" customHeight="true" outlineLevel="0" collapsed="false">
      <c r="E927" s="10"/>
    </row>
    <row r="928" customFormat="false" ht="14.25" hidden="false" customHeight="true" outlineLevel="0" collapsed="false">
      <c r="E928" s="10"/>
    </row>
    <row r="929" customFormat="false" ht="14.25" hidden="false" customHeight="true" outlineLevel="0" collapsed="false">
      <c r="E929" s="10"/>
    </row>
    <row r="930" customFormat="false" ht="14.25" hidden="false" customHeight="true" outlineLevel="0" collapsed="false">
      <c r="E930" s="10"/>
    </row>
    <row r="931" customFormat="false" ht="14.25" hidden="false" customHeight="true" outlineLevel="0" collapsed="false">
      <c r="E931" s="10"/>
    </row>
    <row r="932" customFormat="false" ht="14.25" hidden="false" customHeight="true" outlineLevel="0" collapsed="false">
      <c r="E932" s="10"/>
    </row>
    <row r="933" customFormat="false" ht="14.25" hidden="false" customHeight="true" outlineLevel="0" collapsed="false">
      <c r="E933" s="10"/>
    </row>
    <row r="934" customFormat="false" ht="14.25" hidden="false" customHeight="true" outlineLevel="0" collapsed="false">
      <c r="E934" s="10"/>
    </row>
    <row r="935" customFormat="false" ht="14.25" hidden="false" customHeight="true" outlineLevel="0" collapsed="false">
      <c r="E935" s="10"/>
    </row>
    <row r="936" customFormat="false" ht="14.25" hidden="false" customHeight="true" outlineLevel="0" collapsed="false">
      <c r="E936" s="10"/>
    </row>
    <row r="937" customFormat="false" ht="14.25" hidden="false" customHeight="true" outlineLevel="0" collapsed="false">
      <c r="E937" s="10"/>
    </row>
    <row r="938" customFormat="false" ht="14.25" hidden="false" customHeight="true" outlineLevel="0" collapsed="false">
      <c r="E938" s="10"/>
    </row>
    <row r="939" customFormat="false" ht="14.25" hidden="false" customHeight="true" outlineLevel="0" collapsed="false">
      <c r="E939" s="10"/>
    </row>
    <row r="940" customFormat="false" ht="14.25" hidden="false" customHeight="true" outlineLevel="0" collapsed="false">
      <c r="E940" s="10"/>
    </row>
    <row r="941" customFormat="false" ht="14.25" hidden="false" customHeight="true" outlineLevel="0" collapsed="false">
      <c r="E941" s="10"/>
    </row>
    <row r="942" customFormat="false" ht="14.25" hidden="false" customHeight="true" outlineLevel="0" collapsed="false">
      <c r="E942" s="10"/>
    </row>
    <row r="943" customFormat="false" ht="14.25" hidden="false" customHeight="true" outlineLevel="0" collapsed="false">
      <c r="E943" s="10"/>
    </row>
    <row r="944" customFormat="false" ht="14.25" hidden="false" customHeight="true" outlineLevel="0" collapsed="false">
      <c r="E944" s="10"/>
    </row>
    <row r="945" customFormat="false" ht="14.25" hidden="false" customHeight="true" outlineLevel="0" collapsed="false">
      <c r="E945" s="10"/>
    </row>
    <row r="946" customFormat="false" ht="14.25" hidden="false" customHeight="true" outlineLevel="0" collapsed="false">
      <c r="E946" s="10"/>
    </row>
    <row r="947" customFormat="false" ht="14.25" hidden="false" customHeight="true" outlineLevel="0" collapsed="false">
      <c r="E947" s="10"/>
    </row>
    <row r="948" customFormat="false" ht="14.25" hidden="false" customHeight="true" outlineLevel="0" collapsed="false">
      <c r="E948" s="10"/>
    </row>
    <row r="949" customFormat="false" ht="14.25" hidden="false" customHeight="true" outlineLevel="0" collapsed="false">
      <c r="E949" s="10"/>
    </row>
    <row r="950" customFormat="false" ht="14.25" hidden="false" customHeight="true" outlineLevel="0" collapsed="false">
      <c r="E950" s="10"/>
    </row>
    <row r="951" customFormat="false" ht="14.25" hidden="false" customHeight="true" outlineLevel="0" collapsed="false">
      <c r="E951" s="10"/>
    </row>
    <row r="952" customFormat="false" ht="14.25" hidden="false" customHeight="true" outlineLevel="0" collapsed="false">
      <c r="E952" s="10"/>
    </row>
    <row r="953" customFormat="false" ht="14.25" hidden="false" customHeight="true" outlineLevel="0" collapsed="false">
      <c r="E953" s="10"/>
    </row>
    <row r="954" customFormat="false" ht="14.25" hidden="false" customHeight="true" outlineLevel="0" collapsed="false">
      <c r="E954" s="10"/>
    </row>
    <row r="955" customFormat="false" ht="14.25" hidden="false" customHeight="true" outlineLevel="0" collapsed="false">
      <c r="E955" s="10"/>
    </row>
    <row r="956" customFormat="false" ht="14.25" hidden="false" customHeight="true" outlineLevel="0" collapsed="false">
      <c r="E956" s="10"/>
    </row>
    <row r="957" customFormat="false" ht="14.25" hidden="false" customHeight="true" outlineLevel="0" collapsed="false">
      <c r="E957" s="10"/>
    </row>
    <row r="958" customFormat="false" ht="14.25" hidden="false" customHeight="true" outlineLevel="0" collapsed="false">
      <c r="E958" s="10"/>
    </row>
    <row r="959" customFormat="false" ht="14.25" hidden="false" customHeight="true" outlineLevel="0" collapsed="false">
      <c r="E959" s="10"/>
    </row>
    <row r="960" customFormat="false" ht="14.25" hidden="false" customHeight="true" outlineLevel="0" collapsed="false">
      <c r="E960" s="10"/>
    </row>
    <row r="961" customFormat="false" ht="14.25" hidden="false" customHeight="true" outlineLevel="0" collapsed="false">
      <c r="E961" s="10"/>
    </row>
    <row r="962" customFormat="false" ht="14.25" hidden="false" customHeight="true" outlineLevel="0" collapsed="false">
      <c r="E962" s="10"/>
    </row>
    <row r="963" customFormat="false" ht="14.25" hidden="false" customHeight="true" outlineLevel="0" collapsed="false">
      <c r="E963" s="10"/>
    </row>
    <row r="964" customFormat="false" ht="14.25" hidden="false" customHeight="true" outlineLevel="0" collapsed="false">
      <c r="E964" s="10"/>
    </row>
    <row r="965" customFormat="false" ht="14.25" hidden="false" customHeight="true" outlineLevel="0" collapsed="false">
      <c r="E965" s="10"/>
    </row>
    <row r="966" customFormat="false" ht="14.25" hidden="false" customHeight="true" outlineLevel="0" collapsed="false">
      <c r="E966" s="10"/>
    </row>
    <row r="967" customFormat="false" ht="14.25" hidden="false" customHeight="true" outlineLevel="0" collapsed="false">
      <c r="E967" s="10"/>
    </row>
    <row r="968" customFormat="false" ht="14.25" hidden="false" customHeight="true" outlineLevel="0" collapsed="false">
      <c r="E968" s="10"/>
    </row>
    <row r="969" customFormat="false" ht="14.25" hidden="false" customHeight="true" outlineLevel="0" collapsed="false">
      <c r="E969" s="10"/>
    </row>
    <row r="970" customFormat="false" ht="14.25" hidden="false" customHeight="true" outlineLevel="0" collapsed="false">
      <c r="E970" s="10"/>
    </row>
    <row r="971" customFormat="false" ht="14.25" hidden="false" customHeight="true" outlineLevel="0" collapsed="false">
      <c r="E971" s="10"/>
    </row>
    <row r="972" customFormat="false" ht="14.25" hidden="false" customHeight="true" outlineLevel="0" collapsed="false">
      <c r="E972" s="10"/>
    </row>
    <row r="973" customFormat="false" ht="14.25" hidden="false" customHeight="true" outlineLevel="0" collapsed="false">
      <c r="E973" s="10"/>
    </row>
    <row r="974" customFormat="false" ht="14.25" hidden="false" customHeight="true" outlineLevel="0" collapsed="false">
      <c r="E974" s="10"/>
    </row>
    <row r="975" customFormat="false" ht="14.25" hidden="false" customHeight="true" outlineLevel="0" collapsed="false">
      <c r="E975" s="10"/>
    </row>
    <row r="976" customFormat="false" ht="14.25" hidden="false" customHeight="true" outlineLevel="0" collapsed="false">
      <c r="E976" s="10"/>
    </row>
    <row r="977" customFormat="false" ht="14.25" hidden="false" customHeight="true" outlineLevel="0" collapsed="false">
      <c r="E977" s="10"/>
    </row>
    <row r="978" customFormat="false" ht="14.25" hidden="false" customHeight="true" outlineLevel="0" collapsed="false">
      <c r="E978" s="10"/>
    </row>
    <row r="979" customFormat="false" ht="14.25" hidden="false" customHeight="true" outlineLevel="0" collapsed="false">
      <c r="E979" s="10"/>
    </row>
    <row r="980" customFormat="false" ht="14.25" hidden="false" customHeight="true" outlineLevel="0" collapsed="false">
      <c r="E980" s="10"/>
    </row>
    <row r="981" customFormat="false" ht="14.25" hidden="false" customHeight="true" outlineLevel="0" collapsed="false">
      <c r="E981" s="10"/>
    </row>
    <row r="982" customFormat="false" ht="14.25" hidden="false" customHeight="true" outlineLevel="0" collapsed="false">
      <c r="E982" s="10"/>
    </row>
    <row r="983" customFormat="false" ht="14.25" hidden="false" customHeight="true" outlineLevel="0" collapsed="false">
      <c r="E983" s="10"/>
    </row>
    <row r="984" customFormat="false" ht="14.25" hidden="false" customHeight="true" outlineLevel="0" collapsed="false">
      <c r="E984" s="10"/>
    </row>
    <row r="985" customFormat="false" ht="14.25" hidden="false" customHeight="true" outlineLevel="0" collapsed="false">
      <c r="E985" s="10"/>
    </row>
    <row r="986" customFormat="false" ht="14.25" hidden="false" customHeight="true" outlineLevel="0" collapsed="false">
      <c r="E986" s="10"/>
    </row>
    <row r="987" customFormat="false" ht="14.25" hidden="false" customHeight="true" outlineLevel="0" collapsed="false">
      <c r="E987" s="10"/>
    </row>
    <row r="988" customFormat="false" ht="14.25" hidden="false" customHeight="true" outlineLevel="0" collapsed="false">
      <c r="E988" s="10"/>
    </row>
    <row r="989" customFormat="false" ht="14.25" hidden="false" customHeight="true" outlineLevel="0" collapsed="false">
      <c r="E989" s="10"/>
    </row>
    <row r="990" customFormat="false" ht="14.25" hidden="false" customHeight="true" outlineLevel="0" collapsed="false">
      <c r="E990" s="10"/>
    </row>
    <row r="991" customFormat="false" ht="14.25" hidden="false" customHeight="true" outlineLevel="0" collapsed="false">
      <c r="E991" s="10"/>
    </row>
    <row r="992" customFormat="false" ht="14.25" hidden="false" customHeight="true" outlineLevel="0" collapsed="false">
      <c r="E992" s="10"/>
    </row>
    <row r="993" customFormat="false" ht="14.25" hidden="false" customHeight="true" outlineLevel="0" collapsed="false">
      <c r="E993" s="10"/>
    </row>
    <row r="994" customFormat="false" ht="14.25" hidden="false" customHeight="true" outlineLevel="0" collapsed="false">
      <c r="E994" s="10"/>
    </row>
    <row r="995" customFormat="false" ht="14.25" hidden="false" customHeight="true" outlineLevel="0" collapsed="false">
      <c r="E995" s="10"/>
    </row>
    <row r="996" customFormat="false" ht="14.25" hidden="false" customHeight="true" outlineLevel="0" collapsed="false">
      <c r="E996" s="10"/>
    </row>
    <row r="997" customFormat="false" ht="14.25" hidden="false" customHeight="true" outlineLevel="0" collapsed="false">
      <c r="E997" s="10"/>
    </row>
    <row r="998" customFormat="false" ht="14.25" hidden="false" customHeight="true" outlineLevel="0" collapsed="false">
      <c r="E998" s="10"/>
    </row>
    <row r="999" customFormat="false" ht="14.25" hidden="false" customHeight="true" outlineLevel="0" collapsed="false">
      <c r="E999" s="10"/>
    </row>
    <row r="1000" customFormat="false" ht="14.25" hidden="false" customHeight="true" outlineLevel="0" collapsed="false">
      <c r="E1000" s="10"/>
    </row>
    <row r="1001" customFormat="false" ht="14.25" hidden="false" customHeight="true" outlineLevel="0" collapsed="false">
      <c r="E1001" s="10"/>
    </row>
    <row r="1002" customFormat="false" ht="14.25" hidden="false" customHeight="true" outlineLevel="0" collapsed="false">
      <c r="E1002" s="10"/>
    </row>
    <row r="1003" customFormat="false" ht="14.25" hidden="false" customHeight="true" outlineLevel="0" collapsed="false">
      <c r="E1003" s="10"/>
    </row>
    <row r="1004" customFormat="false" ht="14.25" hidden="false" customHeight="true" outlineLevel="0" collapsed="false">
      <c r="E1004" s="10"/>
    </row>
    <row r="1005" customFormat="false" ht="14.25" hidden="false" customHeight="true" outlineLevel="0" collapsed="false">
      <c r="E1005" s="10"/>
    </row>
    <row r="1006" customFormat="false" ht="14.25" hidden="false" customHeight="true" outlineLevel="0" collapsed="false">
      <c r="E1006" s="10"/>
    </row>
    <row r="1007" customFormat="false" ht="14.25" hidden="false" customHeight="true" outlineLevel="0" collapsed="false">
      <c r="E1007" s="10"/>
    </row>
    <row r="1008" customFormat="false" ht="14.25" hidden="false" customHeight="true" outlineLevel="0" collapsed="false">
      <c r="E1008" s="10"/>
    </row>
    <row r="1009" customFormat="false" ht="14.25" hidden="false" customHeight="true" outlineLevel="0" collapsed="false">
      <c r="E1009" s="10"/>
    </row>
    <row r="1010" customFormat="false" ht="14.25" hidden="false" customHeight="true" outlineLevel="0" collapsed="false">
      <c r="E1010" s="10"/>
    </row>
    <row r="1011" customFormat="false" ht="14.25" hidden="false" customHeight="true" outlineLevel="0" collapsed="false">
      <c r="E1011" s="10"/>
    </row>
    <row r="1012" customFormat="false" ht="14.25" hidden="false" customHeight="true" outlineLevel="0" collapsed="false">
      <c r="E1012" s="10"/>
    </row>
    <row r="1013" customFormat="false" ht="14.25" hidden="false" customHeight="true" outlineLevel="0" collapsed="false">
      <c r="E1013" s="10"/>
    </row>
    <row r="1014" customFormat="false" ht="14.25" hidden="false" customHeight="true" outlineLevel="0" collapsed="false">
      <c r="E1014" s="10"/>
    </row>
    <row r="1015" customFormat="false" ht="14.25" hidden="false" customHeight="true" outlineLevel="0" collapsed="false">
      <c r="E1015" s="10"/>
    </row>
    <row r="1016" customFormat="false" ht="14.25" hidden="false" customHeight="true" outlineLevel="0" collapsed="false">
      <c r="E1016" s="10"/>
    </row>
    <row r="1017" customFormat="false" ht="14.25" hidden="false" customHeight="true" outlineLevel="0" collapsed="false">
      <c r="E1017" s="10"/>
    </row>
    <row r="1018" customFormat="false" ht="14.25" hidden="false" customHeight="true" outlineLevel="0" collapsed="false">
      <c r="E1018" s="10"/>
    </row>
    <row r="1019" customFormat="false" ht="14.25" hidden="false" customHeight="true" outlineLevel="0" collapsed="false">
      <c r="E1019" s="10"/>
    </row>
    <row r="1020" customFormat="false" ht="14.25" hidden="false" customHeight="true" outlineLevel="0" collapsed="false">
      <c r="E1020" s="10"/>
    </row>
    <row r="1021" customFormat="false" ht="14.25" hidden="false" customHeight="true" outlineLevel="0" collapsed="false">
      <c r="E1021" s="10"/>
    </row>
    <row r="1022" customFormat="false" ht="14.25" hidden="false" customHeight="true" outlineLevel="0" collapsed="false">
      <c r="E1022" s="10"/>
    </row>
    <row r="1023" customFormat="false" ht="14.25" hidden="false" customHeight="true" outlineLevel="0" collapsed="false">
      <c r="E1023" s="10"/>
    </row>
    <row r="1024" customFormat="false" ht="14.25" hidden="false" customHeight="true" outlineLevel="0" collapsed="false">
      <c r="E1024" s="10"/>
    </row>
    <row r="1025" customFormat="false" ht="14.25" hidden="false" customHeight="true" outlineLevel="0" collapsed="false">
      <c r="E1025" s="10"/>
    </row>
    <row r="1026" customFormat="false" ht="14.25" hidden="false" customHeight="true" outlineLevel="0" collapsed="false">
      <c r="E1026" s="10"/>
    </row>
    <row r="1027" customFormat="false" ht="14.25" hidden="false" customHeight="true" outlineLevel="0" collapsed="false">
      <c r="E1027" s="10"/>
    </row>
    <row r="1028" customFormat="false" ht="14.25" hidden="false" customHeight="true" outlineLevel="0" collapsed="false">
      <c r="E1028" s="10"/>
    </row>
    <row r="1029" customFormat="false" ht="14.25" hidden="false" customHeight="true" outlineLevel="0" collapsed="false">
      <c r="E1029" s="10"/>
    </row>
    <row r="1030" customFormat="false" ht="14.25" hidden="false" customHeight="true" outlineLevel="0" collapsed="false">
      <c r="E1030" s="10"/>
    </row>
    <row r="1031" customFormat="false" ht="14.25" hidden="false" customHeight="true" outlineLevel="0" collapsed="false">
      <c r="E1031" s="10"/>
    </row>
    <row r="1032" customFormat="false" ht="14.25" hidden="false" customHeight="true" outlineLevel="0" collapsed="false">
      <c r="E1032" s="10"/>
    </row>
    <row r="1033" customFormat="false" ht="14.25" hidden="false" customHeight="true" outlineLevel="0" collapsed="false">
      <c r="E1033" s="10"/>
    </row>
    <row r="1034" customFormat="false" ht="14.25" hidden="false" customHeight="true" outlineLevel="0" collapsed="false">
      <c r="E1034" s="10"/>
    </row>
    <row r="1035" customFormat="false" ht="14.25" hidden="false" customHeight="true" outlineLevel="0" collapsed="false">
      <c r="E1035" s="10"/>
    </row>
    <row r="1036" customFormat="false" ht="14.25" hidden="false" customHeight="true" outlineLevel="0" collapsed="false">
      <c r="E1036" s="10"/>
    </row>
    <row r="1037" customFormat="false" ht="14.25" hidden="false" customHeight="true" outlineLevel="0" collapsed="false">
      <c r="E1037" s="10"/>
    </row>
    <row r="1038" customFormat="false" ht="14.25" hidden="false" customHeight="true" outlineLevel="0" collapsed="false">
      <c r="E1038" s="10"/>
    </row>
    <row r="1039" customFormat="false" ht="14.25" hidden="false" customHeight="true" outlineLevel="0" collapsed="false">
      <c r="E1039" s="10"/>
    </row>
    <row r="1040" customFormat="false" ht="14.25" hidden="false" customHeight="true" outlineLevel="0" collapsed="false">
      <c r="E1040" s="10"/>
    </row>
    <row r="1041" customFormat="false" ht="14.25" hidden="false" customHeight="true" outlineLevel="0" collapsed="false">
      <c r="E1041" s="10"/>
    </row>
    <row r="1042" customFormat="false" ht="14.25" hidden="false" customHeight="true" outlineLevel="0" collapsed="false">
      <c r="E1042" s="10"/>
    </row>
    <row r="1043" customFormat="false" ht="14.25" hidden="false" customHeight="true" outlineLevel="0" collapsed="false">
      <c r="E1043" s="10"/>
    </row>
    <row r="1044" customFormat="false" ht="14.25" hidden="false" customHeight="true" outlineLevel="0" collapsed="false">
      <c r="E1044" s="10"/>
    </row>
    <row r="1045" customFormat="false" ht="14.25" hidden="false" customHeight="true" outlineLevel="0" collapsed="false">
      <c r="E1045" s="10"/>
    </row>
    <row r="1046" customFormat="false" ht="14.25" hidden="false" customHeight="true" outlineLevel="0" collapsed="false">
      <c r="E1046" s="10"/>
    </row>
    <row r="1047" customFormat="false" ht="14.25" hidden="false" customHeight="true" outlineLevel="0" collapsed="false">
      <c r="E1047" s="10"/>
    </row>
    <row r="1048" customFormat="false" ht="14.25" hidden="false" customHeight="true" outlineLevel="0" collapsed="false">
      <c r="E1048" s="10"/>
    </row>
    <row r="1049" customFormat="false" ht="14.25" hidden="false" customHeight="true" outlineLevel="0" collapsed="false">
      <c r="E1049" s="10"/>
    </row>
    <row r="1050" customFormat="false" ht="14.25" hidden="false" customHeight="true" outlineLevel="0" collapsed="false">
      <c r="E1050" s="10"/>
    </row>
    <row r="1051" customFormat="false" ht="14.25" hidden="false" customHeight="true" outlineLevel="0" collapsed="false">
      <c r="E1051" s="10"/>
    </row>
    <row r="1052" customFormat="false" ht="14.25" hidden="false" customHeight="true" outlineLevel="0" collapsed="false">
      <c r="E1052" s="10"/>
    </row>
    <row r="1053" customFormat="false" ht="14.25" hidden="false" customHeight="true" outlineLevel="0" collapsed="false">
      <c r="E1053" s="10"/>
    </row>
    <row r="1054" customFormat="false" ht="14.25" hidden="false" customHeight="true" outlineLevel="0" collapsed="false">
      <c r="E1054" s="10"/>
    </row>
    <row r="1055" customFormat="false" ht="14.25" hidden="false" customHeight="true" outlineLevel="0" collapsed="false">
      <c r="E1055" s="10"/>
    </row>
    <row r="1056" customFormat="false" ht="14.25" hidden="false" customHeight="true" outlineLevel="0" collapsed="false">
      <c r="E1056" s="10"/>
    </row>
    <row r="1057" customFormat="false" ht="14.25" hidden="false" customHeight="true" outlineLevel="0" collapsed="false">
      <c r="E1057" s="10"/>
    </row>
    <row r="1058" customFormat="false" ht="14.25" hidden="false" customHeight="true" outlineLevel="0" collapsed="false">
      <c r="E1058" s="10"/>
    </row>
    <row r="1059" customFormat="false" ht="14.25" hidden="false" customHeight="true" outlineLevel="0" collapsed="false">
      <c r="E1059" s="10"/>
    </row>
    <row r="1060" customFormat="false" ht="14.25" hidden="false" customHeight="true" outlineLevel="0" collapsed="false">
      <c r="E1060" s="10"/>
    </row>
    <row r="1061" customFormat="false" ht="14.25" hidden="false" customHeight="true" outlineLevel="0" collapsed="false">
      <c r="E1061" s="10"/>
    </row>
    <row r="1062" customFormat="false" ht="14.25" hidden="false" customHeight="true" outlineLevel="0" collapsed="false">
      <c r="E1062" s="10"/>
    </row>
    <row r="1063" customFormat="false" ht="14.25" hidden="false" customHeight="true" outlineLevel="0" collapsed="false">
      <c r="E1063" s="10"/>
    </row>
    <row r="1064" customFormat="false" ht="14.25" hidden="false" customHeight="true" outlineLevel="0" collapsed="false">
      <c r="E1064" s="10"/>
    </row>
    <row r="1065" customFormat="false" ht="14.25" hidden="false" customHeight="true" outlineLevel="0" collapsed="false">
      <c r="E1065" s="10"/>
    </row>
    <row r="1066" customFormat="false" ht="14.25" hidden="false" customHeight="true" outlineLevel="0" collapsed="false">
      <c r="E1066" s="10"/>
    </row>
    <row r="1067" customFormat="false" ht="14.25" hidden="false" customHeight="true" outlineLevel="0" collapsed="false">
      <c r="E1067" s="10"/>
    </row>
    <row r="1068" customFormat="false" ht="14.25" hidden="false" customHeight="true" outlineLevel="0" collapsed="false">
      <c r="E1068" s="10"/>
    </row>
    <row r="1069" customFormat="false" ht="14.25" hidden="false" customHeight="true" outlineLevel="0" collapsed="false">
      <c r="E1069" s="10"/>
    </row>
    <row r="1070" customFormat="false" ht="14.25" hidden="false" customHeight="true" outlineLevel="0" collapsed="false">
      <c r="E1070" s="10"/>
    </row>
    <row r="1071" customFormat="false" ht="14.25" hidden="false" customHeight="true" outlineLevel="0" collapsed="false">
      <c r="E1071" s="10"/>
    </row>
    <row r="1072" customFormat="false" ht="14.25" hidden="false" customHeight="true" outlineLevel="0" collapsed="false">
      <c r="E1072" s="10"/>
    </row>
    <row r="1073" customFormat="false" ht="14.25" hidden="false" customHeight="true" outlineLevel="0" collapsed="false">
      <c r="E1073" s="10"/>
    </row>
    <row r="1074" customFormat="false" ht="14.25" hidden="false" customHeight="true" outlineLevel="0" collapsed="false">
      <c r="E1074" s="10"/>
    </row>
    <row r="1075" customFormat="false" ht="14.25" hidden="false" customHeight="true" outlineLevel="0" collapsed="false">
      <c r="E1075" s="10"/>
    </row>
    <row r="1076" customFormat="false" ht="14.25" hidden="false" customHeight="true" outlineLevel="0" collapsed="false">
      <c r="E1076" s="10"/>
    </row>
    <row r="1077" customFormat="false" ht="14.25" hidden="false" customHeight="true" outlineLevel="0" collapsed="false">
      <c r="E1077" s="10"/>
    </row>
    <row r="1078" customFormat="false" ht="14.25" hidden="false" customHeight="true" outlineLevel="0" collapsed="false">
      <c r="E1078" s="10"/>
    </row>
    <row r="1079" customFormat="false" ht="14.25" hidden="false" customHeight="true" outlineLevel="0" collapsed="false">
      <c r="E1079" s="10"/>
    </row>
    <row r="1080" customFormat="false" ht="14.25" hidden="false" customHeight="true" outlineLevel="0" collapsed="false">
      <c r="E1080" s="10"/>
    </row>
    <row r="1081" customFormat="false" ht="14.25" hidden="false" customHeight="true" outlineLevel="0" collapsed="false">
      <c r="E1081" s="10"/>
    </row>
    <row r="1082" customFormat="false" ht="14.25" hidden="false" customHeight="true" outlineLevel="0" collapsed="false">
      <c r="E1082" s="10"/>
    </row>
    <row r="1083" customFormat="false" ht="14.25" hidden="false" customHeight="true" outlineLevel="0" collapsed="false">
      <c r="E1083" s="10"/>
    </row>
    <row r="1084" customFormat="false" ht="14.25" hidden="false" customHeight="true" outlineLevel="0" collapsed="false">
      <c r="E1084" s="10"/>
    </row>
    <row r="1085" customFormat="false" ht="14.25" hidden="false" customHeight="true" outlineLevel="0" collapsed="false">
      <c r="E1085" s="10"/>
    </row>
    <row r="1086" customFormat="false" ht="14.25" hidden="false" customHeight="true" outlineLevel="0" collapsed="false">
      <c r="E1086" s="10"/>
    </row>
    <row r="1087" customFormat="false" ht="14.25" hidden="false" customHeight="true" outlineLevel="0" collapsed="false">
      <c r="E1087" s="10"/>
    </row>
    <row r="1088" customFormat="false" ht="14.25" hidden="false" customHeight="true" outlineLevel="0" collapsed="false">
      <c r="E1088" s="10"/>
    </row>
    <row r="1089" customFormat="false" ht="14.25" hidden="false" customHeight="true" outlineLevel="0" collapsed="false">
      <c r="E1089" s="10"/>
    </row>
    <row r="1090" customFormat="false" ht="14.25" hidden="false" customHeight="true" outlineLevel="0" collapsed="false">
      <c r="E1090" s="10"/>
    </row>
    <row r="1091" customFormat="false" ht="14.25" hidden="false" customHeight="true" outlineLevel="0" collapsed="false">
      <c r="E1091" s="10"/>
    </row>
    <row r="1092" customFormat="false" ht="14.25" hidden="false" customHeight="true" outlineLevel="0" collapsed="false">
      <c r="E1092" s="10"/>
    </row>
    <row r="1093" customFormat="false" ht="14.25" hidden="false" customHeight="true" outlineLevel="0" collapsed="false">
      <c r="E1093" s="10"/>
    </row>
    <row r="1094" customFormat="false" ht="14.25" hidden="false" customHeight="true" outlineLevel="0" collapsed="false">
      <c r="E1094" s="10"/>
    </row>
    <row r="1095" customFormat="false" ht="14.25" hidden="false" customHeight="true" outlineLevel="0" collapsed="false">
      <c r="E1095" s="10"/>
    </row>
    <row r="1096" customFormat="false" ht="14.25" hidden="false" customHeight="true" outlineLevel="0" collapsed="false">
      <c r="E1096" s="10"/>
    </row>
    <row r="1097" customFormat="false" ht="14.25" hidden="false" customHeight="true" outlineLevel="0" collapsed="false">
      <c r="E1097" s="10"/>
    </row>
    <row r="1098" customFormat="false" ht="14.25" hidden="false" customHeight="true" outlineLevel="0" collapsed="false">
      <c r="E1098" s="10"/>
    </row>
    <row r="1099" customFormat="false" ht="14.25" hidden="false" customHeight="true" outlineLevel="0" collapsed="false">
      <c r="E1099" s="10"/>
    </row>
    <row r="1100" customFormat="false" ht="14.25" hidden="false" customHeight="true" outlineLevel="0" collapsed="false">
      <c r="E1100" s="10"/>
    </row>
    <row r="1101" customFormat="false" ht="14.25" hidden="false" customHeight="true" outlineLevel="0" collapsed="false">
      <c r="E1101" s="10"/>
    </row>
    <row r="1102" customFormat="false" ht="14.25" hidden="false" customHeight="true" outlineLevel="0" collapsed="false">
      <c r="E1102" s="10"/>
    </row>
    <row r="1103" customFormat="false" ht="14.25" hidden="false" customHeight="true" outlineLevel="0" collapsed="false">
      <c r="E1103" s="10"/>
    </row>
    <row r="1104" customFormat="false" ht="14.25" hidden="false" customHeight="true" outlineLevel="0" collapsed="false">
      <c r="E1104" s="10"/>
    </row>
    <row r="1105" customFormat="false" ht="14.25" hidden="false" customHeight="true" outlineLevel="0" collapsed="false">
      <c r="E1105" s="10"/>
    </row>
    <row r="1106" customFormat="false" ht="14.25" hidden="false" customHeight="true" outlineLevel="0" collapsed="false">
      <c r="E1106" s="10"/>
    </row>
    <row r="1107" customFormat="false" ht="14.25" hidden="false" customHeight="true" outlineLevel="0" collapsed="false">
      <c r="E1107" s="10"/>
    </row>
    <row r="1108" customFormat="false" ht="14.25" hidden="false" customHeight="true" outlineLevel="0" collapsed="false">
      <c r="E1108" s="10"/>
    </row>
    <row r="1109" customFormat="false" ht="14.25" hidden="false" customHeight="true" outlineLevel="0" collapsed="false">
      <c r="E1109" s="10"/>
    </row>
    <row r="1110" customFormat="false" ht="14.25" hidden="false" customHeight="true" outlineLevel="0" collapsed="false">
      <c r="E1110" s="10"/>
    </row>
    <row r="1111" customFormat="false" ht="14.25" hidden="false" customHeight="true" outlineLevel="0" collapsed="false">
      <c r="E1111" s="10"/>
    </row>
    <row r="1112" customFormat="false" ht="14.25" hidden="false" customHeight="true" outlineLevel="0" collapsed="false">
      <c r="E1112" s="10"/>
    </row>
    <row r="1113" customFormat="false" ht="14.25" hidden="false" customHeight="true" outlineLevel="0" collapsed="false">
      <c r="E1113" s="10"/>
    </row>
    <row r="1114" customFormat="false" ht="14.25" hidden="false" customHeight="true" outlineLevel="0" collapsed="false">
      <c r="E1114" s="10"/>
    </row>
    <row r="1115" customFormat="false" ht="14.25" hidden="false" customHeight="true" outlineLevel="0" collapsed="false">
      <c r="E1115" s="10"/>
    </row>
    <row r="1116" customFormat="false" ht="14.25" hidden="false" customHeight="true" outlineLevel="0" collapsed="false">
      <c r="E1116" s="10"/>
    </row>
    <row r="1117" customFormat="false" ht="14.25" hidden="false" customHeight="true" outlineLevel="0" collapsed="false">
      <c r="E1117" s="10"/>
    </row>
    <row r="1118" customFormat="false" ht="14.25" hidden="false" customHeight="true" outlineLevel="0" collapsed="false">
      <c r="E1118" s="10"/>
    </row>
    <row r="1119" customFormat="false" ht="14.25" hidden="false" customHeight="true" outlineLevel="0" collapsed="false">
      <c r="E1119" s="10"/>
    </row>
    <row r="1120" customFormat="false" ht="14.25" hidden="false" customHeight="true" outlineLevel="0" collapsed="false">
      <c r="E1120" s="10"/>
    </row>
    <row r="1121" customFormat="false" ht="14.25" hidden="false" customHeight="true" outlineLevel="0" collapsed="false">
      <c r="E1121" s="10"/>
    </row>
    <row r="1122" customFormat="false" ht="14.25" hidden="false" customHeight="true" outlineLevel="0" collapsed="false">
      <c r="E1122" s="10"/>
    </row>
    <row r="1123" customFormat="false" ht="14.25" hidden="false" customHeight="true" outlineLevel="0" collapsed="false">
      <c r="E1123" s="10"/>
    </row>
    <row r="1124" customFormat="false" ht="14.25" hidden="false" customHeight="true" outlineLevel="0" collapsed="false">
      <c r="E1124" s="10"/>
    </row>
    <row r="1125" customFormat="false" ht="14.25" hidden="false" customHeight="true" outlineLevel="0" collapsed="false">
      <c r="E1125" s="10"/>
    </row>
    <row r="1126" customFormat="false" ht="14.25" hidden="false" customHeight="true" outlineLevel="0" collapsed="false">
      <c r="E1126" s="10"/>
    </row>
    <row r="1127" customFormat="false" ht="14.25" hidden="false" customHeight="true" outlineLevel="0" collapsed="false">
      <c r="E1127" s="10"/>
    </row>
    <row r="1128" customFormat="false" ht="14.25" hidden="false" customHeight="true" outlineLevel="0" collapsed="false">
      <c r="E1128" s="10"/>
    </row>
    <row r="1129" customFormat="false" ht="14.25" hidden="false" customHeight="true" outlineLevel="0" collapsed="false">
      <c r="E1129" s="10"/>
    </row>
    <row r="1130" customFormat="false" ht="14.25" hidden="false" customHeight="true" outlineLevel="0" collapsed="false">
      <c r="E1130" s="10"/>
    </row>
    <row r="1131" customFormat="false" ht="14.25" hidden="false" customHeight="true" outlineLevel="0" collapsed="false">
      <c r="E1131" s="10"/>
    </row>
    <row r="1132" customFormat="false" ht="14.25" hidden="false" customHeight="true" outlineLevel="0" collapsed="false">
      <c r="E1132" s="10"/>
    </row>
    <row r="1133" customFormat="false" ht="14.25" hidden="false" customHeight="true" outlineLevel="0" collapsed="false">
      <c r="E1133" s="10"/>
    </row>
    <row r="1134" customFormat="false" ht="14.25" hidden="false" customHeight="true" outlineLevel="0" collapsed="false">
      <c r="E1134" s="10"/>
    </row>
    <row r="1135" customFormat="false" ht="14.25" hidden="false" customHeight="true" outlineLevel="0" collapsed="false">
      <c r="E1135" s="10"/>
    </row>
    <row r="1136" customFormat="false" ht="14.25" hidden="false" customHeight="true" outlineLevel="0" collapsed="false">
      <c r="E1136" s="10"/>
    </row>
    <row r="1137" customFormat="false" ht="14.25" hidden="false" customHeight="true" outlineLevel="0" collapsed="false">
      <c r="E1137" s="10"/>
    </row>
    <row r="1138" customFormat="false" ht="14.25" hidden="false" customHeight="true" outlineLevel="0" collapsed="false">
      <c r="E1138" s="10"/>
    </row>
    <row r="1139" customFormat="false" ht="14.25" hidden="false" customHeight="true" outlineLevel="0" collapsed="false">
      <c r="E1139" s="10"/>
    </row>
    <row r="1140" customFormat="false" ht="14.25" hidden="false" customHeight="true" outlineLevel="0" collapsed="false">
      <c r="E1140" s="10"/>
    </row>
    <row r="1141" customFormat="false" ht="14.25" hidden="false" customHeight="true" outlineLevel="0" collapsed="false">
      <c r="E1141" s="10"/>
    </row>
    <row r="1142" customFormat="false" ht="14.25" hidden="false" customHeight="true" outlineLevel="0" collapsed="false">
      <c r="E1142" s="10"/>
    </row>
    <row r="1143" customFormat="false" ht="14.25" hidden="false" customHeight="true" outlineLevel="0" collapsed="false">
      <c r="E1143" s="10"/>
    </row>
    <row r="1144" customFormat="false" ht="14.25" hidden="false" customHeight="true" outlineLevel="0" collapsed="false">
      <c r="E1144" s="10"/>
    </row>
    <row r="1145" customFormat="false" ht="14.25" hidden="false" customHeight="true" outlineLevel="0" collapsed="false">
      <c r="E1145" s="10"/>
    </row>
    <row r="1146" customFormat="false" ht="14.25" hidden="false" customHeight="true" outlineLevel="0" collapsed="false">
      <c r="E1146" s="10"/>
    </row>
    <row r="1147" customFormat="false" ht="14.25" hidden="false" customHeight="true" outlineLevel="0" collapsed="false">
      <c r="E1147" s="10"/>
    </row>
    <row r="1148" customFormat="false" ht="14.25" hidden="false" customHeight="true" outlineLevel="0" collapsed="false">
      <c r="E1148" s="10"/>
    </row>
    <row r="1149" customFormat="false" ht="14.25" hidden="false" customHeight="true" outlineLevel="0" collapsed="false">
      <c r="E1149" s="10"/>
    </row>
    <row r="1150" customFormat="false" ht="14.25" hidden="false" customHeight="true" outlineLevel="0" collapsed="false">
      <c r="E1150" s="10"/>
    </row>
    <row r="1151" customFormat="false" ht="14.25" hidden="false" customHeight="true" outlineLevel="0" collapsed="false">
      <c r="E1151" s="10"/>
    </row>
    <row r="1152" customFormat="false" ht="14.25" hidden="false" customHeight="true" outlineLevel="0" collapsed="false">
      <c r="E1152" s="10"/>
    </row>
    <row r="1153" customFormat="false" ht="14.25" hidden="false" customHeight="true" outlineLevel="0" collapsed="false">
      <c r="E1153" s="10"/>
    </row>
    <row r="1154" customFormat="false" ht="14.25" hidden="false" customHeight="true" outlineLevel="0" collapsed="false">
      <c r="E1154" s="10"/>
    </row>
    <row r="1155" customFormat="false" ht="14.25" hidden="false" customHeight="true" outlineLevel="0" collapsed="false">
      <c r="E1155" s="10"/>
    </row>
    <row r="1156" customFormat="false" ht="14.25" hidden="false" customHeight="true" outlineLevel="0" collapsed="false">
      <c r="E1156" s="10"/>
    </row>
    <row r="1157" customFormat="false" ht="14.25" hidden="false" customHeight="true" outlineLevel="0" collapsed="false">
      <c r="E1157" s="10"/>
    </row>
    <row r="1158" customFormat="false" ht="14.25" hidden="false" customHeight="true" outlineLevel="0" collapsed="false">
      <c r="E1158" s="10"/>
    </row>
    <row r="1159" customFormat="false" ht="14.25" hidden="false" customHeight="true" outlineLevel="0" collapsed="false">
      <c r="E1159" s="10"/>
    </row>
    <row r="1160" customFormat="false" ht="14.25" hidden="false" customHeight="true" outlineLevel="0" collapsed="false">
      <c r="E1160" s="10"/>
    </row>
    <row r="1161" customFormat="false" ht="14.25" hidden="false" customHeight="true" outlineLevel="0" collapsed="false">
      <c r="E1161" s="10"/>
    </row>
    <row r="1162" customFormat="false" ht="14.25" hidden="false" customHeight="true" outlineLevel="0" collapsed="false">
      <c r="E1162" s="10"/>
    </row>
    <row r="1163" customFormat="false" ht="14.25" hidden="false" customHeight="true" outlineLevel="0" collapsed="false">
      <c r="E1163" s="10"/>
    </row>
    <row r="1164" customFormat="false" ht="14.25" hidden="false" customHeight="true" outlineLevel="0" collapsed="false">
      <c r="E1164" s="10"/>
    </row>
    <row r="1165" customFormat="false" ht="14.25" hidden="false" customHeight="true" outlineLevel="0" collapsed="false">
      <c r="E1165" s="10"/>
    </row>
    <row r="1166" customFormat="false" ht="14.25" hidden="false" customHeight="true" outlineLevel="0" collapsed="false">
      <c r="E1166" s="10"/>
    </row>
    <row r="1167" customFormat="false" ht="14.25" hidden="false" customHeight="true" outlineLevel="0" collapsed="false">
      <c r="E1167" s="10"/>
    </row>
    <row r="1168" customFormat="false" ht="14.25" hidden="false" customHeight="true" outlineLevel="0" collapsed="false">
      <c r="E1168" s="10"/>
    </row>
    <row r="1169" customFormat="false" ht="14.25" hidden="false" customHeight="true" outlineLevel="0" collapsed="false">
      <c r="E1169" s="10"/>
    </row>
    <row r="1170" customFormat="false" ht="14.25" hidden="false" customHeight="true" outlineLevel="0" collapsed="false">
      <c r="E1170" s="10"/>
    </row>
    <row r="1171" customFormat="false" ht="14.25" hidden="false" customHeight="true" outlineLevel="0" collapsed="false">
      <c r="E1171" s="10"/>
    </row>
    <row r="1172" customFormat="false" ht="14.25" hidden="false" customHeight="true" outlineLevel="0" collapsed="false">
      <c r="E1172" s="10"/>
    </row>
    <row r="1173" customFormat="false" ht="14.25" hidden="false" customHeight="true" outlineLevel="0" collapsed="false">
      <c r="E1173" s="10"/>
    </row>
    <row r="1174" customFormat="false" ht="14.25" hidden="false" customHeight="true" outlineLevel="0" collapsed="false">
      <c r="E1174" s="10"/>
    </row>
    <row r="1175" customFormat="false" ht="14.25" hidden="false" customHeight="true" outlineLevel="0" collapsed="false">
      <c r="E1175" s="10"/>
    </row>
    <row r="1176" customFormat="false" ht="14.25" hidden="false" customHeight="true" outlineLevel="0" collapsed="false">
      <c r="E1176" s="10"/>
    </row>
    <row r="1177" customFormat="false" ht="14.25" hidden="false" customHeight="true" outlineLevel="0" collapsed="false">
      <c r="E1177" s="10"/>
    </row>
    <row r="1178" customFormat="false" ht="14.25" hidden="false" customHeight="true" outlineLevel="0" collapsed="false">
      <c r="E1178" s="10"/>
    </row>
    <row r="1179" customFormat="false" ht="14.25" hidden="false" customHeight="true" outlineLevel="0" collapsed="false">
      <c r="E1179" s="10"/>
    </row>
    <row r="1180" customFormat="false" ht="14.25" hidden="false" customHeight="true" outlineLevel="0" collapsed="false">
      <c r="E1180" s="10"/>
    </row>
    <row r="1181" customFormat="false" ht="14.25" hidden="false" customHeight="true" outlineLevel="0" collapsed="false">
      <c r="E1181" s="10"/>
    </row>
    <row r="1182" customFormat="false" ht="14.25" hidden="false" customHeight="true" outlineLevel="0" collapsed="false">
      <c r="E1182" s="10"/>
    </row>
    <row r="1183" customFormat="false" ht="14.25" hidden="false" customHeight="true" outlineLevel="0" collapsed="false">
      <c r="E1183" s="10"/>
    </row>
    <row r="1184" customFormat="false" ht="14.25" hidden="false" customHeight="true" outlineLevel="0" collapsed="false">
      <c r="E1184" s="10"/>
    </row>
    <row r="1185" customFormat="false" ht="14.25" hidden="false" customHeight="true" outlineLevel="0" collapsed="false">
      <c r="E1185" s="10"/>
    </row>
    <row r="1186" customFormat="false" ht="14.25" hidden="false" customHeight="true" outlineLevel="0" collapsed="false">
      <c r="E1186" s="10"/>
    </row>
    <row r="1187" customFormat="false" ht="14.25" hidden="false" customHeight="true" outlineLevel="0" collapsed="false">
      <c r="E1187" s="10"/>
    </row>
    <row r="1188" customFormat="false" ht="14.25" hidden="false" customHeight="true" outlineLevel="0" collapsed="false">
      <c r="E1188" s="10"/>
    </row>
    <row r="1189" customFormat="false" ht="14.25" hidden="false" customHeight="true" outlineLevel="0" collapsed="false">
      <c r="E1189" s="10"/>
    </row>
    <row r="1190" customFormat="false" ht="14.25" hidden="false" customHeight="true" outlineLevel="0" collapsed="false">
      <c r="E1190" s="10"/>
    </row>
    <row r="1191" customFormat="false" ht="14.25" hidden="false" customHeight="true" outlineLevel="0" collapsed="false">
      <c r="E1191" s="10"/>
    </row>
    <row r="1192" customFormat="false" ht="14.25" hidden="false" customHeight="true" outlineLevel="0" collapsed="false">
      <c r="E1192" s="10"/>
    </row>
    <row r="1193" customFormat="false" ht="14.25" hidden="false" customHeight="true" outlineLevel="0" collapsed="false">
      <c r="E1193" s="10"/>
    </row>
    <row r="1194" customFormat="false" ht="14.25" hidden="false" customHeight="true" outlineLevel="0" collapsed="false">
      <c r="E1194" s="10"/>
    </row>
    <row r="1195" customFormat="false" ht="14.25" hidden="false" customHeight="true" outlineLevel="0" collapsed="false">
      <c r="E1195" s="10"/>
    </row>
    <row r="1196" customFormat="false" ht="14.25" hidden="false" customHeight="true" outlineLevel="0" collapsed="false">
      <c r="E1196" s="10"/>
    </row>
    <row r="1197" customFormat="false" ht="14.25" hidden="false" customHeight="true" outlineLevel="0" collapsed="false">
      <c r="E1197" s="10"/>
    </row>
    <row r="1198" customFormat="false" ht="14.25" hidden="false" customHeight="true" outlineLevel="0" collapsed="false">
      <c r="E1198" s="10"/>
    </row>
    <row r="1199" customFormat="false" ht="14.25" hidden="false" customHeight="true" outlineLevel="0" collapsed="false">
      <c r="E1199" s="10"/>
    </row>
    <row r="1200" customFormat="false" ht="14.25" hidden="false" customHeight="true" outlineLevel="0" collapsed="false">
      <c r="E1200" s="10"/>
    </row>
    <row r="1201" customFormat="false" ht="14.25" hidden="false" customHeight="true" outlineLevel="0" collapsed="false">
      <c r="E1201" s="10"/>
    </row>
    <row r="1202" customFormat="false" ht="14.25" hidden="false" customHeight="true" outlineLevel="0" collapsed="false">
      <c r="E1202" s="10"/>
    </row>
    <row r="1203" customFormat="false" ht="14.25" hidden="false" customHeight="true" outlineLevel="0" collapsed="false">
      <c r="E1203" s="10"/>
    </row>
    <row r="1204" customFormat="false" ht="14.25" hidden="false" customHeight="true" outlineLevel="0" collapsed="false">
      <c r="E1204" s="10"/>
    </row>
    <row r="1205" customFormat="false" ht="14.25" hidden="false" customHeight="true" outlineLevel="0" collapsed="false">
      <c r="E1205" s="10"/>
    </row>
    <row r="1206" customFormat="false" ht="14.25" hidden="false" customHeight="true" outlineLevel="0" collapsed="false">
      <c r="E1206" s="10"/>
    </row>
    <row r="1207" customFormat="false" ht="14.25" hidden="false" customHeight="true" outlineLevel="0" collapsed="false">
      <c r="E1207" s="10"/>
    </row>
    <row r="1208" customFormat="false" ht="14.25" hidden="false" customHeight="true" outlineLevel="0" collapsed="false">
      <c r="E1208" s="10"/>
    </row>
    <row r="1209" customFormat="false" ht="14.25" hidden="false" customHeight="true" outlineLevel="0" collapsed="false">
      <c r="E1209" s="10"/>
    </row>
    <row r="1210" customFormat="false" ht="14.25" hidden="false" customHeight="true" outlineLevel="0" collapsed="false">
      <c r="E1210" s="10"/>
    </row>
    <row r="1211" customFormat="false" ht="14.25" hidden="false" customHeight="true" outlineLevel="0" collapsed="false">
      <c r="E1211" s="10"/>
    </row>
    <row r="1212" customFormat="false" ht="14.25" hidden="false" customHeight="true" outlineLevel="0" collapsed="false">
      <c r="E1212" s="10"/>
    </row>
    <row r="1213" customFormat="false" ht="14.25" hidden="false" customHeight="true" outlineLevel="0" collapsed="false">
      <c r="E1213" s="10"/>
    </row>
    <row r="1214" customFormat="false" ht="14.25" hidden="false" customHeight="true" outlineLevel="0" collapsed="false">
      <c r="E1214" s="10"/>
    </row>
    <row r="1215" customFormat="false" ht="14.25" hidden="false" customHeight="true" outlineLevel="0" collapsed="false">
      <c r="E1215" s="10"/>
    </row>
    <row r="1216" customFormat="false" ht="14.25" hidden="false" customHeight="true" outlineLevel="0" collapsed="false">
      <c r="E1216" s="10"/>
    </row>
    <row r="1217" customFormat="false" ht="14.25" hidden="false" customHeight="true" outlineLevel="0" collapsed="false">
      <c r="E1217" s="10"/>
    </row>
    <row r="1218" customFormat="false" ht="14.25" hidden="false" customHeight="true" outlineLevel="0" collapsed="false">
      <c r="E1218" s="10"/>
    </row>
    <row r="1219" customFormat="false" ht="14.25" hidden="false" customHeight="true" outlineLevel="0" collapsed="false">
      <c r="E1219" s="10"/>
    </row>
    <row r="1220" customFormat="false" ht="14.25" hidden="false" customHeight="true" outlineLevel="0" collapsed="false">
      <c r="E1220" s="10"/>
    </row>
    <row r="1221" customFormat="false" ht="14.25" hidden="false" customHeight="true" outlineLevel="0" collapsed="false">
      <c r="E1221" s="10"/>
    </row>
    <row r="1222" customFormat="false" ht="14.25" hidden="false" customHeight="true" outlineLevel="0" collapsed="false">
      <c r="E1222" s="10"/>
    </row>
    <row r="1223" customFormat="false" ht="14.25" hidden="false" customHeight="true" outlineLevel="0" collapsed="false">
      <c r="E1223" s="10"/>
    </row>
    <row r="1224" customFormat="false" ht="14.25" hidden="false" customHeight="true" outlineLevel="0" collapsed="false">
      <c r="E1224" s="10"/>
    </row>
    <row r="1225" customFormat="false" ht="14.25" hidden="false" customHeight="true" outlineLevel="0" collapsed="false">
      <c r="E1225" s="10"/>
    </row>
    <row r="1226" customFormat="false" ht="14.25" hidden="false" customHeight="true" outlineLevel="0" collapsed="false">
      <c r="E1226" s="10"/>
    </row>
    <row r="1227" customFormat="false" ht="14.25" hidden="false" customHeight="true" outlineLevel="0" collapsed="false">
      <c r="E1227" s="10"/>
    </row>
    <row r="1228" customFormat="false" ht="14.25" hidden="false" customHeight="true" outlineLevel="0" collapsed="false">
      <c r="E1228" s="10"/>
    </row>
    <row r="1229" customFormat="false" ht="14.25" hidden="false" customHeight="true" outlineLevel="0" collapsed="false">
      <c r="E1229" s="10"/>
    </row>
    <row r="1230" customFormat="false" ht="14.25" hidden="false" customHeight="true" outlineLevel="0" collapsed="false">
      <c r="E1230" s="10"/>
    </row>
    <row r="1231" customFormat="false" ht="14.25" hidden="false" customHeight="true" outlineLevel="0" collapsed="false">
      <c r="E1231" s="10"/>
    </row>
    <row r="1232" customFormat="false" ht="14.25" hidden="false" customHeight="true" outlineLevel="0" collapsed="false">
      <c r="E1232" s="10"/>
    </row>
    <row r="1233" customFormat="false" ht="14.25" hidden="false" customHeight="true" outlineLevel="0" collapsed="false">
      <c r="E1233" s="10"/>
    </row>
    <row r="1234" customFormat="false" ht="14.25" hidden="false" customHeight="true" outlineLevel="0" collapsed="false">
      <c r="E1234" s="10"/>
    </row>
    <row r="1235" customFormat="false" ht="14.25" hidden="false" customHeight="true" outlineLevel="0" collapsed="false">
      <c r="E1235" s="10"/>
    </row>
    <row r="1236" customFormat="false" ht="14.25" hidden="false" customHeight="true" outlineLevel="0" collapsed="false">
      <c r="E1236" s="10"/>
    </row>
    <row r="1237" customFormat="false" ht="14.25" hidden="false" customHeight="true" outlineLevel="0" collapsed="false">
      <c r="E1237" s="10"/>
    </row>
    <row r="1238" customFormat="false" ht="14.25" hidden="false" customHeight="true" outlineLevel="0" collapsed="false">
      <c r="E1238" s="10"/>
    </row>
    <row r="1239" customFormat="false" ht="14.25" hidden="false" customHeight="true" outlineLevel="0" collapsed="false">
      <c r="E1239" s="10"/>
    </row>
    <row r="1240" customFormat="false" ht="14.25" hidden="false" customHeight="true" outlineLevel="0" collapsed="false">
      <c r="E1240" s="10"/>
    </row>
    <row r="1241" customFormat="false" ht="14.25" hidden="false" customHeight="true" outlineLevel="0" collapsed="false">
      <c r="E1241" s="10"/>
    </row>
    <row r="1242" customFormat="false" ht="14.25" hidden="false" customHeight="true" outlineLevel="0" collapsed="false">
      <c r="E1242" s="10"/>
    </row>
    <row r="1243" customFormat="false" ht="14.25" hidden="false" customHeight="true" outlineLevel="0" collapsed="false">
      <c r="E1243" s="10"/>
    </row>
    <row r="1244" customFormat="false" ht="14.25" hidden="false" customHeight="true" outlineLevel="0" collapsed="false">
      <c r="E1244" s="10"/>
    </row>
    <row r="1245" customFormat="false" ht="14.25" hidden="false" customHeight="true" outlineLevel="0" collapsed="false">
      <c r="E1245" s="10"/>
    </row>
    <row r="1246" customFormat="false" ht="14.25" hidden="false" customHeight="true" outlineLevel="0" collapsed="false">
      <c r="E1246" s="10"/>
    </row>
    <row r="1247" customFormat="false" ht="14.25" hidden="false" customHeight="true" outlineLevel="0" collapsed="false">
      <c r="E1247" s="10"/>
    </row>
    <row r="1248" customFormat="false" ht="14.25" hidden="false" customHeight="true" outlineLevel="0" collapsed="false">
      <c r="E1248" s="10"/>
    </row>
    <row r="1249" customFormat="false" ht="14.25" hidden="false" customHeight="true" outlineLevel="0" collapsed="false">
      <c r="E1249" s="10"/>
    </row>
    <row r="1250" customFormat="false" ht="14.25" hidden="false" customHeight="true" outlineLevel="0" collapsed="false">
      <c r="E1250" s="10"/>
    </row>
    <row r="1251" customFormat="false" ht="14.25" hidden="false" customHeight="true" outlineLevel="0" collapsed="false">
      <c r="E1251" s="10"/>
    </row>
    <row r="1252" customFormat="false" ht="14.25" hidden="false" customHeight="true" outlineLevel="0" collapsed="false">
      <c r="E1252" s="10"/>
    </row>
    <row r="1253" customFormat="false" ht="14.25" hidden="false" customHeight="true" outlineLevel="0" collapsed="false">
      <c r="E1253" s="10"/>
    </row>
    <row r="1254" customFormat="false" ht="14.25" hidden="false" customHeight="true" outlineLevel="0" collapsed="false">
      <c r="E1254" s="10"/>
    </row>
    <row r="1255" customFormat="false" ht="14.25" hidden="false" customHeight="true" outlineLevel="0" collapsed="false">
      <c r="E1255" s="10"/>
    </row>
    <row r="1256" customFormat="false" ht="14.25" hidden="false" customHeight="true" outlineLevel="0" collapsed="false">
      <c r="E1256" s="10"/>
    </row>
    <row r="1257" customFormat="false" ht="14.25" hidden="false" customHeight="true" outlineLevel="0" collapsed="false">
      <c r="E1257" s="10"/>
    </row>
    <row r="1258" customFormat="false" ht="14.25" hidden="false" customHeight="true" outlineLevel="0" collapsed="false">
      <c r="E1258" s="10"/>
    </row>
    <row r="1259" customFormat="false" ht="14.25" hidden="false" customHeight="true" outlineLevel="0" collapsed="false">
      <c r="E1259" s="10"/>
    </row>
    <row r="1260" customFormat="false" ht="14.25" hidden="false" customHeight="true" outlineLevel="0" collapsed="false">
      <c r="E1260" s="10"/>
    </row>
    <row r="1261" customFormat="false" ht="14.25" hidden="false" customHeight="true" outlineLevel="0" collapsed="false">
      <c r="E1261" s="10"/>
    </row>
    <row r="1262" customFormat="false" ht="14.25" hidden="false" customHeight="true" outlineLevel="0" collapsed="false">
      <c r="E1262" s="10"/>
    </row>
    <row r="1263" customFormat="false" ht="14.25" hidden="false" customHeight="true" outlineLevel="0" collapsed="false">
      <c r="E1263" s="10"/>
    </row>
    <row r="1264" customFormat="false" ht="14.25" hidden="false" customHeight="true" outlineLevel="0" collapsed="false">
      <c r="E1264" s="10"/>
    </row>
    <row r="1265" customFormat="false" ht="14.25" hidden="false" customHeight="true" outlineLevel="0" collapsed="false">
      <c r="E1265" s="10"/>
    </row>
    <row r="1266" customFormat="false" ht="14.25" hidden="false" customHeight="true" outlineLevel="0" collapsed="false">
      <c r="E1266" s="10"/>
    </row>
    <row r="1267" customFormat="false" ht="14.25" hidden="false" customHeight="true" outlineLevel="0" collapsed="false">
      <c r="E1267" s="10"/>
    </row>
    <row r="1268" customFormat="false" ht="14.25" hidden="false" customHeight="true" outlineLevel="0" collapsed="false">
      <c r="E1268" s="10"/>
    </row>
    <row r="1269" customFormat="false" ht="14.25" hidden="false" customHeight="true" outlineLevel="0" collapsed="false">
      <c r="E1269" s="10"/>
    </row>
    <row r="1270" customFormat="false" ht="14.25" hidden="false" customHeight="true" outlineLevel="0" collapsed="false">
      <c r="E1270" s="10"/>
    </row>
    <row r="1271" customFormat="false" ht="14.25" hidden="false" customHeight="true" outlineLevel="0" collapsed="false">
      <c r="E1271" s="10"/>
    </row>
    <row r="1272" customFormat="false" ht="14.25" hidden="false" customHeight="true" outlineLevel="0" collapsed="false">
      <c r="E1272" s="10"/>
    </row>
    <row r="1273" customFormat="false" ht="14.25" hidden="false" customHeight="true" outlineLevel="0" collapsed="false">
      <c r="E1273" s="10"/>
    </row>
    <row r="1274" customFormat="false" ht="14.25" hidden="false" customHeight="true" outlineLevel="0" collapsed="false">
      <c r="E1274" s="10"/>
    </row>
    <row r="1275" customFormat="false" ht="14.25" hidden="false" customHeight="true" outlineLevel="0" collapsed="false">
      <c r="E1275" s="10"/>
    </row>
    <row r="1276" customFormat="false" ht="14.25" hidden="false" customHeight="true" outlineLevel="0" collapsed="false">
      <c r="E1276" s="10"/>
    </row>
    <row r="1277" customFormat="false" ht="14.25" hidden="false" customHeight="true" outlineLevel="0" collapsed="false">
      <c r="E1277" s="10"/>
    </row>
    <row r="1278" customFormat="false" ht="14.25" hidden="false" customHeight="true" outlineLevel="0" collapsed="false">
      <c r="E1278" s="10"/>
    </row>
    <row r="1279" customFormat="false" ht="14.25" hidden="false" customHeight="true" outlineLevel="0" collapsed="false">
      <c r="E1279" s="10"/>
    </row>
    <row r="1280" customFormat="false" ht="14.25" hidden="false" customHeight="true" outlineLevel="0" collapsed="false">
      <c r="E1280" s="10"/>
    </row>
    <row r="1281" customFormat="false" ht="14.25" hidden="false" customHeight="true" outlineLevel="0" collapsed="false">
      <c r="E1281" s="10"/>
    </row>
    <row r="1282" customFormat="false" ht="14.25" hidden="false" customHeight="true" outlineLevel="0" collapsed="false">
      <c r="E1282" s="10"/>
    </row>
    <row r="1283" customFormat="false" ht="14.25" hidden="false" customHeight="true" outlineLevel="0" collapsed="false">
      <c r="E1283" s="10"/>
    </row>
    <row r="1284" customFormat="false" ht="14.25" hidden="false" customHeight="true" outlineLevel="0" collapsed="false">
      <c r="E1284" s="10"/>
    </row>
    <row r="1285" customFormat="false" ht="14.25" hidden="false" customHeight="true" outlineLevel="0" collapsed="false">
      <c r="E1285" s="10"/>
    </row>
    <row r="1286" customFormat="false" ht="14.25" hidden="false" customHeight="true" outlineLevel="0" collapsed="false">
      <c r="E1286" s="10"/>
    </row>
    <row r="1287" customFormat="false" ht="14.25" hidden="false" customHeight="true" outlineLevel="0" collapsed="false">
      <c r="E1287" s="10"/>
    </row>
    <row r="1288" customFormat="false" ht="14.25" hidden="false" customHeight="true" outlineLevel="0" collapsed="false">
      <c r="E1288" s="10"/>
    </row>
    <row r="1289" customFormat="false" ht="14.25" hidden="false" customHeight="true" outlineLevel="0" collapsed="false">
      <c r="E1289" s="10"/>
    </row>
    <row r="1290" customFormat="false" ht="14.25" hidden="false" customHeight="true" outlineLevel="0" collapsed="false">
      <c r="E1290" s="10"/>
    </row>
    <row r="1291" customFormat="false" ht="14.25" hidden="false" customHeight="true" outlineLevel="0" collapsed="false">
      <c r="E1291" s="10"/>
    </row>
    <row r="1292" customFormat="false" ht="14.25" hidden="false" customHeight="true" outlineLevel="0" collapsed="false">
      <c r="E1292" s="10"/>
    </row>
    <row r="1293" customFormat="false" ht="14.25" hidden="false" customHeight="true" outlineLevel="0" collapsed="false">
      <c r="E1293" s="10"/>
    </row>
    <row r="1294" customFormat="false" ht="14.25" hidden="false" customHeight="true" outlineLevel="0" collapsed="false">
      <c r="E1294" s="10"/>
    </row>
    <row r="1295" customFormat="false" ht="14.25" hidden="false" customHeight="true" outlineLevel="0" collapsed="false">
      <c r="E1295" s="10"/>
    </row>
    <row r="1296" customFormat="false" ht="14.25" hidden="false" customHeight="true" outlineLevel="0" collapsed="false">
      <c r="E1296" s="10"/>
    </row>
    <row r="1297" customFormat="false" ht="14.25" hidden="false" customHeight="true" outlineLevel="0" collapsed="false">
      <c r="E1297" s="10"/>
    </row>
    <row r="1298" customFormat="false" ht="14.25" hidden="false" customHeight="true" outlineLevel="0" collapsed="false">
      <c r="E1298" s="10"/>
    </row>
    <row r="1299" customFormat="false" ht="14.25" hidden="false" customHeight="true" outlineLevel="0" collapsed="false">
      <c r="E1299" s="10"/>
    </row>
    <row r="1300" customFormat="false" ht="14.25" hidden="false" customHeight="true" outlineLevel="0" collapsed="false">
      <c r="E1300" s="10"/>
    </row>
    <row r="1301" customFormat="false" ht="14.25" hidden="false" customHeight="true" outlineLevel="0" collapsed="false">
      <c r="E1301" s="10"/>
    </row>
    <row r="1302" customFormat="false" ht="14.25" hidden="false" customHeight="true" outlineLevel="0" collapsed="false">
      <c r="E1302" s="10"/>
    </row>
    <row r="1303" customFormat="false" ht="14.25" hidden="false" customHeight="true" outlineLevel="0" collapsed="false">
      <c r="E1303" s="10"/>
    </row>
    <row r="1304" customFormat="false" ht="14.25" hidden="false" customHeight="true" outlineLevel="0" collapsed="false">
      <c r="E1304" s="10"/>
    </row>
    <row r="1305" customFormat="false" ht="14.25" hidden="false" customHeight="true" outlineLevel="0" collapsed="false">
      <c r="E1305" s="10"/>
    </row>
    <row r="1306" customFormat="false" ht="14.25" hidden="false" customHeight="true" outlineLevel="0" collapsed="false">
      <c r="E1306" s="10"/>
    </row>
    <row r="1307" customFormat="false" ht="14.25" hidden="false" customHeight="true" outlineLevel="0" collapsed="false">
      <c r="E1307" s="10"/>
    </row>
    <row r="1308" customFormat="false" ht="14.25" hidden="false" customHeight="true" outlineLevel="0" collapsed="false">
      <c r="E1308" s="10"/>
    </row>
    <row r="1309" customFormat="false" ht="14.25" hidden="false" customHeight="true" outlineLevel="0" collapsed="false">
      <c r="E1309" s="10"/>
    </row>
    <row r="1310" customFormat="false" ht="14.25" hidden="false" customHeight="true" outlineLevel="0" collapsed="false">
      <c r="E1310" s="10"/>
    </row>
    <row r="1311" customFormat="false" ht="14.25" hidden="false" customHeight="true" outlineLevel="0" collapsed="false">
      <c r="E1311" s="10"/>
    </row>
    <row r="1312" customFormat="false" ht="14.25" hidden="false" customHeight="true" outlineLevel="0" collapsed="false">
      <c r="E1312" s="10"/>
    </row>
    <row r="1313" customFormat="false" ht="14.25" hidden="false" customHeight="true" outlineLevel="0" collapsed="false">
      <c r="E1313" s="10"/>
    </row>
    <row r="1314" customFormat="false" ht="14.25" hidden="false" customHeight="true" outlineLevel="0" collapsed="false">
      <c r="E1314" s="10"/>
    </row>
    <row r="1315" customFormat="false" ht="14.25" hidden="false" customHeight="true" outlineLevel="0" collapsed="false">
      <c r="E1315" s="10"/>
    </row>
    <row r="1316" customFormat="false" ht="14.25" hidden="false" customHeight="true" outlineLevel="0" collapsed="false">
      <c r="E1316" s="10"/>
    </row>
    <row r="1317" customFormat="false" ht="14.25" hidden="false" customHeight="true" outlineLevel="0" collapsed="false">
      <c r="E1317" s="10"/>
    </row>
    <row r="1318" customFormat="false" ht="14.25" hidden="false" customHeight="true" outlineLevel="0" collapsed="false">
      <c r="E1318" s="10"/>
    </row>
    <row r="1319" customFormat="false" ht="14.25" hidden="false" customHeight="true" outlineLevel="0" collapsed="false">
      <c r="E1319" s="10"/>
    </row>
    <row r="1320" customFormat="false" ht="14.25" hidden="false" customHeight="true" outlineLevel="0" collapsed="false">
      <c r="E1320" s="10"/>
    </row>
    <row r="1321" customFormat="false" ht="14.25" hidden="false" customHeight="true" outlineLevel="0" collapsed="false">
      <c r="E1321" s="10"/>
    </row>
    <row r="1322" customFormat="false" ht="14.25" hidden="false" customHeight="true" outlineLevel="0" collapsed="false">
      <c r="E1322" s="10"/>
    </row>
    <row r="1323" customFormat="false" ht="14.25" hidden="false" customHeight="true" outlineLevel="0" collapsed="false">
      <c r="E1323" s="10"/>
    </row>
    <row r="1324" customFormat="false" ht="14.25" hidden="false" customHeight="true" outlineLevel="0" collapsed="false">
      <c r="E1324" s="10"/>
    </row>
    <row r="1325" customFormat="false" ht="14.25" hidden="false" customHeight="true" outlineLevel="0" collapsed="false">
      <c r="E1325" s="10"/>
    </row>
    <row r="1326" customFormat="false" ht="14.25" hidden="false" customHeight="true" outlineLevel="0" collapsed="false">
      <c r="E1326" s="10"/>
    </row>
    <row r="1327" customFormat="false" ht="14.25" hidden="false" customHeight="true" outlineLevel="0" collapsed="false">
      <c r="E1327" s="10"/>
    </row>
    <row r="1328" customFormat="false" ht="14.25" hidden="false" customHeight="true" outlineLevel="0" collapsed="false">
      <c r="E1328" s="10"/>
    </row>
    <row r="1329" customFormat="false" ht="14.25" hidden="false" customHeight="true" outlineLevel="0" collapsed="false">
      <c r="E1329" s="10"/>
    </row>
    <row r="1330" customFormat="false" ht="14.25" hidden="false" customHeight="true" outlineLevel="0" collapsed="false">
      <c r="E1330" s="10"/>
    </row>
    <row r="1331" customFormat="false" ht="14.25" hidden="false" customHeight="true" outlineLevel="0" collapsed="false">
      <c r="E1331" s="10"/>
    </row>
    <row r="1332" customFormat="false" ht="14.25" hidden="false" customHeight="true" outlineLevel="0" collapsed="false">
      <c r="E1332" s="10"/>
    </row>
    <row r="1333" customFormat="false" ht="14.25" hidden="false" customHeight="true" outlineLevel="0" collapsed="false">
      <c r="E1333" s="10"/>
    </row>
    <row r="1334" customFormat="false" ht="14.25" hidden="false" customHeight="true" outlineLevel="0" collapsed="false">
      <c r="E1334" s="10"/>
    </row>
    <row r="1335" customFormat="false" ht="14.25" hidden="false" customHeight="true" outlineLevel="0" collapsed="false">
      <c r="E1335" s="10"/>
    </row>
    <row r="1336" customFormat="false" ht="14.25" hidden="false" customHeight="true" outlineLevel="0" collapsed="false">
      <c r="E1336" s="10"/>
    </row>
    <row r="1337" customFormat="false" ht="14.25" hidden="false" customHeight="true" outlineLevel="0" collapsed="false">
      <c r="E1337" s="10"/>
    </row>
    <row r="1338" customFormat="false" ht="14.25" hidden="false" customHeight="true" outlineLevel="0" collapsed="false">
      <c r="E1338" s="10"/>
    </row>
    <row r="1339" customFormat="false" ht="14.25" hidden="false" customHeight="true" outlineLevel="0" collapsed="false">
      <c r="E1339" s="10"/>
    </row>
    <row r="1340" customFormat="false" ht="14.25" hidden="false" customHeight="true" outlineLevel="0" collapsed="false">
      <c r="E1340" s="10"/>
    </row>
    <row r="1341" customFormat="false" ht="14.25" hidden="false" customHeight="true" outlineLevel="0" collapsed="false">
      <c r="E1341" s="10"/>
    </row>
    <row r="1342" customFormat="false" ht="14.25" hidden="false" customHeight="true" outlineLevel="0" collapsed="false">
      <c r="E1342" s="10"/>
    </row>
    <row r="1343" customFormat="false" ht="14.25" hidden="false" customHeight="true" outlineLevel="0" collapsed="false">
      <c r="E1343" s="10"/>
    </row>
    <row r="1344" customFormat="false" ht="14.25" hidden="false" customHeight="true" outlineLevel="0" collapsed="false">
      <c r="E1344" s="10"/>
    </row>
    <row r="1345" customFormat="false" ht="14.25" hidden="false" customHeight="true" outlineLevel="0" collapsed="false">
      <c r="E1345" s="10"/>
    </row>
    <row r="1346" customFormat="false" ht="14.25" hidden="false" customHeight="true" outlineLevel="0" collapsed="false">
      <c r="E1346" s="10"/>
    </row>
    <row r="1347" customFormat="false" ht="14.25" hidden="false" customHeight="true" outlineLevel="0" collapsed="false">
      <c r="E1347" s="10"/>
    </row>
    <row r="1348" customFormat="false" ht="14.25" hidden="false" customHeight="true" outlineLevel="0" collapsed="false">
      <c r="E1348" s="10"/>
    </row>
    <row r="1349" customFormat="false" ht="14.25" hidden="false" customHeight="true" outlineLevel="0" collapsed="false">
      <c r="E1349" s="10"/>
    </row>
    <row r="1350" customFormat="false" ht="14.25" hidden="false" customHeight="true" outlineLevel="0" collapsed="false">
      <c r="E1350" s="10"/>
    </row>
    <row r="1351" customFormat="false" ht="14.25" hidden="false" customHeight="true" outlineLevel="0" collapsed="false">
      <c r="E1351" s="10"/>
    </row>
    <row r="1352" customFormat="false" ht="14.25" hidden="false" customHeight="true" outlineLevel="0" collapsed="false">
      <c r="E1352" s="10"/>
    </row>
    <row r="1353" customFormat="false" ht="14.25" hidden="false" customHeight="true" outlineLevel="0" collapsed="false">
      <c r="E1353" s="10"/>
    </row>
    <row r="1354" customFormat="false" ht="14.25" hidden="false" customHeight="true" outlineLevel="0" collapsed="false">
      <c r="E1354" s="10"/>
    </row>
    <row r="1355" customFormat="false" ht="14.25" hidden="false" customHeight="true" outlineLevel="0" collapsed="false">
      <c r="E1355" s="10"/>
    </row>
    <row r="1356" customFormat="false" ht="14.25" hidden="false" customHeight="true" outlineLevel="0" collapsed="false">
      <c r="E1356" s="10"/>
    </row>
    <row r="1357" customFormat="false" ht="14.25" hidden="false" customHeight="true" outlineLevel="0" collapsed="false">
      <c r="E1357" s="10"/>
    </row>
    <row r="1358" customFormat="false" ht="14.25" hidden="false" customHeight="true" outlineLevel="0" collapsed="false">
      <c r="E1358" s="10"/>
    </row>
    <row r="1359" customFormat="false" ht="14.25" hidden="false" customHeight="true" outlineLevel="0" collapsed="false">
      <c r="E1359" s="10"/>
    </row>
    <row r="1360" customFormat="false" ht="14.25" hidden="false" customHeight="true" outlineLevel="0" collapsed="false">
      <c r="E1360" s="10"/>
    </row>
    <row r="1361" customFormat="false" ht="14.25" hidden="false" customHeight="true" outlineLevel="0" collapsed="false">
      <c r="E1361" s="10"/>
    </row>
    <row r="1362" customFormat="false" ht="14.25" hidden="false" customHeight="true" outlineLevel="0" collapsed="false">
      <c r="E1362" s="10"/>
    </row>
    <row r="1363" customFormat="false" ht="14.25" hidden="false" customHeight="true" outlineLevel="0" collapsed="false">
      <c r="E1363" s="10"/>
    </row>
    <row r="1364" customFormat="false" ht="14.25" hidden="false" customHeight="true" outlineLevel="0" collapsed="false">
      <c r="E1364" s="10"/>
    </row>
    <row r="1365" customFormat="false" ht="14.25" hidden="false" customHeight="true" outlineLevel="0" collapsed="false">
      <c r="E1365" s="10"/>
    </row>
    <row r="1366" customFormat="false" ht="14.25" hidden="false" customHeight="true" outlineLevel="0" collapsed="false">
      <c r="E1366" s="10"/>
    </row>
    <row r="1367" customFormat="false" ht="14.25" hidden="false" customHeight="true" outlineLevel="0" collapsed="false">
      <c r="E1367" s="10"/>
    </row>
    <row r="1368" customFormat="false" ht="14.25" hidden="false" customHeight="true" outlineLevel="0" collapsed="false">
      <c r="E1368" s="10"/>
    </row>
    <row r="1369" customFormat="false" ht="14.25" hidden="false" customHeight="true" outlineLevel="0" collapsed="false">
      <c r="E1369" s="10"/>
    </row>
    <row r="1370" customFormat="false" ht="14.25" hidden="false" customHeight="true" outlineLevel="0" collapsed="false">
      <c r="E1370" s="10"/>
    </row>
    <row r="1371" customFormat="false" ht="14.25" hidden="false" customHeight="true" outlineLevel="0" collapsed="false">
      <c r="E1371" s="10"/>
    </row>
    <row r="1372" customFormat="false" ht="14.25" hidden="false" customHeight="true" outlineLevel="0" collapsed="false">
      <c r="E1372" s="10"/>
    </row>
    <row r="1373" customFormat="false" ht="14.25" hidden="false" customHeight="true" outlineLevel="0" collapsed="false">
      <c r="E1373" s="10"/>
    </row>
    <row r="1374" customFormat="false" ht="14.25" hidden="false" customHeight="true" outlineLevel="0" collapsed="false">
      <c r="E1374" s="10"/>
    </row>
    <row r="1375" customFormat="false" ht="14.25" hidden="false" customHeight="true" outlineLevel="0" collapsed="false">
      <c r="E1375" s="10"/>
    </row>
    <row r="1376" customFormat="false" ht="14.25" hidden="false" customHeight="true" outlineLevel="0" collapsed="false">
      <c r="E1376" s="10"/>
    </row>
    <row r="1377" customFormat="false" ht="14.25" hidden="false" customHeight="true" outlineLevel="0" collapsed="false">
      <c r="E1377" s="10"/>
    </row>
    <row r="1378" customFormat="false" ht="14.25" hidden="false" customHeight="true" outlineLevel="0" collapsed="false">
      <c r="E1378" s="10"/>
    </row>
    <row r="1379" customFormat="false" ht="14.25" hidden="false" customHeight="true" outlineLevel="0" collapsed="false">
      <c r="E1379" s="10"/>
    </row>
    <row r="1380" customFormat="false" ht="14.25" hidden="false" customHeight="true" outlineLevel="0" collapsed="false">
      <c r="E1380" s="10"/>
    </row>
    <row r="1381" customFormat="false" ht="14.25" hidden="false" customHeight="true" outlineLevel="0" collapsed="false">
      <c r="E1381" s="10"/>
    </row>
    <row r="1382" customFormat="false" ht="14.25" hidden="false" customHeight="true" outlineLevel="0" collapsed="false">
      <c r="E1382" s="10"/>
    </row>
    <row r="1383" customFormat="false" ht="14.25" hidden="false" customHeight="true" outlineLevel="0" collapsed="false">
      <c r="E1383" s="10"/>
    </row>
    <row r="1384" customFormat="false" ht="14.25" hidden="false" customHeight="true" outlineLevel="0" collapsed="false">
      <c r="E1384" s="10"/>
    </row>
    <row r="1385" customFormat="false" ht="14.25" hidden="false" customHeight="true" outlineLevel="0" collapsed="false">
      <c r="E1385" s="10"/>
    </row>
    <row r="1386" customFormat="false" ht="14.25" hidden="false" customHeight="true" outlineLevel="0" collapsed="false">
      <c r="E1386" s="10"/>
    </row>
    <row r="1387" customFormat="false" ht="14.25" hidden="false" customHeight="true" outlineLevel="0" collapsed="false">
      <c r="E1387" s="10"/>
    </row>
    <row r="1388" customFormat="false" ht="14.25" hidden="false" customHeight="true" outlineLevel="0" collapsed="false">
      <c r="E1388" s="10"/>
    </row>
    <row r="1389" customFormat="false" ht="14.25" hidden="false" customHeight="true" outlineLevel="0" collapsed="false">
      <c r="E1389" s="10"/>
    </row>
    <row r="1390" customFormat="false" ht="14.25" hidden="false" customHeight="true" outlineLevel="0" collapsed="false">
      <c r="E1390" s="10"/>
    </row>
    <row r="1391" customFormat="false" ht="14.25" hidden="false" customHeight="true" outlineLevel="0" collapsed="false">
      <c r="E1391" s="10"/>
    </row>
    <row r="1392" customFormat="false" ht="14.25" hidden="false" customHeight="true" outlineLevel="0" collapsed="false">
      <c r="E1392" s="10"/>
    </row>
    <row r="1393" customFormat="false" ht="14.25" hidden="false" customHeight="true" outlineLevel="0" collapsed="false">
      <c r="E1393" s="10"/>
    </row>
    <row r="1394" customFormat="false" ht="14.25" hidden="false" customHeight="true" outlineLevel="0" collapsed="false">
      <c r="E1394" s="10"/>
    </row>
    <row r="1395" customFormat="false" ht="14.25" hidden="false" customHeight="true" outlineLevel="0" collapsed="false">
      <c r="E1395" s="10"/>
    </row>
    <row r="1396" customFormat="false" ht="14.25" hidden="false" customHeight="true" outlineLevel="0" collapsed="false">
      <c r="E1396" s="10"/>
    </row>
    <row r="1397" customFormat="false" ht="14.25" hidden="false" customHeight="true" outlineLevel="0" collapsed="false">
      <c r="E1397" s="10"/>
    </row>
    <row r="1398" customFormat="false" ht="14.25" hidden="false" customHeight="true" outlineLevel="0" collapsed="false">
      <c r="E1398" s="10"/>
    </row>
    <row r="1399" customFormat="false" ht="14.25" hidden="false" customHeight="true" outlineLevel="0" collapsed="false">
      <c r="E1399" s="10"/>
    </row>
    <row r="1400" customFormat="false" ht="14.25" hidden="false" customHeight="true" outlineLevel="0" collapsed="false">
      <c r="E1400" s="10"/>
    </row>
    <row r="1401" customFormat="false" ht="14.25" hidden="false" customHeight="true" outlineLevel="0" collapsed="false">
      <c r="E1401" s="10"/>
    </row>
    <row r="1402" customFormat="false" ht="14.25" hidden="false" customHeight="true" outlineLevel="0" collapsed="false">
      <c r="E1402" s="10"/>
    </row>
    <row r="1403" customFormat="false" ht="14.25" hidden="false" customHeight="true" outlineLevel="0" collapsed="false">
      <c r="E1403" s="10"/>
    </row>
    <row r="1404" customFormat="false" ht="14.25" hidden="false" customHeight="true" outlineLevel="0" collapsed="false">
      <c r="E1404" s="10"/>
    </row>
    <row r="1405" customFormat="false" ht="14.25" hidden="false" customHeight="true" outlineLevel="0" collapsed="false">
      <c r="E1405" s="10"/>
    </row>
    <row r="1406" customFormat="false" ht="14.25" hidden="false" customHeight="true" outlineLevel="0" collapsed="false">
      <c r="E1406" s="10"/>
    </row>
    <row r="1407" customFormat="false" ht="14.25" hidden="false" customHeight="true" outlineLevel="0" collapsed="false">
      <c r="E1407" s="10"/>
    </row>
    <row r="1408" customFormat="false" ht="14.25" hidden="false" customHeight="true" outlineLevel="0" collapsed="false">
      <c r="E1408" s="10"/>
    </row>
    <row r="1409" customFormat="false" ht="14.25" hidden="false" customHeight="true" outlineLevel="0" collapsed="false">
      <c r="E1409" s="10"/>
    </row>
    <row r="1410" customFormat="false" ht="14.25" hidden="false" customHeight="true" outlineLevel="0" collapsed="false">
      <c r="E1410" s="10"/>
    </row>
    <row r="1411" customFormat="false" ht="14.25" hidden="false" customHeight="true" outlineLevel="0" collapsed="false">
      <c r="E1411" s="10"/>
    </row>
    <row r="1412" customFormat="false" ht="14.25" hidden="false" customHeight="true" outlineLevel="0" collapsed="false">
      <c r="E1412" s="10"/>
    </row>
    <row r="1413" customFormat="false" ht="14.25" hidden="false" customHeight="true" outlineLevel="0" collapsed="false">
      <c r="E1413" s="10"/>
    </row>
    <row r="1414" customFormat="false" ht="14.25" hidden="false" customHeight="true" outlineLevel="0" collapsed="false">
      <c r="E1414" s="10"/>
    </row>
    <row r="1415" customFormat="false" ht="14.25" hidden="false" customHeight="true" outlineLevel="0" collapsed="false">
      <c r="E1415" s="10"/>
    </row>
    <row r="1416" customFormat="false" ht="14.25" hidden="false" customHeight="true" outlineLevel="0" collapsed="false">
      <c r="E1416" s="10"/>
    </row>
    <row r="1417" customFormat="false" ht="14.25" hidden="false" customHeight="true" outlineLevel="0" collapsed="false">
      <c r="E1417" s="10"/>
    </row>
    <row r="1418" customFormat="false" ht="14.25" hidden="false" customHeight="true" outlineLevel="0" collapsed="false">
      <c r="E1418" s="10"/>
    </row>
    <row r="1419" customFormat="false" ht="14.25" hidden="false" customHeight="true" outlineLevel="0" collapsed="false">
      <c r="E1419" s="10"/>
    </row>
    <row r="1420" customFormat="false" ht="14.25" hidden="false" customHeight="true" outlineLevel="0" collapsed="false">
      <c r="E142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D11" activeCellId="0" sqref="D1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5.22"/>
    <col collapsed="false" customWidth="true" hidden="false" outlineLevel="0" max="4" min="4" style="1" width="11.22"/>
    <col collapsed="false" customWidth="true" hidden="false" outlineLevel="0" max="5" min="5" style="1" width="13.34"/>
    <col collapsed="false" customWidth="true" hidden="false" outlineLevel="0" max="6" min="6" style="1" width="7.76"/>
    <col collapsed="false" customWidth="true" hidden="false" outlineLevel="0" max="7" min="7" style="1" width="6.44"/>
    <col collapsed="false" customWidth="true" hidden="false" outlineLevel="0" max="8" min="8" style="1" width="6.77"/>
    <col collapsed="false" customWidth="true" hidden="false" outlineLevel="0" max="9" min="9" style="1" width="6.11"/>
    <col collapsed="false" customWidth="true" hidden="false" outlineLevel="0" max="10" min="10" style="1" width="9.21"/>
    <col collapsed="false" customWidth="true" hidden="false" outlineLevel="0" max="11" min="11" style="1" width="8.44"/>
    <col collapsed="false" customWidth="true" hidden="false" outlineLevel="0" max="13" min="13" style="1" width="5.78"/>
    <col collapsed="false" customWidth="true" hidden="false" outlineLevel="0" max="14" min="14" style="1" width="10.88"/>
    <col collapsed="false" customWidth="true" hidden="false" outlineLevel="0" max="15" min="15" style="1" width="13.22"/>
    <col collapsed="false" customWidth="true" hidden="false" outlineLevel="0" max="16" min="16" style="1" width="15.44"/>
    <col collapsed="false" customWidth="true" hidden="false" outlineLevel="0" max="17" min="17" style="1" width="15.22"/>
  </cols>
  <sheetData>
    <row r="1" customFormat="false" ht="40.5" hidden="false" customHeight="true" outlineLevel="0" collapsed="false">
      <c r="A1" s="11" t="s">
        <v>30</v>
      </c>
      <c r="B1" s="12" t="s">
        <v>31</v>
      </c>
      <c r="C1" s="12" t="s">
        <v>32</v>
      </c>
      <c r="D1" s="13" t="s">
        <v>33</v>
      </c>
      <c r="E1" s="12" t="s">
        <v>34</v>
      </c>
      <c r="F1" s="14" t="s">
        <v>35</v>
      </c>
      <c r="G1" s="14" t="s">
        <v>36</v>
      </c>
      <c r="H1" s="14" t="s">
        <v>37</v>
      </c>
      <c r="I1" s="15" t="s">
        <v>38</v>
      </c>
      <c r="J1" s="16" t="s">
        <v>39</v>
      </c>
      <c r="K1" s="14" t="s">
        <v>40</v>
      </c>
      <c r="L1" s="17" t="s">
        <v>41</v>
      </c>
      <c r="M1" s="14" t="s">
        <v>6</v>
      </c>
      <c r="N1" s="18" t="s">
        <v>42</v>
      </c>
      <c r="O1" s="11" t="s">
        <v>43</v>
      </c>
      <c r="P1" s="11" t="s">
        <v>44</v>
      </c>
      <c r="Q1" s="19" t="s">
        <v>45</v>
      </c>
    </row>
    <row r="2" customFormat="false" ht="35.25" hidden="false" customHeight="true" outlineLevel="0" collapsed="false">
      <c r="A2" s="1" t="s">
        <v>46</v>
      </c>
      <c r="B2" s="20" t="s">
        <v>47</v>
      </c>
      <c r="C2" s="21" t="s">
        <v>48</v>
      </c>
      <c r="D2" s="22" t="s">
        <v>49</v>
      </c>
      <c r="E2" s="23"/>
      <c r="F2" s="24" t="n">
        <v>619</v>
      </c>
      <c r="G2" s="25" t="n">
        <f aca="false">F2*5/100</f>
        <v>30.95</v>
      </c>
      <c r="H2" s="25" t="n">
        <f aca="false">F2+G2</f>
        <v>649.95</v>
      </c>
      <c r="I2" s="26"/>
      <c r="J2" s="27" t="n">
        <f aca="false">H2</f>
        <v>649.95</v>
      </c>
      <c r="K2" s="24" t="n">
        <v>1000.3</v>
      </c>
      <c r="L2" s="28" t="n">
        <f aca="false">K2-J2</f>
        <v>350.35</v>
      </c>
      <c r="M2" s="29" t="n">
        <f aca="false">L2/J2*100</f>
        <v>53.9041464728056</v>
      </c>
      <c r="N2" s="24" t="n">
        <v>900</v>
      </c>
      <c r="O2" s="2" t="n">
        <f aca="false">L2*N2</f>
        <v>315315</v>
      </c>
    </row>
    <row r="3" customFormat="false" ht="27" hidden="false" customHeight="true" outlineLevel="0" collapsed="false">
      <c r="A3" s="1" t="s">
        <v>46</v>
      </c>
      <c r="C3" s="30" t="s">
        <v>50</v>
      </c>
      <c r="D3" s="22" t="s">
        <v>51</v>
      </c>
      <c r="E3" s="31" t="s">
        <v>52</v>
      </c>
      <c r="F3" s="32" t="n">
        <v>420</v>
      </c>
      <c r="G3" s="25" t="n">
        <f aca="false">F3*5/100</f>
        <v>21</v>
      </c>
      <c r="H3" s="25" t="n">
        <f aca="false">F3+G3</f>
        <v>441</v>
      </c>
      <c r="I3" s="33"/>
      <c r="J3" s="27" t="n">
        <f aca="false">H3</f>
        <v>441</v>
      </c>
      <c r="K3" s="32" t="n">
        <v>1000.3</v>
      </c>
      <c r="L3" s="28" t="n">
        <f aca="false">K3-J3</f>
        <v>559.3</v>
      </c>
      <c r="M3" s="29" t="n">
        <f aca="false">L3/J3*100</f>
        <v>126.825396825397</v>
      </c>
      <c r="N3" s="34" t="n">
        <v>40</v>
      </c>
      <c r="O3" s="2" t="n">
        <f aca="false">L3*N3</f>
        <v>22372</v>
      </c>
    </row>
    <row r="4" customFormat="false" ht="39.75" hidden="false" customHeight="true" outlineLevel="0" collapsed="false">
      <c r="A4" s="1" t="s">
        <v>46</v>
      </c>
      <c r="C4" s="30"/>
      <c r="D4" s="24" t="s">
        <v>53</v>
      </c>
      <c r="E4" s="31" t="s">
        <v>54</v>
      </c>
      <c r="F4" s="32" t="n">
        <v>256.6</v>
      </c>
      <c r="G4" s="25" t="n">
        <f aca="false">F4*5/100</f>
        <v>12.83</v>
      </c>
      <c r="H4" s="25" t="n">
        <f aca="false">F4+G4</f>
        <v>269.43</v>
      </c>
      <c r="I4" s="33"/>
      <c r="J4" s="27" t="n">
        <f aca="false">H4</f>
        <v>269.43</v>
      </c>
      <c r="K4" s="32" t="n">
        <v>901.86</v>
      </c>
      <c r="L4" s="28" t="n">
        <f aca="false">K4-J4</f>
        <v>632.43</v>
      </c>
      <c r="M4" s="29" t="n">
        <f aca="false">L4/J4*100</f>
        <v>234.728872063245</v>
      </c>
      <c r="N4" s="35" t="n">
        <v>200</v>
      </c>
      <c r="O4" s="2" t="n">
        <f aca="false">L4*N4</f>
        <v>126486</v>
      </c>
    </row>
    <row r="5" customFormat="false" ht="14.25" hidden="false" customHeight="true" outlineLevel="0" collapsed="false">
      <c r="A5" s="1" t="s">
        <v>46</v>
      </c>
      <c r="C5" s="30"/>
      <c r="D5" s="36" t="s">
        <v>55</v>
      </c>
      <c r="E5" s="37" t="s">
        <v>56</v>
      </c>
      <c r="F5" s="38" t="n">
        <v>691.8</v>
      </c>
      <c r="G5" s="25" t="n">
        <f aca="false">F5*5/100</f>
        <v>34.59</v>
      </c>
      <c r="H5" s="39" t="n">
        <f aca="false">F5+G5</f>
        <v>726.39</v>
      </c>
      <c r="I5" s="40"/>
      <c r="J5" s="41" t="n">
        <f aca="false">H5</f>
        <v>726.39</v>
      </c>
      <c r="K5" s="38" t="n">
        <v>1017.7</v>
      </c>
      <c r="L5" s="42" t="n">
        <f aca="false">K5-J5</f>
        <v>291.31</v>
      </c>
      <c r="M5" s="43" t="n">
        <f aca="false">L5/J5*100</f>
        <v>40.1038009884497</v>
      </c>
      <c r="N5" s="44" t="n">
        <v>1030</v>
      </c>
      <c r="O5" s="2" t="n">
        <f aca="false">L5*N5</f>
        <v>300049.3</v>
      </c>
    </row>
    <row r="6" customFormat="false" ht="28.5" hidden="false" customHeight="true" outlineLevel="0" collapsed="false">
      <c r="A6" s="1" t="s">
        <v>46</v>
      </c>
      <c r="C6" s="30"/>
      <c r="D6" s="24" t="s">
        <v>57</v>
      </c>
      <c r="E6" s="31" t="s">
        <v>58</v>
      </c>
      <c r="F6" s="32" t="n">
        <v>271.6</v>
      </c>
      <c r="G6" s="25" t="n">
        <f aca="false">F6*5/100</f>
        <v>13.58</v>
      </c>
      <c r="H6" s="25" t="n">
        <f aca="false">F6+G6</f>
        <v>285.18</v>
      </c>
      <c r="I6" s="45"/>
      <c r="J6" s="27" t="n">
        <f aca="false">H6</f>
        <v>285.18</v>
      </c>
      <c r="K6" s="24" t="n">
        <v>1017.7</v>
      </c>
      <c r="L6" s="46" t="n">
        <f aca="false">K6-J6</f>
        <v>732.52</v>
      </c>
      <c r="M6" s="29" t="n">
        <f aca="false">L6/J6*100</f>
        <v>256.862332561891</v>
      </c>
      <c r="N6" s="35" t="n">
        <v>30</v>
      </c>
      <c r="O6" s="2" t="n">
        <f aca="false">L6*N6</f>
        <v>21975.6</v>
      </c>
    </row>
    <row r="7" customFormat="false" ht="14.25" hidden="false" customHeight="true" outlineLevel="0" collapsed="false">
      <c r="A7" s="1" t="s">
        <v>46</v>
      </c>
      <c r="O7" s="47" t="n">
        <f aca="false">SUM(O2:O6)</f>
        <v>786197.9</v>
      </c>
      <c r="P7" s="47" t="n">
        <f aca="false">SUM(N2:N6)*MAX(L2:L6)</f>
        <v>1611544</v>
      </c>
      <c r="Q7" s="47" t="n">
        <f aca="false">P7-O7</f>
        <v>825346.1</v>
      </c>
    </row>
    <row r="8" customFormat="false" ht="42" hidden="false" customHeight="true" outlineLevel="0" collapsed="false">
      <c r="B8" s="12" t="s">
        <v>31</v>
      </c>
      <c r="C8" s="12" t="s">
        <v>32</v>
      </c>
      <c r="D8" s="13" t="s">
        <v>33</v>
      </c>
      <c r="E8" s="12" t="s">
        <v>34</v>
      </c>
      <c r="F8" s="14" t="s">
        <v>35</v>
      </c>
      <c r="G8" s="14" t="s">
        <v>36</v>
      </c>
      <c r="H8" s="14" t="s">
        <v>37</v>
      </c>
      <c r="I8" s="15" t="s">
        <v>38</v>
      </c>
      <c r="J8" s="16" t="s">
        <v>39</v>
      </c>
      <c r="K8" s="14" t="s">
        <v>40</v>
      </c>
      <c r="L8" s="17" t="s">
        <v>41</v>
      </c>
      <c r="M8" s="14" t="s">
        <v>6</v>
      </c>
      <c r="N8" s="48" t="s">
        <v>42</v>
      </c>
    </row>
    <row r="9" customFormat="false" ht="47.25" hidden="false" customHeight="true" outlineLevel="0" collapsed="false">
      <c r="B9" s="20" t="s">
        <v>59</v>
      </c>
      <c r="C9" s="21" t="s">
        <v>60</v>
      </c>
      <c r="D9" s="22" t="s">
        <v>61</v>
      </c>
      <c r="E9" s="23"/>
      <c r="F9" s="24" t="n">
        <v>5932.61</v>
      </c>
      <c r="G9" s="25" t="n">
        <f aca="false">F9*5/100</f>
        <v>296.6305</v>
      </c>
      <c r="H9" s="25" t="n">
        <f aca="false">F9+G9</f>
        <v>6229.2405</v>
      </c>
      <c r="I9" s="26"/>
      <c r="J9" s="27" t="n">
        <f aca="false">H9</f>
        <v>6229.2405</v>
      </c>
      <c r="K9" s="24" t="n">
        <v>8433</v>
      </c>
      <c r="L9" s="28" t="n">
        <f aca="false">K9-J9</f>
        <v>2203.7595</v>
      </c>
      <c r="M9" s="29" t="n">
        <f aca="false">L9/J9*100</f>
        <v>35.3776596039276</v>
      </c>
      <c r="N9" s="24" t="n">
        <v>100</v>
      </c>
      <c r="O9" s="2" t="n">
        <f aca="false">L9*N9</f>
        <v>220375.95</v>
      </c>
    </row>
    <row r="10" customFormat="false" ht="51.75" hidden="false" customHeight="true" outlineLevel="0" collapsed="false">
      <c r="C10" s="49" t="s">
        <v>50</v>
      </c>
      <c r="D10" s="22" t="s">
        <v>62</v>
      </c>
      <c r="E10" s="31" t="s">
        <v>63</v>
      </c>
      <c r="F10" s="32" t="n">
        <v>4840</v>
      </c>
      <c r="G10" s="25" t="n">
        <f aca="false">F10*5/100</f>
        <v>242</v>
      </c>
      <c r="H10" s="25" t="n">
        <f aca="false">F10+G10</f>
        <v>5082</v>
      </c>
      <c r="I10" s="33"/>
      <c r="J10" s="27" t="n">
        <f aca="false">H10</f>
        <v>5082</v>
      </c>
      <c r="K10" s="32" t="n">
        <v>9749.88</v>
      </c>
      <c r="L10" s="28" t="n">
        <f aca="false">K10-J10</f>
        <v>4667.88</v>
      </c>
      <c r="M10" s="29" t="n">
        <f aca="false">L10/J10*100</f>
        <v>91.8512396694215</v>
      </c>
      <c r="N10" s="34" t="n">
        <v>140</v>
      </c>
      <c r="O10" s="2" t="n">
        <f aca="false">L10*N10</f>
        <v>653503.2</v>
      </c>
    </row>
    <row r="11" customFormat="false" ht="51.75" hidden="false" customHeight="true" outlineLevel="0" collapsed="false">
      <c r="C11" s="50"/>
      <c r="D11" s="51"/>
      <c r="E11" s="52"/>
      <c r="F11" s="53"/>
      <c r="G11" s="54"/>
      <c r="H11" s="54"/>
      <c r="I11" s="55"/>
      <c r="J11" s="56"/>
      <c r="K11" s="53"/>
      <c r="L11" s="57"/>
      <c r="M11" s="58"/>
      <c r="N11" s="59"/>
      <c r="O11" s="47" t="n">
        <f aca="false">SUM(O9:O10)</f>
        <v>873879.15</v>
      </c>
      <c r="P11" s="47" t="n">
        <f aca="false">SUM(N9:N10)*L10</f>
        <v>1120291.2</v>
      </c>
      <c r="Q11" s="47" t="n">
        <f aca="false">P11-O11</f>
        <v>246412.05</v>
      </c>
    </row>
    <row r="12" customFormat="false" ht="51.75" hidden="false" customHeight="true" outlineLevel="0" collapsed="false">
      <c r="C12" s="50"/>
      <c r="D12" s="51"/>
      <c r="E12" s="52"/>
      <c r="F12" s="53"/>
      <c r="G12" s="54"/>
      <c r="H12" s="54"/>
      <c r="I12" s="55"/>
      <c r="J12" s="56"/>
      <c r="K12" s="53"/>
      <c r="L12" s="57"/>
      <c r="M12" s="58"/>
      <c r="N12" s="59"/>
    </row>
    <row r="13" customFormat="false" ht="14.25" hidden="false" customHeight="true" outlineLevel="0" collapsed="false">
      <c r="M13" s="45"/>
      <c r="N13" s="45"/>
    </row>
    <row r="14" customFormat="false" ht="45.75" hidden="false" customHeight="true" outlineLevel="0" collapsed="false">
      <c r="A14" s="11"/>
      <c r="B14" s="12" t="s">
        <v>31</v>
      </c>
      <c r="C14" s="12" t="s">
        <v>32</v>
      </c>
      <c r="D14" s="13" t="s">
        <v>33</v>
      </c>
      <c r="E14" s="12" t="s">
        <v>34</v>
      </c>
      <c r="F14" s="14" t="s">
        <v>35</v>
      </c>
      <c r="G14" s="14" t="s">
        <v>36</v>
      </c>
      <c r="H14" s="14" t="s">
        <v>37</v>
      </c>
      <c r="I14" s="15" t="s">
        <v>38</v>
      </c>
      <c r="J14" s="16" t="s">
        <v>39</v>
      </c>
      <c r="K14" s="14" t="s">
        <v>40</v>
      </c>
      <c r="L14" s="17" t="s">
        <v>41</v>
      </c>
      <c r="M14" s="60" t="s">
        <v>6</v>
      </c>
      <c r="N14" s="18" t="s">
        <v>42</v>
      </c>
    </row>
    <row r="15" customFormat="false" ht="62.25" hidden="false" customHeight="true" outlineLevel="0" collapsed="false">
      <c r="A15" s="1" t="s">
        <v>46</v>
      </c>
      <c r="B15" s="20" t="s">
        <v>64</v>
      </c>
      <c r="C15" s="21" t="s">
        <v>65</v>
      </c>
      <c r="D15" s="22" t="s">
        <v>49</v>
      </c>
      <c r="E15" s="23"/>
      <c r="F15" s="24" t="n">
        <v>440</v>
      </c>
      <c r="G15" s="25" t="n">
        <f aca="false">F15*5/100</f>
        <v>22</v>
      </c>
      <c r="H15" s="25" t="n">
        <f aca="false">F15+G15</f>
        <v>462</v>
      </c>
      <c r="I15" s="26"/>
      <c r="J15" s="27" t="n">
        <f aca="false">H15</f>
        <v>462</v>
      </c>
      <c r="K15" s="24" t="n">
        <v>825.95</v>
      </c>
      <c r="L15" s="28" t="n">
        <f aca="false">K15-J15</f>
        <v>363.95</v>
      </c>
      <c r="M15" s="29" t="n">
        <f aca="false">L15/J15*100</f>
        <v>78.7770562770563</v>
      </c>
      <c r="N15" s="24" t="n">
        <v>900</v>
      </c>
      <c r="O15" s="2" t="n">
        <f aca="false">L15*N15</f>
        <v>327555</v>
      </c>
    </row>
    <row r="16" customFormat="false" ht="28.5" hidden="false" customHeight="true" outlineLevel="0" collapsed="false">
      <c r="A16" s="1" t="s">
        <v>46</v>
      </c>
      <c r="C16" s="49" t="s">
        <v>50</v>
      </c>
      <c r="D16" s="22" t="s">
        <v>66</v>
      </c>
      <c r="E16" s="31" t="s">
        <v>67</v>
      </c>
      <c r="F16" s="32" t="n">
        <v>254.47</v>
      </c>
      <c r="G16" s="25" t="n">
        <f aca="false">F16*5/100</f>
        <v>12.7235</v>
      </c>
      <c r="H16" s="25" t="n">
        <f aca="false">F16+G16</f>
        <v>267.1935</v>
      </c>
      <c r="I16" s="33"/>
      <c r="J16" s="27" t="n">
        <f aca="false">H16</f>
        <v>267.1935</v>
      </c>
      <c r="K16" s="32" t="n">
        <v>514</v>
      </c>
      <c r="L16" s="28" t="n">
        <f aca="false">K16-J16</f>
        <v>246.8065</v>
      </c>
      <c r="M16" s="29" t="n">
        <f aca="false">L16/J16*100</f>
        <v>92.3699491192713</v>
      </c>
      <c r="N16" s="34" t="n">
        <v>40</v>
      </c>
      <c r="O16" s="2" t="n">
        <f aca="false">L16*N16</f>
        <v>9872.26</v>
      </c>
    </row>
    <row r="17" customFormat="false" ht="28.5" hidden="false" customHeight="true" outlineLevel="0" collapsed="false">
      <c r="A17" s="1" t="s">
        <v>46</v>
      </c>
      <c r="C17" s="49"/>
      <c r="D17" s="22" t="s">
        <v>68</v>
      </c>
      <c r="E17" s="31" t="s">
        <v>69</v>
      </c>
      <c r="F17" s="32" t="n">
        <v>60</v>
      </c>
      <c r="G17" s="25" t="n">
        <f aca="false">F17*5/100</f>
        <v>3</v>
      </c>
      <c r="H17" s="25" t="n">
        <f aca="false">F17+G17</f>
        <v>63</v>
      </c>
      <c r="I17" s="33"/>
      <c r="J17" s="27" t="n">
        <f aca="false">H17</f>
        <v>63</v>
      </c>
      <c r="K17" s="32" t="n">
        <v>248.39</v>
      </c>
      <c r="L17" s="28" t="n">
        <f aca="false">K17-J17</f>
        <v>185.39</v>
      </c>
      <c r="M17" s="29" t="n">
        <f aca="false">L17/J17*100</f>
        <v>294.269841269841</v>
      </c>
      <c r="N17" s="34" t="n">
        <v>280</v>
      </c>
      <c r="O17" s="2" t="n">
        <f aca="false">L17*N17</f>
        <v>51909.2</v>
      </c>
    </row>
    <row r="18" customFormat="false" ht="28.5" hidden="false" customHeight="true" outlineLevel="0" collapsed="false">
      <c r="A18" s="1" t="s">
        <v>46</v>
      </c>
      <c r="C18" s="49"/>
      <c r="D18" s="24" t="s">
        <v>70</v>
      </c>
      <c r="E18" s="31" t="s">
        <v>71</v>
      </c>
      <c r="F18" s="32" t="n">
        <v>170</v>
      </c>
      <c r="G18" s="25" t="n">
        <f aca="false">F18*5/100</f>
        <v>8.5</v>
      </c>
      <c r="H18" s="25" t="n">
        <f aca="false">F18+G18</f>
        <v>178.5</v>
      </c>
      <c r="I18" s="33"/>
      <c r="J18" s="27" t="n">
        <f aca="false">H18</f>
        <v>178.5</v>
      </c>
      <c r="K18" s="32" t="n">
        <v>365.63</v>
      </c>
      <c r="L18" s="28" t="n">
        <f aca="false">K18-J18</f>
        <v>187.13</v>
      </c>
      <c r="M18" s="29" t="n">
        <f aca="false">L18/J18*100</f>
        <v>104.834733893557</v>
      </c>
      <c r="N18" s="35" t="n">
        <v>80</v>
      </c>
      <c r="O18" s="2" t="n">
        <f aca="false">L18*N18</f>
        <v>14970.4</v>
      </c>
    </row>
    <row r="19" customFormat="false" ht="28.5" hidden="false" customHeight="true" outlineLevel="0" collapsed="false">
      <c r="A19" s="1" t="s">
        <v>46</v>
      </c>
      <c r="C19" s="49"/>
      <c r="D19" s="22" t="s">
        <v>72</v>
      </c>
      <c r="E19" s="61" t="s">
        <v>73</v>
      </c>
      <c r="F19" s="59" t="n">
        <v>332.5</v>
      </c>
      <c r="G19" s="25" t="n">
        <f aca="false">F19*5/100</f>
        <v>16.625</v>
      </c>
      <c r="H19" s="62" t="n">
        <f aca="false">F19+G19</f>
        <v>349.125</v>
      </c>
      <c r="I19" s="63"/>
      <c r="J19" s="64" t="n">
        <f aca="false">H19</f>
        <v>349.125</v>
      </c>
      <c r="K19" s="59" t="n">
        <v>665</v>
      </c>
      <c r="L19" s="65" t="n">
        <f aca="false">K19-J19</f>
        <v>315.875</v>
      </c>
      <c r="M19" s="66" t="n">
        <f aca="false">L19/J19*100</f>
        <v>90.4761904761905</v>
      </c>
      <c r="N19" s="67" t="n">
        <v>560</v>
      </c>
      <c r="O19" s="2" t="n">
        <f aca="false">L19*N19</f>
        <v>176890</v>
      </c>
    </row>
    <row r="20" customFormat="false" ht="28.5" hidden="false" customHeight="true" outlineLevel="0" collapsed="false">
      <c r="A20" s="1" t="s">
        <v>46</v>
      </c>
      <c r="C20" s="49"/>
      <c r="D20" s="36" t="s">
        <v>74</v>
      </c>
      <c r="E20" s="37" t="s">
        <v>75</v>
      </c>
      <c r="F20" s="68" t="n">
        <v>87.76</v>
      </c>
      <c r="G20" s="25" t="n">
        <f aca="false">F20*5/100</f>
        <v>4.388</v>
      </c>
      <c r="H20" s="39" t="n">
        <f aca="false">F20+G20</f>
        <v>92.148</v>
      </c>
      <c r="I20" s="69"/>
      <c r="J20" s="41" t="n">
        <f aca="false">H20</f>
        <v>92.148</v>
      </c>
      <c r="K20" s="68" t="n">
        <v>306</v>
      </c>
      <c r="L20" s="42" t="n">
        <f aca="false">K20-J20</f>
        <v>213.852</v>
      </c>
      <c r="M20" s="43" t="n">
        <f aca="false">L20/J20*100</f>
        <v>232.074488865738</v>
      </c>
      <c r="N20" s="44" t="n">
        <v>180</v>
      </c>
      <c r="O20" s="2" t="n">
        <f aca="false">L20*N20</f>
        <v>38493.36</v>
      </c>
    </row>
    <row r="21" customFormat="false" ht="28.5" hidden="false" customHeight="true" outlineLevel="0" collapsed="false">
      <c r="A21" s="1" t="s">
        <v>46</v>
      </c>
      <c r="C21" s="49"/>
      <c r="D21" s="22" t="s">
        <v>76</v>
      </c>
      <c r="E21" s="31" t="s">
        <v>77</v>
      </c>
      <c r="F21" s="32" t="n">
        <v>394.8</v>
      </c>
      <c r="G21" s="25" t="n">
        <f aca="false">F21*5/100</f>
        <v>19.74</v>
      </c>
      <c r="H21" s="25" t="n">
        <f aca="false">F21+G21</f>
        <v>414.54</v>
      </c>
      <c r="I21" s="45"/>
      <c r="J21" s="27" t="n">
        <f aca="false">H21</f>
        <v>414.54</v>
      </c>
      <c r="K21" s="24" t="n">
        <v>773.44</v>
      </c>
      <c r="L21" s="46" t="n">
        <f aca="false">K21-J21</f>
        <v>358.9</v>
      </c>
      <c r="M21" s="29" t="n">
        <f aca="false">L21/J21*100</f>
        <v>86.577893568775</v>
      </c>
      <c r="N21" s="35" t="n">
        <v>530</v>
      </c>
      <c r="O21" s="2" t="n">
        <f aca="false">L21*N21</f>
        <v>190217</v>
      </c>
    </row>
    <row r="22" customFormat="false" ht="14.25" hidden="false" customHeight="true" outlineLevel="0" collapsed="false">
      <c r="A22" s="1" t="s">
        <v>46</v>
      </c>
      <c r="O22" s="47" t="n">
        <f aca="false">SUM(O15:O21)</f>
        <v>809907.22</v>
      </c>
      <c r="P22" s="47" t="n">
        <f aca="false">SUM(N15:N21)*MAX(L15:L21)</f>
        <v>935351.5</v>
      </c>
      <c r="Q22" s="47" t="n">
        <f aca="false">P22-O22</f>
        <v>125444.28</v>
      </c>
    </row>
    <row r="23" customFormat="false" ht="39" hidden="false" customHeight="true" outlineLevel="0" collapsed="false">
      <c r="B23" s="12" t="s">
        <v>31</v>
      </c>
      <c r="C23" s="12" t="s">
        <v>32</v>
      </c>
      <c r="D23" s="13" t="s">
        <v>33</v>
      </c>
      <c r="E23" s="12" t="s">
        <v>34</v>
      </c>
      <c r="F23" s="14" t="s">
        <v>35</v>
      </c>
      <c r="G23" s="14" t="s">
        <v>36</v>
      </c>
      <c r="H23" s="14" t="s">
        <v>37</v>
      </c>
      <c r="I23" s="15" t="s">
        <v>38</v>
      </c>
      <c r="J23" s="16" t="s">
        <v>39</v>
      </c>
      <c r="K23" s="14" t="s">
        <v>40</v>
      </c>
      <c r="L23" s="17" t="s">
        <v>41</v>
      </c>
      <c r="M23" s="14" t="s">
        <v>6</v>
      </c>
      <c r="N23" s="48" t="s">
        <v>42</v>
      </c>
    </row>
    <row r="24" customFormat="false" ht="72" hidden="false" customHeight="true" outlineLevel="0" collapsed="false">
      <c r="B24" s="20" t="s">
        <v>78</v>
      </c>
      <c r="C24" s="21" t="s">
        <v>79</v>
      </c>
      <c r="D24" s="22" t="s">
        <v>80</v>
      </c>
      <c r="E24" s="23"/>
      <c r="F24" s="24" t="n">
        <v>28.38</v>
      </c>
      <c r="G24" s="25" t="n">
        <f aca="false">F24*5/100</f>
        <v>1.419</v>
      </c>
      <c r="H24" s="25" t="n">
        <f aca="false">F24+G24</f>
        <v>29.799</v>
      </c>
      <c r="I24" s="26"/>
      <c r="J24" s="27" t="n">
        <f aca="false">H24</f>
        <v>29.799</v>
      </c>
      <c r="K24" s="24" t="n">
        <v>44.9</v>
      </c>
      <c r="L24" s="28" t="n">
        <f aca="false">K24-J24</f>
        <v>15.101</v>
      </c>
      <c r="M24" s="29" t="n">
        <f aca="false">L24/J24*100</f>
        <v>50.6761971878251</v>
      </c>
      <c r="N24" s="24" t="n">
        <v>15900</v>
      </c>
      <c r="O24" s="2" t="n">
        <f aca="false">L24*N24</f>
        <v>240105.9</v>
      </c>
    </row>
    <row r="25" customFormat="false" ht="62.25" hidden="false" customHeight="true" outlineLevel="0" collapsed="false">
      <c r="C25" s="49" t="s">
        <v>50</v>
      </c>
      <c r="D25" s="22" t="s">
        <v>81</v>
      </c>
      <c r="E25" s="31" t="s">
        <v>82</v>
      </c>
      <c r="F25" s="32" t="n">
        <v>26.96</v>
      </c>
      <c r="G25" s="25" t="n">
        <f aca="false">F25*5/100</f>
        <v>1.348</v>
      </c>
      <c r="H25" s="25" t="n">
        <f aca="false">F25+G25</f>
        <v>28.308</v>
      </c>
      <c r="I25" s="33"/>
      <c r="J25" s="27" t="n">
        <f aca="false">H25</f>
        <v>28.308</v>
      </c>
      <c r="K25" s="32" t="n">
        <v>44.92</v>
      </c>
      <c r="L25" s="28" t="n">
        <f aca="false">K25-J25</f>
        <v>16.612</v>
      </c>
      <c r="M25" s="29" t="n">
        <f aca="false">L25/J25*100</f>
        <v>58.6830577928501</v>
      </c>
      <c r="N25" s="34" t="n">
        <v>3300</v>
      </c>
      <c r="O25" s="2" t="n">
        <f aca="false">L25*N25</f>
        <v>54819.6</v>
      </c>
    </row>
    <row r="26" customFormat="false" ht="14.25" hidden="false" customHeight="true" outlineLevel="0" collapsed="false">
      <c r="N26" s="45"/>
      <c r="O26" s="47" t="n">
        <f aca="false">SUM(O24:O25)</f>
        <v>294925.5</v>
      </c>
      <c r="P26" s="47" t="n">
        <f aca="false">SUM(N24:N25)*MAX(L24:L25)</f>
        <v>318950.4</v>
      </c>
      <c r="Q26" s="47" t="n">
        <f aca="false">P26-O26</f>
        <v>24024.9</v>
      </c>
    </row>
    <row r="27" customFormat="false" ht="37.5" hidden="false" customHeight="true" outlineLevel="0" collapsed="false">
      <c r="B27" s="12" t="s">
        <v>31</v>
      </c>
      <c r="C27" s="12" t="s">
        <v>32</v>
      </c>
      <c r="D27" s="13" t="s">
        <v>33</v>
      </c>
      <c r="E27" s="12" t="s">
        <v>34</v>
      </c>
      <c r="F27" s="14" t="s">
        <v>35</v>
      </c>
      <c r="G27" s="14" t="s">
        <v>36</v>
      </c>
      <c r="H27" s="14" t="s">
        <v>37</v>
      </c>
      <c r="I27" s="15" t="s">
        <v>38</v>
      </c>
      <c r="J27" s="16" t="s">
        <v>39</v>
      </c>
      <c r="K27" s="14" t="s">
        <v>40</v>
      </c>
      <c r="L27" s="17" t="s">
        <v>41</v>
      </c>
      <c r="M27" s="14" t="s">
        <v>6</v>
      </c>
      <c r="N27" s="18" t="s">
        <v>42</v>
      </c>
    </row>
    <row r="28" customFormat="false" ht="47.25" hidden="false" customHeight="true" outlineLevel="0" collapsed="false">
      <c r="A28" s="1" t="s">
        <v>46</v>
      </c>
      <c r="B28" s="20" t="s">
        <v>83</v>
      </c>
      <c r="C28" s="21" t="s">
        <v>84</v>
      </c>
      <c r="D28" s="22" t="s">
        <v>49</v>
      </c>
      <c r="E28" s="23"/>
      <c r="F28" s="24" t="n">
        <v>3894</v>
      </c>
      <c r="G28" s="25" t="n">
        <f aca="false">F28*5/100</f>
        <v>194.7</v>
      </c>
      <c r="H28" s="25" t="n">
        <f aca="false">F28+G28</f>
        <v>4088.7</v>
      </c>
      <c r="I28" s="26"/>
      <c r="J28" s="27" t="n">
        <f aca="false">H28</f>
        <v>4088.7</v>
      </c>
      <c r="K28" s="24" t="n">
        <v>5678.6</v>
      </c>
      <c r="L28" s="28" t="n">
        <f aca="false">K28-J28</f>
        <v>1589.9</v>
      </c>
      <c r="M28" s="29" t="n">
        <f aca="false">L28/J28*100</f>
        <v>38.8852202411525</v>
      </c>
      <c r="N28" s="24" t="n">
        <v>30</v>
      </c>
      <c r="O28" s="2" t="n">
        <f aca="false">L28*N28</f>
        <v>47697</v>
      </c>
    </row>
    <row r="29" customFormat="false" ht="33" hidden="false" customHeight="true" outlineLevel="0" collapsed="false">
      <c r="A29" s="1" t="s">
        <v>46</v>
      </c>
      <c r="C29" s="49" t="s">
        <v>50</v>
      </c>
      <c r="D29" s="22" t="s">
        <v>53</v>
      </c>
      <c r="E29" s="31" t="s">
        <v>85</v>
      </c>
      <c r="F29" s="32" t="n">
        <v>1657</v>
      </c>
      <c r="G29" s="25" t="n">
        <f aca="false">F29*5/100</f>
        <v>82.85</v>
      </c>
      <c r="H29" s="25" t="n">
        <f aca="false">F29+G29</f>
        <v>1739.85</v>
      </c>
      <c r="I29" s="33"/>
      <c r="J29" s="27" t="n">
        <f aca="false">H29</f>
        <v>1739.85</v>
      </c>
      <c r="K29" s="32" t="n">
        <v>2179</v>
      </c>
      <c r="L29" s="28" t="n">
        <f aca="false">K29-J29</f>
        <v>439.15</v>
      </c>
      <c r="M29" s="29" t="n">
        <f aca="false">L29/J29*100</f>
        <v>25.2406816679599</v>
      </c>
      <c r="N29" s="34" t="n">
        <v>330</v>
      </c>
      <c r="O29" s="2" t="n">
        <f aca="false">L29*N29</f>
        <v>144919.5</v>
      </c>
    </row>
    <row r="30" customFormat="false" ht="14.25" hidden="false" customHeight="true" outlineLevel="0" collapsed="false">
      <c r="A30" s="1" t="s">
        <v>46</v>
      </c>
      <c r="C30" s="49"/>
      <c r="D30" s="22" t="s">
        <v>86</v>
      </c>
      <c r="E30" s="31" t="s">
        <v>87</v>
      </c>
      <c r="F30" s="32" t="n">
        <v>999</v>
      </c>
      <c r="G30" s="25" t="n">
        <f aca="false">F30*5/100</f>
        <v>49.95</v>
      </c>
      <c r="H30" s="25" t="n">
        <f aca="false">F30+G30</f>
        <v>1048.95</v>
      </c>
      <c r="I30" s="33"/>
      <c r="J30" s="27" t="n">
        <f aca="false">H30</f>
        <v>1048.95</v>
      </c>
      <c r="K30" s="32" t="n">
        <v>2784.4</v>
      </c>
      <c r="L30" s="28" t="n">
        <f aca="false">K30-J30</f>
        <v>1735.45</v>
      </c>
      <c r="M30" s="29" t="n">
        <f aca="false">L30/J30*100</f>
        <v>165.446398779732</v>
      </c>
      <c r="N30" s="34" t="n">
        <v>60</v>
      </c>
      <c r="O30" s="47" t="n">
        <f aca="false">SUM(O28:O29)</f>
        <v>192616.5</v>
      </c>
      <c r="P30" s="47" t="n">
        <f aca="false">SUM(N28:N29)*MAX(L28:L29)</f>
        <v>572364</v>
      </c>
      <c r="Q30" s="47" t="n">
        <f aca="false">P30-O30</f>
        <v>379747.5</v>
      </c>
    </row>
    <row r="31" customFormat="false" ht="14.25" hidden="false" customHeight="true" outlineLevel="0" collapsed="false">
      <c r="A31" s="1" t="s">
        <v>46</v>
      </c>
      <c r="N31" s="45"/>
    </row>
    <row r="32" customFormat="false" ht="42" hidden="false" customHeight="true" outlineLevel="0" collapsed="false">
      <c r="B32" s="12" t="s">
        <v>31</v>
      </c>
      <c r="C32" s="12" t="s">
        <v>32</v>
      </c>
      <c r="D32" s="13" t="s">
        <v>33</v>
      </c>
      <c r="E32" s="12" t="s">
        <v>34</v>
      </c>
      <c r="F32" s="14" t="s">
        <v>35</v>
      </c>
      <c r="G32" s="14" t="s">
        <v>36</v>
      </c>
      <c r="H32" s="14" t="s">
        <v>37</v>
      </c>
      <c r="I32" s="15" t="s">
        <v>38</v>
      </c>
      <c r="J32" s="16" t="s">
        <v>39</v>
      </c>
      <c r="K32" s="14" t="s">
        <v>40</v>
      </c>
      <c r="L32" s="17" t="s">
        <v>41</v>
      </c>
      <c r="M32" s="14" t="s">
        <v>6</v>
      </c>
      <c r="N32" s="18" t="s">
        <v>42</v>
      </c>
    </row>
    <row r="33" customFormat="false" ht="33" hidden="false" customHeight="true" outlineLevel="0" collapsed="false">
      <c r="B33" s="20" t="s">
        <v>88</v>
      </c>
      <c r="C33" s="21" t="s">
        <v>89</v>
      </c>
      <c r="D33" s="22" t="s">
        <v>80</v>
      </c>
      <c r="E33" s="23"/>
      <c r="F33" s="24" t="n">
        <v>202</v>
      </c>
      <c r="G33" s="25" t="n">
        <f aca="false">F33*5/100</f>
        <v>10.1</v>
      </c>
      <c r="H33" s="25" t="n">
        <f aca="false">F33+G33</f>
        <v>212.1</v>
      </c>
      <c r="I33" s="26"/>
      <c r="J33" s="27" t="n">
        <f aca="false">H33</f>
        <v>212.1</v>
      </c>
      <c r="K33" s="24" t="n">
        <v>679</v>
      </c>
      <c r="L33" s="28" t="n">
        <f aca="false">K33-J33</f>
        <v>466.9</v>
      </c>
      <c r="M33" s="29" t="n">
        <f aca="false">L33/J33*100</f>
        <v>220.13201320132</v>
      </c>
      <c r="N33" s="24" t="n">
        <v>1500</v>
      </c>
      <c r="O33" s="2" t="n">
        <f aca="false">L33*N33</f>
        <v>700350</v>
      </c>
    </row>
    <row r="34" customFormat="false" ht="49.5" hidden="false" customHeight="true" outlineLevel="0" collapsed="false">
      <c r="C34" s="49" t="s">
        <v>50</v>
      </c>
      <c r="D34" s="22" t="s">
        <v>68</v>
      </c>
      <c r="E34" s="31" t="s">
        <v>90</v>
      </c>
      <c r="F34" s="32" t="n">
        <v>49</v>
      </c>
      <c r="G34" s="25" t="n">
        <f aca="false">F34*5/100</f>
        <v>2.45</v>
      </c>
      <c r="H34" s="25" t="n">
        <f aca="false">F34+G34</f>
        <v>51.45</v>
      </c>
      <c r="I34" s="33"/>
      <c r="J34" s="27" t="n">
        <f aca="false">H34</f>
        <v>51.45</v>
      </c>
      <c r="K34" s="32" t="n">
        <v>310.29</v>
      </c>
      <c r="L34" s="28" t="n">
        <f aca="false">K34-J34</f>
        <v>258.84</v>
      </c>
      <c r="M34" s="29" t="n">
        <f aca="false">L34/J34*100</f>
        <v>503.090379008746</v>
      </c>
      <c r="N34" s="34" t="n">
        <v>4800</v>
      </c>
      <c r="O34" s="2" t="n">
        <f aca="false">L34*N34</f>
        <v>1242432</v>
      </c>
    </row>
    <row r="35" customFormat="false" ht="14.25" hidden="false" customHeight="true" outlineLevel="0" collapsed="false">
      <c r="N35" s="45"/>
      <c r="O35" s="47" t="n">
        <f aca="false">SUM(O33:O34)</f>
        <v>1942782</v>
      </c>
      <c r="P35" s="47" t="n">
        <f aca="false">SUM(N33:N34)*MAX(L33:L34)</f>
        <v>2941470</v>
      </c>
      <c r="Q35" s="47" t="n">
        <f aca="false">P35-O35</f>
        <v>998688</v>
      </c>
    </row>
    <row r="36" customFormat="false" ht="41.25" hidden="false" customHeight="true" outlineLevel="0" collapsed="false">
      <c r="B36" s="12" t="s">
        <v>31</v>
      </c>
      <c r="C36" s="12" t="s">
        <v>32</v>
      </c>
      <c r="D36" s="13" t="s">
        <v>33</v>
      </c>
      <c r="E36" s="12" t="s">
        <v>34</v>
      </c>
      <c r="F36" s="14" t="s">
        <v>35</v>
      </c>
      <c r="G36" s="14" t="s">
        <v>36</v>
      </c>
      <c r="H36" s="14" t="s">
        <v>37</v>
      </c>
      <c r="I36" s="15" t="s">
        <v>38</v>
      </c>
      <c r="J36" s="16" t="s">
        <v>39</v>
      </c>
      <c r="K36" s="14" t="s">
        <v>40</v>
      </c>
      <c r="L36" s="17" t="s">
        <v>41</v>
      </c>
      <c r="M36" s="14" t="s">
        <v>6</v>
      </c>
      <c r="N36" s="18" t="s">
        <v>42</v>
      </c>
    </row>
    <row r="37" customFormat="false" ht="58.5" hidden="false" customHeight="true" outlineLevel="0" collapsed="false">
      <c r="A37" s="1" t="s">
        <v>46</v>
      </c>
      <c r="B37" s="20" t="s">
        <v>91</v>
      </c>
      <c r="C37" s="21" t="s">
        <v>92</v>
      </c>
      <c r="D37" s="22" t="s">
        <v>93</v>
      </c>
      <c r="E37" s="23"/>
      <c r="F37" s="24" t="n">
        <v>4947.52</v>
      </c>
      <c r="G37" s="25" t="n">
        <f aca="false">F37*5/100</f>
        <v>247.376</v>
      </c>
      <c r="H37" s="25" t="n">
        <f aca="false">F37+G37</f>
        <v>5194.896</v>
      </c>
      <c r="I37" s="26"/>
      <c r="J37" s="27" t="n">
        <f aca="false">H37</f>
        <v>5194.896</v>
      </c>
      <c r="K37" s="24" t="n">
        <v>6779.661</v>
      </c>
      <c r="L37" s="28" t="n">
        <f aca="false">K37-J37</f>
        <v>1584.765</v>
      </c>
      <c r="M37" s="29" t="n">
        <f aca="false">L37/J37*100</f>
        <v>30.5061930017463</v>
      </c>
      <c r="N37" s="24" t="n">
        <v>150</v>
      </c>
      <c r="O37" s="2" t="n">
        <f aca="false">L37*N37</f>
        <v>237714.75</v>
      </c>
    </row>
    <row r="38" customFormat="false" ht="40.5" hidden="false" customHeight="true" outlineLevel="0" collapsed="false">
      <c r="A38" s="1" t="s">
        <v>46</v>
      </c>
      <c r="C38" s="49" t="s">
        <v>50</v>
      </c>
      <c r="D38" s="22" t="s">
        <v>94</v>
      </c>
      <c r="E38" s="31" t="s">
        <v>95</v>
      </c>
      <c r="F38" s="32" t="n">
        <v>4780</v>
      </c>
      <c r="G38" s="25" t="n">
        <f aca="false">F38*5/100</f>
        <v>239</v>
      </c>
      <c r="H38" s="25" t="n">
        <f aca="false">F38+G38</f>
        <v>5019</v>
      </c>
      <c r="I38" s="33"/>
      <c r="J38" s="27" t="n">
        <f aca="false">H38</f>
        <v>5019</v>
      </c>
      <c r="K38" s="32" t="n">
        <v>6980</v>
      </c>
      <c r="L38" s="28" t="n">
        <f aca="false">K38-J38</f>
        <v>1961</v>
      </c>
      <c r="M38" s="29" t="n">
        <f aca="false">L38/J38*100</f>
        <v>39.0715281928671</v>
      </c>
      <c r="N38" s="34" t="n">
        <v>10</v>
      </c>
      <c r="O38" s="2" t="n">
        <f aca="false">L38*N38</f>
        <v>19610</v>
      </c>
    </row>
    <row r="39" customFormat="false" ht="14.25" hidden="false" customHeight="true" outlineLevel="0" collapsed="false">
      <c r="A39" s="1" t="s">
        <v>46</v>
      </c>
      <c r="O39" s="47" t="n">
        <f aca="false">SUM(O37:O38)</f>
        <v>257324.75</v>
      </c>
      <c r="P39" s="47" t="n">
        <f aca="false">SUM(N37:N38)*MAX(L37:L38)</f>
        <v>313760</v>
      </c>
      <c r="Q39" s="47" t="n">
        <f aca="false">P39-O39</f>
        <v>56435.2500000001</v>
      </c>
    </row>
    <row r="40" customFormat="false" ht="45" hidden="false" customHeight="true" outlineLevel="0" collapsed="false">
      <c r="B40" s="12" t="s">
        <v>31</v>
      </c>
      <c r="C40" s="12" t="s">
        <v>32</v>
      </c>
      <c r="D40" s="13" t="s">
        <v>33</v>
      </c>
      <c r="E40" s="12" t="s">
        <v>34</v>
      </c>
      <c r="F40" s="14" t="s">
        <v>35</v>
      </c>
      <c r="G40" s="14" t="s">
        <v>36</v>
      </c>
      <c r="H40" s="14" t="s">
        <v>37</v>
      </c>
      <c r="I40" s="15" t="s">
        <v>38</v>
      </c>
      <c r="J40" s="16" t="s">
        <v>39</v>
      </c>
      <c r="K40" s="14" t="s">
        <v>40</v>
      </c>
      <c r="L40" s="17" t="s">
        <v>41</v>
      </c>
      <c r="M40" s="14" t="s">
        <v>6</v>
      </c>
      <c r="N40" s="18" t="s">
        <v>42</v>
      </c>
    </row>
    <row r="41" customFormat="false" ht="54.75" hidden="false" customHeight="true" outlineLevel="0" collapsed="false">
      <c r="B41" s="20" t="s">
        <v>96</v>
      </c>
      <c r="C41" s="21" t="s">
        <v>97</v>
      </c>
      <c r="D41" s="22" t="s">
        <v>98</v>
      </c>
      <c r="E41" s="23"/>
      <c r="F41" s="24" t="n">
        <v>7500</v>
      </c>
      <c r="G41" s="25" t="n">
        <f aca="false">F41*5/100</f>
        <v>375</v>
      </c>
      <c r="H41" s="25" t="n">
        <f aca="false">F41+G41</f>
        <v>7875</v>
      </c>
      <c r="I41" s="26"/>
      <c r="J41" s="27" t="n">
        <f aca="false">H41</f>
        <v>7875</v>
      </c>
      <c r="K41" s="24" t="n">
        <v>11056.6</v>
      </c>
      <c r="L41" s="28" t="n">
        <f aca="false">K41-J41</f>
        <v>3181.6</v>
      </c>
      <c r="M41" s="29" t="n">
        <f aca="false">L41/J41*100</f>
        <v>40.4012698412698</v>
      </c>
      <c r="N41" s="24" t="n">
        <v>50</v>
      </c>
      <c r="O41" s="2" t="n">
        <f aca="false">L41*N41</f>
        <v>159080</v>
      </c>
    </row>
    <row r="42" customFormat="false" ht="47.25" hidden="false" customHeight="true" outlineLevel="0" collapsed="false">
      <c r="C42" s="49" t="s">
        <v>50</v>
      </c>
      <c r="D42" s="22" t="s">
        <v>62</v>
      </c>
      <c r="E42" s="31" t="s">
        <v>99</v>
      </c>
      <c r="F42" s="32" t="n">
        <v>9600</v>
      </c>
      <c r="G42" s="25" t="n">
        <f aca="false">F42*5/100</f>
        <v>480</v>
      </c>
      <c r="H42" s="70" t="n">
        <f aca="false">F42+G42</f>
        <v>10080</v>
      </c>
      <c r="I42" s="33"/>
      <c r="J42" s="71" t="n">
        <f aca="false">H42</f>
        <v>10080</v>
      </c>
      <c r="K42" s="32" t="n">
        <v>15603</v>
      </c>
      <c r="L42" s="28" t="n">
        <f aca="false">K42-J42</f>
        <v>5523</v>
      </c>
      <c r="M42" s="29" t="n">
        <f aca="false">L42/J42*100</f>
        <v>54.7916666666667</v>
      </c>
      <c r="N42" s="34" t="n">
        <v>10</v>
      </c>
      <c r="O42" s="2" t="n">
        <f aca="false">L42*N42</f>
        <v>55230</v>
      </c>
    </row>
    <row r="43" customFormat="false" ht="14.25" hidden="false" customHeight="true" outlineLevel="0" collapsed="false">
      <c r="N43" s="45"/>
      <c r="O43" s="47" t="n">
        <f aca="false">SUM(O41:O42)</f>
        <v>214310</v>
      </c>
      <c r="P43" s="47" t="n">
        <f aca="false">SUM(N41:N42)*MAX(L41:L42)</f>
        <v>331380</v>
      </c>
      <c r="Q43" s="47" t="n">
        <f aca="false">P43-O43</f>
        <v>117070</v>
      </c>
    </row>
    <row r="44" customFormat="false" ht="45" hidden="false" customHeight="true" outlineLevel="0" collapsed="false">
      <c r="B44" s="12" t="s">
        <v>31</v>
      </c>
      <c r="C44" s="12" t="s">
        <v>32</v>
      </c>
      <c r="D44" s="13" t="s">
        <v>33</v>
      </c>
      <c r="E44" s="12" t="s">
        <v>34</v>
      </c>
      <c r="F44" s="14" t="s">
        <v>35</v>
      </c>
      <c r="G44" s="14" t="s">
        <v>36</v>
      </c>
      <c r="H44" s="14" t="s">
        <v>37</v>
      </c>
      <c r="I44" s="15" t="s">
        <v>38</v>
      </c>
      <c r="J44" s="16" t="s">
        <v>39</v>
      </c>
      <c r="K44" s="14" t="s">
        <v>40</v>
      </c>
      <c r="L44" s="17" t="s">
        <v>41</v>
      </c>
      <c r="M44" s="14" t="s">
        <v>6</v>
      </c>
      <c r="N44" s="18" t="s">
        <v>42</v>
      </c>
    </row>
    <row r="45" customFormat="false" ht="40.5" hidden="false" customHeight="true" outlineLevel="0" collapsed="false">
      <c r="A45" s="1" t="s">
        <v>46</v>
      </c>
      <c r="B45" s="20" t="s">
        <v>100</v>
      </c>
      <c r="C45" s="21" t="s">
        <v>101</v>
      </c>
      <c r="D45" s="22" t="s">
        <v>53</v>
      </c>
      <c r="E45" s="23"/>
      <c r="F45" s="24" t="n">
        <v>97</v>
      </c>
      <c r="G45" s="25" t="n">
        <f aca="false">F45*5/100</f>
        <v>4.85</v>
      </c>
      <c r="H45" s="25" t="n">
        <f aca="false">F45+G45</f>
        <v>101.85</v>
      </c>
      <c r="I45" s="26"/>
      <c r="J45" s="27" t="n">
        <f aca="false">H45</f>
        <v>101.85</v>
      </c>
      <c r="K45" s="24" t="n">
        <v>426.65</v>
      </c>
      <c r="L45" s="28" t="n">
        <f aca="false">K45-J45</f>
        <v>324.8</v>
      </c>
      <c r="M45" s="29" t="n">
        <f aca="false">L45/J45*100</f>
        <v>318.900343642612</v>
      </c>
      <c r="N45" s="24" t="n">
        <v>3840</v>
      </c>
      <c r="O45" s="2" t="n">
        <f aca="false">L45*N45</f>
        <v>1247232</v>
      </c>
    </row>
    <row r="46" customFormat="false" ht="36" hidden="false" customHeight="true" outlineLevel="0" collapsed="false">
      <c r="A46" s="1" t="s">
        <v>46</v>
      </c>
      <c r="C46" s="30" t="s">
        <v>50</v>
      </c>
      <c r="D46" s="22" t="s">
        <v>98</v>
      </c>
      <c r="E46" s="31" t="s">
        <v>102</v>
      </c>
      <c r="F46" s="32" t="n">
        <v>95</v>
      </c>
      <c r="G46" s="25" t="n">
        <f aca="false">F46*5/100</f>
        <v>4.75</v>
      </c>
      <c r="H46" s="25" t="n">
        <f aca="false">F46+G46</f>
        <v>99.75</v>
      </c>
      <c r="I46" s="33"/>
      <c r="J46" s="27" t="n">
        <f aca="false">H46</f>
        <v>99.75</v>
      </c>
      <c r="K46" s="32" t="n">
        <v>419.37</v>
      </c>
      <c r="L46" s="28" t="n">
        <f aca="false">K46-J46</f>
        <v>319.62</v>
      </c>
      <c r="M46" s="29" t="n">
        <f aca="false">L46/J46*100</f>
        <v>320.421052631579</v>
      </c>
      <c r="N46" s="34" t="n">
        <v>40</v>
      </c>
      <c r="O46" s="2" t="n">
        <f aca="false">L46*N46</f>
        <v>12784.8</v>
      </c>
    </row>
    <row r="47" customFormat="false" ht="31.5" hidden="false" customHeight="true" outlineLevel="0" collapsed="false">
      <c r="A47" s="1" t="s">
        <v>46</v>
      </c>
      <c r="C47" s="30"/>
      <c r="D47" s="24" t="s">
        <v>57</v>
      </c>
      <c r="E47" s="31" t="s">
        <v>103</v>
      </c>
      <c r="F47" s="32" t="n">
        <v>75</v>
      </c>
      <c r="G47" s="25" t="n">
        <f aca="false">F47*5/100</f>
        <v>3.75</v>
      </c>
      <c r="H47" s="25" t="n">
        <f aca="false">F47+G47</f>
        <v>78.75</v>
      </c>
      <c r="I47" s="33"/>
      <c r="J47" s="27" t="n">
        <f aca="false">H47</f>
        <v>78.75</v>
      </c>
      <c r="K47" s="32" t="n">
        <v>300.153</v>
      </c>
      <c r="L47" s="28" t="n">
        <f aca="false">K47-J47</f>
        <v>221.403</v>
      </c>
      <c r="M47" s="29" t="n">
        <f aca="false">L47/J47*100</f>
        <v>281.146666666667</v>
      </c>
      <c r="N47" s="35" t="n">
        <v>50</v>
      </c>
      <c r="O47" s="2" t="n">
        <f aca="false">L47*N47</f>
        <v>11070.15</v>
      </c>
    </row>
    <row r="48" customFormat="false" ht="14.25" hidden="false" customHeight="true" outlineLevel="0" collapsed="false">
      <c r="A48" s="1" t="s">
        <v>46</v>
      </c>
      <c r="O48" s="47" t="n">
        <f aca="false">SUM(O45:O47)</f>
        <v>1271086.95</v>
      </c>
      <c r="P48" s="47" t="n">
        <f aca="false">SUM(N45:N47)*MAX(L45:L47)</f>
        <v>1276464</v>
      </c>
      <c r="Q48" s="47" t="n">
        <f aca="false">P48-O48</f>
        <v>5377.05000000005</v>
      </c>
    </row>
    <row r="49" customFormat="false" ht="44.25" hidden="false" customHeight="true" outlineLevel="0" collapsed="false">
      <c r="B49" s="12" t="s">
        <v>31</v>
      </c>
      <c r="C49" s="12" t="s">
        <v>32</v>
      </c>
      <c r="D49" s="13" t="s">
        <v>33</v>
      </c>
      <c r="E49" s="12" t="s">
        <v>34</v>
      </c>
      <c r="F49" s="14" t="s">
        <v>35</v>
      </c>
      <c r="G49" s="14" t="s">
        <v>36</v>
      </c>
      <c r="H49" s="14" t="s">
        <v>37</v>
      </c>
      <c r="I49" s="15" t="s">
        <v>38</v>
      </c>
      <c r="J49" s="16" t="s">
        <v>39</v>
      </c>
      <c r="K49" s="14" t="s">
        <v>40</v>
      </c>
      <c r="L49" s="17" t="s">
        <v>41</v>
      </c>
      <c r="M49" s="14" t="s">
        <v>6</v>
      </c>
      <c r="N49" s="48" t="s">
        <v>42</v>
      </c>
    </row>
    <row r="50" customFormat="false" ht="42.75" hidden="false" customHeight="true" outlineLevel="0" collapsed="false">
      <c r="B50" s="20" t="s">
        <v>104</v>
      </c>
      <c r="C50" s="21" t="s">
        <v>105</v>
      </c>
      <c r="D50" s="22" t="s">
        <v>9</v>
      </c>
      <c r="E50" s="23"/>
      <c r="F50" s="24" t="n">
        <v>6691.65</v>
      </c>
      <c r="G50" s="25" t="n">
        <f aca="false">F50*5/100</f>
        <v>334.5825</v>
      </c>
      <c r="H50" s="25" t="n">
        <f aca="false">F50+G50</f>
        <v>7026.2325</v>
      </c>
      <c r="I50" s="26"/>
      <c r="J50" s="27" t="n">
        <f aca="false">H50</f>
        <v>7026.2325</v>
      </c>
      <c r="K50" s="24" t="n">
        <v>9758.64</v>
      </c>
      <c r="L50" s="28" t="n">
        <f aca="false">K50-J50</f>
        <v>2732.4075</v>
      </c>
      <c r="M50" s="29" t="n">
        <f aca="false">L50/J50*100</f>
        <v>38.8886576127391</v>
      </c>
      <c r="N50" s="24" t="n">
        <v>37</v>
      </c>
      <c r="O50" s="2" t="n">
        <f aca="false">L50*N50</f>
        <v>101099.0775</v>
      </c>
    </row>
    <row r="51" customFormat="false" ht="46.5" hidden="false" customHeight="true" outlineLevel="0" collapsed="false">
      <c r="C51" s="49" t="s">
        <v>50</v>
      </c>
      <c r="D51" s="22" t="s">
        <v>106</v>
      </c>
      <c r="E51" s="31" t="s">
        <v>107</v>
      </c>
      <c r="F51" s="32" t="n">
        <v>6400</v>
      </c>
      <c r="G51" s="25" t="n">
        <f aca="false">F51*5/100</f>
        <v>320</v>
      </c>
      <c r="H51" s="25" t="n">
        <f aca="false">F51+G51</f>
        <v>6720</v>
      </c>
      <c r="I51" s="33"/>
      <c r="J51" s="27" t="n">
        <f aca="false">H51</f>
        <v>6720</v>
      </c>
      <c r="K51" s="32" t="n">
        <v>9758.64</v>
      </c>
      <c r="L51" s="28" t="n">
        <f aca="false">K51-J51</f>
        <v>3038.64</v>
      </c>
      <c r="M51" s="29" t="n">
        <f aca="false">L51/J51*100</f>
        <v>45.2178571428571</v>
      </c>
      <c r="N51" s="34" t="n">
        <v>13</v>
      </c>
      <c r="O51" s="2" t="n">
        <f aca="false">L51*N51</f>
        <v>39502.32</v>
      </c>
    </row>
    <row r="52" customFormat="false" ht="39" hidden="false" customHeight="true" outlineLevel="0" collapsed="false">
      <c r="C52" s="50"/>
      <c r="D52" s="51"/>
      <c r="E52" s="52"/>
      <c r="F52" s="53"/>
      <c r="G52" s="54"/>
      <c r="H52" s="54"/>
      <c r="I52" s="55"/>
      <c r="J52" s="56"/>
      <c r="K52" s="53"/>
      <c r="L52" s="57"/>
      <c r="M52" s="72"/>
      <c r="N52" s="53"/>
      <c r="O52" s="47" t="n">
        <f aca="false">SUM(O50:O51)</f>
        <v>140601.3975</v>
      </c>
      <c r="P52" s="47" t="n">
        <f aca="false">SUM(N50:N51)*MAX(L50:L51)</f>
        <v>151932</v>
      </c>
      <c r="Q52" s="47" t="n">
        <f aca="false">P52-O52</f>
        <v>11330.6025</v>
      </c>
    </row>
    <row r="54" customFormat="false" ht="54.75" hidden="false" customHeight="true" outlineLevel="0" collapsed="false">
      <c r="B54" s="12" t="s">
        <v>31</v>
      </c>
      <c r="C54" s="12" t="s">
        <v>32</v>
      </c>
      <c r="D54" s="13" t="s">
        <v>33</v>
      </c>
      <c r="E54" s="12" t="s">
        <v>34</v>
      </c>
      <c r="F54" s="14" t="s">
        <v>35</v>
      </c>
      <c r="G54" s="14" t="s">
        <v>36</v>
      </c>
      <c r="H54" s="14" t="s">
        <v>37</v>
      </c>
      <c r="I54" s="15" t="s">
        <v>38</v>
      </c>
      <c r="J54" s="16" t="s">
        <v>39</v>
      </c>
      <c r="K54" s="14" t="s">
        <v>40</v>
      </c>
      <c r="L54" s="17" t="s">
        <v>41</v>
      </c>
      <c r="M54" s="14" t="s">
        <v>6</v>
      </c>
      <c r="N54" s="18" t="s">
        <v>42</v>
      </c>
    </row>
    <row r="55" customFormat="false" ht="44.25" hidden="false" customHeight="true" outlineLevel="0" collapsed="false">
      <c r="B55" s="20" t="s">
        <v>108</v>
      </c>
      <c r="C55" s="21" t="s">
        <v>109</v>
      </c>
      <c r="D55" s="22" t="s">
        <v>110</v>
      </c>
      <c r="E55" s="23"/>
      <c r="F55" s="24" t="n">
        <v>980</v>
      </c>
      <c r="G55" s="25" t="n">
        <f aca="false">F55*5/100</f>
        <v>49</v>
      </c>
      <c r="H55" s="25" t="n">
        <f aca="false">F55+G55</f>
        <v>1029</v>
      </c>
      <c r="I55" s="26" t="n">
        <v>0.2</v>
      </c>
      <c r="J55" s="27" t="n">
        <f aca="false">H55*10/12</f>
        <v>857.5</v>
      </c>
      <c r="K55" s="24" t="n">
        <v>1592.8</v>
      </c>
      <c r="L55" s="28" t="n">
        <f aca="false">K55-J55</f>
        <v>735.3</v>
      </c>
      <c r="M55" s="29" t="n">
        <f aca="false">L55/J55*100</f>
        <v>85.7492711370262</v>
      </c>
      <c r="N55" s="24" t="n">
        <v>588</v>
      </c>
      <c r="O55" s="2" t="n">
        <f aca="false">L55*N55</f>
        <v>432356.4</v>
      </c>
    </row>
    <row r="56" customFormat="false" ht="38.25" hidden="false" customHeight="true" outlineLevel="0" collapsed="false">
      <c r="C56" s="49" t="s">
        <v>50</v>
      </c>
      <c r="D56" s="22" t="s">
        <v>76</v>
      </c>
      <c r="E56" s="31" t="s">
        <v>111</v>
      </c>
      <c r="F56" s="32" t="n">
        <v>2169.2</v>
      </c>
      <c r="G56" s="25" t="n">
        <f aca="false">F56*5/100</f>
        <v>108.46</v>
      </c>
      <c r="H56" s="25" t="n">
        <f aca="false">F56+G56</f>
        <v>2277.66</v>
      </c>
      <c r="I56" s="33"/>
      <c r="J56" s="27" t="n">
        <f aca="false">H56</f>
        <v>2277.66</v>
      </c>
      <c r="K56" s="32" t="n">
        <v>3506.253</v>
      </c>
      <c r="L56" s="28" t="n">
        <f aca="false">K56-J56</f>
        <v>1228.593</v>
      </c>
      <c r="M56" s="29" t="n">
        <f aca="false">L56/J56*100</f>
        <v>53.9410184136351</v>
      </c>
      <c r="N56" s="34"/>
      <c r="O56" s="2" t="n">
        <f aca="false">L56*N56</f>
        <v>0</v>
      </c>
    </row>
    <row r="57" customFormat="false" ht="36.75" hidden="false" customHeight="true" outlineLevel="0" collapsed="false">
      <c r="C57" s="49"/>
      <c r="D57" s="22" t="s">
        <v>72</v>
      </c>
      <c r="E57" s="31" t="s">
        <v>112</v>
      </c>
      <c r="F57" s="32" t="n">
        <v>1750</v>
      </c>
      <c r="G57" s="25" t="n">
        <f aca="false">F57*5/100</f>
        <v>87.5</v>
      </c>
      <c r="H57" s="25" t="n">
        <f aca="false">F57+G57</f>
        <v>1837.5</v>
      </c>
      <c r="I57" s="33"/>
      <c r="J57" s="27" t="n">
        <f aca="false">H57</f>
        <v>1837.5</v>
      </c>
      <c r="K57" s="32" t="n">
        <v>2905</v>
      </c>
      <c r="L57" s="28" t="n">
        <f aca="false">K57-J57</f>
        <v>1067.5</v>
      </c>
      <c r="M57" s="29" t="n">
        <f aca="false">L57/J57*100</f>
        <v>58.0952380952381</v>
      </c>
      <c r="N57" s="34" t="n">
        <v>280</v>
      </c>
      <c r="O57" s="2" t="n">
        <f aca="false">L57*N57</f>
        <v>298900</v>
      </c>
    </row>
    <row r="58" customFormat="false" ht="14.25" hidden="false" customHeight="true" outlineLevel="0" collapsed="false">
      <c r="O58" s="47" t="n">
        <f aca="false">SUM(O55:O57)</f>
        <v>731256.4</v>
      </c>
      <c r="P58" s="47" t="n">
        <f aca="false">SUM(N55:N57)*MAX(L55:L57)</f>
        <v>1066418.724</v>
      </c>
      <c r="Q58" s="47" t="n">
        <f aca="false">P58-O58</f>
        <v>335162.324</v>
      </c>
    </row>
    <row r="59" customFormat="false" ht="41.25" hidden="false" customHeight="true" outlineLevel="0" collapsed="false">
      <c r="B59" s="12" t="s">
        <v>31</v>
      </c>
      <c r="C59" s="12" t="s">
        <v>32</v>
      </c>
      <c r="D59" s="13" t="s">
        <v>33</v>
      </c>
      <c r="E59" s="12" t="s">
        <v>34</v>
      </c>
      <c r="F59" s="14" t="s">
        <v>35</v>
      </c>
      <c r="G59" s="14" t="s">
        <v>36</v>
      </c>
      <c r="H59" s="14" t="s">
        <v>37</v>
      </c>
      <c r="I59" s="15" t="s">
        <v>38</v>
      </c>
      <c r="J59" s="16" t="s">
        <v>39</v>
      </c>
      <c r="K59" s="14" t="s">
        <v>40</v>
      </c>
      <c r="L59" s="17" t="s">
        <v>41</v>
      </c>
      <c r="M59" s="14" t="s">
        <v>6</v>
      </c>
      <c r="N59" s="48" t="s">
        <v>42</v>
      </c>
    </row>
    <row r="60" customFormat="false" ht="35.25" hidden="false" customHeight="true" outlineLevel="0" collapsed="false">
      <c r="B60" s="20" t="s">
        <v>113</v>
      </c>
      <c r="C60" s="21" t="s">
        <v>114</v>
      </c>
      <c r="D60" s="22" t="s">
        <v>49</v>
      </c>
      <c r="E60" s="23"/>
      <c r="F60" s="24" t="n">
        <v>7932.34</v>
      </c>
      <c r="G60" s="25" t="n">
        <f aca="false">F60*5/100</f>
        <v>396.617</v>
      </c>
      <c r="H60" s="25" t="n">
        <f aca="false">F60+G60</f>
        <v>8328.957</v>
      </c>
      <c r="I60" s="26"/>
      <c r="J60" s="27" t="n">
        <f aca="false">H60</f>
        <v>8328.957</v>
      </c>
      <c r="K60" s="24" t="n">
        <v>11568</v>
      </c>
      <c r="L60" s="28" t="n">
        <f aca="false">K60-J60</f>
        <v>3239.043</v>
      </c>
      <c r="M60" s="29" t="n">
        <f aca="false">L60/J60*100</f>
        <v>38.8889389151607</v>
      </c>
      <c r="N60" s="24" t="n">
        <v>30</v>
      </c>
      <c r="O60" s="2" t="n">
        <f aca="false">L60*N60</f>
        <v>97171.29</v>
      </c>
    </row>
    <row r="61" customFormat="false" ht="36.75" hidden="false" customHeight="true" outlineLevel="0" collapsed="false">
      <c r="C61" s="49" t="s">
        <v>50</v>
      </c>
      <c r="D61" s="22" t="s">
        <v>98</v>
      </c>
      <c r="E61" s="31" t="s">
        <v>115</v>
      </c>
      <c r="F61" s="32" t="n">
        <v>7740</v>
      </c>
      <c r="G61" s="25" t="n">
        <f aca="false">F61*5/100</f>
        <v>387</v>
      </c>
      <c r="H61" s="25" t="n">
        <f aca="false">F61+G61</f>
        <v>8127</v>
      </c>
      <c r="I61" s="33"/>
      <c r="J61" s="27" t="n">
        <f aca="false">H61</f>
        <v>8127</v>
      </c>
      <c r="K61" s="32" t="n">
        <v>13700</v>
      </c>
      <c r="L61" s="28" t="n">
        <f aca="false">K61-J61</f>
        <v>5573</v>
      </c>
      <c r="M61" s="29" t="n">
        <f aca="false">L61/J61*100</f>
        <v>68.5738895041221</v>
      </c>
      <c r="N61" s="34"/>
      <c r="O61" s="2" t="n">
        <f aca="false">L61*N61</f>
        <v>0</v>
      </c>
    </row>
    <row r="62" customFormat="false" ht="36" hidden="false" customHeight="true" outlineLevel="0" collapsed="false">
      <c r="C62" s="49"/>
      <c r="D62" s="22" t="s">
        <v>94</v>
      </c>
      <c r="E62" s="31" t="s">
        <v>116</v>
      </c>
      <c r="F62" s="32" t="n">
        <v>2490</v>
      </c>
      <c r="G62" s="25" t="n">
        <f aca="false">F62*5/100</f>
        <v>124.5</v>
      </c>
      <c r="H62" s="25" t="n">
        <f aca="false">F62+G62</f>
        <v>2614.5</v>
      </c>
      <c r="I62" s="33"/>
      <c r="J62" s="27" t="n">
        <f aca="false">H62</f>
        <v>2614.5</v>
      </c>
      <c r="K62" s="32" t="n">
        <v>5950</v>
      </c>
      <c r="L62" s="28" t="n">
        <f aca="false">K62-J62</f>
        <v>3335.5</v>
      </c>
      <c r="M62" s="29" t="n">
        <f aca="false">L62/J62*100</f>
        <v>127.576974564926</v>
      </c>
      <c r="N62" s="34" t="n">
        <v>35</v>
      </c>
      <c r="O62" s="2" t="n">
        <f aca="false">L62*N62</f>
        <v>116742.5</v>
      </c>
    </row>
    <row r="63" customFormat="false" ht="14.25" hidden="false" customHeight="true" outlineLevel="0" collapsed="false">
      <c r="O63" s="47" t="n">
        <f aca="false">SUM(O60:O62)</f>
        <v>213913.79</v>
      </c>
      <c r="P63" s="47" t="n">
        <f aca="false">SUM(N60:N62)*MAX(L60:L62)</f>
        <v>362245</v>
      </c>
      <c r="Q63" s="47" t="n">
        <f aca="false">P63-O63</f>
        <v>148331.21</v>
      </c>
    </row>
    <row r="64" customFormat="false" ht="44.25" hidden="false" customHeight="true" outlineLevel="0" collapsed="false">
      <c r="B64" s="12" t="s">
        <v>31</v>
      </c>
      <c r="C64" s="12" t="s">
        <v>32</v>
      </c>
      <c r="D64" s="13" t="s">
        <v>33</v>
      </c>
      <c r="E64" s="12" t="s">
        <v>34</v>
      </c>
      <c r="F64" s="14" t="s">
        <v>35</v>
      </c>
      <c r="G64" s="14" t="s">
        <v>36</v>
      </c>
      <c r="H64" s="14" t="s">
        <v>37</v>
      </c>
      <c r="I64" s="15" t="s">
        <v>38</v>
      </c>
      <c r="J64" s="16" t="s">
        <v>39</v>
      </c>
      <c r="K64" s="14" t="s">
        <v>40</v>
      </c>
      <c r="L64" s="17" t="s">
        <v>41</v>
      </c>
      <c r="M64" s="14" t="s">
        <v>6</v>
      </c>
      <c r="N64" s="48" t="s">
        <v>42</v>
      </c>
    </row>
    <row r="65" customFormat="false" ht="40.5" hidden="false" customHeight="true" outlineLevel="0" collapsed="false">
      <c r="B65" s="20" t="s">
        <v>117</v>
      </c>
      <c r="C65" s="21" t="s">
        <v>118</v>
      </c>
      <c r="D65" s="22" t="s">
        <v>93</v>
      </c>
      <c r="E65" s="23"/>
      <c r="F65" s="24" t="n">
        <v>6839</v>
      </c>
      <c r="G65" s="25" t="n">
        <f aca="false">F65*5/100</f>
        <v>341.95</v>
      </c>
      <c r="H65" s="25" t="n">
        <f aca="false">F65+G65</f>
        <v>7180.95</v>
      </c>
      <c r="I65" s="26"/>
      <c r="J65" s="27" t="n">
        <f aca="false">H65</f>
        <v>7180.95</v>
      </c>
      <c r="K65" s="24" t="n">
        <v>8323.87</v>
      </c>
      <c r="L65" s="28" t="n">
        <f aca="false">K65-J65</f>
        <v>1142.92</v>
      </c>
      <c r="M65" s="29" t="n">
        <f aca="false">L65/J65*100</f>
        <v>15.9159999721485</v>
      </c>
      <c r="N65" s="24" t="n">
        <v>48</v>
      </c>
      <c r="O65" s="2" t="n">
        <f aca="false">L65*N65</f>
        <v>54860.1600000001</v>
      </c>
    </row>
    <row r="66" customFormat="false" ht="48" hidden="false" customHeight="true" outlineLevel="0" collapsed="false">
      <c r="C66" s="49" t="s">
        <v>50</v>
      </c>
      <c r="D66" s="22" t="s">
        <v>119</v>
      </c>
      <c r="E66" s="31" t="s">
        <v>120</v>
      </c>
      <c r="F66" s="32" t="n">
        <v>5160</v>
      </c>
      <c r="G66" s="25" t="n">
        <f aca="false">F66*5/100</f>
        <v>258</v>
      </c>
      <c r="H66" s="25" t="n">
        <f aca="false">F66+G66</f>
        <v>5418</v>
      </c>
      <c r="I66" s="33"/>
      <c r="J66" s="27" t="n">
        <f aca="false">H66</f>
        <v>5418</v>
      </c>
      <c r="K66" s="32" t="n">
        <v>8320</v>
      </c>
      <c r="L66" s="28" t="n">
        <f aca="false">K66-J66</f>
        <v>2902</v>
      </c>
      <c r="M66" s="29" t="n">
        <f aca="false">L66/J66*100</f>
        <v>53.562200073828</v>
      </c>
      <c r="N66" s="34" t="n">
        <v>36</v>
      </c>
      <c r="O66" s="2" t="n">
        <f aca="false">L66*N66</f>
        <v>104472</v>
      </c>
    </row>
    <row r="67" customFormat="false" ht="14.25" hidden="false" customHeight="true" outlineLevel="0" collapsed="false">
      <c r="O67" s="47" t="n">
        <f aca="false">SUM(O65:O66)</f>
        <v>159332.16</v>
      </c>
      <c r="P67" s="47" t="n">
        <f aca="false">SUM(N65:N66)*MAX(L65:L66)</f>
        <v>243768</v>
      </c>
      <c r="Q67" s="47" t="n">
        <f aca="false">P67-O67</f>
        <v>84435.84</v>
      </c>
    </row>
    <row r="68" customFormat="false" ht="42.75" hidden="false" customHeight="true" outlineLevel="0" collapsed="false">
      <c r="B68" s="12" t="s">
        <v>31</v>
      </c>
      <c r="C68" s="12" t="s">
        <v>32</v>
      </c>
      <c r="D68" s="13" t="s">
        <v>33</v>
      </c>
      <c r="E68" s="12" t="s">
        <v>34</v>
      </c>
      <c r="F68" s="14" t="s">
        <v>35</v>
      </c>
      <c r="G68" s="14" t="s">
        <v>36</v>
      </c>
      <c r="H68" s="14" t="s">
        <v>37</v>
      </c>
      <c r="I68" s="15" t="s">
        <v>38</v>
      </c>
      <c r="J68" s="16" t="s">
        <v>39</v>
      </c>
      <c r="K68" s="14" t="s">
        <v>40</v>
      </c>
      <c r="L68" s="17" t="s">
        <v>41</v>
      </c>
      <c r="M68" s="14" t="s">
        <v>6</v>
      </c>
      <c r="N68" s="18" t="s">
        <v>42</v>
      </c>
    </row>
    <row r="69" customFormat="false" ht="43.5" hidden="false" customHeight="true" outlineLevel="0" collapsed="false">
      <c r="B69" s="20" t="s">
        <v>121</v>
      </c>
      <c r="C69" s="21" t="s">
        <v>122</v>
      </c>
      <c r="D69" s="22" t="s">
        <v>123</v>
      </c>
      <c r="E69" s="23"/>
      <c r="F69" s="24" t="n">
        <v>950</v>
      </c>
      <c r="G69" s="25" t="n">
        <f aca="false">F69*5/100</f>
        <v>47.5</v>
      </c>
      <c r="H69" s="25" t="n">
        <f aca="false">F69+G69</f>
        <v>997.5</v>
      </c>
      <c r="I69" s="26"/>
      <c r="J69" s="27" t="n">
        <f aca="false">H69</f>
        <v>997.5</v>
      </c>
      <c r="K69" s="24" t="n">
        <v>2250</v>
      </c>
      <c r="L69" s="28" t="n">
        <f aca="false">K69-J69</f>
        <v>1252.5</v>
      </c>
      <c r="M69" s="29" t="n">
        <f aca="false">L69/J69*100</f>
        <v>125.563909774436</v>
      </c>
      <c r="N69" s="24" t="n">
        <v>280</v>
      </c>
      <c r="O69" s="2" t="n">
        <f aca="false">L69*N69</f>
        <v>350700</v>
      </c>
    </row>
    <row r="70" customFormat="false" ht="49.5" hidden="false" customHeight="true" outlineLevel="0" collapsed="false">
      <c r="C70" s="49" t="s">
        <v>50</v>
      </c>
      <c r="D70" s="22" t="s">
        <v>124</v>
      </c>
      <c r="E70" s="31" t="s">
        <v>125</v>
      </c>
      <c r="F70" s="32" t="n">
        <v>1900</v>
      </c>
      <c r="G70" s="25" t="n">
        <f aca="false">F70*5/100</f>
        <v>95</v>
      </c>
      <c r="H70" s="25" t="n">
        <f aca="false">F70+G70</f>
        <v>1995</v>
      </c>
      <c r="I70" s="33"/>
      <c r="J70" s="27" t="n">
        <f aca="false">H70</f>
        <v>1995</v>
      </c>
      <c r="K70" s="32" t="n">
        <v>3424.92</v>
      </c>
      <c r="L70" s="28" t="n">
        <f aca="false">K70-J70</f>
        <v>1429.92</v>
      </c>
      <c r="M70" s="29" t="n">
        <f aca="false">L70/J70*100</f>
        <v>71.6751879699248</v>
      </c>
      <c r="N70" s="34" t="n">
        <v>75</v>
      </c>
      <c r="O70" s="2" t="n">
        <f aca="false">L70*N70</f>
        <v>107244</v>
      </c>
    </row>
    <row r="71" customFormat="false" ht="14.25" hidden="false" customHeight="true" outlineLevel="0" collapsed="false">
      <c r="N71" s="45"/>
      <c r="O71" s="47" t="n">
        <f aca="false">SUM(O69:O70)</f>
        <v>457944</v>
      </c>
      <c r="P71" s="47" t="n">
        <f aca="false">SUM(N69:N70)*MAX(L69:L70)</f>
        <v>507621.6</v>
      </c>
      <c r="Q71" s="47" t="n">
        <f aca="false">P71-O71</f>
        <v>49677.6</v>
      </c>
    </row>
    <row r="72" customFormat="false" ht="43.5" hidden="false" customHeight="true" outlineLevel="0" collapsed="false">
      <c r="B72" s="12" t="s">
        <v>31</v>
      </c>
      <c r="C72" s="12" t="s">
        <v>32</v>
      </c>
      <c r="D72" s="13" t="s">
        <v>33</v>
      </c>
      <c r="E72" s="12" t="s">
        <v>34</v>
      </c>
      <c r="F72" s="14" t="s">
        <v>35</v>
      </c>
      <c r="G72" s="14" t="s">
        <v>36</v>
      </c>
      <c r="H72" s="14" t="s">
        <v>37</v>
      </c>
      <c r="I72" s="15" t="s">
        <v>38</v>
      </c>
      <c r="J72" s="16" t="s">
        <v>39</v>
      </c>
      <c r="K72" s="14" t="s">
        <v>40</v>
      </c>
      <c r="L72" s="17" t="s">
        <v>41</v>
      </c>
      <c r="M72" s="14" t="s">
        <v>6</v>
      </c>
      <c r="N72" s="18" t="s">
        <v>42</v>
      </c>
    </row>
    <row r="73" customFormat="false" ht="46.5" hidden="false" customHeight="true" outlineLevel="0" collapsed="false">
      <c r="B73" s="20" t="s">
        <v>126</v>
      </c>
      <c r="C73" s="21" t="s">
        <v>127</v>
      </c>
      <c r="D73" s="22" t="s">
        <v>93</v>
      </c>
      <c r="E73" s="23"/>
      <c r="F73" s="24" t="n">
        <v>39.49</v>
      </c>
      <c r="G73" s="25" t="n">
        <f aca="false">F73*5/100</f>
        <v>1.9745</v>
      </c>
      <c r="H73" s="25" t="n">
        <f aca="false">F73+G73</f>
        <v>41.4645</v>
      </c>
      <c r="I73" s="26"/>
      <c r="J73" s="27" t="n">
        <f aca="false">H73</f>
        <v>41.4645</v>
      </c>
      <c r="K73" s="24" t="n">
        <v>67.756</v>
      </c>
      <c r="L73" s="28" t="n">
        <f aca="false">K73-J73</f>
        <v>26.2915</v>
      </c>
      <c r="M73" s="29" t="n">
        <f aca="false">L73/J73*100</f>
        <v>63.4072519866392</v>
      </c>
      <c r="N73" s="24" t="n">
        <v>15300</v>
      </c>
      <c r="O73" s="2" t="n">
        <f aca="false">L73*N73</f>
        <v>402259.95</v>
      </c>
    </row>
    <row r="74" customFormat="false" ht="39.75" hidden="false" customHeight="true" outlineLevel="0" collapsed="false">
      <c r="C74" s="49" t="s">
        <v>50</v>
      </c>
      <c r="D74" s="22" t="s">
        <v>128</v>
      </c>
      <c r="E74" s="31" t="s">
        <v>129</v>
      </c>
      <c r="F74" s="32" t="n">
        <v>28.16</v>
      </c>
      <c r="G74" s="25" t="n">
        <f aca="false">F74*5/100</f>
        <v>1.408</v>
      </c>
      <c r="H74" s="25" t="n">
        <f aca="false">F74+G74</f>
        <v>29.568</v>
      </c>
      <c r="I74" s="33"/>
      <c r="J74" s="27" t="n">
        <f aca="false">H74</f>
        <v>29.568</v>
      </c>
      <c r="K74" s="32" t="n">
        <v>46.2</v>
      </c>
      <c r="L74" s="28" t="n">
        <f aca="false">K74-J74</f>
        <v>16.632</v>
      </c>
      <c r="M74" s="29" t="n">
        <f aca="false">L74/J74*100</f>
        <v>56.25</v>
      </c>
      <c r="N74" s="34" t="n">
        <v>3300</v>
      </c>
      <c r="O74" s="2" t="n">
        <f aca="false">L74*N74</f>
        <v>54885.6</v>
      </c>
    </row>
    <row r="75" customFormat="false" ht="39.75" hidden="false" customHeight="true" outlineLevel="0" collapsed="false">
      <c r="C75" s="49"/>
      <c r="D75" s="24" t="s">
        <v>98</v>
      </c>
      <c r="E75" s="31" t="s">
        <v>130</v>
      </c>
      <c r="F75" s="32" t="n">
        <v>36.06</v>
      </c>
      <c r="G75" s="25" t="n">
        <f aca="false">F75*5/100</f>
        <v>1.803</v>
      </c>
      <c r="H75" s="25" t="n">
        <f aca="false">F75+G75</f>
        <v>37.863</v>
      </c>
      <c r="I75" s="33" t="n">
        <v>0.2</v>
      </c>
      <c r="J75" s="27" t="n">
        <f aca="false">H75*10/12</f>
        <v>31.5525</v>
      </c>
      <c r="K75" s="32" t="n">
        <v>47.334</v>
      </c>
      <c r="L75" s="28" t="n">
        <f aca="false">K75-J75</f>
        <v>15.7815</v>
      </c>
      <c r="M75" s="29" t="n">
        <f aca="false">L75/J75*100</f>
        <v>50.0166389351082</v>
      </c>
      <c r="N75" s="35" t="n">
        <v>1080</v>
      </c>
      <c r="O75" s="2" t="n">
        <f aca="false">L75*N75</f>
        <v>17044.02</v>
      </c>
    </row>
    <row r="76" customFormat="false" ht="14.25" hidden="false" customHeight="true" outlineLevel="0" collapsed="false">
      <c r="N76" s="45"/>
      <c r="O76" s="47" t="n">
        <f aca="false">SUM(O73:O75)</f>
        <v>474189.57</v>
      </c>
      <c r="P76" s="47" t="n">
        <f aca="false">SUM(N73:N75)*MAX(L73:L75)</f>
        <v>517416.72</v>
      </c>
      <c r="Q76" s="47" t="n">
        <f aca="false">P76-O76</f>
        <v>43227.1499999999</v>
      </c>
    </row>
    <row r="77" customFormat="false" ht="43.5" hidden="false" customHeight="true" outlineLevel="0" collapsed="false">
      <c r="B77" s="12" t="s">
        <v>31</v>
      </c>
      <c r="C77" s="12" t="s">
        <v>32</v>
      </c>
      <c r="D77" s="13" t="s">
        <v>33</v>
      </c>
      <c r="E77" s="12" t="s">
        <v>34</v>
      </c>
      <c r="F77" s="14" t="s">
        <v>35</v>
      </c>
      <c r="G77" s="14" t="s">
        <v>36</v>
      </c>
      <c r="H77" s="14" t="s">
        <v>37</v>
      </c>
      <c r="I77" s="15" t="s">
        <v>38</v>
      </c>
      <c r="J77" s="16" t="s">
        <v>39</v>
      </c>
      <c r="K77" s="14" t="s">
        <v>40</v>
      </c>
      <c r="L77" s="17" t="s">
        <v>41</v>
      </c>
      <c r="M77" s="14" t="s">
        <v>6</v>
      </c>
      <c r="N77" s="18" t="s">
        <v>42</v>
      </c>
    </row>
    <row r="78" customFormat="false" ht="40.5" hidden="false" customHeight="true" outlineLevel="0" collapsed="false">
      <c r="B78" s="20" t="s">
        <v>131</v>
      </c>
      <c r="C78" s="21" t="s">
        <v>132</v>
      </c>
      <c r="D78" s="22" t="s">
        <v>81</v>
      </c>
      <c r="E78" s="23"/>
      <c r="F78" s="24" t="n">
        <v>76.5</v>
      </c>
      <c r="G78" s="25" t="n">
        <f aca="false">F78*5/100</f>
        <v>3.825</v>
      </c>
      <c r="H78" s="25" t="n">
        <f aca="false">F78+G78</f>
        <v>80.325</v>
      </c>
      <c r="I78" s="26"/>
      <c r="J78" s="27" t="n">
        <f aca="false">H78</f>
        <v>80.325</v>
      </c>
      <c r="K78" s="24" t="n">
        <v>302.8</v>
      </c>
      <c r="L78" s="28" t="n">
        <f aca="false">K78-J78</f>
        <v>222.475</v>
      </c>
      <c r="M78" s="29" t="n">
        <f aca="false">L78/J78*100</f>
        <v>276.968565203859</v>
      </c>
      <c r="N78" s="24" t="n">
        <v>10000</v>
      </c>
      <c r="O78" s="2" t="n">
        <f aca="false">L78*N78</f>
        <v>2224750</v>
      </c>
    </row>
    <row r="79" customFormat="false" ht="28.5" hidden="false" customHeight="true" outlineLevel="0" collapsed="false">
      <c r="C79" s="49" t="s">
        <v>50</v>
      </c>
      <c r="D79" s="22" t="s">
        <v>133</v>
      </c>
      <c r="E79" s="31" t="s">
        <v>134</v>
      </c>
      <c r="F79" s="32" t="n">
        <v>21</v>
      </c>
      <c r="G79" s="25" t="n">
        <f aca="false">F79*5/100</f>
        <v>1.05</v>
      </c>
      <c r="H79" s="25" t="n">
        <f aca="false">F79+G79</f>
        <v>22.05</v>
      </c>
      <c r="I79" s="33"/>
      <c r="J79" s="27" t="n">
        <f aca="false">H79</f>
        <v>22.05</v>
      </c>
      <c r="K79" s="32" t="n">
        <v>246</v>
      </c>
      <c r="L79" s="28" t="n">
        <f aca="false">K79-J79</f>
        <v>223.95</v>
      </c>
      <c r="M79" s="29" t="n">
        <f aca="false">L79/J79*100</f>
        <v>1015.6462585034</v>
      </c>
      <c r="N79" s="34" t="n">
        <v>150</v>
      </c>
      <c r="O79" s="2" t="n">
        <f aca="false">L79*N79</f>
        <v>33592.5</v>
      </c>
    </row>
    <row r="80" customFormat="false" ht="28.5" hidden="false" customHeight="true" outlineLevel="0" collapsed="false">
      <c r="C80" s="49"/>
      <c r="D80" s="24" t="s">
        <v>135</v>
      </c>
      <c r="E80" s="31" t="s">
        <v>136</v>
      </c>
      <c r="F80" s="32" t="n">
        <v>57.14</v>
      </c>
      <c r="G80" s="25" t="n">
        <f aca="false">F80*5/100</f>
        <v>2.857</v>
      </c>
      <c r="H80" s="25" t="n">
        <f aca="false">F80+G80</f>
        <v>59.997</v>
      </c>
      <c r="I80" s="33"/>
      <c r="J80" s="27" t="n">
        <f aca="false">H80</f>
        <v>59.997</v>
      </c>
      <c r="K80" s="32" t="n">
        <v>325</v>
      </c>
      <c r="L80" s="28" t="n">
        <f aca="false">K80-J80</f>
        <v>265.003</v>
      </c>
      <c r="M80" s="29" t="n">
        <f aca="false">L80/J80*100</f>
        <v>441.693751354234</v>
      </c>
      <c r="N80" s="35" t="n">
        <v>60</v>
      </c>
      <c r="O80" s="2" t="n">
        <f aca="false">L80*N80</f>
        <v>15900.18</v>
      </c>
    </row>
    <row r="81" customFormat="false" ht="14.25" hidden="false" customHeight="true" outlineLevel="0" collapsed="false">
      <c r="O81" s="47" t="n">
        <f aca="false">SUM(O78:O80)</f>
        <v>2274242.68</v>
      </c>
      <c r="P81" s="47" t="n">
        <f aca="false">SUM(N78:N80)*MAX(L78:L80)</f>
        <v>2705680.63</v>
      </c>
      <c r="Q81" s="47" t="n">
        <f aca="false">P81-O81</f>
        <v>431437.95</v>
      </c>
    </row>
    <row r="83" customFormat="false" ht="14.25" hidden="false" customHeight="true" outlineLevel="0" collapsed="false">
      <c r="D83" s="1" t="n">
        <f aca="false">COUNTA(D2:D47)</f>
        <v>36</v>
      </c>
      <c r="N83" s="1" t="s">
        <v>137</v>
      </c>
      <c r="Q83" s="47" t="n">
        <f aca="false">_xlfn.AGGREGATE(9,5,Q2:Q82)</f>
        <v>3882147.8065</v>
      </c>
    </row>
    <row r="85" customFormat="false" ht="14.25" hidden="false" customHeight="true" outlineLevel="0" collapsed="false">
      <c r="N85" s="1" t="s">
        <v>138</v>
      </c>
      <c r="Q85" s="47" t="n">
        <f aca="false">Q83*12</f>
        <v>46585773.678</v>
      </c>
    </row>
  </sheetData>
  <autoFilter ref="A1:Q82"/>
  <mergeCells count="8">
    <mergeCell ref="C3:C6"/>
    <mergeCell ref="C16:C21"/>
    <mergeCell ref="C29:C30"/>
    <mergeCell ref="C46:C47"/>
    <mergeCell ref="C56:C57"/>
    <mergeCell ref="C61:C62"/>
    <mergeCell ref="C74:C75"/>
    <mergeCell ref="C79:C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.77"/>
    <col collapsed="false" customWidth="true" hidden="false" outlineLevel="0" max="2" min="2" style="1" width="4.44"/>
    <col collapsed="false" customWidth="true" hidden="false" outlineLevel="0" max="3" min="3" style="1" width="53.11"/>
    <col collapsed="false" customWidth="true" hidden="false" outlineLevel="0" max="4" min="4" style="2" width="16.77"/>
    <col collapsed="false" customWidth="true" hidden="false" outlineLevel="0" max="5" min="5" style="1" width="4.33"/>
    <col collapsed="false" customWidth="true" hidden="false" outlineLevel="0" max="7" min="7" style="1" width="11.33"/>
  </cols>
  <sheetData>
    <row r="1" customFormat="false" ht="18" hidden="false" customHeight="true" outlineLevel="0" collapsed="false">
      <c r="C1" s="73" t="s">
        <v>139</v>
      </c>
    </row>
    <row r="2" customFormat="false" ht="14.25" hidden="false" customHeight="true" outlineLevel="0" collapsed="false">
      <c r="C2" s="1" t="s">
        <v>140</v>
      </c>
    </row>
    <row r="4" customFormat="false" ht="42.75" hidden="false" customHeight="true" outlineLevel="0" collapsed="false">
      <c r="B4" s="4" t="s">
        <v>141</v>
      </c>
      <c r="C4" s="4" t="s">
        <v>142</v>
      </c>
      <c r="D4" s="4" t="s">
        <v>143</v>
      </c>
      <c r="E4" s="4" t="s">
        <v>6</v>
      </c>
      <c r="F4" s="4" t="s">
        <v>7</v>
      </c>
      <c r="G4" s="74" t="s">
        <v>144</v>
      </c>
    </row>
    <row r="5" customFormat="false" ht="14.25" hidden="false" customHeight="true" outlineLevel="0" collapsed="false">
      <c r="B5" s="1" t="n">
        <v>1</v>
      </c>
      <c r="C5" s="1" t="s">
        <v>145</v>
      </c>
      <c r="D5" s="6" t="n">
        <v>83197551.7219999</v>
      </c>
      <c r="E5" s="7" t="n">
        <v>0.06690140676598</v>
      </c>
      <c r="F5" s="7" t="n">
        <v>0.06690140676598</v>
      </c>
      <c r="G5" s="6" t="n">
        <f aca="false">D5*0.5%</f>
        <v>415987.75861</v>
      </c>
    </row>
    <row r="6" customFormat="false" ht="14.25" hidden="false" customHeight="true" outlineLevel="0" collapsed="false">
      <c r="B6" s="1" t="n">
        <v>2</v>
      </c>
      <c r="C6" s="1" t="s">
        <v>146</v>
      </c>
      <c r="D6" s="6" t="n">
        <v>50470929.2407999</v>
      </c>
      <c r="E6" s="7" t="n">
        <v>0.0405850424334407</v>
      </c>
      <c r="F6" s="7" t="n">
        <v>0.107486449199421</v>
      </c>
      <c r="G6" s="6" t="n">
        <f aca="false">D6*0.5%</f>
        <v>252354.646204</v>
      </c>
    </row>
    <row r="7" customFormat="false" ht="14.25" hidden="false" customHeight="true" outlineLevel="0" collapsed="false">
      <c r="B7" s="1" t="n">
        <v>3</v>
      </c>
      <c r="C7" s="1" t="s">
        <v>147</v>
      </c>
      <c r="D7" s="6" t="n">
        <v>49541518.0443</v>
      </c>
      <c r="E7" s="7" t="n">
        <v>0.0398376776946602</v>
      </c>
      <c r="F7" s="7" t="n">
        <v>0.147324126894081</v>
      </c>
      <c r="G7" s="6" t="n">
        <f aca="false">D7*0.5%</f>
        <v>247707.5902215</v>
      </c>
    </row>
    <row r="8" customFormat="false" ht="14.25" hidden="false" customHeight="true" outlineLevel="0" collapsed="false">
      <c r="B8" s="1" t="n">
        <v>4</v>
      </c>
      <c r="C8" s="1" t="s">
        <v>148</v>
      </c>
      <c r="D8" s="6" t="n">
        <v>40028191.453</v>
      </c>
      <c r="E8" s="7" t="n">
        <v>0.0321877538830935</v>
      </c>
      <c r="F8" s="7" t="n">
        <v>0.179511880777174</v>
      </c>
      <c r="G8" s="6" t="n">
        <f aca="false">D8*0.5%</f>
        <v>200140.957265</v>
      </c>
    </row>
    <row r="9" customFormat="false" ht="14.25" hidden="false" customHeight="true" outlineLevel="0" collapsed="false">
      <c r="B9" s="1" t="n">
        <v>5</v>
      </c>
      <c r="C9" s="1" t="s">
        <v>149</v>
      </c>
      <c r="D9" s="6" t="n">
        <v>35277500.3388001</v>
      </c>
      <c r="E9" s="7" t="n">
        <v>0.0283675943703158</v>
      </c>
      <c r="F9" s="7" t="n">
        <v>0.20787947514749</v>
      </c>
      <c r="G9" s="6" t="n">
        <f aca="false">D9*0.5%</f>
        <v>176387.501694001</v>
      </c>
    </row>
    <row r="10" customFormat="false" ht="14.25" hidden="false" customHeight="true" outlineLevel="0" collapsed="false">
      <c r="B10" s="1" t="n">
        <v>6</v>
      </c>
      <c r="C10" s="1" t="s">
        <v>150</v>
      </c>
      <c r="D10" s="6" t="n">
        <v>30371518.5</v>
      </c>
      <c r="E10" s="7" t="n">
        <v>0.0244225613760662</v>
      </c>
      <c r="F10" s="7" t="n">
        <v>0.232302036523556</v>
      </c>
      <c r="G10" s="6" t="n">
        <f aca="false">D10*0.5%</f>
        <v>151857.5925</v>
      </c>
    </row>
    <row r="11" customFormat="false" ht="14.25" hidden="false" customHeight="true" outlineLevel="0" collapsed="false">
      <c r="B11" s="1" t="n">
        <v>7</v>
      </c>
      <c r="C11" s="1" t="s">
        <v>151</v>
      </c>
      <c r="D11" s="6" t="n">
        <v>30029234.13</v>
      </c>
      <c r="E11" s="7" t="n">
        <v>0.0241473212350639</v>
      </c>
      <c r="F11" s="7" t="n">
        <v>0.25644935775862</v>
      </c>
      <c r="G11" s="6" t="n">
        <f aca="false">D11*0.5%</f>
        <v>150146.17065</v>
      </c>
    </row>
    <row r="12" customFormat="false" ht="14.25" hidden="false" customHeight="true" outlineLevel="0" collapsed="false">
      <c r="B12" s="1" t="n">
        <v>8</v>
      </c>
      <c r="C12" s="1" t="s">
        <v>152</v>
      </c>
      <c r="D12" s="6" t="n">
        <v>27677161.3775</v>
      </c>
      <c r="E12" s="7" t="n">
        <v>0.0222559557717631</v>
      </c>
      <c r="F12" s="7" t="n">
        <v>0.278705313530383</v>
      </c>
      <c r="G12" s="6" t="n">
        <f aca="false">D12*0.5%</f>
        <v>138385.8068875</v>
      </c>
    </row>
    <row r="13" customFormat="false" ht="14.25" hidden="false" customHeight="true" outlineLevel="0" collapsed="false">
      <c r="B13" s="1" t="n">
        <v>9</v>
      </c>
      <c r="C13" s="1" t="s">
        <v>153</v>
      </c>
      <c r="D13" s="6" t="n">
        <v>26534440.828</v>
      </c>
      <c r="E13" s="7" t="n">
        <v>0.0213370631995706</v>
      </c>
      <c r="F13" s="7" t="n">
        <v>0.300042376729954</v>
      </c>
      <c r="G13" s="6" t="n">
        <f aca="false">D13*0.5%</f>
        <v>132672.20414</v>
      </c>
    </row>
    <row r="14" customFormat="false" ht="14.25" hidden="false" customHeight="true" outlineLevel="0" collapsed="false">
      <c r="B14" s="1" t="n">
        <v>10</v>
      </c>
      <c r="C14" s="1" t="s">
        <v>154</v>
      </c>
      <c r="D14" s="6" t="n">
        <v>24686837.3</v>
      </c>
      <c r="E14" s="7" t="n">
        <v>0.0198513551154912</v>
      </c>
      <c r="F14" s="7" t="n">
        <v>0.319893731845445</v>
      </c>
      <c r="G14" s="6" t="n">
        <f aca="false">D14*0.5%</f>
        <v>123434.1865</v>
      </c>
    </row>
    <row r="15" customFormat="false" ht="14.25" hidden="false" customHeight="true" outlineLevel="0" collapsed="false">
      <c r="D15" s="9" t="n">
        <f aca="false">SUM(D5:D14)</f>
        <v>397814882.9344</v>
      </c>
      <c r="G15" s="9" t="n">
        <f aca="false">SUM(G5:G14)</f>
        <v>1989074.414672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.88"/>
    <col collapsed="false" customWidth="true" hidden="false" outlineLevel="0" max="2" min="2" style="1" width="58.44"/>
    <col collapsed="false" customWidth="true" hidden="false" outlineLevel="0" max="3" min="3" style="1" width="12.11"/>
    <col collapsed="false" customWidth="true" hidden="false" outlineLevel="0" max="4" min="4" style="1" width="4.33"/>
  </cols>
  <sheetData>
    <row r="3" customFormat="false" ht="18" hidden="false" customHeight="true" outlineLevel="0" collapsed="false">
      <c r="B3" s="75" t="s">
        <v>155</v>
      </c>
      <c r="C3" s="11" t="s">
        <v>156</v>
      </c>
    </row>
    <row r="4" customFormat="false" ht="18" hidden="false" customHeight="true" outlineLevel="0" collapsed="false">
      <c r="B4" s="75" t="s">
        <v>157</v>
      </c>
      <c r="C4" s="10" t="n">
        <v>0.285</v>
      </c>
    </row>
    <row r="5" customFormat="false" ht="18" hidden="false" customHeight="true" outlineLevel="0" collapsed="false">
      <c r="B5" s="76" t="s">
        <v>158</v>
      </c>
      <c r="C5" s="10" t="n">
        <v>-0.005</v>
      </c>
    </row>
    <row r="6" customFormat="false" ht="18" hidden="false" customHeight="true" outlineLevel="0" collapsed="false">
      <c r="B6" s="76" t="s">
        <v>159</v>
      </c>
      <c r="C6" s="10" t="n">
        <v>-0.005</v>
      </c>
    </row>
    <row r="7" customFormat="false" ht="36" hidden="false" customHeight="true" outlineLevel="0" collapsed="false">
      <c r="B7" s="76" t="s">
        <v>160</v>
      </c>
      <c r="C7" s="10" t="n">
        <v>-0.005</v>
      </c>
    </row>
    <row r="8" customFormat="false" ht="18" hidden="false" customHeight="true" outlineLevel="0" collapsed="false">
      <c r="B8" s="76" t="s">
        <v>161</v>
      </c>
      <c r="C8" s="10" t="n">
        <v>-0.005</v>
      </c>
    </row>
    <row r="9" customFormat="false" ht="14.25" hidden="false" customHeight="true" outlineLevel="0" collapsed="false">
      <c r="B9" s="77" t="s">
        <v>162</v>
      </c>
    </row>
    <row r="10" customFormat="false" ht="14.25" hidden="false" customHeight="true" outlineLevel="0" collapsed="false">
      <c r="B10" s="77" t="s">
        <v>163</v>
      </c>
    </row>
    <row r="11" customFormat="false" ht="14.25" hidden="false" customHeight="true" outlineLevel="0" collapsed="false">
      <c r="B11" s="77" t="s">
        <v>164</v>
      </c>
    </row>
    <row r="12" customFormat="false" ht="14.25" hidden="false" customHeight="true" outlineLevel="0" collapsed="false">
      <c r="B12" s="78" t="s">
        <v>165</v>
      </c>
      <c r="C12" s="79" t="n">
        <f aca="false">SUM(C4:C11)</f>
        <v>0.265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G15" activeCellId="0" sqref="G15"/>
    </sheetView>
  </sheetViews>
  <sheetFormatPr defaultColWidth="14.4453125" defaultRowHeight="15" zeroHeight="false" outlineLevelRow="0" outlineLevelCol="0"/>
  <cols>
    <col collapsed="false" customWidth="true" hidden="false" outlineLevel="0" max="1" min="1" style="80" width="6"/>
    <col collapsed="false" customWidth="true" hidden="false" outlineLevel="0" max="2" min="2" style="80" width="38.21"/>
    <col collapsed="false" customWidth="true" hidden="false" outlineLevel="0" max="3" min="3" style="80" width="8.22"/>
    <col collapsed="false" customWidth="true" hidden="true" outlineLevel="0" max="4" min="4" style="80" width="13.22"/>
    <col collapsed="false" customWidth="true" hidden="false" outlineLevel="0" max="5" min="5" style="80" width="13.22"/>
    <col collapsed="false" customWidth="true" hidden="false" outlineLevel="0" max="6" min="6" style="80" width="12.11"/>
    <col collapsed="false" customWidth="true" hidden="false" outlineLevel="0" max="7" min="7" style="80" width="21.33"/>
    <col collapsed="false" customWidth="true" hidden="false" outlineLevel="0" max="8" min="8" style="80" width="32.34"/>
    <col collapsed="false" customWidth="true" hidden="false" outlineLevel="0" max="9" min="9" style="80" width="9.21"/>
    <col collapsed="false" customWidth="true" hidden="false" outlineLevel="0" max="10" min="10" style="80" width="10.44"/>
    <col collapsed="false" customWidth="true" hidden="false" outlineLevel="0" max="11" min="11" style="80" width="8.76"/>
    <col collapsed="false" customWidth="true" hidden="false" outlineLevel="0" max="12" min="12" style="80" width="15.22"/>
    <col collapsed="false" customWidth="true" hidden="false" outlineLevel="0" max="13" min="13" style="80" width="8.76"/>
    <col collapsed="false" customWidth="false" hidden="false" outlineLevel="0" max="16384" min="14" style="80" width="14.44"/>
  </cols>
  <sheetData>
    <row r="1" customFormat="false" ht="15" hidden="false" customHeight="true" outlineLevel="0" collapsed="false">
      <c r="A1" s="80" t="s">
        <v>166</v>
      </c>
      <c r="B1" s="80" t="s">
        <v>167</v>
      </c>
    </row>
    <row r="2" customFormat="false" ht="15" hidden="false" customHeight="true" outlineLevel="0" collapsed="false">
      <c r="B2" s="80" t="s">
        <v>168</v>
      </c>
    </row>
    <row r="6" customFormat="false" ht="14.25" hidden="false" customHeight="true" outlineLevel="0" collapsed="false">
      <c r="A6" s="80" t="s">
        <v>169</v>
      </c>
      <c r="B6" s="80" t="s">
        <v>170</v>
      </c>
    </row>
    <row r="7" customFormat="false" ht="14.25" hidden="false" customHeight="true" outlineLevel="0" collapsed="false">
      <c r="B7" s="81" t="s">
        <v>171</v>
      </c>
      <c r="C7" s="81" t="n">
        <f aca="false">SUM(C9:C80)</f>
        <v>1624</v>
      </c>
      <c r="D7" s="82" t="n">
        <f aca="false">SUM(D9:D80)</f>
        <v>525.68209551624</v>
      </c>
      <c r="E7" s="82" t="n">
        <f aca="false">SUM(E9:E80)</f>
        <v>6308.18514619488</v>
      </c>
      <c r="F7" s="82"/>
      <c r="I7" s="83" t="n">
        <f aca="false">SUM(I9:I80)</f>
        <v>759</v>
      </c>
      <c r="J7" s="82" t="n">
        <f aca="false">SUM(J9:J80)</f>
        <v>2847.42653735639</v>
      </c>
      <c r="K7" s="82" t="n">
        <f aca="false">SUM(K9:K80)</f>
        <v>470.883462262332</v>
      </c>
    </row>
    <row r="8" customFormat="false" ht="27" hidden="false" customHeight="true" outlineLevel="0" collapsed="false">
      <c r="A8" s="80" t="s">
        <v>172</v>
      </c>
      <c r="B8" s="84" t="s">
        <v>173</v>
      </c>
      <c r="C8" s="84" t="s">
        <v>174</v>
      </c>
      <c r="D8" s="84" t="s">
        <v>175</v>
      </c>
      <c r="E8" s="84" t="s">
        <v>176</v>
      </c>
      <c r="F8" s="85" t="s">
        <v>177</v>
      </c>
      <c r="G8" s="84" t="s">
        <v>178</v>
      </c>
      <c r="H8" s="84" t="s">
        <v>179</v>
      </c>
      <c r="I8" s="84" t="s">
        <v>180</v>
      </c>
      <c r="J8" s="84" t="s">
        <v>181</v>
      </c>
      <c r="K8" s="84" t="s">
        <v>182</v>
      </c>
      <c r="L8" s="84" t="s">
        <v>183</v>
      </c>
    </row>
    <row r="9" customFormat="false" ht="14.25" hidden="false" customHeight="true" outlineLevel="0" collapsed="false">
      <c r="B9" s="81" t="s">
        <v>184</v>
      </c>
      <c r="C9" s="81"/>
      <c r="D9" s="82"/>
      <c r="E9" s="82"/>
      <c r="F9" s="82"/>
      <c r="G9" s="81"/>
      <c r="H9" s="81" t="s">
        <v>185</v>
      </c>
      <c r="J9" s="86"/>
      <c r="L9" s="81" t="s">
        <v>186</v>
      </c>
    </row>
    <row r="10" customFormat="false" ht="14.25" hidden="false" customHeight="true" outlineLevel="0" collapsed="false">
      <c r="B10" s="87" t="s">
        <v>187</v>
      </c>
      <c r="C10" s="80" t="n">
        <v>5</v>
      </c>
      <c r="D10" s="86" t="n">
        <v>1.5532466519</v>
      </c>
      <c r="E10" s="86" t="n">
        <f aca="false">D10*12</f>
        <v>18.6389598228</v>
      </c>
      <c r="F10" s="86" t="n">
        <f aca="false">E10/C10</f>
        <v>3.72779196456</v>
      </c>
      <c r="I10" s="88"/>
      <c r="J10" s="86"/>
      <c r="K10" s="86"/>
    </row>
    <row r="11" customFormat="false" ht="14.25" hidden="false" customHeight="true" outlineLevel="0" collapsed="false">
      <c r="B11" s="87" t="s">
        <v>184</v>
      </c>
      <c r="C11" s="80" t="n">
        <v>630</v>
      </c>
      <c r="D11" s="86" t="n">
        <v>194.12463849</v>
      </c>
      <c r="E11" s="86" t="n">
        <f aca="false">D11*12</f>
        <v>2329.49566188</v>
      </c>
      <c r="F11" s="86" t="n">
        <f aca="false">E11/C11</f>
        <v>3.69761216171429</v>
      </c>
      <c r="G11" s="89" t="s">
        <v>188</v>
      </c>
      <c r="H11" s="80" t="s">
        <v>189</v>
      </c>
      <c r="I11" s="88" t="n">
        <v>569</v>
      </c>
      <c r="J11" s="86" t="n">
        <f aca="false">I11*F11</f>
        <v>2103.94132001543</v>
      </c>
      <c r="K11" s="86" t="n">
        <f aca="false">E11-J11</f>
        <v>225.554341864571</v>
      </c>
      <c r="L11" s="80" t="s">
        <v>190</v>
      </c>
    </row>
    <row r="12" customFormat="false" ht="14.25" hidden="false" customHeight="true" outlineLevel="0" collapsed="false">
      <c r="B12" s="87" t="s">
        <v>191</v>
      </c>
      <c r="C12" s="80" t="n">
        <v>122</v>
      </c>
      <c r="D12" s="86" t="n">
        <v>35.7243107756</v>
      </c>
      <c r="E12" s="86" t="n">
        <f aca="false">D12*12</f>
        <v>428.6917293072</v>
      </c>
      <c r="F12" s="86" t="n">
        <f aca="false">E12/C12</f>
        <v>3.51386663366557</v>
      </c>
      <c r="I12" s="88"/>
      <c r="J12" s="86" t="n">
        <f aca="false">I12*F12</f>
        <v>0</v>
      </c>
      <c r="K12" s="86"/>
    </row>
    <row r="13" customFormat="false" ht="31.5" hidden="false" customHeight="true" outlineLevel="0" collapsed="false">
      <c r="B13" s="80" t="s">
        <v>192</v>
      </c>
      <c r="C13" s="80" t="n">
        <v>97</v>
      </c>
      <c r="D13" s="86" t="n">
        <v>28.2965144295</v>
      </c>
      <c r="E13" s="86" t="n">
        <f aca="false">D13*12</f>
        <v>339.558173154</v>
      </c>
      <c r="F13" s="86" t="n">
        <f aca="false">E13/C13</f>
        <v>3.50059972323711</v>
      </c>
      <c r="H13" s="89" t="s">
        <v>193</v>
      </c>
      <c r="I13" s="89" t="n">
        <v>80</v>
      </c>
      <c r="J13" s="86" t="n">
        <f aca="false">I13*F13</f>
        <v>280.047977858969</v>
      </c>
      <c r="K13" s="86" t="n">
        <f aca="false">E13-J13</f>
        <v>59.5101952950309</v>
      </c>
      <c r="L13" s="80" t="s">
        <v>190</v>
      </c>
    </row>
    <row r="14" customFormat="false" ht="51" hidden="false" customHeight="true" outlineLevel="0" collapsed="false">
      <c r="B14" s="80" t="s">
        <v>194</v>
      </c>
      <c r="C14" s="80" t="n">
        <v>93</v>
      </c>
      <c r="D14" s="86" t="n">
        <v>25.51918214</v>
      </c>
      <c r="E14" s="86" t="n">
        <f aca="false">D14*12</f>
        <v>306.23018568</v>
      </c>
      <c r="F14" s="86" t="n">
        <f aca="false">E14/C14</f>
        <v>3.29279769548387</v>
      </c>
      <c r="G14" s="89" t="s">
        <v>195</v>
      </c>
      <c r="H14" s="89" t="s">
        <v>196</v>
      </c>
      <c r="I14" s="80" t="n">
        <v>50</v>
      </c>
      <c r="J14" s="86" t="n">
        <f aca="false">I14*F14</f>
        <v>164.639884774194</v>
      </c>
      <c r="K14" s="86" t="n">
        <f aca="false">E14-J14</f>
        <v>141.590300905807</v>
      </c>
      <c r="L14" s="80" t="s">
        <v>197</v>
      </c>
    </row>
    <row r="15" customFormat="false" ht="40.5" hidden="false" customHeight="true" outlineLevel="0" collapsed="false">
      <c r="B15" s="80" t="s">
        <v>198</v>
      </c>
      <c r="C15" s="80" t="n">
        <v>84</v>
      </c>
      <c r="D15" s="86" t="n">
        <v>19.8490724259</v>
      </c>
      <c r="E15" s="86" t="n">
        <f aca="false">D15*12</f>
        <v>238.1888691108</v>
      </c>
      <c r="F15" s="86" t="n">
        <f aca="false">E15/C15</f>
        <v>2.83558177512857</v>
      </c>
      <c r="G15" s="89" t="s">
        <v>199</v>
      </c>
      <c r="I15" s="80" t="s">
        <v>200</v>
      </c>
      <c r="J15" s="86"/>
      <c r="K15" s="86"/>
    </row>
    <row r="16" customFormat="false" ht="14.25" hidden="false" customHeight="true" outlineLevel="0" collapsed="false">
      <c r="B16" s="80" t="s">
        <v>201</v>
      </c>
      <c r="C16" s="80" t="n">
        <v>27</v>
      </c>
      <c r="D16" s="86" t="n">
        <v>14.894668405</v>
      </c>
      <c r="E16" s="86" t="n">
        <f aca="false">D16*12</f>
        <v>178.73602086</v>
      </c>
      <c r="F16" s="86" t="n">
        <f aca="false">E16/C16</f>
        <v>6.61985262444444</v>
      </c>
      <c r="H16" s="80" t="s">
        <v>202</v>
      </c>
      <c r="J16" s="86" t="n">
        <f aca="false">I16*F16</f>
        <v>0</v>
      </c>
      <c r="K16" s="86"/>
    </row>
    <row r="17" customFormat="false" ht="37.5" hidden="false" customHeight="true" outlineLevel="0" collapsed="false">
      <c r="B17" s="80" t="s">
        <v>203</v>
      </c>
      <c r="C17" s="80" t="n">
        <v>46</v>
      </c>
      <c r="D17" s="86" t="n">
        <v>14.5685424768</v>
      </c>
      <c r="E17" s="86" t="n">
        <f aca="false">D17*12</f>
        <v>174.8225097216</v>
      </c>
      <c r="F17" s="86" t="n">
        <f aca="false">E17/C17</f>
        <v>3.80048934177391</v>
      </c>
      <c r="G17" s="89" t="s">
        <v>204</v>
      </c>
      <c r="H17" s="80" t="s">
        <v>205</v>
      </c>
      <c r="I17" s="80" t="n">
        <v>44</v>
      </c>
      <c r="J17" s="86" t="n">
        <f aca="false">I17*F17</f>
        <v>167.221531038052</v>
      </c>
      <c r="K17" s="86"/>
      <c r="M17" s="80" t="s">
        <v>206</v>
      </c>
    </row>
    <row r="18" customFormat="false" ht="25.5" hidden="false" customHeight="true" outlineLevel="0" collapsed="false">
      <c r="B18" s="80" t="s">
        <v>207</v>
      </c>
      <c r="C18" s="80" t="n">
        <v>13</v>
      </c>
      <c r="D18" s="86" t="n">
        <v>11.97858572</v>
      </c>
      <c r="E18" s="86" t="n">
        <f aca="false">D18*12</f>
        <v>143.74302864</v>
      </c>
      <c r="F18" s="86" t="n">
        <f aca="false">E18/C18</f>
        <v>11.0571560492308</v>
      </c>
      <c r="G18" s="89" t="s">
        <v>208</v>
      </c>
      <c r="I18" s="80" t="n">
        <v>9</v>
      </c>
      <c r="J18" s="86" t="n">
        <f aca="false">I18*F18</f>
        <v>99.5144044430769</v>
      </c>
      <c r="K18" s="86" t="n">
        <f aca="false">E18-J18</f>
        <v>44.2286241969231</v>
      </c>
    </row>
    <row r="19" customFormat="false" ht="14.25" hidden="false" customHeight="true" outlineLevel="0" collapsed="false">
      <c r="A19" s="80" t="s">
        <v>209</v>
      </c>
      <c r="B19" s="80" t="s">
        <v>210</v>
      </c>
      <c r="C19" s="80" t="n">
        <v>28</v>
      </c>
      <c r="D19" s="86" t="n">
        <v>10.28485949</v>
      </c>
      <c r="E19" s="86" t="n">
        <f aca="false">D19*12</f>
        <v>123.41831388</v>
      </c>
      <c r="F19" s="86" t="n">
        <f aca="false">E19/C19</f>
        <v>4.40779692428571</v>
      </c>
      <c r="H19" s="80" t="s">
        <v>211</v>
      </c>
      <c r="J19" s="86" t="n">
        <f aca="false">I19*F19</f>
        <v>0</v>
      </c>
      <c r="K19" s="86"/>
    </row>
    <row r="20" customFormat="false" ht="14.25" hidden="false" customHeight="true" outlineLevel="0" collapsed="false">
      <c r="B20" s="80" t="s">
        <v>212</v>
      </c>
      <c r="C20" s="80" t="n">
        <v>37</v>
      </c>
      <c r="D20" s="86" t="n">
        <v>11.15152652475</v>
      </c>
      <c r="E20" s="86" t="n">
        <f aca="false">D20*12</f>
        <v>133.818318297</v>
      </c>
      <c r="F20" s="86" t="n">
        <f aca="false">E20/C20</f>
        <v>3.61671130532433</v>
      </c>
      <c r="J20" s="86" t="n">
        <f aca="false">I20*F20</f>
        <v>0</v>
      </c>
    </row>
    <row r="21" customFormat="false" ht="14.25" hidden="false" customHeight="true" outlineLevel="0" collapsed="false">
      <c r="B21" s="80" t="s">
        <v>213</v>
      </c>
      <c r="C21" s="80" t="n">
        <v>31</v>
      </c>
      <c r="D21" s="86" t="n">
        <v>10.205801795</v>
      </c>
      <c r="E21" s="86" t="n">
        <f aca="false">D21*12</f>
        <v>122.46962154</v>
      </c>
      <c r="F21" s="86" t="n">
        <f aca="false">E21/C21</f>
        <v>3.95063295290323</v>
      </c>
      <c r="H21" s="80" t="s">
        <v>214</v>
      </c>
      <c r="J21" s="86" t="n">
        <f aca="false">I21*F21</f>
        <v>0</v>
      </c>
    </row>
    <row r="22" customFormat="false" ht="14.25" hidden="false" customHeight="true" outlineLevel="0" collapsed="false">
      <c r="B22" s="80" t="s">
        <v>215</v>
      </c>
      <c r="C22" s="80" t="n">
        <v>32</v>
      </c>
      <c r="D22" s="86" t="n">
        <v>9.223350035</v>
      </c>
      <c r="E22" s="86" t="n">
        <f aca="false">D22*12</f>
        <v>110.68020042</v>
      </c>
      <c r="F22" s="86" t="n">
        <f aca="false">E22/C22</f>
        <v>3.458756263125</v>
      </c>
      <c r="J22" s="86" t="n">
        <f aca="false">I22*F22</f>
        <v>0</v>
      </c>
    </row>
    <row r="23" customFormat="false" ht="14.25" hidden="false" customHeight="true" outlineLevel="0" collapsed="false">
      <c r="B23" s="80" t="s">
        <v>216</v>
      </c>
      <c r="C23" s="80" t="n">
        <v>27</v>
      </c>
      <c r="D23" s="86" t="n">
        <v>8.12576357</v>
      </c>
      <c r="E23" s="86" t="n">
        <f aca="false">D23*12</f>
        <v>97.50916284</v>
      </c>
      <c r="F23" s="86" t="n">
        <f aca="false">E23/C23</f>
        <v>3.61145047555556</v>
      </c>
      <c r="J23" s="86" t="n">
        <f aca="false">I23*F23</f>
        <v>0</v>
      </c>
    </row>
    <row r="24" customFormat="false" ht="14.25" hidden="false" customHeight="true" outlineLevel="0" collapsed="false">
      <c r="A24" s="80" t="s">
        <v>209</v>
      </c>
      <c r="B24" s="80" t="s">
        <v>217</v>
      </c>
      <c r="C24" s="80" t="n">
        <v>22</v>
      </c>
      <c r="D24" s="86" t="n">
        <v>7.841789285</v>
      </c>
      <c r="E24" s="86" t="n">
        <f aca="false">D24*12</f>
        <v>94.10147142</v>
      </c>
      <c r="F24" s="86" t="n">
        <f aca="false">E24/C24</f>
        <v>4.27733961</v>
      </c>
      <c r="J24" s="86" t="n">
        <f aca="false">I24*F24</f>
        <v>0</v>
      </c>
    </row>
    <row r="25" customFormat="false" ht="14.25" hidden="false" customHeight="true" outlineLevel="0" collapsed="false">
      <c r="B25" s="80" t="s">
        <v>218</v>
      </c>
      <c r="C25" s="80" t="n">
        <v>16</v>
      </c>
      <c r="D25" s="86" t="n">
        <f aca="false">778253.293204/10^5</f>
        <v>7.78253293204</v>
      </c>
      <c r="E25" s="86" t="n">
        <f aca="false">D25*12</f>
        <v>93.39039518448</v>
      </c>
      <c r="F25" s="86" t="n">
        <f aca="false">E25/C25</f>
        <v>5.83689969903</v>
      </c>
      <c r="H25" s="80" t="n">
        <v>2</v>
      </c>
      <c r="J25" s="86" t="n">
        <f aca="false">I25*F25</f>
        <v>0</v>
      </c>
    </row>
    <row r="26" customFormat="false" ht="14.25" hidden="false" customHeight="true" outlineLevel="0" collapsed="false">
      <c r="B26" s="80" t="s">
        <v>219</v>
      </c>
      <c r="C26" s="80" t="n">
        <v>19</v>
      </c>
      <c r="D26" s="86" t="n">
        <v>7.23052697</v>
      </c>
      <c r="E26" s="86" t="n">
        <f aca="false">D26*12</f>
        <v>86.76632364</v>
      </c>
      <c r="F26" s="86" t="n">
        <f aca="false">E26/C26</f>
        <v>4.56664861263158</v>
      </c>
      <c r="J26" s="86" t="n">
        <f aca="false">I26*F26</f>
        <v>0</v>
      </c>
    </row>
    <row r="27" customFormat="false" ht="14.25" hidden="false" customHeight="true" outlineLevel="0" collapsed="false">
      <c r="B27" s="80" t="s">
        <v>220</v>
      </c>
      <c r="C27" s="80" t="n">
        <v>20</v>
      </c>
      <c r="D27" s="86" t="n">
        <v>6.463291945</v>
      </c>
      <c r="E27" s="86" t="n">
        <f aca="false">D27*12</f>
        <v>77.55950334</v>
      </c>
      <c r="F27" s="86" t="n">
        <f aca="false">E27/C27</f>
        <v>3.877975167</v>
      </c>
      <c r="H27" s="80" t="n">
        <v>2</v>
      </c>
      <c r="J27" s="86" t="n">
        <f aca="false">I27*F27</f>
        <v>0</v>
      </c>
    </row>
    <row r="28" customFormat="false" ht="14.25" hidden="false" customHeight="true" outlineLevel="0" collapsed="false">
      <c r="B28" s="80" t="s">
        <v>221</v>
      </c>
      <c r="C28" s="80" t="n">
        <v>19</v>
      </c>
      <c r="D28" s="86" t="n">
        <v>6.18164458</v>
      </c>
      <c r="E28" s="86" t="n">
        <f aca="false">D28*12</f>
        <v>74.17973496</v>
      </c>
      <c r="F28" s="86" t="n">
        <f aca="false">E28/C28</f>
        <v>3.90419657684211</v>
      </c>
      <c r="J28" s="86" t="n">
        <f aca="false">I28*F28</f>
        <v>0</v>
      </c>
    </row>
    <row r="29" customFormat="false" ht="14.25" hidden="false" customHeight="true" outlineLevel="0" collapsed="false">
      <c r="A29" s="80" t="s">
        <v>209</v>
      </c>
      <c r="B29" s="80" t="s">
        <v>222</v>
      </c>
      <c r="C29" s="80" t="n">
        <v>19</v>
      </c>
      <c r="D29" s="86" t="n">
        <v>6.17426114</v>
      </c>
      <c r="E29" s="86" t="n">
        <f aca="false">D29*12</f>
        <v>74.09113368</v>
      </c>
      <c r="F29" s="86" t="n">
        <f aca="false">E29/C29</f>
        <v>3.89953335157895</v>
      </c>
      <c r="J29" s="86" t="n">
        <f aca="false">I29*F29</f>
        <v>0</v>
      </c>
    </row>
    <row r="30" customFormat="false" ht="14.25" hidden="false" customHeight="true" outlineLevel="0" collapsed="false">
      <c r="B30" s="80" t="s">
        <v>223</v>
      </c>
      <c r="C30" s="80" t="n">
        <v>17</v>
      </c>
      <c r="D30" s="86" t="n">
        <v>5.420321195</v>
      </c>
      <c r="E30" s="86" t="n">
        <f aca="false">D30*12</f>
        <v>65.04385434</v>
      </c>
      <c r="F30" s="86" t="n">
        <f aca="false">E30/C30</f>
        <v>3.82610907882353</v>
      </c>
      <c r="J30" s="86" t="n">
        <f aca="false">I30*F30</f>
        <v>0</v>
      </c>
    </row>
    <row r="31" customFormat="false" ht="14.25" hidden="false" customHeight="true" outlineLevel="0" collapsed="false">
      <c r="A31" s="80" t="s">
        <v>209</v>
      </c>
      <c r="B31" s="80" t="s">
        <v>224</v>
      </c>
      <c r="C31" s="80" t="n">
        <v>16</v>
      </c>
      <c r="D31" s="86" t="n">
        <f aca="false">476416.796725/10^5</f>
        <v>4.76416796725</v>
      </c>
      <c r="E31" s="86" t="n">
        <f aca="false">D31*12</f>
        <v>57.170015607</v>
      </c>
      <c r="F31" s="86" t="n">
        <f aca="false">E31/C31</f>
        <v>3.5731259754375</v>
      </c>
      <c r="J31" s="86" t="n">
        <f aca="false">I31*F31</f>
        <v>0</v>
      </c>
    </row>
    <row r="32" customFormat="false" ht="14.25" hidden="false" customHeight="true" outlineLevel="0" collapsed="false">
      <c r="B32" s="80" t="s">
        <v>225</v>
      </c>
      <c r="C32" s="80" t="n">
        <v>3</v>
      </c>
      <c r="D32" s="86" t="n">
        <v>4.5246921875</v>
      </c>
      <c r="E32" s="86" t="n">
        <f aca="false">D32*12</f>
        <v>54.29630625</v>
      </c>
      <c r="F32" s="86" t="n">
        <f aca="false">E32/C32</f>
        <v>18.09876875</v>
      </c>
      <c r="J32" s="86" t="n">
        <f aca="false">I32*F32</f>
        <v>0</v>
      </c>
    </row>
    <row r="33" customFormat="false" ht="14.25" hidden="false" customHeight="true" outlineLevel="0" collapsed="false">
      <c r="B33" s="80" t="s">
        <v>226</v>
      </c>
      <c r="C33" s="80" t="n">
        <v>12</v>
      </c>
      <c r="D33" s="86" t="n">
        <v>4.412735765</v>
      </c>
      <c r="E33" s="86" t="n">
        <f aca="false">D33*12</f>
        <v>52.95282918</v>
      </c>
      <c r="F33" s="86" t="n">
        <f aca="false">E33/C33</f>
        <v>4.412735765</v>
      </c>
      <c r="J33" s="86" t="n">
        <f aca="false">I33*F33</f>
        <v>0</v>
      </c>
    </row>
    <row r="34" customFormat="false" ht="14.25" hidden="false" customHeight="true" outlineLevel="0" collapsed="false">
      <c r="B34" s="80" t="s">
        <v>227</v>
      </c>
      <c r="C34" s="80" t="n">
        <v>14</v>
      </c>
      <c r="D34" s="86" t="n">
        <v>4.108861595</v>
      </c>
      <c r="E34" s="86" t="n">
        <f aca="false">D34*12</f>
        <v>49.30633914</v>
      </c>
      <c r="F34" s="86" t="n">
        <f aca="false">E34/C34</f>
        <v>3.52188136714286</v>
      </c>
      <c r="J34" s="86" t="n">
        <f aca="false">I34*F34</f>
        <v>0</v>
      </c>
    </row>
    <row r="35" customFormat="false" ht="14.25" hidden="false" customHeight="true" outlineLevel="0" collapsed="false">
      <c r="B35" s="80" t="s">
        <v>228</v>
      </c>
      <c r="C35" s="80" t="n">
        <v>9</v>
      </c>
      <c r="D35" s="86" t="n">
        <v>5.099288195</v>
      </c>
      <c r="E35" s="86" t="n">
        <f aca="false">D35*12</f>
        <v>61.19145834</v>
      </c>
      <c r="F35" s="86" t="n">
        <f aca="false">E35/C35</f>
        <v>6.79905092666667</v>
      </c>
      <c r="J35" s="86" t="n">
        <f aca="false">I35*F35</f>
        <v>0</v>
      </c>
    </row>
    <row r="36" customFormat="false" ht="14.25" hidden="false" customHeight="true" outlineLevel="0" collapsed="false">
      <c r="B36" s="80" t="s">
        <v>229</v>
      </c>
      <c r="C36" s="80" t="n">
        <v>11</v>
      </c>
      <c r="D36" s="86" t="n">
        <v>3.518507215</v>
      </c>
      <c r="E36" s="86" t="n">
        <f aca="false">D36*12</f>
        <v>42.22208658</v>
      </c>
      <c r="F36" s="86" t="n">
        <f aca="false">E36/C36</f>
        <v>3.83837150727273</v>
      </c>
      <c r="J36" s="86" t="n">
        <f aca="false">I36*F36</f>
        <v>0</v>
      </c>
    </row>
    <row r="37" customFormat="false" ht="14.25" hidden="false" customHeight="true" outlineLevel="0" collapsed="false">
      <c r="B37" s="80" t="s">
        <v>230</v>
      </c>
      <c r="C37" s="80" t="n">
        <v>4</v>
      </c>
      <c r="D37" s="86" t="n">
        <v>3.51135</v>
      </c>
      <c r="E37" s="86" t="n">
        <f aca="false">D37*12</f>
        <v>42.1362</v>
      </c>
      <c r="F37" s="86" t="n">
        <f aca="false">E37/C37</f>
        <v>10.53405</v>
      </c>
      <c r="J37" s="86" t="n">
        <f aca="false">I37*F37</f>
        <v>0</v>
      </c>
    </row>
    <row r="38" customFormat="false" ht="14.25" hidden="false" customHeight="true" outlineLevel="0" collapsed="false">
      <c r="B38" s="80" t="s">
        <v>231</v>
      </c>
      <c r="C38" s="80" t="n">
        <v>9</v>
      </c>
      <c r="D38" s="86" t="n">
        <v>3.43515206</v>
      </c>
      <c r="E38" s="86" t="n">
        <f aca="false">D38*12</f>
        <v>41.22182472</v>
      </c>
      <c r="F38" s="86" t="n">
        <f aca="false">E38/C38</f>
        <v>4.58020274666667</v>
      </c>
      <c r="G38" s="80" t="s">
        <v>232</v>
      </c>
      <c r="I38" s="80" t="n">
        <v>7</v>
      </c>
      <c r="J38" s="86" t="n">
        <f aca="false">I38*F38</f>
        <v>32.0614192266667</v>
      </c>
    </row>
    <row r="39" customFormat="false" ht="14.25" hidden="false" customHeight="true" outlineLevel="0" collapsed="false">
      <c r="B39" s="80" t="s">
        <v>233</v>
      </c>
      <c r="C39" s="80" t="n">
        <v>9</v>
      </c>
      <c r="D39" s="86" t="n">
        <v>3.308202795</v>
      </c>
      <c r="E39" s="86" t="n">
        <f aca="false">D39*12</f>
        <v>39.69843354</v>
      </c>
      <c r="F39" s="86" t="n">
        <f aca="false">E39/C39</f>
        <v>4.41093706</v>
      </c>
      <c r="J39" s="86" t="n">
        <f aca="false">I39*F39</f>
        <v>0</v>
      </c>
    </row>
    <row r="40" customFormat="false" ht="14.25" hidden="false" customHeight="true" outlineLevel="0" collapsed="false">
      <c r="B40" s="80" t="s">
        <v>234</v>
      </c>
      <c r="C40" s="80" t="n">
        <v>7</v>
      </c>
      <c r="D40" s="86" t="n">
        <v>3.11678625</v>
      </c>
      <c r="E40" s="86" t="n">
        <f aca="false">D40*12</f>
        <v>37.401435</v>
      </c>
      <c r="F40" s="86" t="n">
        <f aca="false">E40/C40</f>
        <v>5.34306214285714</v>
      </c>
      <c r="J40" s="86" t="n">
        <f aca="false">I40*F40</f>
        <v>0</v>
      </c>
    </row>
    <row r="41" customFormat="false" ht="14.25" hidden="false" customHeight="true" outlineLevel="0" collapsed="false">
      <c r="B41" s="80" t="s">
        <v>235</v>
      </c>
      <c r="C41" s="80" t="n">
        <v>10</v>
      </c>
      <c r="D41" s="86" t="n">
        <v>3.094358535</v>
      </c>
      <c r="E41" s="86" t="n">
        <f aca="false">D41*12</f>
        <v>37.13230242</v>
      </c>
      <c r="F41" s="86" t="n">
        <f aca="false">E41/C41</f>
        <v>3.713230242</v>
      </c>
      <c r="J41" s="86" t="n">
        <f aca="false">I41*F41</f>
        <v>0</v>
      </c>
    </row>
    <row r="42" customFormat="false" ht="14.25" hidden="false" customHeight="true" outlineLevel="0" collapsed="false">
      <c r="B42" s="80" t="s">
        <v>236</v>
      </c>
      <c r="C42" s="80" t="n">
        <v>9</v>
      </c>
      <c r="D42" s="86" t="n">
        <v>2.83907406</v>
      </c>
      <c r="E42" s="86" t="n">
        <f aca="false">D42*12</f>
        <v>34.06888872</v>
      </c>
      <c r="F42" s="86" t="n">
        <f aca="false">E42/C42</f>
        <v>3.78543208</v>
      </c>
      <c r="J42" s="86" t="n">
        <f aca="false">I42*F42</f>
        <v>0</v>
      </c>
    </row>
    <row r="43" customFormat="false" ht="14.25" hidden="false" customHeight="true" outlineLevel="0" collapsed="false">
      <c r="B43" s="80" t="s">
        <v>237</v>
      </c>
      <c r="C43" s="80" t="n">
        <v>9</v>
      </c>
      <c r="D43" s="86" t="n">
        <v>2.742907355</v>
      </c>
      <c r="E43" s="86" t="n">
        <f aca="false">D43*12</f>
        <v>32.91488826</v>
      </c>
      <c r="F43" s="86" t="n">
        <f aca="false">E43/C43</f>
        <v>3.65720980666667</v>
      </c>
      <c r="J43" s="86" t="n">
        <f aca="false">I43*F43</f>
        <v>0</v>
      </c>
    </row>
    <row r="44" customFormat="false" ht="14.25" hidden="false" customHeight="true" outlineLevel="0" collapsed="false">
      <c r="B44" s="80" t="s">
        <v>238</v>
      </c>
      <c r="C44" s="80" t="n">
        <v>9</v>
      </c>
      <c r="D44" s="86" t="n">
        <v>2.608099605</v>
      </c>
      <c r="E44" s="86" t="n">
        <f aca="false">D44*12</f>
        <v>31.29719526</v>
      </c>
      <c r="F44" s="86" t="n">
        <f aca="false">E44/C44</f>
        <v>3.47746614</v>
      </c>
      <c r="J44" s="86" t="n">
        <f aca="false">I44*F44</f>
        <v>0</v>
      </c>
    </row>
    <row r="45" customFormat="false" ht="14.25" hidden="false" customHeight="true" outlineLevel="0" collapsed="false">
      <c r="B45" s="80" t="s">
        <v>239</v>
      </c>
      <c r="C45" s="80" t="n">
        <v>6</v>
      </c>
      <c r="D45" s="86" t="n">
        <v>2.43609449</v>
      </c>
      <c r="E45" s="86" t="n">
        <f aca="false">D45*12</f>
        <v>29.23313388</v>
      </c>
      <c r="F45" s="86" t="n">
        <f aca="false">E45/C45</f>
        <v>4.87218898</v>
      </c>
      <c r="J45" s="86" t="n">
        <f aca="false">I45*F45</f>
        <v>0</v>
      </c>
    </row>
    <row r="46" customFormat="false" ht="14.25" hidden="false" customHeight="true" outlineLevel="0" collapsed="false">
      <c r="B46" s="80" t="s">
        <v>240</v>
      </c>
      <c r="C46" s="80" t="n">
        <v>5</v>
      </c>
      <c r="D46" s="86" t="n">
        <v>2.425169</v>
      </c>
      <c r="E46" s="86" t="n">
        <f aca="false">D46*12</f>
        <v>29.102028</v>
      </c>
      <c r="F46" s="86" t="n">
        <f aca="false">E46/C46</f>
        <v>5.8204056</v>
      </c>
      <c r="J46" s="86" t="n">
        <f aca="false">I46*F46</f>
        <v>0</v>
      </c>
    </row>
    <row r="47" customFormat="false" ht="14.25" hidden="false" customHeight="true" outlineLevel="0" collapsed="false">
      <c r="B47" s="80" t="s">
        <v>241</v>
      </c>
      <c r="C47" s="80" t="n">
        <v>3</v>
      </c>
      <c r="D47" s="86" t="n">
        <v>2.1470185</v>
      </c>
      <c r="E47" s="86" t="n">
        <f aca="false">D47*12</f>
        <v>25.764222</v>
      </c>
      <c r="F47" s="86" t="n">
        <f aca="false">E47/C47</f>
        <v>8.588074</v>
      </c>
      <c r="J47" s="86" t="n">
        <f aca="false">I47*F47</f>
        <v>0</v>
      </c>
    </row>
    <row r="48" customFormat="false" ht="14.25" hidden="false" customHeight="true" outlineLevel="0" collapsed="false">
      <c r="B48" s="80" t="s">
        <v>242</v>
      </c>
      <c r="C48" s="80" t="n">
        <v>4</v>
      </c>
      <c r="D48" s="86" t="n">
        <v>1.75</v>
      </c>
      <c r="E48" s="86" t="n">
        <f aca="false">D48*12</f>
        <v>21</v>
      </c>
      <c r="F48" s="86" t="n">
        <f aca="false">E48/C48</f>
        <v>5.25</v>
      </c>
      <c r="J48" s="86" t="n">
        <f aca="false">I48*F48</f>
        <v>0</v>
      </c>
    </row>
    <row r="49" customFormat="false" ht="14.25" hidden="false" customHeight="true" outlineLevel="0" collapsed="false">
      <c r="B49" s="80" t="s">
        <v>243</v>
      </c>
      <c r="C49" s="80" t="n">
        <v>6</v>
      </c>
      <c r="D49" s="86" t="n">
        <v>1.73277525</v>
      </c>
      <c r="E49" s="86" t="n">
        <f aca="false">D49*12</f>
        <v>20.793303</v>
      </c>
      <c r="F49" s="86" t="n">
        <f aca="false">E49/C49</f>
        <v>3.4655505</v>
      </c>
      <c r="J49" s="86" t="n">
        <f aca="false">I49*F49</f>
        <v>0</v>
      </c>
    </row>
    <row r="50" customFormat="false" ht="14.25" hidden="false" customHeight="true" outlineLevel="0" collapsed="false">
      <c r="B50" s="80" t="s">
        <v>244</v>
      </c>
      <c r="C50" s="80" t="n">
        <v>3</v>
      </c>
      <c r="D50" s="86" t="n">
        <v>1.650205985</v>
      </c>
      <c r="E50" s="86" t="n">
        <f aca="false">D50*12</f>
        <v>19.80247182</v>
      </c>
      <c r="F50" s="86" t="n">
        <f aca="false">E50/C50</f>
        <v>6.60082394</v>
      </c>
      <c r="J50" s="86" t="n">
        <f aca="false">I50*F50</f>
        <v>0</v>
      </c>
    </row>
    <row r="51" customFormat="false" ht="14.25" hidden="false" customHeight="true" outlineLevel="0" collapsed="false">
      <c r="B51" s="80" t="s">
        <v>245</v>
      </c>
      <c r="C51" s="80" t="n">
        <v>6</v>
      </c>
      <c r="D51" s="86" t="n">
        <v>1.46527228</v>
      </c>
      <c r="E51" s="86" t="n">
        <f aca="false">D51*12</f>
        <v>17.58326736</v>
      </c>
      <c r="F51" s="86" t="n">
        <f aca="false">E51/C51</f>
        <v>2.93054456</v>
      </c>
      <c r="J51" s="86" t="n">
        <f aca="false">I51*F51</f>
        <v>0</v>
      </c>
    </row>
    <row r="52" customFormat="false" ht="14.25" hidden="false" customHeight="true" outlineLevel="0" collapsed="false">
      <c r="B52" s="80" t="s">
        <v>246</v>
      </c>
      <c r="C52" s="80" t="n">
        <v>4</v>
      </c>
      <c r="D52" s="86" t="n">
        <v>1.3494695</v>
      </c>
      <c r="E52" s="86" t="n">
        <f aca="false">D52*12</f>
        <v>16.193634</v>
      </c>
      <c r="F52" s="86" t="n">
        <f aca="false">E52/C52</f>
        <v>4.0484085</v>
      </c>
      <c r="J52" s="86" t="n">
        <f aca="false">I52*F52</f>
        <v>0</v>
      </c>
    </row>
    <row r="53" customFormat="false" ht="14.25" hidden="false" customHeight="true" outlineLevel="0" collapsed="false">
      <c r="B53" s="80" t="s">
        <v>247</v>
      </c>
      <c r="C53" s="80" t="n">
        <v>4</v>
      </c>
      <c r="D53" s="86" t="n">
        <v>1.326653325</v>
      </c>
      <c r="E53" s="86" t="n">
        <f aca="false">D53*12</f>
        <v>15.9198399</v>
      </c>
      <c r="F53" s="86" t="n">
        <f aca="false">E53/C53</f>
        <v>3.979959975</v>
      </c>
      <c r="J53" s="86" t="n">
        <f aca="false">I53*F53</f>
        <v>0</v>
      </c>
    </row>
    <row r="54" customFormat="false" ht="14.25" hidden="false" customHeight="true" outlineLevel="0" collapsed="false">
      <c r="B54" s="80" t="s">
        <v>248</v>
      </c>
      <c r="C54" s="80" t="n">
        <v>4</v>
      </c>
      <c r="D54" s="86" t="n">
        <v>1.27911912</v>
      </c>
      <c r="E54" s="86" t="n">
        <f aca="false">D54*12</f>
        <v>15.34942944</v>
      </c>
      <c r="F54" s="86" t="n">
        <f aca="false">E54/C54</f>
        <v>3.83735736</v>
      </c>
      <c r="J54" s="86" t="n">
        <f aca="false">I54*F54</f>
        <v>0</v>
      </c>
    </row>
    <row r="55" customFormat="false" ht="14.25" hidden="false" customHeight="true" outlineLevel="0" collapsed="false">
      <c r="B55" s="80" t="s">
        <v>249</v>
      </c>
      <c r="C55" s="80" t="n">
        <v>3</v>
      </c>
      <c r="D55" s="86" t="n">
        <v>1.134972525</v>
      </c>
      <c r="E55" s="86" t="n">
        <f aca="false">D55*12</f>
        <v>13.6196703</v>
      </c>
      <c r="F55" s="86" t="n">
        <f aca="false">E55/C55</f>
        <v>4.5398901</v>
      </c>
      <c r="J55" s="86" t="n">
        <f aca="false">I55*F55</f>
        <v>0</v>
      </c>
    </row>
    <row r="56" customFormat="false" ht="14.25" hidden="false" customHeight="true" outlineLevel="0" collapsed="false">
      <c r="B56" s="80" t="s">
        <v>250</v>
      </c>
      <c r="C56" s="80" t="n">
        <v>3</v>
      </c>
      <c r="D56" s="86" t="n">
        <v>1.092326655</v>
      </c>
      <c r="E56" s="86" t="n">
        <f aca="false">D56*12</f>
        <v>13.10791986</v>
      </c>
      <c r="F56" s="86" t="n">
        <f aca="false">E56/C56</f>
        <v>4.36930662</v>
      </c>
      <c r="J56" s="86" t="n">
        <f aca="false">I56*F56</f>
        <v>0</v>
      </c>
    </row>
    <row r="57" customFormat="false" ht="14.25" hidden="false" customHeight="true" outlineLevel="0" collapsed="false">
      <c r="B57" s="80" t="s">
        <v>251</v>
      </c>
      <c r="C57" s="80" t="n">
        <v>4</v>
      </c>
      <c r="D57" s="86" t="n">
        <v>1.03597797</v>
      </c>
      <c r="E57" s="86" t="n">
        <f aca="false">D57*12</f>
        <v>12.43173564</v>
      </c>
      <c r="F57" s="86" t="n">
        <f aca="false">E57/C57</f>
        <v>3.10793391</v>
      </c>
      <c r="J57" s="86" t="n">
        <f aca="false">I57*F57</f>
        <v>0</v>
      </c>
    </row>
    <row r="58" customFormat="false" ht="14.25" hidden="false" customHeight="true" outlineLevel="0" collapsed="false">
      <c r="B58" s="80" t="s">
        <v>252</v>
      </c>
      <c r="C58" s="80" t="n">
        <v>3</v>
      </c>
      <c r="D58" s="86" t="n">
        <v>0.900519385</v>
      </c>
      <c r="E58" s="86" t="n">
        <f aca="false">D58*12</f>
        <v>10.80623262</v>
      </c>
      <c r="F58" s="86" t="n">
        <f aca="false">E58/C58</f>
        <v>3.60207754</v>
      </c>
      <c r="J58" s="86" t="n">
        <f aca="false">I58*F58</f>
        <v>0</v>
      </c>
    </row>
    <row r="59" customFormat="false" ht="14.25" hidden="false" customHeight="true" outlineLevel="0" collapsed="false">
      <c r="B59" s="80" t="s">
        <v>253</v>
      </c>
      <c r="C59" s="80" t="n">
        <v>1</v>
      </c>
      <c r="D59" s="86" t="n">
        <v>0.9</v>
      </c>
      <c r="E59" s="86" t="n">
        <f aca="false">D59*12</f>
        <v>10.8</v>
      </c>
      <c r="F59" s="86" t="n">
        <f aca="false">E59/C59</f>
        <v>10.8</v>
      </c>
      <c r="J59" s="86" t="n">
        <f aca="false">I59*F59</f>
        <v>0</v>
      </c>
    </row>
    <row r="60" customFormat="false" ht="14.25" hidden="false" customHeight="true" outlineLevel="0" collapsed="false">
      <c r="B60" s="80" t="s">
        <v>254</v>
      </c>
      <c r="C60" s="80" t="n">
        <v>2</v>
      </c>
      <c r="D60" s="86" t="n">
        <v>0.85134522</v>
      </c>
      <c r="E60" s="86" t="n">
        <f aca="false">D60*12</f>
        <v>10.21614264</v>
      </c>
      <c r="F60" s="86" t="n">
        <f aca="false">E60/C60</f>
        <v>5.10807132</v>
      </c>
      <c r="J60" s="86" t="n">
        <f aca="false">I60*F60</f>
        <v>0</v>
      </c>
    </row>
    <row r="61" customFormat="false" ht="14.25" hidden="false" customHeight="true" outlineLevel="0" collapsed="false">
      <c r="B61" s="80" t="s">
        <v>255</v>
      </c>
      <c r="C61" s="80" t="n">
        <v>3</v>
      </c>
      <c r="D61" s="86" t="n">
        <v>0.790353585</v>
      </c>
      <c r="E61" s="86" t="n">
        <f aca="false">D61*12</f>
        <v>9.48424302</v>
      </c>
      <c r="F61" s="86" t="n">
        <f aca="false">E61/C61</f>
        <v>3.16141434</v>
      </c>
      <c r="J61" s="86" t="n">
        <f aca="false">I61*F61</f>
        <v>0</v>
      </c>
    </row>
    <row r="62" customFormat="false" ht="14.25" hidden="false" customHeight="true" outlineLevel="0" collapsed="false">
      <c r="B62" s="80" t="s">
        <v>256</v>
      </c>
      <c r="C62" s="80" t="n">
        <v>2</v>
      </c>
      <c r="D62" s="86" t="n">
        <v>0.72661935</v>
      </c>
      <c r="E62" s="86" t="n">
        <f aca="false">D62*12</f>
        <v>8.7194322</v>
      </c>
      <c r="F62" s="86" t="n">
        <f aca="false">E62/C62</f>
        <v>4.3597161</v>
      </c>
      <c r="J62" s="86" t="n">
        <f aca="false">I62*F62</f>
        <v>0</v>
      </c>
    </row>
    <row r="63" customFormat="false" ht="14.25" hidden="false" customHeight="true" outlineLevel="0" collapsed="false">
      <c r="B63" s="80" t="s">
        <v>257</v>
      </c>
      <c r="C63" s="80" t="n">
        <v>1</v>
      </c>
      <c r="D63" s="86" t="n">
        <v>0.7</v>
      </c>
      <c r="E63" s="86" t="n">
        <f aca="false">D63*12</f>
        <v>8.4</v>
      </c>
      <c r="F63" s="86" t="n">
        <f aca="false">E63/C63</f>
        <v>8.4</v>
      </c>
      <c r="J63" s="86" t="n">
        <f aca="false">I63*F63</f>
        <v>0</v>
      </c>
    </row>
    <row r="64" customFormat="false" ht="14.25" hidden="false" customHeight="true" outlineLevel="0" collapsed="false">
      <c r="B64" s="80" t="s">
        <v>258</v>
      </c>
      <c r="C64" s="80" t="n">
        <v>2</v>
      </c>
      <c r="D64" s="86" t="n">
        <v>0.6733045</v>
      </c>
      <c r="E64" s="86" t="n">
        <f aca="false">D64*12</f>
        <v>8.079654</v>
      </c>
      <c r="F64" s="86" t="n">
        <f aca="false">E64/C64</f>
        <v>4.039827</v>
      </c>
      <c r="J64" s="86" t="n">
        <f aca="false">I64*F64</f>
        <v>0</v>
      </c>
    </row>
    <row r="65" customFormat="false" ht="14.25" hidden="false" customHeight="true" outlineLevel="0" collapsed="false">
      <c r="A65" s="80" t="s">
        <v>209</v>
      </c>
      <c r="B65" s="80" t="s">
        <v>259</v>
      </c>
      <c r="C65" s="80" t="n">
        <v>2</v>
      </c>
      <c r="D65" s="86" t="n">
        <v>0.61574296</v>
      </c>
      <c r="E65" s="86" t="n">
        <f aca="false">D65*12</f>
        <v>7.38891552</v>
      </c>
      <c r="F65" s="86" t="n">
        <f aca="false">E65/C65</f>
        <v>3.69445776</v>
      </c>
      <c r="J65" s="86" t="n">
        <f aca="false">I65*F65</f>
        <v>0</v>
      </c>
    </row>
    <row r="66" customFormat="false" ht="14.25" hidden="false" customHeight="true" outlineLevel="0" collapsed="false">
      <c r="B66" s="80" t="s">
        <v>260</v>
      </c>
      <c r="C66" s="80" t="n">
        <v>2</v>
      </c>
      <c r="D66" s="86" t="n">
        <v>0.603889</v>
      </c>
      <c r="E66" s="86" t="n">
        <f aca="false">D66*12</f>
        <v>7.246668</v>
      </c>
      <c r="F66" s="86" t="n">
        <f aca="false">E66/C66</f>
        <v>3.623334</v>
      </c>
      <c r="J66" s="86" t="n">
        <f aca="false">I66*F66</f>
        <v>0</v>
      </c>
    </row>
    <row r="67" customFormat="false" ht="14.25" hidden="false" customHeight="true" outlineLevel="0" collapsed="false">
      <c r="B67" s="80" t="s">
        <v>261</v>
      </c>
      <c r="C67" s="80" t="n">
        <v>1</v>
      </c>
      <c r="D67" s="86" t="n">
        <v>0.5</v>
      </c>
      <c r="E67" s="86" t="n">
        <f aca="false">D67*12</f>
        <v>6</v>
      </c>
      <c r="F67" s="86" t="n">
        <f aca="false">E67/C67</f>
        <v>6</v>
      </c>
      <c r="J67" s="86" t="n">
        <f aca="false">I67*F67</f>
        <v>0</v>
      </c>
    </row>
    <row r="68" customFormat="false" ht="14.25" hidden="false" customHeight="true" outlineLevel="0" collapsed="false">
      <c r="B68" s="80" t="s">
        <v>262</v>
      </c>
      <c r="C68" s="80" t="n">
        <v>2</v>
      </c>
      <c r="D68" s="86" t="n">
        <v>0.486262075</v>
      </c>
      <c r="E68" s="86" t="n">
        <f aca="false">D68*12</f>
        <v>5.8351449</v>
      </c>
      <c r="F68" s="86" t="n">
        <f aca="false">E68/C68</f>
        <v>2.91757245</v>
      </c>
      <c r="J68" s="86" t="n">
        <f aca="false">I68*F68</f>
        <v>0</v>
      </c>
    </row>
    <row r="69" customFormat="false" ht="14.25" hidden="false" customHeight="true" outlineLevel="0" collapsed="false">
      <c r="B69" s="80" t="s">
        <v>263</v>
      </c>
      <c r="C69" s="80" t="n">
        <v>2</v>
      </c>
      <c r="D69" s="86" t="n">
        <f aca="false">66733.1/10^5</f>
        <v>0.667331</v>
      </c>
      <c r="E69" s="86" t="n">
        <f aca="false">D69*12</f>
        <v>8.007972</v>
      </c>
      <c r="F69" s="86" t="n">
        <f aca="false">E69/C69</f>
        <v>4.003986</v>
      </c>
      <c r="J69" s="86" t="n">
        <f aca="false">I69*F69</f>
        <v>0</v>
      </c>
    </row>
    <row r="70" customFormat="false" ht="14.25" hidden="false" customHeight="true" outlineLevel="0" collapsed="false">
      <c r="B70" s="80" t="s">
        <v>264</v>
      </c>
      <c r="C70" s="80" t="n">
        <v>1</v>
      </c>
      <c r="D70" s="86" t="n">
        <v>0.2863395</v>
      </c>
      <c r="E70" s="86" t="n">
        <f aca="false">D70*12</f>
        <v>3.436074</v>
      </c>
      <c r="F70" s="86" t="n">
        <f aca="false">E70/C70</f>
        <v>3.436074</v>
      </c>
      <c r="J70" s="86" t="n">
        <f aca="false">I70*F70</f>
        <v>0</v>
      </c>
    </row>
    <row r="71" customFormat="false" ht="14.25" hidden="false" customHeight="true" outlineLevel="0" collapsed="false">
      <c r="B71" s="80" t="s">
        <v>265</v>
      </c>
      <c r="C71" s="80" t="n">
        <v>1</v>
      </c>
      <c r="D71" s="86" t="n">
        <v>0.2794695</v>
      </c>
      <c r="E71" s="86" t="n">
        <f aca="false">D71*12</f>
        <v>3.353634</v>
      </c>
      <c r="F71" s="86" t="n">
        <f aca="false">E71/C71</f>
        <v>3.353634</v>
      </c>
      <c r="J71" s="86" t="n">
        <f aca="false">I71*F71</f>
        <v>0</v>
      </c>
    </row>
    <row r="72" customFormat="false" ht="14.25" hidden="false" customHeight="true" outlineLevel="0" collapsed="false">
      <c r="B72" s="80" t="s">
        <v>266</v>
      </c>
      <c r="C72" s="80" t="n">
        <v>1</v>
      </c>
      <c r="D72" s="86" t="n">
        <v>0.2787295</v>
      </c>
      <c r="E72" s="86" t="n">
        <f aca="false">D72*12</f>
        <v>3.344754</v>
      </c>
      <c r="F72" s="86" t="n">
        <f aca="false">E72/C72</f>
        <v>3.344754</v>
      </c>
      <c r="J72" s="86" t="n">
        <f aca="false">I72*F72</f>
        <v>0</v>
      </c>
    </row>
    <row r="73" customFormat="false" ht="14.25" hidden="false" customHeight="true" outlineLevel="0" collapsed="false">
      <c r="B73" s="80" t="s">
        <v>267</v>
      </c>
      <c r="C73" s="80" t="n">
        <v>1</v>
      </c>
      <c r="D73" s="86" t="n">
        <v>0.2712295</v>
      </c>
      <c r="E73" s="86" t="n">
        <f aca="false">D73*12</f>
        <v>3.254754</v>
      </c>
      <c r="F73" s="86" t="n">
        <f aca="false">E73/C73</f>
        <v>3.254754</v>
      </c>
      <c r="J73" s="86" t="n">
        <f aca="false">I73*F73</f>
        <v>0</v>
      </c>
    </row>
    <row r="74" customFormat="false" ht="14.25" hidden="false" customHeight="true" outlineLevel="0" collapsed="false">
      <c r="B74" s="80" t="s">
        <v>268</v>
      </c>
      <c r="C74" s="80" t="n">
        <v>1</v>
      </c>
      <c r="D74" s="86" t="n">
        <v>0.267735705</v>
      </c>
      <c r="E74" s="86" t="n">
        <f aca="false">D74*12</f>
        <v>3.21282846</v>
      </c>
      <c r="F74" s="86" t="n">
        <f aca="false">E74/C74</f>
        <v>3.21282846</v>
      </c>
      <c r="J74" s="86" t="n">
        <f aca="false">I74*F74</f>
        <v>0</v>
      </c>
    </row>
    <row r="75" customFormat="false" ht="14.25" hidden="false" customHeight="true" outlineLevel="0" collapsed="false">
      <c r="B75" s="80" t="s">
        <v>269</v>
      </c>
      <c r="C75" s="80" t="n">
        <v>1</v>
      </c>
      <c r="D75" s="86" t="n">
        <v>0.26</v>
      </c>
      <c r="E75" s="86" t="n">
        <f aca="false">D75*12</f>
        <v>3.12</v>
      </c>
      <c r="F75" s="86" t="n">
        <f aca="false">E75/C75</f>
        <v>3.12</v>
      </c>
      <c r="J75" s="86" t="n">
        <f aca="false">I75*F75</f>
        <v>0</v>
      </c>
    </row>
    <row r="76" customFormat="false" ht="14.25" hidden="false" customHeight="true" outlineLevel="0" collapsed="false">
      <c r="B76" s="80" t="s">
        <v>270</v>
      </c>
      <c r="C76" s="80" t="n">
        <v>1</v>
      </c>
      <c r="D76" s="86" t="n">
        <v>0.245</v>
      </c>
      <c r="E76" s="86" t="n">
        <f aca="false">D76*12</f>
        <v>2.94</v>
      </c>
      <c r="F76" s="86" t="n">
        <f aca="false">E76/C76</f>
        <v>2.94</v>
      </c>
      <c r="J76" s="86" t="n">
        <f aca="false">I76*F76</f>
        <v>0</v>
      </c>
    </row>
    <row r="77" customFormat="false" ht="14.25" hidden="false" customHeight="true" outlineLevel="0" collapsed="false">
      <c r="B77" s="80" t="s">
        <v>271</v>
      </c>
      <c r="C77" s="80" t="n">
        <v>1</v>
      </c>
      <c r="D77" s="86" t="n">
        <v>0.2343595</v>
      </c>
      <c r="E77" s="86" t="n">
        <f aca="false">D77*12</f>
        <v>2.812314</v>
      </c>
      <c r="F77" s="86" t="n">
        <f aca="false">E77/C77</f>
        <v>2.812314</v>
      </c>
      <c r="J77" s="86" t="n">
        <f aca="false">I77*F77</f>
        <v>0</v>
      </c>
    </row>
    <row r="78" customFormat="false" ht="14.25" hidden="false" customHeight="true" outlineLevel="0" collapsed="false">
      <c r="B78" s="80" t="s">
        <v>272</v>
      </c>
      <c r="C78" s="80" t="n">
        <v>1</v>
      </c>
      <c r="D78" s="86" t="n">
        <v>0.222481575</v>
      </c>
      <c r="E78" s="86" t="n">
        <f aca="false">D78*12</f>
        <v>2.6697789</v>
      </c>
      <c r="F78" s="86" t="n">
        <f aca="false">E78/C78</f>
        <v>2.6697789</v>
      </c>
      <c r="J78" s="86" t="n">
        <f aca="false">I78*F78</f>
        <v>0</v>
      </c>
    </row>
    <row r="79" customFormat="false" ht="14.25" hidden="false" customHeight="true" outlineLevel="0" collapsed="false">
      <c r="B79" s="80" t="s">
        <v>273</v>
      </c>
      <c r="C79" s="80" t="n">
        <v>1</v>
      </c>
      <c r="D79" s="86" t="n">
        <v>0.2177145</v>
      </c>
      <c r="E79" s="86" t="n">
        <f aca="false">D79*12</f>
        <v>2.612574</v>
      </c>
      <c r="F79" s="86" t="n">
        <f aca="false">E79/C79</f>
        <v>2.612574</v>
      </c>
      <c r="J79" s="86" t="n">
        <f aca="false">I79*F79</f>
        <v>0</v>
      </c>
    </row>
    <row r="80" customFormat="false" ht="14.25" hidden="false" customHeight="true" outlineLevel="0" collapsed="false">
      <c r="B80" s="80" t="s">
        <v>274</v>
      </c>
      <c r="C80" s="80" t="n">
        <v>1</v>
      </c>
      <c r="D80" s="86" t="n">
        <v>0.2</v>
      </c>
      <c r="E80" s="86" t="n">
        <f aca="false">D80*12</f>
        <v>2.4</v>
      </c>
      <c r="F80" s="86" t="n">
        <f aca="false">E80/C80</f>
        <v>2.4</v>
      </c>
      <c r="J80" s="86" t="n">
        <f aca="false">I80*F80</f>
        <v>0</v>
      </c>
    </row>
    <row r="81" customFormat="false" ht="14.25" hidden="false" customHeight="true" outlineLevel="0" collapsed="false">
      <c r="E81" s="86"/>
    </row>
    <row r="82" customFormat="false" ht="14.25" hidden="false" customHeight="true" outlineLevel="0" collapsed="false">
      <c r="B82" s="80" t="s">
        <v>275</v>
      </c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</sheetData>
  <autoFilter ref="A8:L8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.67"/>
    <col collapsed="false" customWidth="true" hidden="false" outlineLevel="0" max="2" min="2" style="1" width="32.22"/>
    <col collapsed="false" customWidth="true" hidden="false" outlineLevel="0" max="3" min="3" style="2" width="16.77"/>
    <col collapsed="false" customWidth="true" hidden="false" outlineLevel="0" max="4" min="4" style="1" width="5.78"/>
    <col collapsed="false" customWidth="true" hidden="false" outlineLevel="0" max="5" min="5" style="1" width="8"/>
    <col collapsed="false" customWidth="true" hidden="false" outlineLevel="0" max="6" min="6" style="1" width="11.44"/>
    <col collapsed="false" customWidth="true" hidden="false" outlineLevel="0" max="7" min="7" style="1" width="10.44"/>
    <col collapsed="false" customWidth="true" hidden="false" outlineLevel="0" max="8" min="8" style="1" width="26.56"/>
    <col collapsed="false" customWidth="true" hidden="false" outlineLevel="0" max="9" min="9" style="1" width="23"/>
    <col collapsed="false" customWidth="true" hidden="false" outlineLevel="0" max="10" min="10" style="1" width="10.33"/>
  </cols>
  <sheetData>
    <row r="1" customFormat="false" ht="15" hidden="false" customHeight="true" outlineLevel="0" collapsed="false">
      <c r="B1" s="3" t="s">
        <v>0</v>
      </c>
      <c r="D1" s="1" t="s">
        <v>1</v>
      </c>
    </row>
    <row r="2" customFormat="false" ht="14.25" hidden="false" customHeight="true" outlineLevel="0" collapsed="false">
      <c r="B2" s="1" t="s">
        <v>2</v>
      </c>
      <c r="C2" s="2" t="s">
        <v>3</v>
      </c>
    </row>
    <row r="4" customFormat="false" ht="28.5" hidden="false" customHeight="true" outlineLevel="0" collapsed="false">
      <c r="B4" s="4" t="s">
        <v>173</v>
      </c>
      <c r="C4" s="4" t="s">
        <v>5</v>
      </c>
      <c r="D4" s="4" t="s">
        <v>6</v>
      </c>
      <c r="E4" s="4" t="s">
        <v>7</v>
      </c>
      <c r="F4" s="5" t="s">
        <v>276</v>
      </c>
      <c r="G4" s="4" t="s">
        <v>277</v>
      </c>
      <c r="H4" s="4" t="s">
        <v>278</v>
      </c>
      <c r="I4" s="4" t="s">
        <v>279</v>
      </c>
    </row>
    <row r="5" customFormat="false" ht="14.25" hidden="false" customHeight="true" outlineLevel="0" collapsed="false">
      <c r="B5" s="1" t="s">
        <v>9</v>
      </c>
      <c r="C5" s="2" t="n">
        <v>31127079.9346001</v>
      </c>
      <c r="D5" s="7" t="n">
        <v>0.0779150075818997</v>
      </c>
      <c r="E5" s="7" t="n">
        <v>0.0779150075818997</v>
      </c>
      <c r="F5" s="8" t="n">
        <v>46090</v>
      </c>
      <c r="G5" s="1" t="s">
        <v>280</v>
      </c>
      <c r="H5" s="90" t="s">
        <v>281</v>
      </c>
      <c r="I5" s="1" t="s">
        <v>282</v>
      </c>
      <c r="J5" s="8"/>
    </row>
    <row r="6" customFormat="false" ht="57" hidden="false" customHeight="true" outlineLevel="0" collapsed="false">
      <c r="B6" s="1" t="s">
        <v>10</v>
      </c>
      <c r="C6" s="2" t="n">
        <v>20564027.22</v>
      </c>
      <c r="D6" s="7" t="n">
        <v>0.051474354167725</v>
      </c>
      <c r="E6" s="7" t="n">
        <v>0.129389361749625</v>
      </c>
      <c r="F6" s="8" t="n">
        <v>46090</v>
      </c>
      <c r="G6" s="1" t="s">
        <v>280</v>
      </c>
      <c r="H6" s="1" t="s">
        <v>283</v>
      </c>
      <c r="I6" s="90" t="s">
        <v>284</v>
      </c>
    </row>
    <row r="7" customFormat="false" ht="14.25" hidden="false" customHeight="true" outlineLevel="0" collapsed="false">
      <c r="B7" s="1" t="s">
        <v>11</v>
      </c>
      <c r="C7" s="2" t="n">
        <v>16692285.4339999</v>
      </c>
      <c r="D7" s="7" t="n">
        <v>0.0417828960789749</v>
      </c>
      <c r="E7" s="7" t="n">
        <v>0.1711722578286</v>
      </c>
      <c r="F7" s="8" t="n">
        <v>46090</v>
      </c>
      <c r="G7" s="1" t="s">
        <v>280</v>
      </c>
      <c r="H7" s="1" t="s">
        <v>281</v>
      </c>
      <c r="I7" s="1" t="s">
        <v>285</v>
      </c>
    </row>
    <row r="8" customFormat="false" ht="14.25" hidden="false" customHeight="true" outlineLevel="0" collapsed="false">
      <c r="B8" s="1" t="s">
        <v>12</v>
      </c>
      <c r="C8" s="2" t="n">
        <v>16532891.746</v>
      </c>
      <c r="D8" s="7" t="n">
        <v>0.0413839135712962</v>
      </c>
      <c r="E8" s="7" t="n">
        <v>0.212556171399896</v>
      </c>
      <c r="F8" s="8" t="n">
        <v>46090</v>
      </c>
      <c r="G8" s="1" t="s">
        <v>280</v>
      </c>
      <c r="H8" s="1" t="s">
        <v>281</v>
      </c>
      <c r="I8" s="1" t="s">
        <v>286</v>
      </c>
    </row>
    <row r="9" customFormat="false" ht="14.25" hidden="false" customHeight="true" outlineLevel="0" collapsed="false">
      <c r="B9" s="1" t="s">
        <v>13</v>
      </c>
      <c r="C9" s="2" t="n">
        <v>14171977.23</v>
      </c>
      <c r="D9" s="7" t="n">
        <v>0.0354742467216962</v>
      </c>
      <c r="E9" s="7" t="n">
        <v>0.248030418121592</v>
      </c>
      <c r="F9" s="8" t="n">
        <v>46091</v>
      </c>
      <c r="G9" s="1" t="s">
        <v>287</v>
      </c>
      <c r="H9" s="1" t="s">
        <v>281</v>
      </c>
      <c r="I9" s="1" t="s">
        <v>288</v>
      </c>
    </row>
    <row r="10" customFormat="false" ht="14.25" hidden="false" customHeight="true" outlineLevel="0" collapsed="false">
      <c r="B10" s="1" t="s">
        <v>14</v>
      </c>
      <c r="C10" s="2" t="n">
        <v>13137353.18</v>
      </c>
      <c r="D10" s="7" t="n">
        <v>0.0328844522125569</v>
      </c>
      <c r="E10" s="7" t="n">
        <v>0.315634955121733</v>
      </c>
      <c r="F10" s="8" t="n">
        <v>46091</v>
      </c>
      <c r="G10" s="1" t="s">
        <v>287</v>
      </c>
      <c r="H10" s="90" t="s">
        <v>289</v>
      </c>
      <c r="I10" s="1" t="s">
        <v>290</v>
      </c>
    </row>
    <row r="11" customFormat="false" ht="14.25" hidden="false" customHeight="true" outlineLevel="0" collapsed="false">
      <c r="B11" s="1" t="s">
        <v>15</v>
      </c>
      <c r="C11" s="2" t="n">
        <v>11252519.998</v>
      </c>
      <c r="D11" s="7" t="n">
        <v>0.0281664769969343</v>
      </c>
      <c r="E11" s="7" t="n">
        <v>0.343801432118667</v>
      </c>
      <c r="F11" s="8" t="n">
        <v>46091</v>
      </c>
      <c r="G11" s="1" t="s">
        <v>287</v>
      </c>
      <c r="H11" s="1" t="s">
        <v>291</v>
      </c>
    </row>
    <row r="12" customFormat="false" ht="14.25" hidden="false" customHeight="true" outlineLevel="0" collapsed="false">
      <c r="B12" s="1" t="s">
        <v>16</v>
      </c>
      <c r="C12" s="2" t="n">
        <v>10364703.36</v>
      </c>
      <c r="D12" s="7" t="n">
        <v>0.0259441599589582</v>
      </c>
      <c r="E12" s="7" t="n">
        <v>0.369745592077625</v>
      </c>
      <c r="F12" s="8" t="n">
        <v>46091</v>
      </c>
      <c r="G12" s="1" t="s">
        <v>287</v>
      </c>
      <c r="H12" s="1" t="s">
        <v>291</v>
      </c>
    </row>
    <row r="13" customFormat="false" ht="14.25" hidden="false" customHeight="true" outlineLevel="0" collapsed="false">
      <c r="B13" s="1" t="s">
        <v>17</v>
      </c>
      <c r="C13" s="2" t="n">
        <v>9420256.902</v>
      </c>
      <c r="D13" s="7" t="n">
        <v>0.0235800913379896</v>
      </c>
      <c r="E13" s="7" t="n">
        <v>0.393325683415615</v>
      </c>
      <c r="F13" s="8" t="n">
        <v>46092</v>
      </c>
      <c r="G13" s="1" t="s">
        <v>292</v>
      </c>
      <c r="I13" s="1" t="s">
        <v>282</v>
      </c>
    </row>
    <row r="14" customFormat="false" ht="14.25" hidden="false" customHeight="true" outlineLevel="0" collapsed="false">
      <c r="B14" s="1" t="s">
        <v>18</v>
      </c>
      <c r="C14" s="2" t="n">
        <v>9306782.86110001</v>
      </c>
      <c r="D14" s="7" t="n">
        <v>0.0232960514995066</v>
      </c>
      <c r="E14" s="7" t="n">
        <v>0.416621734915121</v>
      </c>
      <c r="F14" s="8" t="n">
        <v>46092</v>
      </c>
      <c r="G14" s="1" t="s">
        <v>292</v>
      </c>
      <c r="H14" s="8" t="s">
        <v>293</v>
      </c>
    </row>
    <row r="15" customFormat="false" ht="14.25" hidden="false" customHeight="true" outlineLevel="0" collapsed="false">
      <c r="B15" s="1" t="s">
        <v>19</v>
      </c>
      <c r="C15" s="2" t="n">
        <v>9037531.37900002</v>
      </c>
      <c r="D15" s="7" t="n">
        <v>0.0226220810752543</v>
      </c>
      <c r="E15" s="7" t="n">
        <v>0.439243815990376</v>
      </c>
      <c r="F15" s="8" t="n">
        <v>46092</v>
      </c>
      <c r="G15" s="1" t="s">
        <v>292</v>
      </c>
    </row>
    <row r="16" customFormat="false" ht="14.25" hidden="false" customHeight="true" outlineLevel="0" collapsed="false">
      <c r="B16" s="1" t="s">
        <v>20</v>
      </c>
      <c r="C16" s="2" t="n">
        <v>8484144.93499998</v>
      </c>
      <c r="D16" s="7" t="n">
        <v>0.021236884999343</v>
      </c>
      <c r="E16" s="7" t="n">
        <v>0.460480700989719</v>
      </c>
      <c r="F16" s="8" t="n">
        <v>46092</v>
      </c>
      <c r="G16" s="1" t="s">
        <v>292</v>
      </c>
      <c r="H16" s="1" t="s">
        <v>281</v>
      </c>
      <c r="I16" s="1" t="s">
        <v>294</v>
      </c>
    </row>
    <row r="17" customFormat="false" ht="14.25" hidden="false" customHeight="true" outlineLevel="0" collapsed="false">
      <c r="B17" s="1" t="s">
        <v>21</v>
      </c>
      <c r="C17" s="2" t="n">
        <v>8454576.55999999</v>
      </c>
      <c r="D17" s="7" t="n">
        <v>0.0211628716268343</v>
      </c>
      <c r="E17" s="7" t="n">
        <v>0.481643572616553</v>
      </c>
      <c r="F17" s="8" t="n">
        <v>46093</v>
      </c>
      <c r="G17" s="1" t="s">
        <v>295</v>
      </c>
      <c r="H17" s="1" t="s">
        <v>296</v>
      </c>
    </row>
    <row r="18" customFormat="false" ht="14.25" hidden="false" customHeight="true" outlineLevel="0" collapsed="false">
      <c r="B18" s="1" t="s">
        <v>22</v>
      </c>
      <c r="C18" s="2" t="n">
        <v>7948031.94</v>
      </c>
      <c r="D18" s="7" t="n">
        <v>0.0198949265452271</v>
      </c>
      <c r="E18" s="7" t="n">
        <v>0.50153849916178</v>
      </c>
      <c r="F18" s="8" t="n">
        <v>46093</v>
      </c>
      <c r="G18" s="1" t="s">
        <v>295</v>
      </c>
      <c r="H18" s="1" t="s">
        <v>297</v>
      </c>
    </row>
    <row r="19" customFormat="false" ht="14.25" hidden="false" customHeight="true" outlineLevel="0" collapsed="false">
      <c r="B19" s="1" t="s">
        <v>23</v>
      </c>
      <c r="C19" s="2" t="n">
        <v>7830526.14</v>
      </c>
      <c r="D19" s="7" t="n">
        <v>0.0196007947051331</v>
      </c>
      <c r="E19" s="7" t="n">
        <v>0.521139293866913</v>
      </c>
      <c r="F19" s="8" t="n">
        <v>46093</v>
      </c>
      <c r="G19" s="1" t="s">
        <v>295</v>
      </c>
      <c r="H19" s="1" t="s">
        <v>296</v>
      </c>
    </row>
    <row r="20" customFormat="false" ht="14.25" hidden="false" customHeight="true" outlineLevel="0" collapsed="false">
      <c r="B20" s="1" t="s">
        <v>24</v>
      </c>
      <c r="C20" s="2" t="n">
        <v>7291463.23499999</v>
      </c>
      <c r="D20" s="7" t="n">
        <v>0.0182514522541726</v>
      </c>
      <c r="E20" s="7" t="n">
        <v>0.539390746121086</v>
      </c>
      <c r="F20" s="8" t="n">
        <v>46093</v>
      </c>
      <c r="G20" s="1" t="s">
        <v>295</v>
      </c>
      <c r="H20" s="1" t="s">
        <v>296</v>
      </c>
    </row>
    <row r="21" customFormat="false" ht="28.5" hidden="false" customHeight="true" outlineLevel="0" collapsed="false">
      <c r="B21" s="1" t="s">
        <v>25</v>
      </c>
      <c r="C21" s="2" t="n">
        <v>7093550.178</v>
      </c>
      <c r="D21" s="7" t="n">
        <v>0.0177560509068856</v>
      </c>
      <c r="E21" s="7" t="n">
        <v>0.557146797027971</v>
      </c>
      <c r="F21" s="8" t="n">
        <v>46094</v>
      </c>
      <c r="G21" s="1" t="s">
        <v>297</v>
      </c>
      <c r="H21" s="90" t="s">
        <v>281</v>
      </c>
      <c r="I21" s="90" t="s">
        <v>298</v>
      </c>
    </row>
    <row r="22" customFormat="false" ht="28.5" hidden="false" customHeight="true" outlineLevel="0" collapsed="false">
      <c r="B22" s="1" t="s">
        <v>26</v>
      </c>
      <c r="C22" s="2" t="n">
        <v>6784244.17099999</v>
      </c>
      <c r="D22" s="7" t="n">
        <v>0.0169818189541561</v>
      </c>
      <c r="E22" s="7" t="n">
        <v>0.574128615982127</v>
      </c>
      <c r="F22" s="8" t="n">
        <v>46094</v>
      </c>
      <c r="G22" s="1" t="s">
        <v>297</v>
      </c>
      <c r="H22" s="90" t="s">
        <v>281</v>
      </c>
      <c r="I22" s="90" t="s">
        <v>299</v>
      </c>
    </row>
    <row r="23" customFormat="false" ht="14.25" hidden="false" customHeight="true" outlineLevel="0" collapsed="false">
      <c r="B23" s="1" t="s">
        <v>27</v>
      </c>
      <c r="C23" s="2" t="n">
        <v>6536250</v>
      </c>
      <c r="D23" s="7" t="n">
        <v>0.016361058261077</v>
      </c>
      <c r="E23" s="7" t="n">
        <v>0.590489674243204</v>
      </c>
      <c r="F23" s="8" t="n">
        <v>46094</v>
      </c>
      <c r="G23" s="1" t="s">
        <v>297</v>
      </c>
      <c r="H23" s="1" t="s">
        <v>297</v>
      </c>
    </row>
    <row r="24" customFormat="false" ht="14.25" hidden="false" customHeight="true" outlineLevel="0" collapsed="false">
      <c r="B24" s="1" t="s">
        <v>28</v>
      </c>
      <c r="C24" s="2" t="n">
        <v>6362416.58</v>
      </c>
      <c r="D24" s="7" t="n">
        <v>0.0159259312827114</v>
      </c>
      <c r="E24" s="7" t="n">
        <v>0.606415605525916</v>
      </c>
      <c r="F24" s="8" t="n">
        <v>46094</v>
      </c>
      <c r="G24" s="1" t="s">
        <v>297</v>
      </c>
      <c r="H24" s="1" t="s">
        <v>281</v>
      </c>
      <c r="I24" s="1" t="s">
        <v>300</v>
      </c>
    </row>
    <row r="25" customFormat="false" ht="14.25" hidden="false" customHeight="true" outlineLevel="0" collapsed="false">
      <c r="B25" s="1" t="s">
        <v>29</v>
      </c>
      <c r="C25" s="2" t="n">
        <v>6291737.59749999</v>
      </c>
      <c r="D25" s="7" t="n">
        <v>0.0157490128737588</v>
      </c>
      <c r="E25" s="7" t="n">
        <v>0.622164618399675</v>
      </c>
      <c r="F25" s="8" t="n">
        <v>46094</v>
      </c>
      <c r="G25" s="1" t="s">
        <v>297</v>
      </c>
      <c r="H25" s="1" t="s">
        <v>297</v>
      </c>
    </row>
    <row r="26" customFormat="false" ht="14.25" hidden="false" customHeight="true" outlineLevel="0" collapsed="false">
      <c r="C26" s="2" t="n">
        <f aca="false">SUM(C5:C25)</f>
        <v>234684350.5812</v>
      </c>
      <c r="E26" s="10"/>
    </row>
    <row r="27" customFormat="false" ht="14.25" hidden="false" customHeight="true" outlineLevel="0" collapsed="false">
      <c r="E27" s="10"/>
    </row>
    <row r="28" customFormat="false" ht="14.25" hidden="false" customHeight="true" outlineLevel="0" collapsed="false">
      <c r="E28" s="10"/>
    </row>
    <row r="29" customFormat="false" ht="14.25" hidden="false" customHeight="true" outlineLevel="0" collapsed="false">
      <c r="E29" s="10"/>
    </row>
    <row r="30" customFormat="false" ht="14.25" hidden="false" customHeight="true" outlineLevel="0" collapsed="false">
      <c r="E30" s="10"/>
    </row>
    <row r="31" customFormat="false" ht="14.25" hidden="false" customHeight="true" outlineLevel="0" collapsed="false">
      <c r="E31" s="10"/>
    </row>
    <row r="32" customFormat="false" ht="14.25" hidden="false" customHeight="true" outlineLevel="0" collapsed="false">
      <c r="E32" s="10"/>
    </row>
    <row r="33" customFormat="false" ht="14.25" hidden="false" customHeight="true" outlineLevel="0" collapsed="false">
      <c r="E33" s="10"/>
    </row>
    <row r="34" customFormat="false" ht="14.25" hidden="false" customHeight="true" outlineLevel="0" collapsed="false">
      <c r="E34" s="10"/>
    </row>
    <row r="35" customFormat="false" ht="14.25" hidden="false" customHeight="true" outlineLevel="0" collapsed="false">
      <c r="E35" s="10"/>
    </row>
    <row r="36" customFormat="false" ht="14.25" hidden="false" customHeight="true" outlineLevel="0" collapsed="false">
      <c r="E36" s="10"/>
    </row>
    <row r="37" customFormat="false" ht="14.25" hidden="false" customHeight="true" outlineLevel="0" collapsed="false">
      <c r="E37" s="10"/>
    </row>
    <row r="38" customFormat="false" ht="14.25" hidden="false" customHeight="true" outlineLevel="0" collapsed="false">
      <c r="E38" s="10"/>
    </row>
    <row r="39" customFormat="false" ht="14.25" hidden="false" customHeight="true" outlineLevel="0" collapsed="false">
      <c r="E39" s="10"/>
    </row>
    <row r="40" customFormat="false" ht="14.25" hidden="false" customHeight="true" outlineLevel="0" collapsed="false">
      <c r="E40" s="10"/>
    </row>
    <row r="41" customFormat="false" ht="14.25" hidden="false" customHeight="true" outlineLevel="0" collapsed="false">
      <c r="E41" s="10"/>
    </row>
    <row r="42" customFormat="false" ht="14.25" hidden="false" customHeight="true" outlineLevel="0" collapsed="false">
      <c r="E42" s="10"/>
    </row>
    <row r="43" customFormat="false" ht="14.25" hidden="false" customHeight="true" outlineLevel="0" collapsed="false">
      <c r="E43" s="10"/>
    </row>
    <row r="44" customFormat="false" ht="14.25" hidden="false" customHeight="true" outlineLevel="0" collapsed="false">
      <c r="E44" s="10"/>
    </row>
    <row r="45" customFormat="false" ht="14.25" hidden="false" customHeight="true" outlineLevel="0" collapsed="false">
      <c r="E45" s="10"/>
    </row>
    <row r="46" customFormat="false" ht="14.25" hidden="false" customHeight="true" outlineLevel="0" collapsed="false">
      <c r="E46" s="10"/>
    </row>
    <row r="47" customFormat="false" ht="14.25" hidden="false" customHeight="true" outlineLevel="0" collapsed="false">
      <c r="E47" s="10"/>
    </row>
    <row r="48" customFormat="false" ht="14.25" hidden="false" customHeight="true" outlineLevel="0" collapsed="false">
      <c r="E48" s="10"/>
    </row>
    <row r="49" customFormat="false" ht="14.25" hidden="false" customHeight="true" outlineLevel="0" collapsed="false">
      <c r="E49" s="10"/>
    </row>
    <row r="50" customFormat="false" ht="14.25" hidden="false" customHeight="true" outlineLevel="0" collapsed="false">
      <c r="E50" s="10"/>
    </row>
    <row r="51" customFormat="false" ht="14.25" hidden="false" customHeight="true" outlineLevel="0" collapsed="false">
      <c r="E51" s="10"/>
    </row>
    <row r="52" customFormat="false" ht="14.25" hidden="false" customHeight="true" outlineLevel="0" collapsed="false">
      <c r="E52" s="10"/>
    </row>
    <row r="53" customFormat="false" ht="14.25" hidden="false" customHeight="true" outlineLevel="0" collapsed="false">
      <c r="E53" s="10"/>
    </row>
    <row r="54" customFormat="false" ht="14.25" hidden="false" customHeight="true" outlineLevel="0" collapsed="false">
      <c r="E54" s="10"/>
    </row>
    <row r="55" customFormat="false" ht="14.25" hidden="false" customHeight="true" outlineLevel="0" collapsed="false">
      <c r="E55" s="10"/>
    </row>
    <row r="56" customFormat="false" ht="14.25" hidden="false" customHeight="true" outlineLevel="0" collapsed="false">
      <c r="E56" s="10"/>
    </row>
    <row r="57" customFormat="false" ht="14.25" hidden="false" customHeight="true" outlineLevel="0" collapsed="false">
      <c r="E57" s="10"/>
    </row>
    <row r="58" customFormat="false" ht="14.25" hidden="false" customHeight="true" outlineLevel="0" collapsed="false">
      <c r="E58" s="10"/>
    </row>
    <row r="59" customFormat="false" ht="14.25" hidden="false" customHeight="true" outlineLevel="0" collapsed="false">
      <c r="E59" s="10"/>
    </row>
    <row r="60" customFormat="false" ht="14.25" hidden="false" customHeight="true" outlineLevel="0" collapsed="false">
      <c r="E60" s="10"/>
    </row>
    <row r="61" customFormat="false" ht="14.25" hidden="false" customHeight="true" outlineLevel="0" collapsed="false">
      <c r="E61" s="10"/>
    </row>
    <row r="62" customFormat="false" ht="14.25" hidden="false" customHeight="true" outlineLevel="0" collapsed="false">
      <c r="E62" s="10"/>
    </row>
    <row r="63" customFormat="false" ht="14.25" hidden="false" customHeight="true" outlineLevel="0" collapsed="false">
      <c r="E63" s="10"/>
    </row>
    <row r="64" customFormat="false" ht="14.25" hidden="false" customHeight="true" outlineLevel="0" collapsed="false">
      <c r="E64" s="10"/>
    </row>
    <row r="65" customFormat="false" ht="14.25" hidden="false" customHeight="true" outlineLevel="0" collapsed="false">
      <c r="E65" s="10"/>
    </row>
    <row r="66" customFormat="false" ht="14.25" hidden="false" customHeight="true" outlineLevel="0" collapsed="false">
      <c r="E66" s="10"/>
    </row>
    <row r="67" customFormat="false" ht="14.25" hidden="false" customHeight="true" outlineLevel="0" collapsed="false">
      <c r="E67" s="10"/>
    </row>
    <row r="68" customFormat="false" ht="14.25" hidden="false" customHeight="true" outlineLevel="0" collapsed="false">
      <c r="E68" s="10"/>
    </row>
    <row r="69" customFormat="false" ht="14.25" hidden="false" customHeight="true" outlineLevel="0" collapsed="false">
      <c r="E69" s="10"/>
    </row>
    <row r="70" customFormat="false" ht="14.25" hidden="false" customHeight="true" outlineLevel="0" collapsed="false">
      <c r="E70" s="10"/>
    </row>
    <row r="71" customFormat="false" ht="14.25" hidden="false" customHeight="true" outlineLevel="0" collapsed="false">
      <c r="E71" s="10"/>
    </row>
    <row r="72" customFormat="false" ht="14.25" hidden="false" customHeight="true" outlineLevel="0" collapsed="false">
      <c r="E72" s="10"/>
    </row>
    <row r="73" customFormat="false" ht="14.25" hidden="false" customHeight="true" outlineLevel="0" collapsed="false">
      <c r="E73" s="10"/>
    </row>
    <row r="74" customFormat="false" ht="14.25" hidden="false" customHeight="true" outlineLevel="0" collapsed="false">
      <c r="E74" s="10"/>
    </row>
    <row r="75" customFormat="false" ht="14.25" hidden="false" customHeight="true" outlineLevel="0" collapsed="false">
      <c r="E75" s="10"/>
    </row>
    <row r="76" customFormat="false" ht="14.25" hidden="false" customHeight="true" outlineLevel="0" collapsed="false">
      <c r="E76" s="10"/>
    </row>
    <row r="77" customFormat="false" ht="14.25" hidden="false" customHeight="true" outlineLevel="0" collapsed="false">
      <c r="E77" s="10"/>
    </row>
    <row r="78" customFormat="false" ht="14.25" hidden="false" customHeight="true" outlineLevel="0" collapsed="false">
      <c r="E78" s="10"/>
    </row>
    <row r="79" customFormat="false" ht="14.25" hidden="false" customHeight="true" outlineLevel="0" collapsed="false">
      <c r="E79" s="10"/>
    </row>
    <row r="80" customFormat="false" ht="14.25" hidden="false" customHeight="true" outlineLevel="0" collapsed="false">
      <c r="E80" s="10"/>
    </row>
    <row r="81" customFormat="false" ht="14.25" hidden="false" customHeight="true" outlineLevel="0" collapsed="false">
      <c r="E81" s="10"/>
    </row>
    <row r="82" customFormat="false" ht="14.25" hidden="false" customHeight="true" outlineLevel="0" collapsed="false">
      <c r="E82" s="10"/>
    </row>
    <row r="83" customFormat="false" ht="14.25" hidden="false" customHeight="true" outlineLevel="0" collapsed="false">
      <c r="E83" s="10"/>
    </row>
    <row r="84" customFormat="false" ht="14.25" hidden="false" customHeight="true" outlineLevel="0" collapsed="false">
      <c r="E84" s="10"/>
    </row>
    <row r="85" customFormat="false" ht="14.25" hidden="false" customHeight="true" outlineLevel="0" collapsed="false">
      <c r="E85" s="10"/>
    </row>
    <row r="86" customFormat="false" ht="14.25" hidden="false" customHeight="true" outlineLevel="0" collapsed="false">
      <c r="E86" s="10"/>
    </row>
    <row r="87" customFormat="false" ht="14.25" hidden="false" customHeight="true" outlineLevel="0" collapsed="false">
      <c r="E87" s="10"/>
    </row>
    <row r="88" customFormat="false" ht="14.25" hidden="false" customHeight="true" outlineLevel="0" collapsed="false">
      <c r="E88" s="10"/>
    </row>
    <row r="89" customFormat="false" ht="14.25" hidden="false" customHeight="true" outlineLevel="0" collapsed="false">
      <c r="E89" s="10"/>
    </row>
    <row r="90" customFormat="false" ht="14.25" hidden="false" customHeight="true" outlineLevel="0" collapsed="false">
      <c r="E90" s="10"/>
    </row>
    <row r="91" customFormat="false" ht="14.25" hidden="false" customHeight="true" outlineLevel="0" collapsed="false">
      <c r="E91" s="10"/>
    </row>
    <row r="92" customFormat="false" ht="14.25" hidden="false" customHeight="true" outlineLevel="0" collapsed="false">
      <c r="E92" s="10"/>
    </row>
    <row r="93" customFormat="false" ht="14.25" hidden="false" customHeight="true" outlineLevel="0" collapsed="false">
      <c r="E93" s="10"/>
    </row>
    <row r="94" customFormat="false" ht="14.25" hidden="false" customHeight="true" outlineLevel="0" collapsed="false">
      <c r="E94" s="10"/>
    </row>
    <row r="95" customFormat="false" ht="14.25" hidden="false" customHeight="true" outlineLevel="0" collapsed="false">
      <c r="E95" s="10"/>
    </row>
    <row r="96" customFormat="false" ht="14.25" hidden="false" customHeight="true" outlineLevel="0" collapsed="false">
      <c r="E96" s="10"/>
    </row>
    <row r="97" customFormat="false" ht="14.25" hidden="false" customHeight="true" outlineLevel="0" collapsed="false">
      <c r="E97" s="10"/>
    </row>
    <row r="98" customFormat="false" ht="14.25" hidden="false" customHeight="true" outlineLevel="0" collapsed="false">
      <c r="E98" s="10"/>
    </row>
    <row r="99" customFormat="false" ht="14.25" hidden="false" customHeight="true" outlineLevel="0" collapsed="false">
      <c r="E99" s="10"/>
    </row>
    <row r="100" customFormat="false" ht="14.25" hidden="false" customHeight="true" outlineLevel="0" collapsed="false">
      <c r="E100" s="10"/>
    </row>
    <row r="101" customFormat="false" ht="14.25" hidden="false" customHeight="true" outlineLevel="0" collapsed="false">
      <c r="E101" s="10"/>
    </row>
    <row r="102" customFormat="false" ht="14.25" hidden="false" customHeight="true" outlineLevel="0" collapsed="false">
      <c r="E102" s="10"/>
    </row>
    <row r="103" customFormat="false" ht="14.25" hidden="false" customHeight="true" outlineLevel="0" collapsed="false">
      <c r="E103" s="10"/>
    </row>
    <row r="104" customFormat="false" ht="14.25" hidden="false" customHeight="true" outlineLevel="0" collapsed="false">
      <c r="E104" s="10"/>
    </row>
    <row r="105" customFormat="false" ht="14.25" hidden="false" customHeight="true" outlineLevel="0" collapsed="false">
      <c r="E105" s="10"/>
    </row>
    <row r="106" customFormat="false" ht="14.25" hidden="false" customHeight="true" outlineLevel="0" collapsed="false">
      <c r="E106" s="10"/>
    </row>
    <row r="107" customFormat="false" ht="14.25" hidden="false" customHeight="true" outlineLevel="0" collapsed="false">
      <c r="E107" s="10"/>
    </row>
    <row r="108" customFormat="false" ht="14.25" hidden="false" customHeight="true" outlineLevel="0" collapsed="false">
      <c r="E108" s="10"/>
    </row>
    <row r="109" customFormat="false" ht="14.25" hidden="false" customHeight="true" outlineLevel="0" collapsed="false">
      <c r="E109" s="10"/>
    </row>
    <row r="110" customFormat="false" ht="14.25" hidden="false" customHeight="true" outlineLevel="0" collapsed="false">
      <c r="E110" s="10"/>
    </row>
    <row r="111" customFormat="false" ht="14.25" hidden="false" customHeight="true" outlineLevel="0" collapsed="false">
      <c r="E111" s="10"/>
    </row>
    <row r="112" customFormat="false" ht="14.25" hidden="false" customHeight="true" outlineLevel="0" collapsed="false">
      <c r="E112" s="10"/>
    </row>
    <row r="113" customFormat="false" ht="14.25" hidden="false" customHeight="true" outlineLevel="0" collapsed="false">
      <c r="E113" s="10"/>
    </row>
    <row r="114" customFormat="false" ht="14.25" hidden="false" customHeight="true" outlineLevel="0" collapsed="false">
      <c r="E114" s="10"/>
    </row>
    <row r="115" customFormat="false" ht="14.25" hidden="false" customHeight="true" outlineLevel="0" collapsed="false">
      <c r="E115" s="10"/>
    </row>
    <row r="116" customFormat="false" ht="14.25" hidden="false" customHeight="true" outlineLevel="0" collapsed="false">
      <c r="E116" s="10"/>
    </row>
    <row r="117" customFormat="false" ht="14.25" hidden="false" customHeight="true" outlineLevel="0" collapsed="false">
      <c r="E117" s="10"/>
    </row>
    <row r="118" customFormat="false" ht="14.25" hidden="false" customHeight="true" outlineLevel="0" collapsed="false">
      <c r="E118" s="10"/>
    </row>
    <row r="119" customFormat="false" ht="14.25" hidden="false" customHeight="true" outlineLevel="0" collapsed="false">
      <c r="E119" s="10"/>
    </row>
    <row r="120" customFormat="false" ht="14.25" hidden="false" customHeight="true" outlineLevel="0" collapsed="false">
      <c r="E120" s="10"/>
    </row>
    <row r="121" customFormat="false" ht="14.25" hidden="false" customHeight="true" outlineLevel="0" collapsed="false">
      <c r="E121" s="10"/>
    </row>
    <row r="122" customFormat="false" ht="14.25" hidden="false" customHeight="true" outlineLevel="0" collapsed="false">
      <c r="E122" s="10"/>
    </row>
    <row r="123" customFormat="false" ht="14.25" hidden="false" customHeight="true" outlineLevel="0" collapsed="false">
      <c r="E123" s="10"/>
    </row>
    <row r="124" customFormat="false" ht="14.25" hidden="false" customHeight="true" outlineLevel="0" collapsed="false">
      <c r="E124" s="10"/>
    </row>
    <row r="125" customFormat="false" ht="14.25" hidden="false" customHeight="true" outlineLevel="0" collapsed="false">
      <c r="E125" s="10"/>
    </row>
    <row r="126" customFormat="false" ht="14.25" hidden="false" customHeight="true" outlineLevel="0" collapsed="false">
      <c r="E126" s="10"/>
    </row>
    <row r="127" customFormat="false" ht="14.25" hidden="false" customHeight="true" outlineLevel="0" collapsed="false">
      <c r="E127" s="10"/>
    </row>
    <row r="128" customFormat="false" ht="14.25" hidden="false" customHeight="true" outlineLevel="0" collapsed="false">
      <c r="E128" s="10"/>
    </row>
    <row r="129" customFormat="false" ht="14.25" hidden="false" customHeight="true" outlineLevel="0" collapsed="false">
      <c r="E129" s="10"/>
    </row>
    <row r="130" customFormat="false" ht="14.25" hidden="false" customHeight="true" outlineLevel="0" collapsed="false">
      <c r="E130" s="10"/>
    </row>
    <row r="131" customFormat="false" ht="14.25" hidden="false" customHeight="true" outlineLevel="0" collapsed="false">
      <c r="E131" s="10"/>
    </row>
    <row r="132" customFormat="false" ht="14.25" hidden="false" customHeight="true" outlineLevel="0" collapsed="false">
      <c r="E132" s="10"/>
    </row>
    <row r="133" customFormat="false" ht="14.25" hidden="false" customHeight="true" outlineLevel="0" collapsed="false">
      <c r="E133" s="10"/>
    </row>
    <row r="134" customFormat="false" ht="14.25" hidden="false" customHeight="true" outlineLevel="0" collapsed="false">
      <c r="E134" s="10"/>
    </row>
    <row r="135" customFormat="false" ht="14.25" hidden="false" customHeight="true" outlineLevel="0" collapsed="false">
      <c r="E135" s="10"/>
    </row>
    <row r="136" customFormat="false" ht="14.25" hidden="false" customHeight="true" outlineLevel="0" collapsed="false">
      <c r="E136" s="10"/>
    </row>
    <row r="137" customFormat="false" ht="14.25" hidden="false" customHeight="true" outlineLevel="0" collapsed="false">
      <c r="E137" s="10"/>
    </row>
    <row r="138" customFormat="false" ht="14.25" hidden="false" customHeight="true" outlineLevel="0" collapsed="false">
      <c r="E138" s="10"/>
    </row>
    <row r="139" customFormat="false" ht="14.25" hidden="false" customHeight="true" outlineLevel="0" collapsed="false">
      <c r="E139" s="10"/>
    </row>
    <row r="140" customFormat="false" ht="14.25" hidden="false" customHeight="true" outlineLevel="0" collapsed="false">
      <c r="E140" s="10"/>
    </row>
    <row r="141" customFormat="false" ht="14.25" hidden="false" customHeight="true" outlineLevel="0" collapsed="false">
      <c r="E141" s="10"/>
    </row>
    <row r="142" customFormat="false" ht="14.25" hidden="false" customHeight="true" outlineLevel="0" collapsed="false">
      <c r="E142" s="10"/>
    </row>
    <row r="143" customFormat="false" ht="14.25" hidden="false" customHeight="true" outlineLevel="0" collapsed="false">
      <c r="E143" s="10"/>
    </row>
    <row r="144" customFormat="false" ht="14.25" hidden="false" customHeight="true" outlineLevel="0" collapsed="false">
      <c r="E144" s="10"/>
    </row>
    <row r="145" customFormat="false" ht="14.25" hidden="false" customHeight="true" outlineLevel="0" collapsed="false">
      <c r="E145" s="10"/>
    </row>
    <row r="146" customFormat="false" ht="14.25" hidden="false" customHeight="true" outlineLevel="0" collapsed="false">
      <c r="E146" s="10"/>
    </row>
    <row r="147" customFormat="false" ht="14.25" hidden="false" customHeight="true" outlineLevel="0" collapsed="false">
      <c r="E147" s="10"/>
    </row>
    <row r="148" customFormat="false" ht="14.25" hidden="false" customHeight="true" outlineLevel="0" collapsed="false">
      <c r="E148" s="10"/>
    </row>
    <row r="149" customFormat="false" ht="14.25" hidden="false" customHeight="true" outlineLevel="0" collapsed="false">
      <c r="E149" s="10"/>
    </row>
    <row r="150" customFormat="false" ht="14.25" hidden="false" customHeight="true" outlineLevel="0" collapsed="false">
      <c r="E150" s="10"/>
    </row>
    <row r="151" customFormat="false" ht="14.25" hidden="false" customHeight="true" outlineLevel="0" collapsed="false">
      <c r="E151" s="10"/>
    </row>
    <row r="152" customFormat="false" ht="14.25" hidden="false" customHeight="true" outlineLevel="0" collapsed="false">
      <c r="E152" s="10"/>
    </row>
    <row r="153" customFormat="false" ht="14.25" hidden="false" customHeight="true" outlineLevel="0" collapsed="false">
      <c r="E153" s="10"/>
    </row>
    <row r="154" customFormat="false" ht="14.25" hidden="false" customHeight="true" outlineLevel="0" collapsed="false">
      <c r="E154" s="10"/>
    </row>
    <row r="155" customFormat="false" ht="14.25" hidden="false" customHeight="true" outlineLevel="0" collapsed="false">
      <c r="E155" s="10"/>
    </row>
    <row r="156" customFormat="false" ht="14.25" hidden="false" customHeight="true" outlineLevel="0" collapsed="false">
      <c r="E156" s="10"/>
    </row>
    <row r="157" customFormat="false" ht="14.25" hidden="false" customHeight="true" outlineLevel="0" collapsed="false">
      <c r="E157" s="10"/>
    </row>
    <row r="158" customFormat="false" ht="14.25" hidden="false" customHeight="true" outlineLevel="0" collapsed="false">
      <c r="E158" s="10"/>
    </row>
    <row r="159" customFormat="false" ht="14.25" hidden="false" customHeight="true" outlineLevel="0" collapsed="false">
      <c r="E159" s="10"/>
    </row>
    <row r="160" customFormat="false" ht="14.25" hidden="false" customHeight="true" outlineLevel="0" collapsed="false">
      <c r="E160" s="10"/>
    </row>
    <row r="161" customFormat="false" ht="14.25" hidden="false" customHeight="true" outlineLevel="0" collapsed="false">
      <c r="E161" s="10"/>
    </row>
    <row r="162" customFormat="false" ht="14.25" hidden="false" customHeight="true" outlineLevel="0" collapsed="false">
      <c r="E162" s="10"/>
    </row>
    <row r="163" customFormat="false" ht="14.25" hidden="false" customHeight="true" outlineLevel="0" collapsed="false">
      <c r="E163" s="10"/>
    </row>
    <row r="164" customFormat="false" ht="14.25" hidden="false" customHeight="true" outlineLevel="0" collapsed="false">
      <c r="E164" s="10"/>
    </row>
    <row r="165" customFormat="false" ht="14.25" hidden="false" customHeight="true" outlineLevel="0" collapsed="false">
      <c r="E165" s="10"/>
    </row>
    <row r="166" customFormat="false" ht="14.25" hidden="false" customHeight="true" outlineLevel="0" collapsed="false">
      <c r="E166" s="10"/>
    </row>
    <row r="167" customFormat="false" ht="14.25" hidden="false" customHeight="true" outlineLevel="0" collapsed="false">
      <c r="E167" s="10"/>
    </row>
    <row r="168" customFormat="false" ht="14.25" hidden="false" customHeight="true" outlineLevel="0" collapsed="false">
      <c r="E168" s="10"/>
    </row>
    <row r="169" customFormat="false" ht="14.25" hidden="false" customHeight="true" outlineLevel="0" collapsed="false">
      <c r="E169" s="10"/>
    </row>
    <row r="170" customFormat="false" ht="14.25" hidden="false" customHeight="true" outlineLevel="0" collapsed="false">
      <c r="E170" s="10"/>
    </row>
    <row r="171" customFormat="false" ht="14.25" hidden="false" customHeight="true" outlineLevel="0" collapsed="false">
      <c r="E171" s="10"/>
    </row>
    <row r="172" customFormat="false" ht="14.25" hidden="false" customHeight="true" outlineLevel="0" collapsed="false">
      <c r="E172" s="10"/>
    </row>
    <row r="173" customFormat="false" ht="14.25" hidden="false" customHeight="true" outlineLevel="0" collapsed="false">
      <c r="E173" s="10"/>
    </row>
    <row r="174" customFormat="false" ht="14.25" hidden="false" customHeight="true" outlineLevel="0" collapsed="false">
      <c r="E174" s="10"/>
    </row>
    <row r="175" customFormat="false" ht="14.25" hidden="false" customHeight="true" outlineLevel="0" collapsed="false">
      <c r="E175" s="10"/>
    </row>
    <row r="176" customFormat="false" ht="14.25" hidden="false" customHeight="true" outlineLevel="0" collapsed="false">
      <c r="E176" s="10"/>
    </row>
    <row r="177" customFormat="false" ht="14.25" hidden="false" customHeight="true" outlineLevel="0" collapsed="false">
      <c r="E177" s="10"/>
    </row>
    <row r="178" customFormat="false" ht="14.25" hidden="false" customHeight="true" outlineLevel="0" collapsed="false">
      <c r="E178" s="10"/>
    </row>
    <row r="179" customFormat="false" ht="14.25" hidden="false" customHeight="true" outlineLevel="0" collapsed="false">
      <c r="E179" s="10"/>
    </row>
    <row r="180" customFormat="false" ht="14.25" hidden="false" customHeight="true" outlineLevel="0" collapsed="false">
      <c r="E180" s="10"/>
    </row>
    <row r="181" customFormat="false" ht="14.25" hidden="false" customHeight="true" outlineLevel="0" collapsed="false">
      <c r="E181" s="10"/>
    </row>
    <row r="182" customFormat="false" ht="14.25" hidden="false" customHeight="true" outlineLevel="0" collapsed="false">
      <c r="E182" s="10"/>
    </row>
    <row r="183" customFormat="false" ht="14.25" hidden="false" customHeight="true" outlineLevel="0" collapsed="false">
      <c r="E183" s="10"/>
    </row>
    <row r="184" customFormat="false" ht="14.25" hidden="false" customHeight="true" outlineLevel="0" collapsed="false">
      <c r="E184" s="10"/>
    </row>
    <row r="185" customFormat="false" ht="14.25" hidden="false" customHeight="true" outlineLevel="0" collapsed="false">
      <c r="E185" s="10"/>
    </row>
    <row r="186" customFormat="false" ht="14.25" hidden="false" customHeight="true" outlineLevel="0" collapsed="false">
      <c r="E186" s="10"/>
    </row>
    <row r="187" customFormat="false" ht="14.25" hidden="false" customHeight="true" outlineLevel="0" collapsed="false">
      <c r="E187" s="10"/>
    </row>
    <row r="188" customFormat="false" ht="14.25" hidden="false" customHeight="true" outlineLevel="0" collapsed="false">
      <c r="E188" s="10"/>
    </row>
    <row r="189" customFormat="false" ht="14.25" hidden="false" customHeight="true" outlineLevel="0" collapsed="false">
      <c r="E189" s="10"/>
    </row>
    <row r="190" customFormat="false" ht="14.25" hidden="false" customHeight="true" outlineLevel="0" collapsed="false">
      <c r="E190" s="10"/>
    </row>
    <row r="191" customFormat="false" ht="14.25" hidden="false" customHeight="true" outlineLevel="0" collapsed="false">
      <c r="E191" s="10"/>
    </row>
    <row r="192" customFormat="false" ht="14.25" hidden="false" customHeight="true" outlineLevel="0" collapsed="false">
      <c r="E192" s="10"/>
    </row>
    <row r="193" customFormat="false" ht="14.25" hidden="false" customHeight="true" outlineLevel="0" collapsed="false">
      <c r="E193" s="10"/>
    </row>
    <row r="194" customFormat="false" ht="14.25" hidden="false" customHeight="true" outlineLevel="0" collapsed="false">
      <c r="E194" s="10"/>
    </row>
    <row r="195" customFormat="false" ht="14.25" hidden="false" customHeight="true" outlineLevel="0" collapsed="false">
      <c r="E195" s="10"/>
    </row>
    <row r="196" customFormat="false" ht="14.25" hidden="false" customHeight="true" outlineLevel="0" collapsed="false">
      <c r="E196" s="10"/>
    </row>
    <row r="197" customFormat="false" ht="14.25" hidden="false" customHeight="true" outlineLevel="0" collapsed="false">
      <c r="E197" s="10"/>
    </row>
    <row r="198" customFormat="false" ht="14.25" hidden="false" customHeight="true" outlineLevel="0" collapsed="false">
      <c r="E198" s="10"/>
    </row>
    <row r="199" customFormat="false" ht="14.25" hidden="false" customHeight="true" outlineLevel="0" collapsed="false">
      <c r="E199" s="10"/>
    </row>
    <row r="200" customFormat="false" ht="14.25" hidden="false" customHeight="true" outlineLevel="0" collapsed="false">
      <c r="E200" s="10"/>
    </row>
    <row r="201" customFormat="false" ht="14.25" hidden="false" customHeight="true" outlineLevel="0" collapsed="false">
      <c r="E201" s="10"/>
    </row>
    <row r="202" customFormat="false" ht="14.25" hidden="false" customHeight="true" outlineLevel="0" collapsed="false">
      <c r="E202" s="10"/>
    </row>
    <row r="203" customFormat="false" ht="14.25" hidden="false" customHeight="true" outlineLevel="0" collapsed="false">
      <c r="E203" s="10"/>
    </row>
    <row r="204" customFormat="false" ht="14.25" hidden="false" customHeight="true" outlineLevel="0" collapsed="false">
      <c r="E204" s="10"/>
    </row>
    <row r="205" customFormat="false" ht="14.25" hidden="false" customHeight="true" outlineLevel="0" collapsed="false">
      <c r="E205" s="10"/>
    </row>
    <row r="206" customFormat="false" ht="14.25" hidden="false" customHeight="true" outlineLevel="0" collapsed="false">
      <c r="E206" s="10"/>
    </row>
    <row r="207" customFormat="false" ht="14.25" hidden="false" customHeight="true" outlineLevel="0" collapsed="false">
      <c r="E207" s="10"/>
    </row>
    <row r="208" customFormat="false" ht="14.25" hidden="false" customHeight="true" outlineLevel="0" collapsed="false">
      <c r="E208" s="10"/>
    </row>
    <row r="209" customFormat="false" ht="14.25" hidden="false" customHeight="true" outlineLevel="0" collapsed="false">
      <c r="E209" s="10"/>
    </row>
    <row r="210" customFormat="false" ht="14.25" hidden="false" customHeight="true" outlineLevel="0" collapsed="false">
      <c r="E210" s="10"/>
    </row>
    <row r="211" customFormat="false" ht="14.25" hidden="false" customHeight="true" outlineLevel="0" collapsed="false">
      <c r="E211" s="10"/>
    </row>
    <row r="212" customFormat="false" ht="14.25" hidden="false" customHeight="true" outlineLevel="0" collapsed="false">
      <c r="E212" s="10"/>
    </row>
    <row r="213" customFormat="false" ht="14.25" hidden="false" customHeight="true" outlineLevel="0" collapsed="false">
      <c r="E213" s="10"/>
    </row>
    <row r="214" customFormat="false" ht="14.25" hidden="false" customHeight="true" outlineLevel="0" collapsed="false">
      <c r="E214" s="10"/>
    </row>
    <row r="215" customFormat="false" ht="14.25" hidden="false" customHeight="true" outlineLevel="0" collapsed="false">
      <c r="E215" s="10"/>
    </row>
    <row r="216" customFormat="false" ht="14.25" hidden="false" customHeight="true" outlineLevel="0" collapsed="false">
      <c r="E216" s="10"/>
    </row>
    <row r="217" customFormat="false" ht="14.25" hidden="false" customHeight="true" outlineLevel="0" collapsed="false">
      <c r="E217" s="10"/>
    </row>
    <row r="218" customFormat="false" ht="14.25" hidden="false" customHeight="true" outlineLevel="0" collapsed="false">
      <c r="E218" s="10"/>
    </row>
    <row r="219" customFormat="false" ht="14.25" hidden="false" customHeight="true" outlineLevel="0" collapsed="false">
      <c r="E219" s="10"/>
    </row>
    <row r="220" customFormat="false" ht="14.25" hidden="false" customHeight="true" outlineLevel="0" collapsed="false">
      <c r="E220" s="10"/>
    </row>
    <row r="221" customFormat="false" ht="14.25" hidden="false" customHeight="true" outlineLevel="0" collapsed="false">
      <c r="E221" s="10"/>
    </row>
    <row r="222" customFormat="false" ht="14.25" hidden="false" customHeight="true" outlineLevel="0" collapsed="false">
      <c r="E222" s="10"/>
    </row>
    <row r="223" customFormat="false" ht="14.25" hidden="false" customHeight="true" outlineLevel="0" collapsed="false">
      <c r="E223" s="10"/>
    </row>
    <row r="224" customFormat="false" ht="14.25" hidden="false" customHeight="true" outlineLevel="0" collapsed="false">
      <c r="E224" s="10"/>
    </row>
    <row r="225" customFormat="false" ht="14.25" hidden="false" customHeight="true" outlineLevel="0" collapsed="false">
      <c r="E225" s="10"/>
    </row>
    <row r="226" customFormat="false" ht="14.25" hidden="false" customHeight="true" outlineLevel="0" collapsed="false">
      <c r="E226" s="10"/>
    </row>
    <row r="227" customFormat="false" ht="14.25" hidden="false" customHeight="true" outlineLevel="0" collapsed="false">
      <c r="E227" s="10"/>
    </row>
    <row r="228" customFormat="false" ht="14.25" hidden="false" customHeight="true" outlineLevel="0" collapsed="false">
      <c r="E228" s="10"/>
    </row>
    <row r="229" customFormat="false" ht="14.25" hidden="false" customHeight="true" outlineLevel="0" collapsed="false">
      <c r="E229" s="10"/>
    </row>
    <row r="230" customFormat="false" ht="14.25" hidden="false" customHeight="true" outlineLevel="0" collapsed="false">
      <c r="E230" s="10"/>
    </row>
    <row r="231" customFormat="false" ht="14.25" hidden="false" customHeight="true" outlineLevel="0" collapsed="false">
      <c r="E231" s="10"/>
    </row>
    <row r="232" customFormat="false" ht="14.25" hidden="false" customHeight="true" outlineLevel="0" collapsed="false">
      <c r="E232" s="10"/>
    </row>
    <row r="233" customFormat="false" ht="14.25" hidden="false" customHeight="true" outlineLevel="0" collapsed="false">
      <c r="E233" s="10"/>
    </row>
    <row r="234" customFormat="false" ht="14.25" hidden="false" customHeight="true" outlineLevel="0" collapsed="false">
      <c r="E234" s="10"/>
    </row>
    <row r="235" customFormat="false" ht="14.25" hidden="false" customHeight="true" outlineLevel="0" collapsed="false">
      <c r="E235" s="10"/>
    </row>
    <row r="236" customFormat="false" ht="14.25" hidden="false" customHeight="true" outlineLevel="0" collapsed="false">
      <c r="E236" s="10"/>
    </row>
    <row r="237" customFormat="false" ht="14.25" hidden="false" customHeight="true" outlineLevel="0" collapsed="false">
      <c r="E237" s="10"/>
    </row>
    <row r="238" customFormat="false" ht="14.25" hidden="false" customHeight="true" outlineLevel="0" collapsed="false">
      <c r="E238" s="10"/>
    </row>
    <row r="239" customFormat="false" ht="14.25" hidden="false" customHeight="true" outlineLevel="0" collapsed="false">
      <c r="E239" s="10"/>
    </row>
    <row r="240" customFormat="false" ht="14.25" hidden="false" customHeight="true" outlineLevel="0" collapsed="false">
      <c r="E240" s="10"/>
    </row>
    <row r="241" customFormat="false" ht="14.25" hidden="false" customHeight="true" outlineLevel="0" collapsed="false">
      <c r="E241" s="10"/>
    </row>
    <row r="242" customFormat="false" ht="14.25" hidden="false" customHeight="true" outlineLevel="0" collapsed="false">
      <c r="E242" s="10"/>
    </row>
    <row r="243" customFormat="false" ht="14.25" hidden="false" customHeight="true" outlineLevel="0" collapsed="false">
      <c r="E243" s="10"/>
    </row>
    <row r="244" customFormat="false" ht="14.25" hidden="false" customHeight="true" outlineLevel="0" collapsed="false">
      <c r="E244" s="10"/>
    </row>
    <row r="245" customFormat="false" ht="14.25" hidden="false" customHeight="true" outlineLevel="0" collapsed="false">
      <c r="E245" s="10"/>
    </row>
    <row r="246" customFormat="false" ht="14.25" hidden="false" customHeight="true" outlineLevel="0" collapsed="false">
      <c r="E246" s="10"/>
    </row>
    <row r="247" customFormat="false" ht="14.25" hidden="false" customHeight="true" outlineLevel="0" collapsed="false">
      <c r="E247" s="10"/>
    </row>
    <row r="248" customFormat="false" ht="14.25" hidden="false" customHeight="true" outlineLevel="0" collapsed="false">
      <c r="E248" s="10"/>
    </row>
    <row r="249" customFormat="false" ht="14.25" hidden="false" customHeight="true" outlineLevel="0" collapsed="false">
      <c r="E249" s="10"/>
    </row>
    <row r="250" customFormat="false" ht="14.25" hidden="false" customHeight="true" outlineLevel="0" collapsed="false">
      <c r="E250" s="10"/>
    </row>
    <row r="251" customFormat="false" ht="14.25" hidden="false" customHeight="true" outlineLevel="0" collapsed="false">
      <c r="E251" s="10"/>
    </row>
    <row r="252" customFormat="false" ht="14.25" hidden="false" customHeight="true" outlineLevel="0" collapsed="false">
      <c r="E252" s="10"/>
    </row>
    <row r="253" customFormat="false" ht="14.25" hidden="false" customHeight="true" outlineLevel="0" collapsed="false">
      <c r="E253" s="10"/>
    </row>
    <row r="254" customFormat="false" ht="14.25" hidden="false" customHeight="true" outlineLevel="0" collapsed="false">
      <c r="E254" s="10"/>
    </row>
    <row r="255" customFormat="false" ht="14.25" hidden="false" customHeight="true" outlineLevel="0" collapsed="false">
      <c r="E255" s="10"/>
    </row>
    <row r="256" customFormat="false" ht="14.25" hidden="false" customHeight="true" outlineLevel="0" collapsed="false">
      <c r="E256" s="10"/>
    </row>
    <row r="257" customFormat="false" ht="14.25" hidden="false" customHeight="true" outlineLevel="0" collapsed="false">
      <c r="E257" s="10"/>
    </row>
    <row r="258" customFormat="false" ht="14.25" hidden="false" customHeight="true" outlineLevel="0" collapsed="false">
      <c r="E258" s="10"/>
    </row>
    <row r="259" customFormat="false" ht="14.25" hidden="false" customHeight="true" outlineLevel="0" collapsed="false">
      <c r="E259" s="10"/>
    </row>
    <row r="260" customFormat="false" ht="14.25" hidden="false" customHeight="true" outlineLevel="0" collapsed="false">
      <c r="E260" s="10"/>
    </row>
    <row r="261" customFormat="false" ht="14.25" hidden="false" customHeight="true" outlineLevel="0" collapsed="false">
      <c r="E261" s="10"/>
    </row>
    <row r="262" customFormat="false" ht="14.25" hidden="false" customHeight="true" outlineLevel="0" collapsed="false">
      <c r="E262" s="10"/>
    </row>
    <row r="263" customFormat="false" ht="14.25" hidden="false" customHeight="true" outlineLevel="0" collapsed="false">
      <c r="E263" s="10"/>
    </row>
    <row r="264" customFormat="false" ht="14.25" hidden="false" customHeight="true" outlineLevel="0" collapsed="false">
      <c r="E264" s="10"/>
    </row>
    <row r="265" customFormat="false" ht="14.25" hidden="false" customHeight="true" outlineLevel="0" collapsed="false">
      <c r="E265" s="10"/>
    </row>
    <row r="266" customFormat="false" ht="14.25" hidden="false" customHeight="true" outlineLevel="0" collapsed="false">
      <c r="E266" s="10"/>
    </row>
    <row r="267" customFormat="false" ht="14.25" hidden="false" customHeight="true" outlineLevel="0" collapsed="false">
      <c r="E267" s="10"/>
    </row>
    <row r="268" customFormat="false" ht="14.25" hidden="false" customHeight="true" outlineLevel="0" collapsed="false">
      <c r="E268" s="10"/>
    </row>
    <row r="269" customFormat="false" ht="14.25" hidden="false" customHeight="true" outlineLevel="0" collapsed="false">
      <c r="E269" s="10"/>
    </row>
    <row r="270" customFormat="false" ht="14.25" hidden="false" customHeight="true" outlineLevel="0" collapsed="false">
      <c r="E270" s="10"/>
    </row>
    <row r="271" customFormat="false" ht="14.25" hidden="false" customHeight="true" outlineLevel="0" collapsed="false">
      <c r="E271" s="10"/>
    </row>
    <row r="272" customFormat="false" ht="14.25" hidden="false" customHeight="true" outlineLevel="0" collapsed="false">
      <c r="E272" s="10"/>
    </row>
    <row r="273" customFormat="false" ht="14.25" hidden="false" customHeight="true" outlineLevel="0" collapsed="false">
      <c r="E273" s="10"/>
    </row>
    <row r="274" customFormat="false" ht="14.25" hidden="false" customHeight="true" outlineLevel="0" collapsed="false">
      <c r="E274" s="10"/>
    </row>
    <row r="275" customFormat="false" ht="14.25" hidden="false" customHeight="true" outlineLevel="0" collapsed="false">
      <c r="E275" s="10"/>
    </row>
    <row r="276" customFormat="false" ht="14.25" hidden="false" customHeight="true" outlineLevel="0" collapsed="false">
      <c r="E276" s="10"/>
    </row>
    <row r="277" customFormat="false" ht="14.25" hidden="false" customHeight="true" outlineLevel="0" collapsed="false">
      <c r="E277" s="10" t="n">
        <v>2</v>
      </c>
    </row>
    <row r="278" customFormat="false" ht="14.25" hidden="false" customHeight="true" outlineLevel="0" collapsed="false">
      <c r="E278" s="10" t="n">
        <v>2</v>
      </c>
    </row>
    <row r="279" customFormat="false" ht="14.25" hidden="false" customHeight="true" outlineLevel="0" collapsed="false">
      <c r="E279" s="10" t="n">
        <v>2</v>
      </c>
    </row>
    <row r="280" customFormat="false" ht="14.25" hidden="false" customHeight="true" outlineLevel="0" collapsed="false">
      <c r="E280" s="10" t="n">
        <v>2</v>
      </c>
    </row>
    <row r="281" customFormat="false" ht="14.25" hidden="false" customHeight="true" outlineLevel="0" collapsed="false">
      <c r="E281" s="10" t="n">
        <v>2</v>
      </c>
    </row>
    <row r="282" customFormat="false" ht="14.25" hidden="false" customHeight="true" outlineLevel="0" collapsed="false">
      <c r="E282" s="10" t="n">
        <v>2</v>
      </c>
    </row>
    <row r="283" customFormat="false" ht="14.25" hidden="false" customHeight="true" outlineLevel="0" collapsed="false">
      <c r="E283" s="10" t="n">
        <v>2</v>
      </c>
    </row>
    <row r="284" customFormat="false" ht="14.25" hidden="false" customHeight="true" outlineLevel="0" collapsed="false">
      <c r="E284" s="10" t="n">
        <v>2</v>
      </c>
    </row>
    <row r="285" customFormat="false" ht="14.25" hidden="false" customHeight="true" outlineLevel="0" collapsed="false">
      <c r="E285" s="10" t="n">
        <v>2</v>
      </c>
    </row>
    <row r="286" customFormat="false" ht="14.25" hidden="false" customHeight="true" outlineLevel="0" collapsed="false">
      <c r="E286" s="10" t="n">
        <v>2</v>
      </c>
    </row>
    <row r="287" customFormat="false" ht="14.25" hidden="false" customHeight="true" outlineLevel="0" collapsed="false">
      <c r="E287" s="10" t="n">
        <v>2</v>
      </c>
    </row>
    <row r="288" customFormat="false" ht="14.25" hidden="false" customHeight="true" outlineLevel="0" collapsed="false">
      <c r="E288" s="10" t="n">
        <v>2</v>
      </c>
    </row>
    <row r="289" customFormat="false" ht="14.25" hidden="false" customHeight="true" outlineLevel="0" collapsed="false">
      <c r="E289" s="10" t="n">
        <v>2</v>
      </c>
    </row>
    <row r="290" customFormat="false" ht="14.25" hidden="false" customHeight="true" outlineLevel="0" collapsed="false">
      <c r="E290" s="10" t="n">
        <v>2</v>
      </c>
    </row>
    <row r="291" customFormat="false" ht="14.25" hidden="false" customHeight="true" outlineLevel="0" collapsed="false">
      <c r="E291" s="10" t="n">
        <v>2</v>
      </c>
    </row>
    <row r="292" customFormat="false" ht="14.25" hidden="false" customHeight="true" outlineLevel="0" collapsed="false">
      <c r="E292" s="10" t="n">
        <v>2</v>
      </c>
    </row>
    <row r="293" customFormat="false" ht="14.25" hidden="false" customHeight="true" outlineLevel="0" collapsed="false">
      <c r="E293" s="10" t="n">
        <v>2</v>
      </c>
    </row>
    <row r="294" customFormat="false" ht="14.25" hidden="false" customHeight="true" outlineLevel="0" collapsed="false">
      <c r="E294" s="10" t="n">
        <v>2</v>
      </c>
    </row>
    <row r="295" customFormat="false" ht="14.25" hidden="false" customHeight="true" outlineLevel="0" collapsed="false">
      <c r="E295" s="10" t="n">
        <v>2</v>
      </c>
    </row>
    <row r="296" customFormat="false" ht="14.25" hidden="false" customHeight="true" outlineLevel="0" collapsed="false">
      <c r="E296" s="10" t="n">
        <v>2</v>
      </c>
    </row>
    <row r="297" customFormat="false" ht="14.25" hidden="false" customHeight="true" outlineLevel="0" collapsed="false">
      <c r="E297" s="10" t="n">
        <v>2</v>
      </c>
    </row>
    <row r="298" customFormat="false" ht="14.25" hidden="false" customHeight="true" outlineLevel="0" collapsed="false">
      <c r="E298" s="10" t="n">
        <v>2</v>
      </c>
    </row>
    <row r="299" customFormat="false" ht="14.25" hidden="false" customHeight="true" outlineLevel="0" collapsed="false">
      <c r="E299" s="10" t="n">
        <v>2</v>
      </c>
    </row>
    <row r="300" customFormat="false" ht="14.25" hidden="false" customHeight="true" outlineLevel="0" collapsed="false">
      <c r="E300" s="10" t="n">
        <v>2</v>
      </c>
    </row>
    <row r="301" customFormat="false" ht="14.25" hidden="false" customHeight="true" outlineLevel="0" collapsed="false">
      <c r="E301" s="10" t="n">
        <v>2</v>
      </c>
    </row>
    <row r="302" customFormat="false" ht="14.25" hidden="false" customHeight="true" outlineLevel="0" collapsed="false">
      <c r="E302" s="10" t="n">
        <v>2</v>
      </c>
    </row>
    <row r="303" customFormat="false" ht="14.25" hidden="false" customHeight="true" outlineLevel="0" collapsed="false">
      <c r="E303" s="10" t="n">
        <v>2</v>
      </c>
    </row>
    <row r="304" customFormat="false" ht="14.25" hidden="false" customHeight="true" outlineLevel="0" collapsed="false">
      <c r="E304" s="10" t="n">
        <v>2</v>
      </c>
    </row>
    <row r="305" customFormat="false" ht="14.25" hidden="false" customHeight="true" outlineLevel="0" collapsed="false">
      <c r="E305" s="10" t="n">
        <v>2</v>
      </c>
    </row>
    <row r="306" customFormat="false" ht="14.25" hidden="false" customHeight="true" outlineLevel="0" collapsed="false">
      <c r="E306" s="10" t="n">
        <v>2</v>
      </c>
    </row>
    <row r="307" customFormat="false" ht="14.25" hidden="false" customHeight="true" outlineLevel="0" collapsed="false">
      <c r="E307" s="10" t="n">
        <v>2</v>
      </c>
    </row>
    <row r="308" customFormat="false" ht="14.25" hidden="false" customHeight="true" outlineLevel="0" collapsed="false">
      <c r="E308" s="10" t="n">
        <v>2</v>
      </c>
    </row>
    <row r="309" customFormat="false" ht="14.25" hidden="false" customHeight="true" outlineLevel="0" collapsed="false">
      <c r="E309" s="10" t="n">
        <v>2</v>
      </c>
    </row>
    <row r="310" customFormat="false" ht="14.25" hidden="false" customHeight="true" outlineLevel="0" collapsed="false">
      <c r="E310" s="10" t="n">
        <v>2</v>
      </c>
    </row>
    <row r="311" customFormat="false" ht="14.25" hidden="false" customHeight="true" outlineLevel="0" collapsed="false">
      <c r="E311" s="10" t="n">
        <v>2</v>
      </c>
    </row>
    <row r="312" customFormat="false" ht="14.25" hidden="false" customHeight="true" outlineLevel="0" collapsed="false">
      <c r="E312" s="10" t="n">
        <v>2</v>
      </c>
    </row>
    <row r="313" customFormat="false" ht="14.25" hidden="false" customHeight="true" outlineLevel="0" collapsed="false">
      <c r="E313" s="10" t="n">
        <v>2</v>
      </c>
    </row>
    <row r="314" customFormat="false" ht="14.25" hidden="false" customHeight="true" outlineLevel="0" collapsed="false">
      <c r="E314" s="10" t="n">
        <v>2</v>
      </c>
    </row>
    <row r="315" customFormat="false" ht="14.25" hidden="false" customHeight="true" outlineLevel="0" collapsed="false">
      <c r="E315" s="10" t="n">
        <v>2</v>
      </c>
    </row>
    <row r="316" customFormat="false" ht="14.25" hidden="false" customHeight="true" outlineLevel="0" collapsed="false">
      <c r="E316" s="10" t="n">
        <v>2</v>
      </c>
    </row>
    <row r="317" customFormat="false" ht="14.25" hidden="false" customHeight="true" outlineLevel="0" collapsed="false">
      <c r="E317" s="10" t="n">
        <v>2</v>
      </c>
    </row>
    <row r="318" customFormat="false" ht="14.25" hidden="false" customHeight="true" outlineLevel="0" collapsed="false">
      <c r="E318" s="10" t="n">
        <v>2</v>
      </c>
    </row>
    <row r="319" customFormat="false" ht="14.25" hidden="false" customHeight="true" outlineLevel="0" collapsed="false">
      <c r="E319" s="10" t="n">
        <v>2</v>
      </c>
    </row>
    <row r="320" customFormat="false" ht="14.25" hidden="false" customHeight="true" outlineLevel="0" collapsed="false">
      <c r="E320" s="10" t="n">
        <v>2</v>
      </c>
    </row>
    <row r="321" customFormat="false" ht="14.25" hidden="false" customHeight="true" outlineLevel="0" collapsed="false">
      <c r="E321" s="10" t="n">
        <v>2</v>
      </c>
    </row>
    <row r="322" customFormat="false" ht="14.25" hidden="false" customHeight="true" outlineLevel="0" collapsed="false">
      <c r="E322" s="10" t="n">
        <v>2</v>
      </c>
    </row>
    <row r="323" customFormat="false" ht="14.25" hidden="false" customHeight="true" outlineLevel="0" collapsed="false">
      <c r="E323" s="10" t="n">
        <v>2</v>
      </c>
    </row>
    <row r="324" customFormat="false" ht="14.25" hidden="false" customHeight="true" outlineLevel="0" collapsed="false">
      <c r="E324" s="10" t="n">
        <v>2</v>
      </c>
    </row>
    <row r="325" customFormat="false" ht="14.25" hidden="false" customHeight="true" outlineLevel="0" collapsed="false">
      <c r="E325" s="10" t="n">
        <v>2</v>
      </c>
    </row>
    <row r="326" customFormat="false" ht="14.25" hidden="false" customHeight="true" outlineLevel="0" collapsed="false">
      <c r="E326" s="10" t="n">
        <v>2</v>
      </c>
    </row>
    <row r="327" customFormat="false" ht="14.25" hidden="false" customHeight="true" outlineLevel="0" collapsed="false">
      <c r="E327" s="10" t="n">
        <v>2</v>
      </c>
    </row>
    <row r="328" customFormat="false" ht="14.25" hidden="false" customHeight="true" outlineLevel="0" collapsed="false">
      <c r="E328" s="10" t="n">
        <v>2</v>
      </c>
    </row>
    <row r="329" customFormat="false" ht="14.25" hidden="false" customHeight="true" outlineLevel="0" collapsed="false">
      <c r="E329" s="10" t="n">
        <v>2</v>
      </c>
    </row>
    <row r="330" customFormat="false" ht="14.25" hidden="false" customHeight="true" outlineLevel="0" collapsed="false">
      <c r="E330" s="10" t="n">
        <v>2</v>
      </c>
    </row>
    <row r="331" customFormat="false" ht="14.25" hidden="false" customHeight="true" outlineLevel="0" collapsed="false">
      <c r="E331" s="10" t="n">
        <v>2</v>
      </c>
    </row>
    <row r="332" customFormat="false" ht="14.25" hidden="false" customHeight="true" outlineLevel="0" collapsed="false">
      <c r="E332" s="10" t="n">
        <v>2</v>
      </c>
    </row>
    <row r="333" customFormat="false" ht="14.25" hidden="false" customHeight="true" outlineLevel="0" collapsed="false">
      <c r="E333" s="10" t="n">
        <v>2</v>
      </c>
    </row>
    <row r="334" customFormat="false" ht="14.25" hidden="false" customHeight="true" outlineLevel="0" collapsed="false">
      <c r="E334" s="10" t="n">
        <v>2</v>
      </c>
    </row>
    <row r="335" customFormat="false" ht="14.25" hidden="false" customHeight="true" outlineLevel="0" collapsed="false">
      <c r="E335" s="10" t="n">
        <v>2</v>
      </c>
    </row>
    <row r="336" customFormat="false" ht="14.25" hidden="false" customHeight="true" outlineLevel="0" collapsed="false">
      <c r="E336" s="10" t="n">
        <v>2</v>
      </c>
    </row>
    <row r="337" customFormat="false" ht="14.25" hidden="false" customHeight="true" outlineLevel="0" collapsed="false">
      <c r="E337" s="10" t="n">
        <v>2</v>
      </c>
    </row>
    <row r="338" customFormat="false" ht="14.25" hidden="false" customHeight="true" outlineLevel="0" collapsed="false">
      <c r="E338" s="10" t="n">
        <v>2</v>
      </c>
    </row>
    <row r="339" customFormat="false" ht="14.25" hidden="false" customHeight="true" outlineLevel="0" collapsed="false">
      <c r="E339" s="10" t="n">
        <v>2</v>
      </c>
    </row>
    <row r="340" customFormat="false" ht="14.25" hidden="false" customHeight="true" outlineLevel="0" collapsed="false">
      <c r="E340" s="10" t="n">
        <v>2</v>
      </c>
    </row>
    <row r="341" customFormat="false" ht="14.25" hidden="false" customHeight="true" outlineLevel="0" collapsed="false">
      <c r="E341" s="10" t="n">
        <v>2</v>
      </c>
    </row>
    <row r="342" customFormat="false" ht="14.25" hidden="false" customHeight="true" outlineLevel="0" collapsed="false">
      <c r="E342" s="10" t="n">
        <v>2</v>
      </c>
    </row>
    <row r="343" customFormat="false" ht="14.25" hidden="false" customHeight="true" outlineLevel="0" collapsed="false">
      <c r="E343" s="10" t="n">
        <v>2</v>
      </c>
    </row>
    <row r="344" customFormat="false" ht="14.25" hidden="false" customHeight="true" outlineLevel="0" collapsed="false">
      <c r="E344" s="10" t="n">
        <v>2</v>
      </c>
    </row>
    <row r="345" customFormat="false" ht="14.25" hidden="false" customHeight="true" outlineLevel="0" collapsed="false">
      <c r="E345" s="10" t="n">
        <v>2</v>
      </c>
    </row>
    <row r="346" customFormat="false" ht="14.25" hidden="false" customHeight="true" outlineLevel="0" collapsed="false">
      <c r="E346" s="10" t="n">
        <v>2</v>
      </c>
    </row>
    <row r="347" customFormat="false" ht="14.25" hidden="false" customHeight="true" outlineLevel="0" collapsed="false">
      <c r="E347" s="10" t="n">
        <v>2</v>
      </c>
    </row>
    <row r="348" customFormat="false" ht="14.25" hidden="false" customHeight="true" outlineLevel="0" collapsed="false">
      <c r="E348" s="10" t="n">
        <v>2</v>
      </c>
    </row>
    <row r="349" customFormat="false" ht="14.25" hidden="false" customHeight="true" outlineLevel="0" collapsed="false">
      <c r="E349" s="10" t="n">
        <v>2</v>
      </c>
    </row>
    <row r="350" customFormat="false" ht="14.25" hidden="false" customHeight="true" outlineLevel="0" collapsed="false">
      <c r="E350" s="10" t="n">
        <v>2</v>
      </c>
    </row>
    <row r="351" customFormat="false" ht="14.25" hidden="false" customHeight="true" outlineLevel="0" collapsed="false">
      <c r="E351" s="10" t="n">
        <v>2</v>
      </c>
    </row>
    <row r="352" customFormat="false" ht="14.25" hidden="false" customHeight="true" outlineLevel="0" collapsed="false">
      <c r="E352" s="10" t="n">
        <v>2</v>
      </c>
    </row>
    <row r="353" customFormat="false" ht="14.25" hidden="false" customHeight="true" outlineLevel="0" collapsed="false">
      <c r="E353" s="10" t="n">
        <v>2</v>
      </c>
    </row>
    <row r="354" customFormat="false" ht="14.25" hidden="false" customHeight="true" outlineLevel="0" collapsed="false">
      <c r="E354" s="10" t="n">
        <v>2</v>
      </c>
    </row>
    <row r="355" customFormat="false" ht="14.25" hidden="false" customHeight="true" outlineLevel="0" collapsed="false">
      <c r="E355" s="10" t="n">
        <v>2</v>
      </c>
    </row>
    <row r="356" customFormat="false" ht="14.25" hidden="false" customHeight="true" outlineLevel="0" collapsed="false">
      <c r="E356" s="10" t="n">
        <v>2</v>
      </c>
    </row>
    <row r="357" customFormat="false" ht="14.25" hidden="false" customHeight="true" outlineLevel="0" collapsed="false">
      <c r="E357" s="10" t="n">
        <v>2</v>
      </c>
    </row>
    <row r="358" customFormat="false" ht="14.25" hidden="false" customHeight="true" outlineLevel="0" collapsed="false">
      <c r="E358" s="10" t="n">
        <v>2</v>
      </c>
    </row>
    <row r="359" customFormat="false" ht="14.25" hidden="false" customHeight="true" outlineLevel="0" collapsed="false">
      <c r="E359" s="10" t="n">
        <v>2</v>
      </c>
    </row>
    <row r="360" customFormat="false" ht="14.25" hidden="false" customHeight="true" outlineLevel="0" collapsed="false">
      <c r="E360" s="10" t="n">
        <v>2</v>
      </c>
    </row>
    <row r="361" customFormat="false" ht="14.25" hidden="false" customHeight="true" outlineLevel="0" collapsed="false">
      <c r="E361" s="10" t="n">
        <v>2</v>
      </c>
    </row>
    <row r="362" customFormat="false" ht="14.25" hidden="false" customHeight="true" outlineLevel="0" collapsed="false">
      <c r="E362" s="10" t="n">
        <v>2</v>
      </c>
    </row>
    <row r="363" customFormat="false" ht="14.25" hidden="false" customHeight="true" outlineLevel="0" collapsed="false">
      <c r="E363" s="10" t="n">
        <v>2</v>
      </c>
    </row>
    <row r="364" customFormat="false" ht="14.25" hidden="false" customHeight="true" outlineLevel="0" collapsed="false">
      <c r="E364" s="10" t="n">
        <v>2</v>
      </c>
    </row>
    <row r="365" customFormat="false" ht="14.25" hidden="false" customHeight="true" outlineLevel="0" collapsed="false">
      <c r="E365" s="10" t="n">
        <v>2</v>
      </c>
    </row>
    <row r="366" customFormat="false" ht="14.25" hidden="false" customHeight="true" outlineLevel="0" collapsed="false">
      <c r="E366" s="10" t="n">
        <v>2</v>
      </c>
    </row>
    <row r="367" customFormat="false" ht="14.25" hidden="false" customHeight="true" outlineLevel="0" collapsed="false">
      <c r="E367" s="10" t="n">
        <v>2</v>
      </c>
    </row>
    <row r="368" customFormat="false" ht="14.25" hidden="false" customHeight="true" outlineLevel="0" collapsed="false">
      <c r="E368" s="10" t="n">
        <v>2</v>
      </c>
    </row>
    <row r="369" customFormat="false" ht="14.25" hidden="false" customHeight="true" outlineLevel="0" collapsed="false">
      <c r="E369" s="10" t="n">
        <v>2</v>
      </c>
    </row>
    <row r="370" customFormat="false" ht="14.25" hidden="false" customHeight="true" outlineLevel="0" collapsed="false">
      <c r="E370" s="10" t="n">
        <v>2</v>
      </c>
    </row>
    <row r="371" customFormat="false" ht="14.25" hidden="false" customHeight="true" outlineLevel="0" collapsed="false">
      <c r="E371" s="10" t="n">
        <v>2</v>
      </c>
    </row>
    <row r="372" customFormat="false" ht="14.25" hidden="false" customHeight="true" outlineLevel="0" collapsed="false">
      <c r="E372" s="10" t="n">
        <v>2</v>
      </c>
    </row>
    <row r="373" customFormat="false" ht="14.25" hidden="false" customHeight="true" outlineLevel="0" collapsed="false">
      <c r="E373" s="10" t="n">
        <v>2</v>
      </c>
    </row>
    <row r="374" customFormat="false" ht="14.25" hidden="false" customHeight="true" outlineLevel="0" collapsed="false">
      <c r="E374" s="10" t="n">
        <v>2</v>
      </c>
    </row>
    <row r="375" customFormat="false" ht="14.25" hidden="false" customHeight="true" outlineLevel="0" collapsed="false">
      <c r="E375" s="10" t="n">
        <v>2</v>
      </c>
    </row>
    <row r="376" customFormat="false" ht="14.25" hidden="false" customHeight="true" outlineLevel="0" collapsed="false">
      <c r="E376" s="10" t="n">
        <v>2</v>
      </c>
    </row>
    <row r="377" customFormat="false" ht="14.25" hidden="false" customHeight="true" outlineLevel="0" collapsed="false">
      <c r="E377" s="10" t="n">
        <v>2</v>
      </c>
    </row>
    <row r="378" customFormat="false" ht="14.25" hidden="false" customHeight="true" outlineLevel="0" collapsed="false">
      <c r="E378" s="10" t="n">
        <v>2</v>
      </c>
    </row>
    <row r="379" customFormat="false" ht="14.25" hidden="false" customHeight="true" outlineLevel="0" collapsed="false">
      <c r="E379" s="10" t="n">
        <v>2</v>
      </c>
    </row>
    <row r="380" customFormat="false" ht="14.25" hidden="false" customHeight="true" outlineLevel="0" collapsed="false">
      <c r="E380" s="10" t="n">
        <v>2</v>
      </c>
    </row>
    <row r="381" customFormat="false" ht="14.25" hidden="false" customHeight="true" outlineLevel="0" collapsed="false">
      <c r="E381" s="10" t="n">
        <v>2</v>
      </c>
    </row>
    <row r="382" customFormat="false" ht="14.25" hidden="false" customHeight="true" outlineLevel="0" collapsed="false">
      <c r="E382" s="10" t="n">
        <v>2</v>
      </c>
    </row>
    <row r="383" customFormat="false" ht="14.25" hidden="false" customHeight="true" outlineLevel="0" collapsed="false">
      <c r="E383" s="10" t="n">
        <v>2</v>
      </c>
    </row>
    <row r="384" customFormat="false" ht="14.25" hidden="false" customHeight="true" outlineLevel="0" collapsed="false">
      <c r="E384" s="10" t="n">
        <v>2</v>
      </c>
    </row>
    <row r="385" customFormat="false" ht="14.25" hidden="false" customHeight="true" outlineLevel="0" collapsed="false">
      <c r="E385" s="10" t="n">
        <v>2</v>
      </c>
    </row>
    <row r="386" customFormat="false" ht="14.25" hidden="false" customHeight="true" outlineLevel="0" collapsed="false">
      <c r="E386" s="10" t="n">
        <v>2</v>
      </c>
    </row>
    <row r="387" customFormat="false" ht="14.25" hidden="false" customHeight="true" outlineLevel="0" collapsed="false">
      <c r="E387" s="10" t="n">
        <v>2</v>
      </c>
    </row>
    <row r="388" customFormat="false" ht="14.25" hidden="false" customHeight="true" outlineLevel="0" collapsed="false">
      <c r="E388" s="10" t="n">
        <v>2</v>
      </c>
    </row>
    <row r="389" customFormat="false" ht="14.25" hidden="false" customHeight="true" outlineLevel="0" collapsed="false">
      <c r="E389" s="10" t="n">
        <v>2</v>
      </c>
    </row>
    <row r="390" customFormat="false" ht="14.25" hidden="false" customHeight="true" outlineLevel="0" collapsed="false">
      <c r="E390" s="10" t="n">
        <v>2</v>
      </c>
    </row>
    <row r="391" customFormat="false" ht="14.25" hidden="false" customHeight="true" outlineLevel="0" collapsed="false">
      <c r="E391" s="10" t="n">
        <v>2</v>
      </c>
    </row>
    <row r="392" customFormat="false" ht="14.25" hidden="false" customHeight="true" outlineLevel="0" collapsed="false">
      <c r="E392" s="10" t="n">
        <v>2</v>
      </c>
    </row>
    <row r="393" customFormat="false" ht="14.25" hidden="false" customHeight="true" outlineLevel="0" collapsed="false">
      <c r="E393" s="10" t="n">
        <v>2</v>
      </c>
    </row>
    <row r="394" customFormat="false" ht="14.25" hidden="false" customHeight="true" outlineLevel="0" collapsed="false">
      <c r="E394" s="10" t="n">
        <v>2</v>
      </c>
    </row>
    <row r="395" customFormat="false" ht="14.25" hidden="false" customHeight="true" outlineLevel="0" collapsed="false">
      <c r="E395" s="10" t="n">
        <v>2</v>
      </c>
    </row>
    <row r="396" customFormat="false" ht="14.25" hidden="false" customHeight="true" outlineLevel="0" collapsed="false">
      <c r="E396" s="10" t="n">
        <v>2</v>
      </c>
    </row>
    <row r="397" customFormat="false" ht="14.25" hidden="false" customHeight="true" outlineLevel="0" collapsed="false">
      <c r="E397" s="10" t="n">
        <v>2</v>
      </c>
    </row>
    <row r="398" customFormat="false" ht="14.25" hidden="false" customHeight="true" outlineLevel="0" collapsed="false">
      <c r="E398" s="10" t="n">
        <v>2</v>
      </c>
    </row>
    <row r="399" customFormat="false" ht="14.25" hidden="false" customHeight="true" outlineLevel="0" collapsed="false">
      <c r="E399" s="10" t="n">
        <v>2</v>
      </c>
    </row>
    <row r="400" customFormat="false" ht="14.25" hidden="false" customHeight="true" outlineLevel="0" collapsed="false">
      <c r="E400" s="10" t="n">
        <v>2</v>
      </c>
    </row>
    <row r="401" customFormat="false" ht="14.25" hidden="false" customHeight="true" outlineLevel="0" collapsed="false">
      <c r="E401" s="10" t="n">
        <v>2</v>
      </c>
    </row>
    <row r="402" customFormat="false" ht="14.25" hidden="false" customHeight="true" outlineLevel="0" collapsed="false">
      <c r="E402" s="10" t="n">
        <v>2</v>
      </c>
    </row>
    <row r="403" customFormat="false" ht="14.25" hidden="false" customHeight="true" outlineLevel="0" collapsed="false">
      <c r="E403" s="10" t="n">
        <v>2</v>
      </c>
    </row>
    <row r="404" customFormat="false" ht="14.25" hidden="false" customHeight="true" outlineLevel="0" collapsed="false">
      <c r="E404" s="10" t="n">
        <v>2</v>
      </c>
    </row>
    <row r="405" customFormat="false" ht="14.25" hidden="false" customHeight="true" outlineLevel="0" collapsed="false">
      <c r="E405" s="10" t="n">
        <v>2</v>
      </c>
    </row>
    <row r="406" customFormat="false" ht="14.25" hidden="false" customHeight="true" outlineLevel="0" collapsed="false">
      <c r="E406" s="10" t="n">
        <v>2</v>
      </c>
    </row>
    <row r="407" customFormat="false" ht="14.25" hidden="false" customHeight="true" outlineLevel="0" collapsed="false">
      <c r="E407" s="10" t="n">
        <v>2</v>
      </c>
    </row>
    <row r="408" customFormat="false" ht="14.25" hidden="false" customHeight="true" outlineLevel="0" collapsed="false">
      <c r="E408" s="10" t="n">
        <v>2</v>
      </c>
    </row>
    <row r="409" customFormat="false" ht="14.25" hidden="false" customHeight="true" outlineLevel="0" collapsed="false">
      <c r="E409" s="10" t="n">
        <v>2</v>
      </c>
    </row>
    <row r="410" customFormat="false" ht="14.25" hidden="false" customHeight="true" outlineLevel="0" collapsed="false">
      <c r="E410" s="10" t="n">
        <v>2</v>
      </c>
    </row>
    <row r="411" customFormat="false" ht="14.25" hidden="false" customHeight="true" outlineLevel="0" collapsed="false">
      <c r="E411" s="10" t="n">
        <v>2</v>
      </c>
    </row>
    <row r="412" customFormat="false" ht="14.25" hidden="false" customHeight="true" outlineLevel="0" collapsed="false">
      <c r="E412" s="10" t="n">
        <v>2</v>
      </c>
    </row>
    <row r="413" customFormat="false" ht="14.25" hidden="false" customHeight="true" outlineLevel="0" collapsed="false">
      <c r="E413" s="10" t="n">
        <v>2</v>
      </c>
    </row>
    <row r="414" customFormat="false" ht="14.25" hidden="false" customHeight="true" outlineLevel="0" collapsed="false">
      <c r="E414" s="10" t="n">
        <v>2</v>
      </c>
    </row>
    <row r="415" customFormat="false" ht="14.25" hidden="false" customHeight="true" outlineLevel="0" collapsed="false">
      <c r="E415" s="10" t="n">
        <v>2</v>
      </c>
    </row>
    <row r="416" customFormat="false" ht="14.25" hidden="false" customHeight="true" outlineLevel="0" collapsed="false">
      <c r="E416" s="10" t="n">
        <v>2</v>
      </c>
    </row>
    <row r="417" customFormat="false" ht="14.25" hidden="false" customHeight="true" outlineLevel="0" collapsed="false">
      <c r="E417" s="10" t="n">
        <v>2</v>
      </c>
    </row>
    <row r="418" customFormat="false" ht="14.25" hidden="false" customHeight="true" outlineLevel="0" collapsed="false">
      <c r="E418" s="10" t="n">
        <v>2</v>
      </c>
    </row>
    <row r="419" customFormat="false" ht="14.25" hidden="false" customHeight="true" outlineLevel="0" collapsed="false">
      <c r="E419" s="10" t="n">
        <v>2</v>
      </c>
    </row>
    <row r="420" customFormat="false" ht="14.25" hidden="false" customHeight="true" outlineLevel="0" collapsed="false">
      <c r="E420" s="10" t="n">
        <v>2</v>
      </c>
    </row>
    <row r="421" customFormat="false" ht="14.25" hidden="false" customHeight="true" outlineLevel="0" collapsed="false">
      <c r="E421" s="10"/>
    </row>
    <row r="422" customFormat="false" ht="14.25" hidden="false" customHeight="true" outlineLevel="0" collapsed="false">
      <c r="E422" s="10"/>
    </row>
    <row r="423" customFormat="false" ht="14.25" hidden="false" customHeight="true" outlineLevel="0" collapsed="false">
      <c r="E423" s="10"/>
    </row>
    <row r="424" customFormat="false" ht="14.25" hidden="false" customHeight="true" outlineLevel="0" collapsed="false">
      <c r="E424" s="10"/>
    </row>
    <row r="425" customFormat="false" ht="14.25" hidden="false" customHeight="true" outlineLevel="0" collapsed="false">
      <c r="E425" s="10"/>
    </row>
    <row r="426" customFormat="false" ht="14.25" hidden="false" customHeight="true" outlineLevel="0" collapsed="false">
      <c r="E426" s="10"/>
    </row>
    <row r="427" customFormat="false" ht="14.25" hidden="false" customHeight="true" outlineLevel="0" collapsed="false">
      <c r="E427" s="10"/>
    </row>
    <row r="428" customFormat="false" ht="14.25" hidden="false" customHeight="true" outlineLevel="0" collapsed="false">
      <c r="E428" s="10"/>
    </row>
    <row r="429" customFormat="false" ht="14.25" hidden="false" customHeight="true" outlineLevel="0" collapsed="false">
      <c r="E429" s="10"/>
    </row>
    <row r="430" customFormat="false" ht="14.25" hidden="false" customHeight="true" outlineLevel="0" collapsed="false">
      <c r="E430" s="10"/>
    </row>
    <row r="431" customFormat="false" ht="14.25" hidden="false" customHeight="true" outlineLevel="0" collapsed="false">
      <c r="E431" s="10"/>
    </row>
    <row r="432" customFormat="false" ht="14.25" hidden="false" customHeight="true" outlineLevel="0" collapsed="false">
      <c r="E432" s="10"/>
    </row>
    <row r="433" customFormat="false" ht="14.25" hidden="false" customHeight="true" outlineLevel="0" collapsed="false">
      <c r="E433" s="10"/>
    </row>
    <row r="434" customFormat="false" ht="14.25" hidden="false" customHeight="true" outlineLevel="0" collapsed="false">
      <c r="E434" s="10"/>
    </row>
    <row r="435" customFormat="false" ht="14.25" hidden="false" customHeight="true" outlineLevel="0" collapsed="false">
      <c r="E435" s="10"/>
    </row>
    <row r="436" customFormat="false" ht="14.25" hidden="false" customHeight="true" outlineLevel="0" collapsed="false">
      <c r="E436" s="10"/>
    </row>
    <row r="437" customFormat="false" ht="14.25" hidden="false" customHeight="true" outlineLevel="0" collapsed="false">
      <c r="E437" s="10"/>
    </row>
    <row r="438" customFormat="false" ht="14.25" hidden="false" customHeight="true" outlineLevel="0" collapsed="false">
      <c r="E438" s="10"/>
    </row>
    <row r="439" customFormat="false" ht="14.25" hidden="false" customHeight="true" outlineLevel="0" collapsed="false">
      <c r="E439" s="10"/>
    </row>
    <row r="440" customFormat="false" ht="14.25" hidden="false" customHeight="true" outlineLevel="0" collapsed="false">
      <c r="E440" s="10"/>
    </row>
    <row r="441" customFormat="false" ht="14.25" hidden="false" customHeight="true" outlineLevel="0" collapsed="false">
      <c r="E441" s="10"/>
    </row>
    <row r="442" customFormat="false" ht="14.25" hidden="false" customHeight="true" outlineLevel="0" collapsed="false">
      <c r="E442" s="10"/>
    </row>
    <row r="443" customFormat="false" ht="14.25" hidden="false" customHeight="true" outlineLevel="0" collapsed="false">
      <c r="E443" s="10"/>
    </row>
    <row r="444" customFormat="false" ht="14.25" hidden="false" customHeight="true" outlineLevel="0" collapsed="false">
      <c r="E444" s="10"/>
    </row>
    <row r="445" customFormat="false" ht="14.25" hidden="false" customHeight="true" outlineLevel="0" collapsed="false">
      <c r="E445" s="10"/>
    </row>
    <row r="446" customFormat="false" ht="14.25" hidden="false" customHeight="true" outlineLevel="0" collapsed="false">
      <c r="E446" s="10"/>
    </row>
    <row r="447" customFormat="false" ht="14.25" hidden="false" customHeight="true" outlineLevel="0" collapsed="false">
      <c r="E447" s="10"/>
    </row>
    <row r="448" customFormat="false" ht="14.25" hidden="false" customHeight="true" outlineLevel="0" collapsed="false">
      <c r="E448" s="10"/>
    </row>
    <row r="449" customFormat="false" ht="14.25" hidden="false" customHeight="true" outlineLevel="0" collapsed="false">
      <c r="E449" s="10"/>
    </row>
    <row r="450" customFormat="false" ht="14.25" hidden="false" customHeight="true" outlineLevel="0" collapsed="false">
      <c r="E450" s="10"/>
    </row>
    <row r="451" customFormat="false" ht="14.25" hidden="false" customHeight="true" outlineLevel="0" collapsed="false">
      <c r="E451" s="10"/>
    </row>
    <row r="452" customFormat="false" ht="14.25" hidden="false" customHeight="true" outlineLevel="0" collapsed="false">
      <c r="E452" s="10"/>
    </row>
    <row r="453" customFormat="false" ht="14.25" hidden="false" customHeight="true" outlineLevel="0" collapsed="false">
      <c r="E453" s="10"/>
    </row>
    <row r="454" customFormat="false" ht="14.25" hidden="false" customHeight="true" outlineLevel="0" collapsed="false">
      <c r="E454" s="10"/>
    </row>
    <row r="455" customFormat="false" ht="14.25" hidden="false" customHeight="true" outlineLevel="0" collapsed="false">
      <c r="E455" s="10"/>
    </row>
    <row r="456" customFormat="false" ht="14.25" hidden="false" customHeight="true" outlineLevel="0" collapsed="false">
      <c r="E456" s="10"/>
    </row>
    <row r="457" customFormat="false" ht="14.25" hidden="false" customHeight="true" outlineLevel="0" collapsed="false">
      <c r="E457" s="10"/>
    </row>
    <row r="458" customFormat="false" ht="14.25" hidden="false" customHeight="true" outlineLevel="0" collapsed="false">
      <c r="E458" s="10"/>
    </row>
    <row r="459" customFormat="false" ht="14.25" hidden="false" customHeight="true" outlineLevel="0" collapsed="false">
      <c r="E459" s="10"/>
    </row>
    <row r="460" customFormat="false" ht="14.25" hidden="false" customHeight="true" outlineLevel="0" collapsed="false">
      <c r="E460" s="10"/>
    </row>
    <row r="461" customFormat="false" ht="14.25" hidden="false" customHeight="true" outlineLevel="0" collapsed="false">
      <c r="E461" s="10"/>
    </row>
    <row r="462" customFormat="false" ht="14.25" hidden="false" customHeight="true" outlineLevel="0" collapsed="false">
      <c r="E462" s="10"/>
    </row>
    <row r="463" customFormat="false" ht="14.25" hidden="false" customHeight="true" outlineLevel="0" collapsed="false">
      <c r="E463" s="10"/>
    </row>
    <row r="464" customFormat="false" ht="14.25" hidden="false" customHeight="true" outlineLevel="0" collapsed="false">
      <c r="E464" s="10"/>
    </row>
    <row r="465" customFormat="false" ht="14.25" hidden="false" customHeight="true" outlineLevel="0" collapsed="false">
      <c r="E465" s="10"/>
    </row>
    <row r="466" customFormat="false" ht="14.25" hidden="false" customHeight="true" outlineLevel="0" collapsed="false">
      <c r="E466" s="10"/>
    </row>
    <row r="467" customFormat="false" ht="14.25" hidden="false" customHeight="true" outlineLevel="0" collapsed="false">
      <c r="E467" s="10"/>
    </row>
    <row r="468" customFormat="false" ht="14.25" hidden="false" customHeight="true" outlineLevel="0" collapsed="false">
      <c r="E468" s="10"/>
    </row>
    <row r="469" customFormat="false" ht="14.25" hidden="false" customHeight="true" outlineLevel="0" collapsed="false">
      <c r="E469" s="10"/>
    </row>
    <row r="470" customFormat="false" ht="14.25" hidden="false" customHeight="true" outlineLevel="0" collapsed="false">
      <c r="E470" s="10"/>
    </row>
    <row r="471" customFormat="false" ht="14.25" hidden="false" customHeight="true" outlineLevel="0" collapsed="false">
      <c r="E471" s="10"/>
    </row>
    <row r="472" customFormat="false" ht="14.25" hidden="false" customHeight="true" outlineLevel="0" collapsed="false">
      <c r="E472" s="10"/>
    </row>
    <row r="473" customFormat="false" ht="14.25" hidden="false" customHeight="true" outlineLevel="0" collapsed="false">
      <c r="E473" s="10"/>
    </row>
    <row r="474" customFormat="false" ht="14.25" hidden="false" customHeight="true" outlineLevel="0" collapsed="false">
      <c r="E474" s="10"/>
    </row>
    <row r="475" customFormat="false" ht="14.25" hidden="false" customHeight="true" outlineLevel="0" collapsed="false">
      <c r="E475" s="10"/>
    </row>
    <row r="476" customFormat="false" ht="14.25" hidden="false" customHeight="true" outlineLevel="0" collapsed="false">
      <c r="E476" s="10"/>
    </row>
    <row r="477" customFormat="false" ht="14.25" hidden="false" customHeight="true" outlineLevel="0" collapsed="false">
      <c r="E477" s="10"/>
    </row>
    <row r="478" customFormat="false" ht="14.25" hidden="false" customHeight="true" outlineLevel="0" collapsed="false">
      <c r="E478" s="10"/>
    </row>
    <row r="479" customFormat="false" ht="14.25" hidden="false" customHeight="true" outlineLevel="0" collapsed="false">
      <c r="E479" s="10"/>
    </row>
    <row r="480" customFormat="false" ht="14.25" hidden="false" customHeight="true" outlineLevel="0" collapsed="false">
      <c r="E480" s="10"/>
    </row>
    <row r="481" customFormat="false" ht="14.25" hidden="false" customHeight="true" outlineLevel="0" collapsed="false">
      <c r="E481" s="10"/>
    </row>
    <row r="482" customFormat="false" ht="14.25" hidden="false" customHeight="true" outlineLevel="0" collapsed="false">
      <c r="E482" s="10"/>
    </row>
    <row r="483" customFormat="false" ht="14.25" hidden="false" customHeight="true" outlineLevel="0" collapsed="false">
      <c r="E483" s="10"/>
    </row>
    <row r="484" customFormat="false" ht="14.25" hidden="false" customHeight="true" outlineLevel="0" collapsed="false">
      <c r="E484" s="10"/>
    </row>
    <row r="485" customFormat="false" ht="14.25" hidden="false" customHeight="true" outlineLevel="0" collapsed="false">
      <c r="E485" s="10"/>
    </row>
    <row r="486" customFormat="false" ht="14.25" hidden="false" customHeight="true" outlineLevel="0" collapsed="false">
      <c r="E486" s="10"/>
    </row>
    <row r="487" customFormat="false" ht="14.25" hidden="false" customHeight="true" outlineLevel="0" collapsed="false">
      <c r="E487" s="10"/>
    </row>
    <row r="488" customFormat="false" ht="14.25" hidden="false" customHeight="true" outlineLevel="0" collapsed="false">
      <c r="E488" s="10"/>
    </row>
    <row r="489" customFormat="false" ht="14.25" hidden="false" customHeight="true" outlineLevel="0" collapsed="false">
      <c r="E489" s="10"/>
    </row>
    <row r="490" customFormat="false" ht="14.25" hidden="false" customHeight="true" outlineLevel="0" collapsed="false">
      <c r="E490" s="10"/>
    </row>
    <row r="491" customFormat="false" ht="14.25" hidden="false" customHeight="true" outlineLevel="0" collapsed="false">
      <c r="E491" s="10"/>
    </row>
    <row r="492" customFormat="false" ht="14.25" hidden="false" customHeight="true" outlineLevel="0" collapsed="false">
      <c r="E492" s="10"/>
    </row>
    <row r="493" customFormat="false" ht="14.25" hidden="false" customHeight="true" outlineLevel="0" collapsed="false">
      <c r="E493" s="10"/>
    </row>
    <row r="494" customFormat="false" ht="14.25" hidden="false" customHeight="true" outlineLevel="0" collapsed="false">
      <c r="E494" s="10"/>
    </row>
    <row r="495" customFormat="false" ht="14.25" hidden="false" customHeight="true" outlineLevel="0" collapsed="false">
      <c r="E495" s="10"/>
    </row>
    <row r="496" customFormat="false" ht="14.25" hidden="false" customHeight="true" outlineLevel="0" collapsed="false">
      <c r="E496" s="10"/>
    </row>
    <row r="497" customFormat="false" ht="14.25" hidden="false" customHeight="true" outlineLevel="0" collapsed="false">
      <c r="E497" s="10"/>
    </row>
    <row r="498" customFormat="false" ht="14.25" hidden="false" customHeight="true" outlineLevel="0" collapsed="false">
      <c r="E498" s="10"/>
    </row>
    <row r="499" customFormat="false" ht="14.25" hidden="false" customHeight="true" outlineLevel="0" collapsed="false">
      <c r="E499" s="10"/>
    </row>
    <row r="500" customFormat="false" ht="14.25" hidden="false" customHeight="true" outlineLevel="0" collapsed="false">
      <c r="E500" s="10"/>
    </row>
    <row r="501" customFormat="false" ht="14.25" hidden="false" customHeight="true" outlineLevel="0" collapsed="false">
      <c r="E501" s="10"/>
    </row>
    <row r="502" customFormat="false" ht="14.25" hidden="false" customHeight="true" outlineLevel="0" collapsed="false">
      <c r="E502" s="10"/>
    </row>
    <row r="503" customFormat="false" ht="14.25" hidden="false" customHeight="true" outlineLevel="0" collapsed="false">
      <c r="E503" s="10"/>
    </row>
    <row r="504" customFormat="false" ht="14.25" hidden="false" customHeight="true" outlineLevel="0" collapsed="false">
      <c r="E504" s="10"/>
    </row>
    <row r="505" customFormat="false" ht="14.25" hidden="false" customHeight="true" outlineLevel="0" collapsed="false">
      <c r="E505" s="10"/>
    </row>
    <row r="506" customFormat="false" ht="14.25" hidden="false" customHeight="true" outlineLevel="0" collapsed="false">
      <c r="E506" s="10"/>
    </row>
    <row r="507" customFormat="false" ht="14.25" hidden="false" customHeight="true" outlineLevel="0" collapsed="false">
      <c r="E507" s="10"/>
    </row>
    <row r="508" customFormat="false" ht="14.25" hidden="false" customHeight="true" outlineLevel="0" collapsed="false">
      <c r="E508" s="10"/>
    </row>
    <row r="509" customFormat="false" ht="14.25" hidden="false" customHeight="true" outlineLevel="0" collapsed="false">
      <c r="E509" s="10"/>
    </row>
    <row r="510" customFormat="false" ht="14.25" hidden="false" customHeight="true" outlineLevel="0" collapsed="false">
      <c r="E510" s="10"/>
    </row>
    <row r="511" customFormat="false" ht="14.25" hidden="false" customHeight="true" outlineLevel="0" collapsed="false">
      <c r="E511" s="10"/>
    </row>
    <row r="512" customFormat="false" ht="14.25" hidden="false" customHeight="true" outlineLevel="0" collapsed="false">
      <c r="E512" s="10"/>
    </row>
    <row r="513" customFormat="false" ht="14.25" hidden="false" customHeight="true" outlineLevel="0" collapsed="false">
      <c r="E513" s="10"/>
    </row>
    <row r="514" customFormat="false" ht="14.25" hidden="false" customHeight="true" outlineLevel="0" collapsed="false">
      <c r="E514" s="10"/>
    </row>
    <row r="515" customFormat="false" ht="14.25" hidden="false" customHeight="true" outlineLevel="0" collapsed="false">
      <c r="E515" s="10"/>
    </row>
    <row r="516" customFormat="false" ht="14.25" hidden="false" customHeight="true" outlineLevel="0" collapsed="false">
      <c r="E516" s="10"/>
    </row>
    <row r="517" customFormat="false" ht="14.25" hidden="false" customHeight="true" outlineLevel="0" collapsed="false">
      <c r="E517" s="10"/>
    </row>
    <row r="518" customFormat="false" ht="14.25" hidden="false" customHeight="true" outlineLevel="0" collapsed="false">
      <c r="E518" s="10"/>
    </row>
    <row r="519" customFormat="false" ht="14.25" hidden="false" customHeight="true" outlineLevel="0" collapsed="false">
      <c r="E519" s="10"/>
    </row>
    <row r="520" customFormat="false" ht="14.25" hidden="false" customHeight="true" outlineLevel="0" collapsed="false">
      <c r="E520" s="10"/>
    </row>
    <row r="521" customFormat="false" ht="14.25" hidden="false" customHeight="true" outlineLevel="0" collapsed="false">
      <c r="E521" s="10"/>
    </row>
    <row r="522" customFormat="false" ht="14.25" hidden="false" customHeight="true" outlineLevel="0" collapsed="false">
      <c r="E522" s="10"/>
    </row>
    <row r="523" customFormat="false" ht="14.25" hidden="false" customHeight="true" outlineLevel="0" collapsed="false">
      <c r="E523" s="10"/>
    </row>
    <row r="524" customFormat="false" ht="14.25" hidden="false" customHeight="true" outlineLevel="0" collapsed="false">
      <c r="E524" s="10"/>
    </row>
    <row r="525" customFormat="false" ht="14.25" hidden="false" customHeight="true" outlineLevel="0" collapsed="false">
      <c r="E525" s="10"/>
    </row>
    <row r="526" customFormat="false" ht="14.25" hidden="false" customHeight="true" outlineLevel="0" collapsed="false">
      <c r="E526" s="10"/>
    </row>
    <row r="527" customFormat="false" ht="14.25" hidden="false" customHeight="true" outlineLevel="0" collapsed="false">
      <c r="E527" s="10"/>
    </row>
    <row r="528" customFormat="false" ht="14.25" hidden="false" customHeight="true" outlineLevel="0" collapsed="false">
      <c r="E528" s="10"/>
    </row>
    <row r="529" customFormat="false" ht="14.25" hidden="false" customHeight="true" outlineLevel="0" collapsed="false">
      <c r="E529" s="10"/>
    </row>
    <row r="530" customFormat="false" ht="14.25" hidden="false" customHeight="true" outlineLevel="0" collapsed="false">
      <c r="E530" s="10"/>
    </row>
    <row r="531" customFormat="false" ht="14.25" hidden="false" customHeight="true" outlineLevel="0" collapsed="false">
      <c r="E531" s="10"/>
    </row>
    <row r="532" customFormat="false" ht="14.25" hidden="false" customHeight="true" outlineLevel="0" collapsed="false">
      <c r="E532" s="10"/>
    </row>
    <row r="533" customFormat="false" ht="14.25" hidden="false" customHeight="true" outlineLevel="0" collapsed="false">
      <c r="E533" s="10"/>
    </row>
    <row r="534" customFormat="false" ht="14.25" hidden="false" customHeight="true" outlineLevel="0" collapsed="false">
      <c r="E534" s="10"/>
    </row>
    <row r="535" customFormat="false" ht="14.25" hidden="false" customHeight="true" outlineLevel="0" collapsed="false">
      <c r="E535" s="10"/>
    </row>
    <row r="536" customFormat="false" ht="14.25" hidden="false" customHeight="true" outlineLevel="0" collapsed="false">
      <c r="E536" s="10"/>
    </row>
    <row r="537" customFormat="false" ht="14.25" hidden="false" customHeight="true" outlineLevel="0" collapsed="false">
      <c r="E537" s="10"/>
    </row>
    <row r="538" customFormat="false" ht="14.25" hidden="false" customHeight="true" outlineLevel="0" collapsed="false">
      <c r="E538" s="10"/>
    </row>
    <row r="539" customFormat="false" ht="14.25" hidden="false" customHeight="true" outlineLevel="0" collapsed="false">
      <c r="E539" s="10"/>
    </row>
    <row r="540" customFormat="false" ht="14.25" hidden="false" customHeight="true" outlineLevel="0" collapsed="false">
      <c r="E540" s="10"/>
    </row>
    <row r="541" customFormat="false" ht="14.25" hidden="false" customHeight="true" outlineLevel="0" collapsed="false">
      <c r="E541" s="10"/>
    </row>
    <row r="542" customFormat="false" ht="14.25" hidden="false" customHeight="true" outlineLevel="0" collapsed="false">
      <c r="E542" s="10"/>
    </row>
    <row r="543" customFormat="false" ht="14.25" hidden="false" customHeight="true" outlineLevel="0" collapsed="false">
      <c r="E543" s="10"/>
    </row>
    <row r="544" customFormat="false" ht="14.25" hidden="false" customHeight="true" outlineLevel="0" collapsed="false">
      <c r="E544" s="10"/>
    </row>
    <row r="545" customFormat="false" ht="14.25" hidden="false" customHeight="true" outlineLevel="0" collapsed="false">
      <c r="E545" s="10"/>
    </row>
    <row r="546" customFormat="false" ht="14.25" hidden="false" customHeight="true" outlineLevel="0" collapsed="false">
      <c r="E546" s="10"/>
    </row>
    <row r="547" customFormat="false" ht="14.25" hidden="false" customHeight="true" outlineLevel="0" collapsed="false">
      <c r="E547" s="10"/>
    </row>
    <row r="548" customFormat="false" ht="14.25" hidden="false" customHeight="true" outlineLevel="0" collapsed="false">
      <c r="E548" s="10"/>
    </row>
    <row r="549" customFormat="false" ht="14.25" hidden="false" customHeight="true" outlineLevel="0" collapsed="false">
      <c r="E549" s="10"/>
    </row>
    <row r="550" customFormat="false" ht="14.25" hidden="false" customHeight="true" outlineLevel="0" collapsed="false">
      <c r="E550" s="10"/>
    </row>
    <row r="551" customFormat="false" ht="14.25" hidden="false" customHeight="true" outlineLevel="0" collapsed="false">
      <c r="E551" s="10"/>
    </row>
    <row r="552" customFormat="false" ht="14.25" hidden="false" customHeight="true" outlineLevel="0" collapsed="false">
      <c r="E552" s="10"/>
    </row>
    <row r="553" customFormat="false" ht="14.25" hidden="false" customHeight="true" outlineLevel="0" collapsed="false">
      <c r="E553" s="10"/>
    </row>
    <row r="554" customFormat="false" ht="14.25" hidden="false" customHeight="true" outlineLevel="0" collapsed="false">
      <c r="E554" s="10"/>
    </row>
    <row r="555" customFormat="false" ht="14.25" hidden="false" customHeight="true" outlineLevel="0" collapsed="false">
      <c r="E555" s="10"/>
    </row>
    <row r="556" customFormat="false" ht="14.25" hidden="false" customHeight="true" outlineLevel="0" collapsed="false">
      <c r="E556" s="10"/>
    </row>
    <row r="557" customFormat="false" ht="14.25" hidden="false" customHeight="true" outlineLevel="0" collapsed="false">
      <c r="E557" s="10"/>
    </row>
    <row r="558" customFormat="false" ht="14.25" hidden="false" customHeight="true" outlineLevel="0" collapsed="false">
      <c r="E558" s="10"/>
    </row>
    <row r="559" customFormat="false" ht="14.25" hidden="false" customHeight="true" outlineLevel="0" collapsed="false">
      <c r="E559" s="10"/>
    </row>
    <row r="560" customFormat="false" ht="14.25" hidden="false" customHeight="true" outlineLevel="0" collapsed="false">
      <c r="E560" s="10"/>
    </row>
    <row r="561" customFormat="false" ht="14.25" hidden="false" customHeight="true" outlineLevel="0" collapsed="false">
      <c r="E561" s="10"/>
    </row>
    <row r="562" customFormat="false" ht="14.25" hidden="false" customHeight="true" outlineLevel="0" collapsed="false">
      <c r="E562" s="10"/>
    </row>
    <row r="563" customFormat="false" ht="14.25" hidden="false" customHeight="true" outlineLevel="0" collapsed="false">
      <c r="E563" s="10"/>
    </row>
    <row r="564" customFormat="false" ht="14.25" hidden="false" customHeight="true" outlineLevel="0" collapsed="false">
      <c r="E564" s="10"/>
    </row>
    <row r="565" customFormat="false" ht="14.25" hidden="false" customHeight="true" outlineLevel="0" collapsed="false">
      <c r="E565" s="10"/>
    </row>
    <row r="566" customFormat="false" ht="14.25" hidden="false" customHeight="true" outlineLevel="0" collapsed="false">
      <c r="E566" s="10"/>
    </row>
    <row r="567" customFormat="false" ht="14.25" hidden="false" customHeight="true" outlineLevel="0" collapsed="false">
      <c r="E567" s="10"/>
    </row>
    <row r="568" customFormat="false" ht="14.25" hidden="false" customHeight="true" outlineLevel="0" collapsed="false">
      <c r="E568" s="10"/>
    </row>
    <row r="569" customFormat="false" ht="14.25" hidden="false" customHeight="true" outlineLevel="0" collapsed="false">
      <c r="E569" s="10"/>
    </row>
    <row r="570" customFormat="false" ht="14.25" hidden="false" customHeight="true" outlineLevel="0" collapsed="false">
      <c r="E570" s="10"/>
    </row>
    <row r="571" customFormat="false" ht="14.25" hidden="false" customHeight="true" outlineLevel="0" collapsed="false">
      <c r="E571" s="10"/>
    </row>
    <row r="572" customFormat="false" ht="14.25" hidden="false" customHeight="true" outlineLevel="0" collapsed="false">
      <c r="E572" s="10"/>
    </row>
    <row r="573" customFormat="false" ht="14.25" hidden="false" customHeight="true" outlineLevel="0" collapsed="false">
      <c r="E573" s="10"/>
    </row>
    <row r="574" customFormat="false" ht="14.25" hidden="false" customHeight="true" outlineLevel="0" collapsed="false">
      <c r="E574" s="10"/>
    </row>
    <row r="575" customFormat="false" ht="14.25" hidden="false" customHeight="true" outlineLevel="0" collapsed="false">
      <c r="E575" s="10"/>
    </row>
    <row r="576" customFormat="false" ht="14.25" hidden="false" customHeight="true" outlineLevel="0" collapsed="false">
      <c r="E576" s="10"/>
    </row>
    <row r="577" customFormat="false" ht="14.25" hidden="false" customHeight="true" outlineLevel="0" collapsed="false">
      <c r="E577" s="10"/>
    </row>
    <row r="578" customFormat="false" ht="14.25" hidden="false" customHeight="true" outlineLevel="0" collapsed="false">
      <c r="E578" s="10"/>
    </row>
    <row r="579" customFormat="false" ht="14.25" hidden="false" customHeight="true" outlineLevel="0" collapsed="false">
      <c r="E579" s="10"/>
    </row>
    <row r="580" customFormat="false" ht="14.25" hidden="false" customHeight="true" outlineLevel="0" collapsed="false">
      <c r="E580" s="10"/>
    </row>
    <row r="581" customFormat="false" ht="14.25" hidden="false" customHeight="true" outlineLevel="0" collapsed="false">
      <c r="E581" s="10"/>
    </row>
    <row r="582" customFormat="false" ht="14.25" hidden="false" customHeight="true" outlineLevel="0" collapsed="false">
      <c r="E582" s="10"/>
    </row>
    <row r="583" customFormat="false" ht="14.25" hidden="false" customHeight="true" outlineLevel="0" collapsed="false">
      <c r="E583" s="10"/>
    </row>
    <row r="584" customFormat="false" ht="14.25" hidden="false" customHeight="true" outlineLevel="0" collapsed="false">
      <c r="E584" s="10"/>
    </row>
    <row r="585" customFormat="false" ht="14.25" hidden="false" customHeight="true" outlineLevel="0" collapsed="false">
      <c r="E585" s="10"/>
    </row>
    <row r="586" customFormat="false" ht="14.25" hidden="false" customHeight="true" outlineLevel="0" collapsed="false">
      <c r="E586" s="10"/>
    </row>
    <row r="587" customFormat="false" ht="14.25" hidden="false" customHeight="true" outlineLevel="0" collapsed="false">
      <c r="E587" s="10"/>
    </row>
    <row r="588" customFormat="false" ht="14.25" hidden="false" customHeight="true" outlineLevel="0" collapsed="false">
      <c r="E588" s="10"/>
    </row>
    <row r="589" customFormat="false" ht="14.25" hidden="false" customHeight="true" outlineLevel="0" collapsed="false">
      <c r="E589" s="10"/>
    </row>
    <row r="590" customFormat="false" ht="14.25" hidden="false" customHeight="true" outlineLevel="0" collapsed="false">
      <c r="E590" s="10"/>
    </row>
    <row r="591" customFormat="false" ht="14.25" hidden="false" customHeight="true" outlineLevel="0" collapsed="false">
      <c r="E591" s="10"/>
    </row>
    <row r="592" customFormat="false" ht="14.25" hidden="false" customHeight="true" outlineLevel="0" collapsed="false">
      <c r="E592" s="10"/>
    </row>
    <row r="593" customFormat="false" ht="14.25" hidden="false" customHeight="true" outlineLevel="0" collapsed="false">
      <c r="E593" s="10"/>
    </row>
    <row r="594" customFormat="false" ht="14.25" hidden="false" customHeight="true" outlineLevel="0" collapsed="false">
      <c r="E594" s="10"/>
    </row>
    <row r="595" customFormat="false" ht="14.25" hidden="false" customHeight="true" outlineLevel="0" collapsed="false">
      <c r="E595" s="10"/>
    </row>
    <row r="596" customFormat="false" ht="14.25" hidden="false" customHeight="true" outlineLevel="0" collapsed="false">
      <c r="E596" s="10"/>
    </row>
    <row r="597" customFormat="false" ht="14.25" hidden="false" customHeight="true" outlineLevel="0" collapsed="false">
      <c r="E597" s="10"/>
    </row>
    <row r="598" customFormat="false" ht="14.25" hidden="false" customHeight="true" outlineLevel="0" collapsed="false">
      <c r="E598" s="10"/>
    </row>
    <row r="599" customFormat="false" ht="14.25" hidden="false" customHeight="true" outlineLevel="0" collapsed="false">
      <c r="E599" s="10"/>
    </row>
    <row r="600" customFormat="false" ht="14.25" hidden="false" customHeight="true" outlineLevel="0" collapsed="false">
      <c r="E600" s="10"/>
    </row>
    <row r="601" customFormat="false" ht="14.25" hidden="false" customHeight="true" outlineLevel="0" collapsed="false">
      <c r="E601" s="10"/>
    </row>
    <row r="602" customFormat="false" ht="14.25" hidden="false" customHeight="true" outlineLevel="0" collapsed="false">
      <c r="E602" s="10"/>
    </row>
    <row r="603" customFormat="false" ht="14.25" hidden="false" customHeight="true" outlineLevel="0" collapsed="false">
      <c r="E603" s="10"/>
    </row>
    <row r="604" customFormat="false" ht="14.25" hidden="false" customHeight="true" outlineLevel="0" collapsed="false">
      <c r="E604" s="10"/>
    </row>
    <row r="605" customFormat="false" ht="14.25" hidden="false" customHeight="true" outlineLevel="0" collapsed="false">
      <c r="E605" s="10"/>
    </row>
    <row r="606" customFormat="false" ht="14.25" hidden="false" customHeight="true" outlineLevel="0" collapsed="false">
      <c r="E606" s="10"/>
    </row>
    <row r="607" customFormat="false" ht="14.25" hidden="false" customHeight="true" outlineLevel="0" collapsed="false">
      <c r="E607" s="10"/>
    </row>
    <row r="608" customFormat="false" ht="14.25" hidden="false" customHeight="true" outlineLevel="0" collapsed="false">
      <c r="E608" s="10"/>
    </row>
    <row r="609" customFormat="false" ht="14.25" hidden="false" customHeight="true" outlineLevel="0" collapsed="false">
      <c r="E609" s="10"/>
    </row>
    <row r="610" customFormat="false" ht="14.25" hidden="false" customHeight="true" outlineLevel="0" collapsed="false">
      <c r="E610" s="10"/>
    </row>
    <row r="611" customFormat="false" ht="14.25" hidden="false" customHeight="true" outlineLevel="0" collapsed="false">
      <c r="E611" s="10"/>
    </row>
    <row r="612" customFormat="false" ht="14.25" hidden="false" customHeight="true" outlineLevel="0" collapsed="false">
      <c r="E612" s="10"/>
    </row>
    <row r="613" customFormat="false" ht="14.25" hidden="false" customHeight="true" outlineLevel="0" collapsed="false">
      <c r="E613" s="10"/>
    </row>
    <row r="614" customFormat="false" ht="14.25" hidden="false" customHeight="true" outlineLevel="0" collapsed="false">
      <c r="E614" s="10"/>
    </row>
    <row r="615" customFormat="false" ht="14.25" hidden="false" customHeight="true" outlineLevel="0" collapsed="false">
      <c r="E615" s="10"/>
    </row>
    <row r="616" customFormat="false" ht="14.25" hidden="false" customHeight="true" outlineLevel="0" collapsed="false">
      <c r="E616" s="10"/>
    </row>
    <row r="617" customFormat="false" ht="14.25" hidden="false" customHeight="true" outlineLevel="0" collapsed="false">
      <c r="E617" s="10"/>
    </row>
    <row r="618" customFormat="false" ht="14.25" hidden="false" customHeight="true" outlineLevel="0" collapsed="false">
      <c r="E618" s="10"/>
    </row>
    <row r="619" customFormat="false" ht="14.25" hidden="false" customHeight="true" outlineLevel="0" collapsed="false">
      <c r="E619" s="10"/>
    </row>
    <row r="620" customFormat="false" ht="14.25" hidden="false" customHeight="true" outlineLevel="0" collapsed="false">
      <c r="E620" s="10"/>
    </row>
    <row r="621" customFormat="false" ht="14.25" hidden="false" customHeight="true" outlineLevel="0" collapsed="false">
      <c r="E621" s="10"/>
    </row>
    <row r="622" customFormat="false" ht="14.25" hidden="false" customHeight="true" outlineLevel="0" collapsed="false">
      <c r="E622" s="10"/>
    </row>
    <row r="623" customFormat="false" ht="14.25" hidden="false" customHeight="true" outlineLevel="0" collapsed="false">
      <c r="E623" s="10"/>
    </row>
    <row r="624" customFormat="false" ht="14.25" hidden="false" customHeight="true" outlineLevel="0" collapsed="false">
      <c r="E624" s="10"/>
    </row>
    <row r="625" customFormat="false" ht="14.25" hidden="false" customHeight="true" outlineLevel="0" collapsed="false">
      <c r="E625" s="10"/>
    </row>
    <row r="626" customFormat="false" ht="14.25" hidden="false" customHeight="true" outlineLevel="0" collapsed="false">
      <c r="E626" s="10"/>
    </row>
    <row r="627" customFormat="false" ht="14.25" hidden="false" customHeight="true" outlineLevel="0" collapsed="false">
      <c r="E627" s="10"/>
    </row>
    <row r="628" customFormat="false" ht="14.25" hidden="false" customHeight="true" outlineLevel="0" collapsed="false">
      <c r="E628" s="10"/>
    </row>
    <row r="629" customFormat="false" ht="14.25" hidden="false" customHeight="true" outlineLevel="0" collapsed="false">
      <c r="E629" s="10"/>
    </row>
    <row r="630" customFormat="false" ht="14.25" hidden="false" customHeight="true" outlineLevel="0" collapsed="false">
      <c r="E630" s="10"/>
    </row>
    <row r="631" customFormat="false" ht="14.25" hidden="false" customHeight="true" outlineLevel="0" collapsed="false">
      <c r="E631" s="10"/>
    </row>
    <row r="632" customFormat="false" ht="14.25" hidden="false" customHeight="true" outlineLevel="0" collapsed="false">
      <c r="E632" s="10"/>
    </row>
    <row r="633" customFormat="false" ht="14.25" hidden="false" customHeight="true" outlineLevel="0" collapsed="false">
      <c r="E633" s="10"/>
    </row>
    <row r="634" customFormat="false" ht="14.25" hidden="false" customHeight="true" outlineLevel="0" collapsed="false">
      <c r="E634" s="10"/>
    </row>
    <row r="635" customFormat="false" ht="14.25" hidden="false" customHeight="true" outlineLevel="0" collapsed="false">
      <c r="E635" s="10"/>
    </row>
    <row r="636" customFormat="false" ht="14.25" hidden="false" customHeight="true" outlineLevel="0" collapsed="false">
      <c r="E636" s="10"/>
    </row>
    <row r="637" customFormat="false" ht="14.25" hidden="false" customHeight="true" outlineLevel="0" collapsed="false">
      <c r="E637" s="10"/>
    </row>
    <row r="638" customFormat="false" ht="14.25" hidden="false" customHeight="true" outlineLevel="0" collapsed="false">
      <c r="E638" s="10"/>
    </row>
    <row r="639" customFormat="false" ht="14.25" hidden="false" customHeight="true" outlineLevel="0" collapsed="false">
      <c r="E639" s="10"/>
    </row>
    <row r="640" customFormat="false" ht="14.25" hidden="false" customHeight="true" outlineLevel="0" collapsed="false">
      <c r="E640" s="10"/>
    </row>
    <row r="641" customFormat="false" ht="14.25" hidden="false" customHeight="true" outlineLevel="0" collapsed="false">
      <c r="E641" s="10"/>
    </row>
    <row r="642" customFormat="false" ht="14.25" hidden="false" customHeight="true" outlineLevel="0" collapsed="false">
      <c r="E642" s="10"/>
    </row>
    <row r="643" customFormat="false" ht="14.25" hidden="false" customHeight="true" outlineLevel="0" collapsed="false">
      <c r="E643" s="10"/>
    </row>
    <row r="644" customFormat="false" ht="14.25" hidden="false" customHeight="true" outlineLevel="0" collapsed="false">
      <c r="E644" s="10"/>
    </row>
    <row r="645" customFormat="false" ht="14.25" hidden="false" customHeight="true" outlineLevel="0" collapsed="false">
      <c r="E645" s="10"/>
    </row>
    <row r="646" customFormat="false" ht="14.25" hidden="false" customHeight="true" outlineLevel="0" collapsed="false">
      <c r="E646" s="10"/>
    </row>
    <row r="647" customFormat="false" ht="14.25" hidden="false" customHeight="true" outlineLevel="0" collapsed="false">
      <c r="E647" s="10"/>
    </row>
    <row r="648" customFormat="false" ht="14.25" hidden="false" customHeight="true" outlineLevel="0" collapsed="false">
      <c r="E648" s="10"/>
    </row>
    <row r="649" customFormat="false" ht="14.25" hidden="false" customHeight="true" outlineLevel="0" collapsed="false">
      <c r="E649" s="10"/>
    </row>
    <row r="650" customFormat="false" ht="14.25" hidden="false" customHeight="true" outlineLevel="0" collapsed="false">
      <c r="E650" s="10"/>
    </row>
    <row r="651" customFormat="false" ht="14.25" hidden="false" customHeight="true" outlineLevel="0" collapsed="false">
      <c r="E651" s="10"/>
    </row>
    <row r="652" customFormat="false" ht="14.25" hidden="false" customHeight="true" outlineLevel="0" collapsed="false">
      <c r="E652" s="10"/>
    </row>
    <row r="653" customFormat="false" ht="14.25" hidden="false" customHeight="true" outlineLevel="0" collapsed="false">
      <c r="E653" s="10"/>
    </row>
    <row r="654" customFormat="false" ht="14.25" hidden="false" customHeight="true" outlineLevel="0" collapsed="false">
      <c r="E654" s="10"/>
    </row>
    <row r="655" customFormat="false" ht="14.25" hidden="false" customHeight="true" outlineLevel="0" collapsed="false">
      <c r="E655" s="10"/>
    </row>
    <row r="656" customFormat="false" ht="14.25" hidden="false" customHeight="true" outlineLevel="0" collapsed="false">
      <c r="E656" s="10"/>
    </row>
    <row r="657" customFormat="false" ht="14.25" hidden="false" customHeight="true" outlineLevel="0" collapsed="false">
      <c r="E657" s="10"/>
    </row>
    <row r="658" customFormat="false" ht="14.25" hidden="false" customHeight="true" outlineLevel="0" collapsed="false">
      <c r="E658" s="10"/>
    </row>
    <row r="659" customFormat="false" ht="14.25" hidden="false" customHeight="true" outlineLevel="0" collapsed="false">
      <c r="E659" s="10"/>
    </row>
    <row r="660" customFormat="false" ht="14.25" hidden="false" customHeight="true" outlineLevel="0" collapsed="false">
      <c r="E660" s="10"/>
    </row>
    <row r="661" customFormat="false" ht="14.25" hidden="false" customHeight="true" outlineLevel="0" collapsed="false">
      <c r="E661" s="10"/>
    </row>
    <row r="662" customFormat="false" ht="14.25" hidden="false" customHeight="true" outlineLevel="0" collapsed="false">
      <c r="E662" s="10"/>
    </row>
    <row r="663" customFormat="false" ht="14.25" hidden="false" customHeight="true" outlineLevel="0" collapsed="false">
      <c r="E663" s="10"/>
    </row>
    <row r="664" customFormat="false" ht="14.25" hidden="false" customHeight="true" outlineLevel="0" collapsed="false">
      <c r="E664" s="10"/>
    </row>
    <row r="665" customFormat="false" ht="14.25" hidden="false" customHeight="true" outlineLevel="0" collapsed="false">
      <c r="E665" s="10"/>
    </row>
    <row r="666" customFormat="false" ht="14.25" hidden="false" customHeight="true" outlineLevel="0" collapsed="false">
      <c r="E666" s="10"/>
    </row>
    <row r="667" customFormat="false" ht="14.25" hidden="false" customHeight="true" outlineLevel="0" collapsed="false">
      <c r="E667" s="10"/>
    </row>
    <row r="668" customFormat="false" ht="14.25" hidden="false" customHeight="true" outlineLevel="0" collapsed="false">
      <c r="E668" s="10"/>
    </row>
    <row r="669" customFormat="false" ht="14.25" hidden="false" customHeight="true" outlineLevel="0" collapsed="false">
      <c r="E669" s="10"/>
    </row>
    <row r="670" customFormat="false" ht="14.25" hidden="false" customHeight="true" outlineLevel="0" collapsed="false">
      <c r="E670" s="10"/>
    </row>
    <row r="671" customFormat="false" ht="14.25" hidden="false" customHeight="true" outlineLevel="0" collapsed="false">
      <c r="E671" s="10"/>
    </row>
    <row r="672" customFormat="false" ht="14.25" hidden="false" customHeight="true" outlineLevel="0" collapsed="false">
      <c r="E672" s="10"/>
    </row>
    <row r="673" customFormat="false" ht="14.25" hidden="false" customHeight="true" outlineLevel="0" collapsed="false">
      <c r="E673" s="10"/>
    </row>
    <row r="674" customFormat="false" ht="14.25" hidden="false" customHeight="true" outlineLevel="0" collapsed="false">
      <c r="E674" s="10"/>
    </row>
    <row r="675" customFormat="false" ht="14.25" hidden="false" customHeight="true" outlineLevel="0" collapsed="false">
      <c r="E675" s="10"/>
    </row>
    <row r="676" customFormat="false" ht="14.25" hidden="false" customHeight="true" outlineLevel="0" collapsed="false">
      <c r="E676" s="10"/>
    </row>
    <row r="677" customFormat="false" ht="14.25" hidden="false" customHeight="true" outlineLevel="0" collapsed="false">
      <c r="E677" s="10"/>
    </row>
    <row r="678" customFormat="false" ht="14.25" hidden="false" customHeight="true" outlineLevel="0" collapsed="false">
      <c r="E678" s="10"/>
    </row>
    <row r="679" customFormat="false" ht="14.25" hidden="false" customHeight="true" outlineLevel="0" collapsed="false">
      <c r="E679" s="10"/>
    </row>
    <row r="680" customFormat="false" ht="14.25" hidden="false" customHeight="true" outlineLevel="0" collapsed="false">
      <c r="E680" s="10"/>
    </row>
    <row r="681" customFormat="false" ht="14.25" hidden="false" customHeight="true" outlineLevel="0" collapsed="false">
      <c r="E681" s="10"/>
    </row>
    <row r="682" customFormat="false" ht="14.25" hidden="false" customHeight="true" outlineLevel="0" collapsed="false">
      <c r="E682" s="10"/>
    </row>
    <row r="683" customFormat="false" ht="14.25" hidden="false" customHeight="true" outlineLevel="0" collapsed="false">
      <c r="E683" s="10"/>
    </row>
    <row r="684" customFormat="false" ht="14.25" hidden="false" customHeight="true" outlineLevel="0" collapsed="false">
      <c r="E684" s="10"/>
    </row>
    <row r="685" customFormat="false" ht="14.25" hidden="false" customHeight="true" outlineLevel="0" collapsed="false">
      <c r="E685" s="10"/>
    </row>
    <row r="686" customFormat="false" ht="14.25" hidden="false" customHeight="true" outlineLevel="0" collapsed="false">
      <c r="E686" s="10"/>
    </row>
    <row r="687" customFormat="false" ht="14.25" hidden="false" customHeight="true" outlineLevel="0" collapsed="false">
      <c r="E687" s="10"/>
    </row>
    <row r="688" customFormat="false" ht="14.25" hidden="false" customHeight="true" outlineLevel="0" collapsed="false">
      <c r="E688" s="10"/>
    </row>
    <row r="689" customFormat="false" ht="14.25" hidden="false" customHeight="true" outlineLevel="0" collapsed="false">
      <c r="E689" s="10"/>
    </row>
    <row r="690" customFormat="false" ht="14.25" hidden="false" customHeight="true" outlineLevel="0" collapsed="false">
      <c r="E690" s="10"/>
    </row>
    <row r="691" customFormat="false" ht="14.25" hidden="false" customHeight="true" outlineLevel="0" collapsed="false">
      <c r="E691" s="10"/>
    </row>
    <row r="692" customFormat="false" ht="14.25" hidden="false" customHeight="true" outlineLevel="0" collapsed="false">
      <c r="E692" s="10"/>
    </row>
    <row r="693" customFormat="false" ht="14.25" hidden="false" customHeight="true" outlineLevel="0" collapsed="false">
      <c r="E693" s="10"/>
    </row>
    <row r="694" customFormat="false" ht="14.25" hidden="false" customHeight="true" outlineLevel="0" collapsed="false">
      <c r="E694" s="10"/>
    </row>
    <row r="695" customFormat="false" ht="14.25" hidden="false" customHeight="true" outlineLevel="0" collapsed="false">
      <c r="E695" s="10"/>
    </row>
    <row r="696" customFormat="false" ht="14.25" hidden="false" customHeight="true" outlineLevel="0" collapsed="false">
      <c r="E696" s="10"/>
    </row>
    <row r="697" customFormat="false" ht="14.25" hidden="false" customHeight="true" outlineLevel="0" collapsed="false">
      <c r="E697" s="10"/>
    </row>
    <row r="698" customFormat="false" ht="14.25" hidden="false" customHeight="true" outlineLevel="0" collapsed="false">
      <c r="E698" s="10"/>
    </row>
    <row r="699" customFormat="false" ht="14.25" hidden="false" customHeight="true" outlineLevel="0" collapsed="false">
      <c r="E699" s="10"/>
    </row>
    <row r="700" customFormat="false" ht="14.25" hidden="false" customHeight="true" outlineLevel="0" collapsed="false">
      <c r="E700" s="10"/>
    </row>
    <row r="701" customFormat="false" ht="14.25" hidden="false" customHeight="true" outlineLevel="0" collapsed="false">
      <c r="E701" s="10"/>
    </row>
    <row r="702" customFormat="false" ht="14.25" hidden="false" customHeight="true" outlineLevel="0" collapsed="false">
      <c r="E702" s="10"/>
    </row>
    <row r="703" customFormat="false" ht="14.25" hidden="false" customHeight="true" outlineLevel="0" collapsed="false">
      <c r="E703" s="10"/>
    </row>
    <row r="704" customFormat="false" ht="14.25" hidden="false" customHeight="true" outlineLevel="0" collapsed="false">
      <c r="E704" s="10"/>
    </row>
    <row r="705" customFormat="false" ht="14.25" hidden="false" customHeight="true" outlineLevel="0" collapsed="false">
      <c r="E705" s="10"/>
    </row>
    <row r="706" customFormat="false" ht="14.25" hidden="false" customHeight="true" outlineLevel="0" collapsed="false">
      <c r="E706" s="10"/>
    </row>
    <row r="707" customFormat="false" ht="14.25" hidden="false" customHeight="true" outlineLevel="0" collapsed="false">
      <c r="E707" s="10"/>
    </row>
    <row r="708" customFormat="false" ht="14.25" hidden="false" customHeight="true" outlineLevel="0" collapsed="false">
      <c r="E708" s="10"/>
    </row>
    <row r="709" customFormat="false" ht="14.25" hidden="false" customHeight="true" outlineLevel="0" collapsed="false">
      <c r="E709" s="10"/>
    </row>
    <row r="710" customFormat="false" ht="14.25" hidden="false" customHeight="true" outlineLevel="0" collapsed="false">
      <c r="E710" s="10"/>
    </row>
    <row r="711" customFormat="false" ht="14.25" hidden="false" customHeight="true" outlineLevel="0" collapsed="false">
      <c r="E711" s="10"/>
    </row>
    <row r="712" customFormat="false" ht="14.25" hidden="false" customHeight="true" outlineLevel="0" collapsed="false">
      <c r="E712" s="10"/>
    </row>
    <row r="713" customFormat="false" ht="14.25" hidden="false" customHeight="true" outlineLevel="0" collapsed="false">
      <c r="E713" s="10"/>
    </row>
    <row r="714" customFormat="false" ht="14.25" hidden="false" customHeight="true" outlineLevel="0" collapsed="false">
      <c r="E714" s="10"/>
    </row>
    <row r="715" customFormat="false" ht="14.25" hidden="false" customHeight="true" outlineLevel="0" collapsed="false">
      <c r="E715" s="10"/>
    </row>
    <row r="716" customFormat="false" ht="14.25" hidden="false" customHeight="true" outlineLevel="0" collapsed="false">
      <c r="E716" s="10"/>
    </row>
    <row r="717" customFormat="false" ht="14.25" hidden="false" customHeight="true" outlineLevel="0" collapsed="false">
      <c r="E717" s="10"/>
    </row>
    <row r="718" customFormat="false" ht="14.25" hidden="false" customHeight="true" outlineLevel="0" collapsed="false">
      <c r="E718" s="10"/>
    </row>
    <row r="719" customFormat="false" ht="14.25" hidden="false" customHeight="true" outlineLevel="0" collapsed="false">
      <c r="E719" s="10"/>
    </row>
    <row r="720" customFormat="false" ht="14.25" hidden="false" customHeight="true" outlineLevel="0" collapsed="false">
      <c r="E720" s="10"/>
    </row>
    <row r="721" customFormat="false" ht="14.25" hidden="false" customHeight="true" outlineLevel="0" collapsed="false">
      <c r="E721" s="10"/>
    </row>
    <row r="722" customFormat="false" ht="14.25" hidden="false" customHeight="true" outlineLevel="0" collapsed="false">
      <c r="E722" s="10"/>
    </row>
    <row r="723" customFormat="false" ht="14.25" hidden="false" customHeight="true" outlineLevel="0" collapsed="false">
      <c r="E723" s="10"/>
    </row>
    <row r="724" customFormat="false" ht="14.25" hidden="false" customHeight="true" outlineLevel="0" collapsed="false">
      <c r="E724" s="10"/>
    </row>
    <row r="725" customFormat="false" ht="14.25" hidden="false" customHeight="true" outlineLevel="0" collapsed="false">
      <c r="E725" s="10"/>
    </row>
    <row r="726" customFormat="false" ht="14.25" hidden="false" customHeight="true" outlineLevel="0" collapsed="false">
      <c r="E726" s="10"/>
    </row>
    <row r="727" customFormat="false" ht="14.25" hidden="false" customHeight="true" outlineLevel="0" collapsed="false">
      <c r="E727" s="10"/>
    </row>
    <row r="728" customFormat="false" ht="14.25" hidden="false" customHeight="true" outlineLevel="0" collapsed="false">
      <c r="E728" s="10"/>
    </row>
    <row r="729" customFormat="false" ht="14.25" hidden="false" customHeight="true" outlineLevel="0" collapsed="false">
      <c r="E729" s="10"/>
    </row>
    <row r="730" customFormat="false" ht="14.25" hidden="false" customHeight="true" outlineLevel="0" collapsed="false">
      <c r="E730" s="10"/>
    </row>
    <row r="731" customFormat="false" ht="14.25" hidden="false" customHeight="true" outlineLevel="0" collapsed="false">
      <c r="E731" s="10"/>
    </row>
    <row r="732" customFormat="false" ht="14.25" hidden="false" customHeight="true" outlineLevel="0" collapsed="false">
      <c r="E732" s="10"/>
    </row>
    <row r="733" customFormat="false" ht="14.25" hidden="false" customHeight="true" outlineLevel="0" collapsed="false">
      <c r="E733" s="10"/>
    </row>
    <row r="734" customFormat="false" ht="14.25" hidden="false" customHeight="true" outlineLevel="0" collapsed="false">
      <c r="E734" s="10"/>
    </row>
    <row r="735" customFormat="false" ht="14.25" hidden="false" customHeight="true" outlineLevel="0" collapsed="false">
      <c r="E735" s="10"/>
    </row>
    <row r="736" customFormat="false" ht="14.25" hidden="false" customHeight="true" outlineLevel="0" collapsed="false">
      <c r="E736" s="10"/>
    </row>
    <row r="737" customFormat="false" ht="14.25" hidden="false" customHeight="true" outlineLevel="0" collapsed="false">
      <c r="E737" s="10"/>
    </row>
    <row r="738" customFormat="false" ht="14.25" hidden="false" customHeight="true" outlineLevel="0" collapsed="false">
      <c r="E738" s="10"/>
    </row>
    <row r="739" customFormat="false" ht="14.25" hidden="false" customHeight="true" outlineLevel="0" collapsed="false">
      <c r="E739" s="10"/>
    </row>
    <row r="740" customFormat="false" ht="14.25" hidden="false" customHeight="true" outlineLevel="0" collapsed="false">
      <c r="E740" s="10"/>
    </row>
    <row r="741" customFormat="false" ht="14.25" hidden="false" customHeight="true" outlineLevel="0" collapsed="false">
      <c r="E741" s="10"/>
    </row>
    <row r="742" customFormat="false" ht="14.25" hidden="false" customHeight="true" outlineLevel="0" collapsed="false">
      <c r="E742" s="10"/>
    </row>
    <row r="743" customFormat="false" ht="14.25" hidden="false" customHeight="true" outlineLevel="0" collapsed="false">
      <c r="E743" s="10"/>
    </row>
    <row r="744" customFormat="false" ht="14.25" hidden="false" customHeight="true" outlineLevel="0" collapsed="false">
      <c r="E744" s="10"/>
    </row>
    <row r="745" customFormat="false" ht="14.25" hidden="false" customHeight="true" outlineLevel="0" collapsed="false">
      <c r="E745" s="10"/>
    </row>
    <row r="746" customFormat="false" ht="14.25" hidden="false" customHeight="true" outlineLevel="0" collapsed="false">
      <c r="E746" s="10"/>
    </row>
    <row r="747" customFormat="false" ht="14.25" hidden="false" customHeight="true" outlineLevel="0" collapsed="false">
      <c r="E747" s="10"/>
    </row>
    <row r="748" customFormat="false" ht="14.25" hidden="false" customHeight="true" outlineLevel="0" collapsed="false">
      <c r="E748" s="10"/>
    </row>
    <row r="749" customFormat="false" ht="14.25" hidden="false" customHeight="true" outlineLevel="0" collapsed="false">
      <c r="E749" s="10"/>
    </row>
    <row r="750" customFormat="false" ht="14.25" hidden="false" customHeight="true" outlineLevel="0" collapsed="false">
      <c r="E750" s="10"/>
    </row>
    <row r="751" customFormat="false" ht="14.25" hidden="false" customHeight="true" outlineLevel="0" collapsed="false">
      <c r="E751" s="10"/>
    </row>
    <row r="752" customFormat="false" ht="14.25" hidden="false" customHeight="true" outlineLevel="0" collapsed="false">
      <c r="E752" s="10"/>
    </row>
    <row r="753" customFormat="false" ht="14.25" hidden="false" customHeight="true" outlineLevel="0" collapsed="false">
      <c r="E753" s="10"/>
    </row>
    <row r="754" customFormat="false" ht="14.25" hidden="false" customHeight="true" outlineLevel="0" collapsed="false">
      <c r="E754" s="10"/>
    </row>
    <row r="755" customFormat="false" ht="14.25" hidden="false" customHeight="true" outlineLevel="0" collapsed="false">
      <c r="E755" s="10"/>
    </row>
    <row r="756" customFormat="false" ht="14.25" hidden="false" customHeight="true" outlineLevel="0" collapsed="false">
      <c r="E756" s="10"/>
    </row>
    <row r="757" customFormat="false" ht="14.25" hidden="false" customHeight="true" outlineLevel="0" collapsed="false">
      <c r="E757" s="10"/>
    </row>
    <row r="758" customFormat="false" ht="14.25" hidden="false" customHeight="true" outlineLevel="0" collapsed="false">
      <c r="E758" s="10"/>
    </row>
    <row r="759" customFormat="false" ht="14.25" hidden="false" customHeight="true" outlineLevel="0" collapsed="false">
      <c r="E759" s="10"/>
    </row>
    <row r="760" customFormat="false" ht="14.25" hidden="false" customHeight="true" outlineLevel="0" collapsed="false">
      <c r="E760" s="10"/>
    </row>
    <row r="761" customFormat="false" ht="14.25" hidden="false" customHeight="true" outlineLevel="0" collapsed="false">
      <c r="E761" s="10"/>
    </row>
    <row r="762" customFormat="false" ht="14.25" hidden="false" customHeight="true" outlineLevel="0" collapsed="false">
      <c r="E762" s="10"/>
    </row>
    <row r="763" customFormat="false" ht="14.25" hidden="false" customHeight="true" outlineLevel="0" collapsed="false">
      <c r="E763" s="10"/>
    </row>
    <row r="764" customFormat="false" ht="14.25" hidden="false" customHeight="true" outlineLevel="0" collapsed="false">
      <c r="E764" s="10"/>
    </row>
    <row r="765" customFormat="false" ht="14.25" hidden="false" customHeight="true" outlineLevel="0" collapsed="false">
      <c r="E765" s="10"/>
    </row>
    <row r="766" customFormat="false" ht="14.25" hidden="false" customHeight="true" outlineLevel="0" collapsed="false">
      <c r="E766" s="10"/>
    </row>
    <row r="767" customFormat="false" ht="14.25" hidden="false" customHeight="true" outlineLevel="0" collapsed="false">
      <c r="E767" s="10"/>
    </row>
    <row r="768" customFormat="false" ht="14.25" hidden="false" customHeight="true" outlineLevel="0" collapsed="false">
      <c r="E768" s="10"/>
    </row>
    <row r="769" customFormat="false" ht="14.25" hidden="false" customHeight="true" outlineLevel="0" collapsed="false">
      <c r="E769" s="10"/>
    </row>
    <row r="770" customFormat="false" ht="14.25" hidden="false" customHeight="true" outlineLevel="0" collapsed="false">
      <c r="E770" s="10"/>
    </row>
    <row r="771" customFormat="false" ht="14.25" hidden="false" customHeight="true" outlineLevel="0" collapsed="false">
      <c r="E771" s="10"/>
    </row>
    <row r="772" customFormat="false" ht="14.25" hidden="false" customHeight="true" outlineLevel="0" collapsed="false">
      <c r="E772" s="10"/>
    </row>
    <row r="773" customFormat="false" ht="14.25" hidden="false" customHeight="true" outlineLevel="0" collapsed="false">
      <c r="E773" s="10"/>
    </row>
    <row r="774" customFormat="false" ht="14.25" hidden="false" customHeight="true" outlineLevel="0" collapsed="false">
      <c r="E774" s="10"/>
    </row>
    <row r="775" customFormat="false" ht="14.25" hidden="false" customHeight="true" outlineLevel="0" collapsed="false">
      <c r="E775" s="10"/>
    </row>
    <row r="776" customFormat="false" ht="14.25" hidden="false" customHeight="true" outlineLevel="0" collapsed="false">
      <c r="E776" s="10"/>
    </row>
    <row r="777" customFormat="false" ht="14.25" hidden="false" customHeight="true" outlineLevel="0" collapsed="false">
      <c r="E777" s="10"/>
    </row>
    <row r="778" customFormat="false" ht="14.25" hidden="false" customHeight="true" outlineLevel="0" collapsed="false">
      <c r="E778" s="10"/>
    </row>
    <row r="779" customFormat="false" ht="14.25" hidden="false" customHeight="true" outlineLevel="0" collapsed="false">
      <c r="E779" s="10"/>
    </row>
    <row r="780" customFormat="false" ht="14.25" hidden="false" customHeight="true" outlineLevel="0" collapsed="false">
      <c r="E780" s="10"/>
    </row>
    <row r="781" customFormat="false" ht="14.25" hidden="false" customHeight="true" outlineLevel="0" collapsed="false">
      <c r="E781" s="10"/>
    </row>
    <row r="782" customFormat="false" ht="14.25" hidden="false" customHeight="true" outlineLevel="0" collapsed="false">
      <c r="E782" s="10"/>
    </row>
    <row r="783" customFormat="false" ht="14.25" hidden="false" customHeight="true" outlineLevel="0" collapsed="false">
      <c r="E783" s="10"/>
    </row>
    <row r="784" customFormat="false" ht="14.25" hidden="false" customHeight="true" outlineLevel="0" collapsed="false">
      <c r="E784" s="10"/>
    </row>
    <row r="785" customFormat="false" ht="14.25" hidden="false" customHeight="true" outlineLevel="0" collapsed="false">
      <c r="E785" s="10"/>
    </row>
    <row r="786" customFormat="false" ht="14.25" hidden="false" customHeight="true" outlineLevel="0" collapsed="false">
      <c r="E786" s="10"/>
    </row>
    <row r="787" customFormat="false" ht="14.25" hidden="false" customHeight="true" outlineLevel="0" collapsed="false">
      <c r="E787" s="10"/>
    </row>
    <row r="788" customFormat="false" ht="14.25" hidden="false" customHeight="true" outlineLevel="0" collapsed="false">
      <c r="E788" s="10"/>
    </row>
    <row r="789" customFormat="false" ht="14.25" hidden="false" customHeight="true" outlineLevel="0" collapsed="false">
      <c r="E789" s="10"/>
    </row>
    <row r="790" customFormat="false" ht="14.25" hidden="false" customHeight="true" outlineLevel="0" collapsed="false">
      <c r="E790" s="10"/>
    </row>
    <row r="791" customFormat="false" ht="14.25" hidden="false" customHeight="true" outlineLevel="0" collapsed="false">
      <c r="E791" s="10"/>
    </row>
    <row r="792" customFormat="false" ht="14.25" hidden="false" customHeight="true" outlineLevel="0" collapsed="false">
      <c r="E792" s="10"/>
    </row>
    <row r="793" customFormat="false" ht="14.25" hidden="false" customHeight="true" outlineLevel="0" collapsed="false">
      <c r="E793" s="10"/>
    </row>
    <row r="794" customFormat="false" ht="14.25" hidden="false" customHeight="true" outlineLevel="0" collapsed="false">
      <c r="E794" s="10"/>
    </row>
    <row r="795" customFormat="false" ht="14.25" hidden="false" customHeight="true" outlineLevel="0" collapsed="false">
      <c r="E795" s="10"/>
    </row>
    <row r="796" customFormat="false" ht="14.25" hidden="false" customHeight="true" outlineLevel="0" collapsed="false">
      <c r="E796" s="10"/>
    </row>
    <row r="797" customFormat="false" ht="14.25" hidden="false" customHeight="true" outlineLevel="0" collapsed="false">
      <c r="E797" s="10"/>
    </row>
    <row r="798" customFormat="false" ht="14.25" hidden="false" customHeight="true" outlineLevel="0" collapsed="false">
      <c r="E798" s="10"/>
    </row>
    <row r="799" customFormat="false" ht="14.25" hidden="false" customHeight="true" outlineLevel="0" collapsed="false">
      <c r="E799" s="10"/>
    </row>
    <row r="800" customFormat="false" ht="14.25" hidden="false" customHeight="true" outlineLevel="0" collapsed="false">
      <c r="E800" s="10"/>
    </row>
    <row r="801" customFormat="false" ht="14.25" hidden="false" customHeight="true" outlineLevel="0" collapsed="false">
      <c r="E801" s="10"/>
    </row>
    <row r="802" customFormat="false" ht="14.25" hidden="false" customHeight="true" outlineLevel="0" collapsed="false">
      <c r="E802" s="10"/>
    </row>
    <row r="803" customFormat="false" ht="14.25" hidden="false" customHeight="true" outlineLevel="0" collapsed="false">
      <c r="E803" s="10"/>
    </row>
    <row r="804" customFormat="false" ht="14.25" hidden="false" customHeight="true" outlineLevel="0" collapsed="false">
      <c r="E804" s="10"/>
    </row>
    <row r="805" customFormat="false" ht="14.25" hidden="false" customHeight="true" outlineLevel="0" collapsed="false">
      <c r="E805" s="10"/>
    </row>
    <row r="806" customFormat="false" ht="14.25" hidden="false" customHeight="true" outlineLevel="0" collapsed="false">
      <c r="E806" s="10"/>
    </row>
    <row r="807" customFormat="false" ht="14.25" hidden="false" customHeight="true" outlineLevel="0" collapsed="false">
      <c r="E807" s="10"/>
    </row>
    <row r="808" customFormat="false" ht="14.25" hidden="false" customHeight="true" outlineLevel="0" collapsed="false">
      <c r="E808" s="10"/>
    </row>
    <row r="809" customFormat="false" ht="14.25" hidden="false" customHeight="true" outlineLevel="0" collapsed="false">
      <c r="E809" s="10"/>
    </row>
    <row r="810" customFormat="false" ht="14.25" hidden="false" customHeight="true" outlineLevel="0" collapsed="false">
      <c r="E810" s="10"/>
    </row>
    <row r="811" customFormat="false" ht="14.25" hidden="false" customHeight="true" outlineLevel="0" collapsed="false">
      <c r="E811" s="10"/>
    </row>
    <row r="812" customFormat="false" ht="14.25" hidden="false" customHeight="true" outlineLevel="0" collapsed="false">
      <c r="E812" s="10"/>
    </row>
    <row r="813" customFormat="false" ht="14.25" hidden="false" customHeight="true" outlineLevel="0" collapsed="false">
      <c r="E813" s="10"/>
    </row>
    <row r="814" customFormat="false" ht="14.25" hidden="false" customHeight="true" outlineLevel="0" collapsed="false">
      <c r="E814" s="10"/>
    </row>
    <row r="815" customFormat="false" ht="14.25" hidden="false" customHeight="true" outlineLevel="0" collapsed="false">
      <c r="E815" s="10"/>
    </row>
    <row r="816" customFormat="false" ht="14.25" hidden="false" customHeight="true" outlineLevel="0" collapsed="false">
      <c r="E816" s="10"/>
    </row>
    <row r="817" customFormat="false" ht="14.25" hidden="false" customHeight="true" outlineLevel="0" collapsed="false">
      <c r="E817" s="10"/>
    </row>
    <row r="818" customFormat="false" ht="14.25" hidden="false" customHeight="true" outlineLevel="0" collapsed="false">
      <c r="E818" s="10"/>
    </row>
    <row r="819" customFormat="false" ht="14.25" hidden="false" customHeight="true" outlineLevel="0" collapsed="false">
      <c r="E819" s="10"/>
    </row>
    <row r="820" customFormat="false" ht="14.25" hidden="false" customHeight="true" outlineLevel="0" collapsed="false">
      <c r="E820" s="10"/>
    </row>
    <row r="821" customFormat="false" ht="14.25" hidden="false" customHeight="true" outlineLevel="0" collapsed="false">
      <c r="E821" s="10"/>
    </row>
    <row r="822" customFormat="false" ht="14.25" hidden="false" customHeight="true" outlineLevel="0" collapsed="false">
      <c r="E822" s="10"/>
    </row>
    <row r="823" customFormat="false" ht="14.25" hidden="false" customHeight="true" outlineLevel="0" collapsed="false">
      <c r="E823" s="10"/>
    </row>
    <row r="824" customFormat="false" ht="14.25" hidden="false" customHeight="true" outlineLevel="0" collapsed="false">
      <c r="E824" s="10"/>
    </row>
    <row r="825" customFormat="false" ht="14.25" hidden="false" customHeight="true" outlineLevel="0" collapsed="false">
      <c r="E825" s="10"/>
    </row>
    <row r="826" customFormat="false" ht="14.25" hidden="false" customHeight="true" outlineLevel="0" collapsed="false">
      <c r="E826" s="10"/>
    </row>
    <row r="827" customFormat="false" ht="14.25" hidden="false" customHeight="true" outlineLevel="0" collapsed="false">
      <c r="E827" s="10"/>
    </row>
    <row r="828" customFormat="false" ht="14.25" hidden="false" customHeight="true" outlineLevel="0" collapsed="false">
      <c r="E828" s="10"/>
    </row>
    <row r="829" customFormat="false" ht="14.25" hidden="false" customHeight="true" outlineLevel="0" collapsed="false">
      <c r="E829" s="10"/>
    </row>
    <row r="830" customFormat="false" ht="14.25" hidden="false" customHeight="true" outlineLevel="0" collapsed="false">
      <c r="E830" s="10"/>
    </row>
    <row r="831" customFormat="false" ht="14.25" hidden="false" customHeight="true" outlineLevel="0" collapsed="false">
      <c r="E831" s="10"/>
    </row>
    <row r="832" customFormat="false" ht="14.25" hidden="false" customHeight="true" outlineLevel="0" collapsed="false">
      <c r="E832" s="10"/>
    </row>
    <row r="833" customFormat="false" ht="14.25" hidden="false" customHeight="true" outlineLevel="0" collapsed="false">
      <c r="E833" s="10"/>
    </row>
    <row r="834" customFormat="false" ht="14.25" hidden="false" customHeight="true" outlineLevel="0" collapsed="false">
      <c r="E834" s="10"/>
    </row>
    <row r="835" customFormat="false" ht="14.25" hidden="false" customHeight="true" outlineLevel="0" collapsed="false">
      <c r="E835" s="10"/>
    </row>
    <row r="836" customFormat="false" ht="14.25" hidden="false" customHeight="true" outlineLevel="0" collapsed="false">
      <c r="E836" s="10"/>
    </row>
    <row r="837" customFormat="false" ht="14.25" hidden="false" customHeight="true" outlineLevel="0" collapsed="false">
      <c r="E837" s="10"/>
    </row>
    <row r="838" customFormat="false" ht="14.25" hidden="false" customHeight="true" outlineLevel="0" collapsed="false">
      <c r="E838" s="10"/>
    </row>
    <row r="839" customFormat="false" ht="14.25" hidden="false" customHeight="true" outlineLevel="0" collapsed="false">
      <c r="E839" s="10"/>
    </row>
    <row r="840" customFormat="false" ht="14.25" hidden="false" customHeight="true" outlineLevel="0" collapsed="false">
      <c r="E840" s="10"/>
    </row>
    <row r="841" customFormat="false" ht="14.25" hidden="false" customHeight="true" outlineLevel="0" collapsed="false">
      <c r="E841" s="10"/>
    </row>
    <row r="842" customFormat="false" ht="14.25" hidden="false" customHeight="true" outlineLevel="0" collapsed="false">
      <c r="E842" s="10"/>
    </row>
    <row r="843" customFormat="false" ht="14.25" hidden="false" customHeight="true" outlineLevel="0" collapsed="false">
      <c r="E843" s="10"/>
    </row>
    <row r="844" customFormat="false" ht="14.25" hidden="false" customHeight="true" outlineLevel="0" collapsed="false">
      <c r="E844" s="10"/>
    </row>
    <row r="845" customFormat="false" ht="14.25" hidden="false" customHeight="true" outlineLevel="0" collapsed="false">
      <c r="E845" s="10"/>
    </row>
    <row r="846" customFormat="false" ht="14.25" hidden="false" customHeight="true" outlineLevel="0" collapsed="false">
      <c r="E846" s="10"/>
    </row>
    <row r="847" customFormat="false" ht="14.25" hidden="false" customHeight="true" outlineLevel="0" collapsed="false">
      <c r="E847" s="10"/>
    </row>
    <row r="848" customFormat="false" ht="14.25" hidden="false" customHeight="true" outlineLevel="0" collapsed="false">
      <c r="E848" s="10"/>
    </row>
    <row r="849" customFormat="false" ht="14.25" hidden="false" customHeight="true" outlineLevel="0" collapsed="false">
      <c r="E849" s="10"/>
    </row>
    <row r="850" customFormat="false" ht="14.25" hidden="false" customHeight="true" outlineLevel="0" collapsed="false">
      <c r="E850" s="10"/>
    </row>
    <row r="851" customFormat="false" ht="14.25" hidden="false" customHeight="true" outlineLevel="0" collapsed="false">
      <c r="E851" s="10"/>
    </row>
    <row r="852" customFormat="false" ht="14.25" hidden="false" customHeight="true" outlineLevel="0" collapsed="false">
      <c r="E852" s="10"/>
    </row>
    <row r="853" customFormat="false" ht="14.25" hidden="false" customHeight="true" outlineLevel="0" collapsed="false">
      <c r="E853" s="10"/>
    </row>
    <row r="854" customFormat="false" ht="14.25" hidden="false" customHeight="true" outlineLevel="0" collapsed="false">
      <c r="E854" s="10"/>
    </row>
    <row r="855" customFormat="false" ht="14.25" hidden="false" customHeight="true" outlineLevel="0" collapsed="false">
      <c r="E855" s="10"/>
    </row>
    <row r="856" customFormat="false" ht="14.25" hidden="false" customHeight="true" outlineLevel="0" collapsed="false">
      <c r="E856" s="10"/>
    </row>
    <row r="857" customFormat="false" ht="14.25" hidden="false" customHeight="true" outlineLevel="0" collapsed="false">
      <c r="E857" s="10"/>
    </row>
    <row r="858" customFormat="false" ht="14.25" hidden="false" customHeight="true" outlineLevel="0" collapsed="false">
      <c r="E858" s="10"/>
    </row>
    <row r="859" customFormat="false" ht="14.25" hidden="false" customHeight="true" outlineLevel="0" collapsed="false">
      <c r="E859" s="10"/>
    </row>
    <row r="860" customFormat="false" ht="14.25" hidden="false" customHeight="true" outlineLevel="0" collapsed="false">
      <c r="E860" s="10"/>
    </row>
    <row r="861" customFormat="false" ht="14.25" hidden="false" customHeight="true" outlineLevel="0" collapsed="false">
      <c r="E861" s="10"/>
    </row>
    <row r="862" customFormat="false" ht="14.25" hidden="false" customHeight="true" outlineLevel="0" collapsed="false">
      <c r="E862" s="10"/>
    </row>
    <row r="863" customFormat="false" ht="14.25" hidden="false" customHeight="true" outlineLevel="0" collapsed="false">
      <c r="E863" s="10"/>
    </row>
    <row r="864" customFormat="false" ht="14.25" hidden="false" customHeight="true" outlineLevel="0" collapsed="false">
      <c r="E864" s="10"/>
    </row>
    <row r="865" customFormat="false" ht="14.25" hidden="false" customHeight="true" outlineLevel="0" collapsed="false">
      <c r="E865" s="10"/>
    </row>
    <row r="866" customFormat="false" ht="14.25" hidden="false" customHeight="true" outlineLevel="0" collapsed="false">
      <c r="E866" s="10"/>
    </row>
    <row r="867" customFormat="false" ht="14.25" hidden="false" customHeight="true" outlineLevel="0" collapsed="false">
      <c r="E867" s="10"/>
    </row>
    <row r="868" customFormat="false" ht="14.25" hidden="false" customHeight="true" outlineLevel="0" collapsed="false">
      <c r="E868" s="10"/>
    </row>
    <row r="869" customFormat="false" ht="14.25" hidden="false" customHeight="true" outlineLevel="0" collapsed="false">
      <c r="E869" s="10"/>
    </row>
    <row r="870" customFormat="false" ht="14.25" hidden="false" customHeight="true" outlineLevel="0" collapsed="false">
      <c r="E870" s="10"/>
    </row>
    <row r="871" customFormat="false" ht="14.25" hidden="false" customHeight="true" outlineLevel="0" collapsed="false">
      <c r="E871" s="10"/>
    </row>
    <row r="872" customFormat="false" ht="14.25" hidden="false" customHeight="true" outlineLevel="0" collapsed="false">
      <c r="E872" s="10"/>
    </row>
    <row r="873" customFormat="false" ht="14.25" hidden="false" customHeight="true" outlineLevel="0" collapsed="false">
      <c r="E873" s="10"/>
    </row>
    <row r="874" customFormat="false" ht="14.25" hidden="false" customHeight="true" outlineLevel="0" collapsed="false">
      <c r="E874" s="10"/>
    </row>
    <row r="875" customFormat="false" ht="14.25" hidden="false" customHeight="true" outlineLevel="0" collapsed="false">
      <c r="E875" s="10"/>
    </row>
    <row r="876" customFormat="false" ht="14.25" hidden="false" customHeight="true" outlineLevel="0" collapsed="false">
      <c r="E876" s="10"/>
    </row>
    <row r="877" customFormat="false" ht="14.25" hidden="false" customHeight="true" outlineLevel="0" collapsed="false">
      <c r="E877" s="10"/>
    </row>
    <row r="878" customFormat="false" ht="14.25" hidden="false" customHeight="true" outlineLevel="0" collapsed="false">
      <c r="E878" s="10"/>
    </row>
    <row r="879" customFormat="false" ht="14.25" hidden="false" customHeight="true" outlineLevel="0" collapsed="false">
      <c r="E879" s="10"/>
    </row>
    <row r="880" customFormat="false" ht="14.25" hidden="false" customHeight="true" outlineLevel="0" collapsed="false">
      <c r="E880" s="10"/>
    </row>
    <row r="881" customFormat="false" ht="14.25" hidden="false" customHeight="true" outlineLevel="0" collapsed="false">
      <c r="E881" s="10"/>
    </row>
    <row r="882" customFormat="false" ht="14.25" hidden="false" customHeight="true" outlineLevel="0" collapsed="false">
      <c r="E882" s="10"/>
    </row>
    <row r="883" customFormat="false" ht="14.25" hidden="false" customHeight="true" outlineLevel="0" collapsed="false">
      <c r="E883" s="10"/>
    </row>
    <row r="884" customFormat="false" ht="14.25" hidden="false" customHeight="true" outlineLevel="0" collapsed="false">
      <c r="E884" s="10"/>
    </row>
    <row r="885" customFormat="false" ht="14.25" hidden="false" customHeight="true" outlineLevel="0" collapsed="false">
      <c r="E885" s="10"/>
    </row>
    <row r="886" customFormat="false" ht="14.25" hidden="false" customHeight="true" outlineLevel="0" collapsed="false">
      <c r="E886" s="10"/>
    </row>
    <row r="887" customFormat="false" ht="14.25" hidden="false" customHeight="true" outlineLevel="0" collapsed="false">
      <c r="E887" s="10"/>
    </row>
    <row r="888" customFormat="false" ht="14.25" hidden="false" customHeight="true" outlineLevel="0" collapsed="false">
      <c r="E888" s="10"/>
    </row>
    <row r="889" customFormat="false" ht="14.25" hidden="false" customHeight="true" outlineLevel="0" collapsed="false">
      <c r="E889" s="10"/>
    </row>
    <row r="890" customFormat="false" ht="14.25" hidden="false" customHeight="true" outlineLevel="0" collapsed="false">
      <c r="E890" s="10"/>
    </row>
    <row r="891" customFormat="false" ht="14.25" hidden="false" customHeight="true" outlineLevel="0" collapsed="false">
      <c r="E891" s="10"/>
    </row>
    <row r="892" customFormat="false" ht="14.25" hidden="false" customHeight="true" outlineLevel="0" collapsed="false">
      <c r="E892" s="10"/>
    </row>
    <row r="893" customFormat="false" ht="14.25" hidden="false" customHeight="true" outlineLevel="0" collapsed="false">
      <c r="E893" s="10"/>
    </row>
    <row r="894" customFormat="false" ht="14.25" hidden="false" customHeight="true" outlineLevel="0" collapsed="false">
      <c r="E894" s="10"/>
    </row>
    <row r="895" customFormat="false" ht="14.25" hidden="false" customHeight="true" outlineLevel="0" collapsed="false">
      <c r="E895" s="10"/>
    </row>
    <row r="896" customFormat="false" ht="14.25" hidden="false" customHeight="true" outlineLevel="0" collapsed="false">
      <c r="E896" s="10"/>
    </row>
    <row r="897" customFormat="false" ht="14.25" hidden="false" customHeight="true" outlineLevel="0" collapsed="false">
      <c r="E897" s="10"/>
    </row>
    <row r="898" customFormat="false" ht="14.25" hidden="false" customHeight="true" outlineLevel="0" collapsed="false">
      <c r="E898" s="10"/>
    </row>
    <row r="899" customFormat="false" ht="14.25" hidden="false" customHeight="true" outlineLevel="0" collapsed="false">
      <c r="E899" s="10"/>
    </row>
    <row r="900" customFormat="false" ht="14.25" hidden="false" customHeight="true" outlineLevel="0" collapsed="false">
      <c r="E900" s="10"/>
    </row>
    <row r="901" customFormat="false" ht="14.25" hidden="false" customHeight="true" outlineLevel="0" collapsed="false">
      <c r="E901" s="10"/>
    </row>
    <row r="902" customFormat="false" ht="14.25" hidden="false" customHeight="true" outlineLevel="0" collapsed="false">
      <c r="E902" s="10"/>
    </row>
    <row r="903" customFormat="false" ht="14.25" hidden="false" customHeight="true" outlineLevel="0" collapsed="false">
      <c r="E903" s="10"/>
    </row>
    <row r="904" customFormat="false" ht="14.25" hidden="false" customHeight="true" outlineLevel="0" collapsed="false">
      <c r="E904" s="10"/>
    </row>
    <row r="905" customFormat="false" ht="14.25" hidden="false" customHeight="true" outlineLevel="0" collapsed="false">
      <c r="E905" s="10"/>
    </row>
    <row r="906" customFormat="false" ht="14.25" hidden="false" customHeight="true" outlineLevel="0" collapsed="false">
      <c r="E906" s="10"/>
    </row>
    <row r="907" customFormat="false" ht="14.25" hidden="false" customHeight="true" outlineLevel="0" collapsed="false">
      <c r="E907" s="10"/>
    </row>
    <row r="908" customFormat="false" ht="14.25" hidden="false" customHeight="true" outlineLevel="0" collapsed="false">
      <c r="E908" s="10"/>
    </row>
    <row r="909" customFormat="false" ht="14.25" hidden="false" customHeight="true" outlineLevel="0" collapsed="false">
      <c r="E909" s="10"/>
    </row>
    <row r="910" customFormat="false" ht="14.25" hidden="false" customHeight="true" outlineLevel="0" collapsed="false">
      <c r="E910" s="10"/>
    </row>
    <row r="911" customFormat="false" ht="14.25" hidden="false" customHeight="true" outlineLevel="0" collapsed="false">
      <c r="E911" s="10"/>
    </row>
    <row r="912" customFormat="false" ht="14.25" hidden="false" customHeight="true" outlineLevel="0" collapsed="false">
      <c r="E912" s="10"/>
    </row>
    <row r="913" customFormat="false" ht="14.25" hidden="false" customHeight="true" outlineLevel="0" collapsed="false">
      <c r="E913" s="10"/>
    </row>
    <row r="914" customFormat="false" ht="14.25" hidden="false" customHeight="true" outlineLevel="0" collapsed="false">
      <c r="E914" s="10"/>
    </row>
    <row r="915" customFormat="false" ht="14.25" hidden="false" customHeight="true" outlineLevel="0" collapsed="false">
      <c r="E915" s="10"/>
    </row>
    <row r="916" customFormat="false" ht="14.25" hidden="false" customHeight="true" outlineLevel="0" collapsed="false">
      <c r="E916" s="10"/>
    </row>
    <row r="917" customFormat="false" ht="14.25" hidden="false" customHeight="true" outlineLevel="0" collapsed="false">
      <c r="E917" s="10"/>
    </row>
    <row r="918" customFormat="false" ht="14.25" hidden="false" customHeight="true" outlineLevel="0" collapsed="false">
      <c r="E918" s="10"/>
    </row>
    <row r="919" customFormat="false" ht="14.25" hidden="false" customHeight="true" outlineLevel="0" collapsed="false">
      <c r="E919" s="10"/>
    </row>
    <row r="920" customFormat="false" ht="14.25" hidden="false" customHeight="true" outlineLevel="0" collapsed="false">
      <c r="E920" s="10"/>
    </row>
    <row r="921" customFormat="false" ht="14.25" hidden="false" customHeight="true" outlineLevel="0" collapsed="false">
      <c r="E921" s="10"/>
    </row>
    <row r="922" customFormat="false" ht="14.25" hidden="false" customHeight="true" outlineLevel="0" collapsed="false">
      <c r="E922" s="10"/>
    </row>
    <row r="923" customFormat="false" ht="14.25" hidden="false" customHeight="true" outlineLevel="0" collapsed="false">
      <c r="E923" s="10"/>
    </row>
    <row r="924" customFormat="false" ht="14.25" hidden="false" customHeight="true" outlineLevel="0" collapsed="false">
      <c r="E924" s="10"/>
    </row>
    <row r="925" customFormat="false" ht="14.25" hidden="false" customHeight="true" outlineLevel="0" collapsed="false">
      <c r="E925" s="10"/>
    </row>
    <row r="926" customFormat="false" ht="14.25" hidden="false" customHeight="true" outlineLevel="0" collapsed="false">
      <c r="E926" s="10"/>
    </row>
    <row r="927" customFormat="false" ht="14.25" hidden="false" customHeight="true" outlineLevel="0" collapsed="false">
      <c r="E927" s="10"/>
    </row>
    <row r="928" customFormat="false" ht="14.25" hidden="false" customHeight="true" outlineLevel="0" collapsed="false">
      <c r="E928" s="10"/>
    </row>
    <row r="929" customFormat="false" ht="14.25" hidden="false" customHeight="true" outlineLevel="0" collapsed="false">
      <c r="E929" s="10"/>
    </row>
    <row r="930" customFormat="false" ht="14.25" hidden="false" customHeight="true" outlineLevel="0" collapsed="false">
      <c r="E930" s="10"/>
    </row>
    <row r="931" customFormat="false" ht="14.25" hidden="false" customHeight="true" outlineLevel="0" collapsed="false">
      <c r="E931" s="10"/>
    </row>
    <row r="932" customFormat="false" ht="14.25" hidden="false" customHeight="true" outlineLevel="0" collapsed="false">
      <c r="E932" s="10"/>
    </row>
    <row r="933" customFormat="false" ht="14.25" hidden="false" customHeight="true" outlineLevel="0" collapsed="false">
      <c r="E933" s="10"/>
    </row>
    <row r="934" customFormat="false" ht="14.25" hidden="false" customHeight="true" outlineLevel="0" collapsed="false">
      <c r="E934" s="10"/>
    </row>
    <row r="935" customFormat="false" ht="14.25" hidden="false" customHeight="true" outlineLevel="0" collapsed="false">
      <c r="E935" s="10"/>
    </row>
    <row r="936" customFormat="false" ht="14.25" hidden="false" customHeight="true" outlineLevel="0" collapsed="false">
      <c r="E936" s="10"/>
    </row>
    <row r="937" customFormat="false" ht="14.25" hidden="false" customHeight="true" outlineLevel="0" collapsed="false">
      <c r="E937" s="10"/>
    </row>
    <row r="938" customFormat="false" ht="14.25" hidden="false" customHeight="true" outlineLevel="0" collapsed="false">
      <c r="E938" s="10"/>
    </row>
    <row r="939" customFormat="false" ht="14.25" hidden="false" customHeight="true" outlineLevel="0" collapsed="false">
      <c r="E939" s="10"/>
    </row>
    <row r="940" customFormat="false" ht="14.25" hidden="false" customHeight="true" outlineLevel="0" collapsed="false">
      <c r="E940" s="10"/>
    </row>
    <row r="941" customFormat="false" ht="14.25" hidden="false" customHeight="true" outlineLevel="0" collapsed="false">
      <c r="E941" s="10"/>
    </row>
    <row r="942" customFormat="false" ht="14.25" hidden="false" customHeight="true" outlineLevel="0" collapsed="false">
      <c r="E942" s="10"/>
    </row>
    <row r="943" customFormat="false" ht="14.25" hidden="false" customHeight="true" outlineLevel="0" collapsed="false">
      <c r="E943" s="10"/>
    </row>
    <row r="944" customFormat="false" ht="14.25" hidden="false" customHeight="true" outlineLevel="0" collapsed="false">
      <c r="E944" s="10"/>
    </row>
    <row r="945" customFormat="false" ht="14.25" hidden="false" customHeight="true" outlineLevel="0" collapsed="false">
      <c r="E945" s="10"/>
    </row>
    <row r="946" customFormat="false" ht="14.25" hidden="false" customHeight="true" outlineLevel="0" collapsed="false">
      <c r="E946" s="10"/>
    </row>
    <row r="947" customFormat="false" ht="14.25" hidden="false" customHeight="true" outlineLevel="0" collapsed="false">
      <c r="E947" s="10"/>
    </row>
    <row r="948" customFormat="false" ht="14.25" hidden="false" customHeight="true" outlineLevel="0" collapsed="false">
      <c r="E948" s="10"/>
    </row>
    <row r="949" customFormat="false" ht="14.25" hidden="false" customHeight="true" outlineLevel="0" collapsed="false">
      <c r="E949" s="10"/>
    </row>
    <row r="950" customFormat="false" ht="14.25" hidden="false" customHeight="true" outlineLevel="0" collapsed="false">
      <c r="E950" s="10"/>
    </row>
    <row r="951" customFormat="false" ht="14.25" hidden="false" customHeight="true" outlineLevel="0" collapsed="false">
      <c r="E951" s="10"/>
    </row>
    <row r="952" customFormat="false" ht="14.25" hidden="false" customHeight="true" outlineLevel="0" collapsed="false">
      <c r="E952" s="10"/>
    </row>
    <row r="953" customFormat="false" ht="14.25" hidden="false" customHeight="true" outlineLevel="0" collapsed="false">
      <c r="E953" s="10"/>
    </row>
    <row r="954" customFormat="false" ht="14.25" hidden="false" customHeight="true" outlineLevel="0" collapsed="false">
      <c r="E954" s="10"/>
    </row>
    <row r="955" customFormat="false" ht="14.25" hidden="false" customHeight="true" outlineLevel="0" collapsed="false">
      <c r="E955" s="10"/>
    </row>
    <row r="956" customFormat="false" ht="14.25" hidden="false" customHeight="true" outlineLevel="0" collapsed="false">
      <c r="E956" s="10"/>
    </row>
    <row r="957" customFormat="false" ht="14.25" hidden="false" customHeight="true" outlineLevel="0" collapsed="false">
      <c r="E957" s="10"/>
    </row>
    <row r="958" customFormat="false" ht="14.25" hidden="false" customHeight="true" outlineLevel="0" collapsed="false">
      <c r="E958" s="10"/>
    </row>
    <row r="959" customFormat="false" ht="14.25" hidden="false" customHeight="true" outlineLevel="0" collapsed="false">
      <c r="E959" s="10"/>
    </row>
    <row r="960" customFormat="false" ht="14.25" hidden="false" customHeight="true" outlineLevel="0" collapsed="false">
      <c r="E960" s="10"/>
    </row>
    <row r="961" customFormat="false" ht="14.25" hidden="false" customHeight="true" outlineLevel="0" collapsed="false">
      <c r="E961" s="10"/>
    </row>
    <row r="962" customFormat="false" ht="14.25" hidden="false" customHeight="true" outlineLevel="0" collapsed="false">
      <c r="E962" s="10"/>
    </row>
    <row r="963" customFormat="false" ht="14.25" hidden="false" customHeight="true" outlineLevel="0" collapsed="false">
      <c r="E963" s="10"/>
    </row>
    <row r="964" customFormat="false" ht="14.25" hidden="false" customHeight="true" outlineLevel="0" collapsed="false">
      <c r="E964" s="10"/>
    </row>
    <row r="965" customFormat="false" ht="14.25" hidden="false" customHeight="true" outlineLevel="0" collapsed="false">
      <c r="E965" s="10"/>
    </row>
    <row r="966" customFormat="false" ht="14.25" hidden="false" customHeight="true" outlineLevel="0" collapsed="false">
      <c r="E966" s="10"/>
    </row>
    <row r="967" customFormat="false" ht="14.25" hidden="false" customHeight="true" outlineLevel="0" collapsed="false">
      <c r="E967" s="10"/>
    </row>
    <row r="968" customFormat="false" ht="14.25" hidden="false" customHeight="true" outlineLevel="0" collapsed="false">
      <c r="E968" s="10"/>
    </row>
    <row r="969" customFormat="false" ht="14.25" hidden="false" customHeight="true" outlineLevel="0" collapsed="false">
      <c r="E969" s="10"/>
    </row>
    <row r="970" customFormat="false" ht="14.25" hidden="false" customHeight="true" outlineLevel="0" collapsed="false">
      <c r="E970" s="10"/>
    </row>
    <row r="971" customFormat="false" ht="14.25" hidden="false" customHeight="true" outlineLevel="0" collapsed="false">
      <c r="E971" s="10"/>
    </row>
    <row r="972" customFormat="false" ht="14.25" hidden="false" customHeight="true" outlineLevel="0" collapsed="false">
      <c r="E972" s="10"/>
    </row>
    <row r="973" customFormat="false" ht="14.25" hidden="false" customHeight="true" outlineLevel="0" collapsed="false">
      <c r="E973" s="10"/>
    </row>
    <row r="974" customFormat="false" ht="14.25" hidden="false" customHeight="true" outlineLevel="0" collapsed="false">
      <c r="E974" s="10"/>
    </row>
    <row r="975" customFormat="false" ht="14.25" hidden="false" customHeight="true" outlineLevel="0" collapsed="false">
      <c r="E975" s="10"/>
    </row>
    <row r="976" customFormat="false" ht="14.25" hidden="false" customHeight="true" outlineLevel="0" collapsed="false">
      <c r="E976" s="10"/>
    </row>
    <row r="977" customFormat="false" ht="14.25" hidden="false" customHeight="true" outlineLevel="0" collapsed="false">
      <c r="E977" s="10"/>
    </row>
    <row r="978" customFormat="false" ht="14.25" hidden="false" customHeight="true" outlineLevel="0" collapsed="false">
      <c r="E978" s="10"/>
    </row>
    <row r="979" customFormat="false" ht="14.25" hidden="false" customHeight="true" outlineLevel="0" collapsed="false">
      <c r="E979" s="10"/>
    </row>
    <row r="980" customFormat="false" ht="14.25" hidden="false" customHeight="true" outlineLevel="0" collapsed="false">
      <c r="E980" s="10"/>
    </row>
    <row r="981" customFormat="false" ht="14.25" hidden="false" customHeight="true" outlineLevel="0" collapsed="false">
      <c r="E981" s="10"/>
    </row>
    <row r="982" customFormat="false" ht="14.25" hidden="false" customHeight="true" outlineLevel="0" collapsed="false">
      <c r="E982" s="10"/>
    </row>
    <row r="983" customFormat="false" ht="14.25" hidden="false" customHeight="true" outlineLevel="0" collapsed="false">
      <c r="E983" s="10"/>
    </row>
    <row r="984" customFormat="false" ht="14.25" hidden="false" customHeight="true" outlineLevel="0" collapsed="false">
      <c r="E984" s="10"/>
    </row>
    <row r="985" customFormat="false" ht="14.25" hidden="false" customHeight="true" outlineLevel="0" collapsed="false">
      <c r="E985" s="10"/>
    </row>
    <row r="986" customFormat="false" ht="14.25" hidden="false" customHeight="true" outlineLevel="0" collapsed="false">
      <c r="E986" s="10"/>
    </row>
    <row r="987" customFormat="false" ht="14.25" hidden="false" customHeight="true" outlineLevel="0" collapsed="false">
      <c r="E987" s="10"/>
    </row>
    <row r="988" customFormat="false" ht="14.25" hidden="false" customHeight="true" outlineLevel="0" collapsed="false">
      <c r="E988" s="10"/>
    </row>
    <row r="989" customFormat="false" ht="14.25" hidden="false" customHeight="true" outlineLevel="0" collapsed="false">
      <c r="E989" s="10"/>
    </row>
    <row r="990" customFormat="false" ht="14.25" hidden="false" customHeight="true" outlineLevel="0" collapsed="false">
      <c r="E990" s="10"/>
    </row>
    <row r="991" customFormat="false" ht="14.25" hidden="false" customHeight="true" outlineLevel="0" collapsed="false">
      <c r="E991" s="10"/>
    </row>
    <row r="992" customFormat="false" ht="14.25" hidden="false" customHeight="true" outlineLevel="0" collapsed="false">
      <c r="E992" s="10"/>
    </row>
    <row r="993" customFormat="false" ht="14.25" hidden="false" customHeight="true" outlineLevel="0" collapsed="false">
      <c r="E993" s="10"/>
    </row>
    <row r="994" customFormat="false" ht="14.25" hidden="false" customHeight="true" outlineLevel="0" collapsed="false">
      <c r="E994" s="10"/>
    </row>
    <row r="995" customFormat="false" ht="14.25" hidden="false" customHeight="true" outlineLevel="0" collapsed="false">
      <c r="E995" s="10"/>
    </row>
    <row r="996" customFormat="false" ht="14.25" hidden="false" customHeight="true" outlineLevel="0" collapsed="false">
      <c r="E996" s="10"/>
    </row>
    <row r="997" customFormat="false" ht="14.25" hidden="false" customHeight="true" outlineLevel="0" collapsed="false">
      <c r="E997" s="10"/>
    </row>
    <row r="998" customFormat="false" ht="14.25" hidden="false" customHeight="true" outlineLevel="0" collapsed="false">
      <c r="E998" s="10"/>
    </row>
    <row r="999" customFormat="false" ht="14.25" hidden="false" customHeight="true" outlineLevel="0" collapsed="false">
      <c r="E999" s="10"/>
    </row>
    <row r="1000" customFormat="false" ht="14.25" hidden="false" customHeight="true" outlineLevel="0" collapsed="false">
      <c r="E1000" s="10"/>
    </row>
    <row r="1001" customFormat="false" ht="14.25" hidden="false" customHeight="true" outlineLevel="0" collapsed="false">
      <c r="E1001" s="10"/>
    </row>
    <row r="1002" customFormat="false" ht="14.25" hidden="false" customHeight="true" outlineLevel="0" collapsed="false">
      <c r="E1002" s="10"/>
    </row>
    <row r="1003" customFormat="false" ht="14.25" hidden="false" customHeight="true" outlineLevel="0" collapsed="false">
      <c r="E1003" s="10"/>
    </row>
    <row r="1004" customFormat="false" ht="14.25" hidden="false" customHeight="true" outlineLevel="0" collapsed="false">
      <c r="E1004" s="10"/>
    </row>
    <row r="1005" customFormat="false" ht="14.25" hidden="false" customHeight="true" outlineLevel="0" collapsed="false">
      <c r="E1005" s="10"/>
    </row>
    <row r="1006" customFormat="false" ht="14.25" hidden="false" customHeight="true" outlineLevel="0" collapsed="false">
      <c r="E1006" s="10"/>
    </row>
    <row r="1007" customFormat="false" ht="14.25" hidden="false" customHeight="true" outlineLevel="0" collapsed="false">
      <c r="E1007" s="10"/>
    </row>
    <row r="1008" customFormat="false" ht="14.25" hidden="false" customHeight="true" outlineLevel="0" collapsed="false">
      <c r="E1008" s="10"/>
    </row>
    <row r="1009" customFormat="false" ht="14.25" hidden="false" customHeight="true" outlineLevel="0" collapsed="false">
      <c r="E1009" s="10"/>
    </row>
    <row r="1010" customFormat="false" ht="14.25" hidden="false" customHeight="true" outlineLevel="0" collapsed="false">
      <c r="E1010" s="10"/>
    </row>
    <row r="1011" customFormat="false" ht="14.25" hidden="false" customHeight="true" outlineLevel="0" collapsed="false">
      <c r="E1011" s="10"/>
    </row>
    <row r="1012" customFormat="false" ht="14.25" hidden="false" customHeight="true" outlineLevel="0" collapsed="false">
      <c r="E1012" s="10"/>
    </row>
    <row r="1013" customFormat="false" ht="14.25" hidden="false" customHeight="true" outlineLevel="0" collapsed="false">
      <c r="E1013" s="10"/>
    </row>
    <row r="1014" customFormat="false" ht="14.25" hidden="false" customHeight="true" outlineLevel="0" collapsed="false">
      <c r="E1014" s="10"/>
    </row>
    <row r="1015" customFormat="false" ht="14.25" hidden="false" customHeight="true" outlineLevel="0" collapsed="false">
      <c r="E1015" s="10"/>
    </row>
    <row r="1016" customFormat="false" ht="14.25" hidden="false" customHeight="true" outlineLevel="0" collapsed="false">
      <c r="E1016" s="10"/>
    </row>
    <row r="1017" customFormat="false" ht="14.25" hidden="false" customHeight="true" outlineLevel="0" collapsed="false">
      <c r="E1017" s="10"/>
    </row>
    <row r="1018" customFormat="false" ht="14.25" hidden="false" customHeight="true" outlineLevel="0" collapsed="false">
      <c r="E1018" s="10"/>
    </row>
    <row r="1019" customFormat="false" ht="14.25" hidden="false" customHeight="true" outlineLevel="0" collapsed="false">
      <c r="E1019" s="10"/>
    </row>
    <row r="1020" customFormat="false" ht="14.25" hidden="false" customHeight="true" outlineLevel="0" collapsed="false">
      <c r="E1020" s="10"/>
    </row>
    <row r="1021" customFormat="false" ht="14.25" hidden="false" customHeight="true" outlineLevel="0" collapsed="false">
      <c r="E1021" s="10"/>
    </row>
    <row r="1022" customFormat="false" ht="14.25" hidden="false" customHeight="true" outlineLevel="0" collapsed="false">
      <c r="E1022" s="10"/>
    </row>
    <row r="1023" customFormat="false" ht="14.25" hidden="false" customHeight="true" outlineLevel="0" collapsed="false">
      <c r="E1023" s="10"/>
    </row>
    <row r="1024" customFormat="false" ht="14.25" hidden="false" customHeight="true" outlineLevel="0" collapsed="false">
      <c r="E1024" s="10"/>
    </row>
    <row r="1025" customFormat="false" ht="14.25" hidden="false" customHeight="true" outlineLevel="0" collapsed="false">
      <c r="E1025" s="10"/>
    </row>
    <row r="1026" customFormat="false" ht="14.25" hidden="false" customHeight="true" outlineLevel="0" collapsed="false">
      <c r="E1026" s="10"/>
    </row>
    <row r="1027" customFormat="false" ht="14.25" hidden="false" customHeight="true" outlineLevel="0" collapsed="false">
      <c r="E1027" s="10"/>
    </row>
    <row r="1028" customFormat="false" ht="14.25" hidden="false" customHeight="true" outlineLevel="0" collapsed="false">
      <c r="E1028" s="10"/>
    </row>
    <row r="1029" customFormat="false" ht="14.25" hidden="false" customHeight="true" outlineLevel="0" collapsed="false">
      <c r="E1029" s="10"/>
    </row>
    <row r="1030" customFormat="false" ht="14.25" hidden="false" customHeight="true" outlineLevel="0" collapsed="false">
      <c r="E1030" s="10"/>
    </row>
    <row r="1031" customFormat="false" ht="14.25" hidden="false" customHeight="true" outlineLevel="0" collapsed="false">
      <c r="E1031" s="10"/>
    </row>
    <row r="1032" customFormat="false" ht="14.25" hidden="false" customHeight="true" outlineLevel="0" collapsed="false">
      <c r="E1032" s="10"/>
    </row>
    <row r="1033" customFormat="false" ht="14.25" hidden="false" customHeight="true" outlineLevel="0" collapsed="false">
      <c r="E1033" s="10"/>
    </row>
    <row r="1034" customFormat="false" ht="14.25" hidden="false" customHeight="true" outlineLevel="0" collapsed="false">
      <c r="E1034" s="10"/>
    </row>
    <row r="1035" customFormat="false" ht="14.25" hidden="false" customHeight="true" outlineLevel="0" collapsed="false">
      <c r="E1035" s="10"/>
    </row>
    <row r="1036" customFormat="false" ht="14.25" hidden="false" customHeight="true" outlineLevel="0" collapsed="false">
      <c r="E1036" s="10"/>
    </row>
    <row r="1037" customFormat="false" ht="14.25" hidden="false" customHeight="true" outlineLevel="0" collapsed="false">
      <c r="E1037" s="10"/>
    </row>
    <row r="1038" customFormat="false" ht="14.25" hidden="false" customHeight="true" outlineLevel="0" collapsed="false">
      <c r="E1038" s="10"/>
    </row>
    <row r="1039" customFormat="false" ht="14.25" hidden="false" customHeight="true" outlineLevel="0" collapsed="false">
      <c r="E1039" s="10"/>
    </row>
    <row r="1040" customFormat="false" ht="14.25" hidden="false" customHeight="true" outlineLevel="0" collapsed="false">
      <c r="E1040" s="10"/>
    </row>
    <row r="1041" customFormat="false" ht="14.25" hidden="false" customHeight="true" outlineLevel="0" collapsed="false">
      <c r="E1041" s="10"/>
    </row>
    <row r="1042" customFormat="false" ht="14.25" hidden="false" customHeight="true" outlineLevel="0" collapsed="false">
      <c r="E1042" s="10"/>
    </row>
    <row r="1043" customFormat="false" ht="14.25" hidden="false" customHeight="true" outlineLevel="0" collapsed="false">
      <c r="E1043" s="10"/>
    </row>
    <row r="1044" customFormat="false" ht="14.25" hidden="false" customHeight="true" outlineLevel="0" collapsed="false">
      <c r="E1044" s="10"/>
    </row>
    <row r="1045" customFormat="false" ht="14.25" hidden="false" customHeight="true" outlineLevel="0" collapsed="false">
      <c r="E1045" s="10"/>
    </row>
    <row r="1046" customFormat="false" ht="14.25" hidden="false" customHeight="true" outlineLevel="0" collapsed="false">
      <c r="E1046" s="10"/>
    </row>
    <row r="1047" customFormat="false" ht="14.25" hidden="false" customHeight="true" outlineLevel="0" collapsed="false">
      <c r="E1047" s="10"/>
    </row>
    <row r="1048" customFormat="false" ht="14.25" hidden="false" customHeight="true" outlineLevel="0" collapsed="false">
      <c r="E1048" s="10"/>
    </row>
    <row r="1049" customFormat="false" ht="14.25" hidden="false" customHeight="true" outlineLevel="0" collapsed="false">
      <c r="E1049" s="10"/>
    </row>
    <row r="1050" customFormat="false" ht="14.25" hidden="false" customHeight="true" outlineLevel="0" collapsed="false">
      <c r="E1050" s="10"/>
    </row>
    <row r="1051" customFormat="false" ht="14.25" hidden="false" customHeight="true" outlineLevel="0" collapsed="false">
      <c r="E1051" s="10"/>
    </row>
    <row r="1052" customFormat="false" ht="14.25" hidden="false" customHeight="true" outlineLevel="0" collapsed="false">
      <c r="E1052" s="10"/>
    </row>
    <row r="1053" customFormat="false" ht="14.25" hidden="false" customHeight="true" outlineLevel="0" collapsed="false">
      <c r="E1053" s="10"/>
    </row>
    <row r="1054" customFormat="false" ht="14.25" hidden="false" customHeight="true" outlineLevel="0" collapsed="false">
      <c r="E1054" s="10"/>
    </row>
    <row r="1055" customFormat="false" ht="14.25" hidden="false" customHeight="true" outlineLevel="0" collapsed="false">
      <c r="E1055" s="10"/>
    </row>
    <row r="1056" customFormat="false" ht="14.25" hidden="false" customHeight="true" outlineLevel="0" collapsed="false">
      <c r="E1056" s="10"/>
    </row>
    <row r="1057" customFormat="false" ht="14.25" hidden="false" customHeight="true" outlineLevel="0" collapsed="false">
      <c r="E1057" s="10"/>
    </row>
    <row r="1058" customFormat="false" ht="14.25" hidden="false" customHeight="true" outlineLevel="0" collapsed="false">
      <c r="E1058" s="10"/>
    </row>
    <row r="1059" customFormat="false" ht="14.25" hidden="false" customHeight="true" outlineLevel="0" collapsed="false">
      <c r="E1059" s="10"/>
    </row>
    <row r="1060" customFormat="false" ht="14.25" hidden="false" customHeight="true" outlineLevel="0" collapsed="false">
      <c r="E1060" s="10"/>
    </row>
    <row r="1061" customFormat="false" ht="14.25" hidden="false" customHeight="true" outlineLevel="0" collapsed="false">
      <c r="E1061" s="10"/>
    </row>
    <row r="1062" customFormat="false" ht="14.25" hidden="false" customHeight="true" outlineLevel="0" collapsed="false">
      <c r="E1062" s="10"/>
    </row>
    <row r="1063" customFormat="false" ht="14.25" hidden="false" customHeight="true" outlineLevel="0" collapsed="false">
      <c r="E1063" s="10"/>
    </row>
    <row r="1064" customFormat="false" ht="14.25" hidden="false" customHeight="true" outlineLevel="0" collapsed="false">
      <c r="E1064" s="10"/>
    </row>
    <row r="1065" customFormat="false" ht="14.25" hidden="false" customHeight="true" outlineLevel="0" collapsed="false">
      <c r="E1065" s="10"/>
    </row>
    <row r="1066" customFormat="false" ht="14.25" hidden="false" customHeight="true" outlineLevel="0" collapsed="false">
      <c r="E1066" s="10"/>
    </row>
    <row r="1067" customFormat="false" ht="14.25" hidden="false" customHeight="true" outlineLevel="0" collapsed="false">
      <c r="E1067" s="10"/>
    </row>
    <row r="1068" customFormat="false" ht="14.25" hidden="false" customHeight="true" outlineLevel="0" collapsed="false">
      <c r="E1068" s="10"/>
    </row>
    <row r="1069" customFormat="false" ht="14.25" hidden="false" customHeight="true" outlineLevel="0" collapsed="false">
      <c r="E1069" s="10"/>
    </row>
    <row r="1070" customFormat="false" ht="14.25" hidden="false" customHeight="true" outlineLevel="0" collapsed="false">
      <c r="E1070" s="10"/>
    </row>
    <row r="1071" customFormat="false" ht="14.25" hidden="false" customHeight="true" outlineLevel="0" collapsed="false">
      <c r="E1071" s="10"/>
    </row>
    <row r="1072" customFormat="false" ht="14.25" hidden="false" customHeight="true" outlineLevel="0" collapsed="false">
      <c r="E1072" s="10"/>
    </row>
    <row r="1073" customFormat="false" ht="14.25" hidden="false" customHeight="true" outlineLevel="0" collapsed="false">
      <c r="E1073" s="10"/>
    </row>
    <row r="1074" customFormat="false" ht="14.25" hidden="false" customHeight="true" outlineLevel="0" collapsed="false">
      <c r="E1074" s="10"/>
    </row>
    <row r="1075" customFormat="false" ht="14.25" hidden="false" customHeight="true" outlineLevel="0" collapsed="false">
      <c r="E1075" s="10"/>
    </row>
    <row r="1076" customFormat="false" ht="14.25" hidden="false" customHeight="true" outlineLevel="0" collapsed="false">
      <c r="E1076" s="10"/>
    </row>
    <row r="1077" customFormat="false" ht="14.25" hidden="false" customHeight="true" outlineLevel="0" collapsed="false">
      <c r="E1077" s="10"/>
    </row>
    <row r="1078" customFormat="false" ht="14.25" hidden="false" customHeight="true" outlineLevel="0" collapsed="false">
      <c r="E1078" s="10"/>
    </row>
    <row r="1079" customFormat="false" ht="14.25" hidden="false" customHeight="true" outlineLevel="0" collapsed="false">
      <c r="E1079" s="10"/>
    </row>
    <row r="1080" customFormat="false" ht="14.25" hidden="false" customHeight="true" outlineLevel="0" collapsed="false">
      <c r="E1080" s="10"/>
    </row>
    <row r="1081" customFormat="false" ht="14.25" hidden="false" customHeight="true" outlineLevel="0" collapsed="false">
      <c r="E1081" s="10"/>
    </row>
    <row r="1082" customFormat="false" ht="14.25" hidden="false" customHeight="true" outlineLevel="0" collapsed="false">
      <c r="E1082" s="10"/>
    </row>
    <row r="1083" customFormat="false" ht="14.25" hidden="false" customHeight="true" outlineLevel="0" collapsed="false">
      <c r="E1083" s="10"/>
    </row>
    <row r="1084" customFormat="false" ht="14.25" hidden="false" customHeight="true" outlineLevel="0" collapsed="false">
      <c r="E1084" s="10"/>
    </row>
    <row r="1085" customFormat="false" ht="14.25" hidden="false" customHeight="true" outlineLevel="0" collapsed="false">
      <c r="E1085" s="10"/>
    </row>
    <row r="1086" customFormat="false" ht="14.25" hidden="false" customHeight="true" outlineLevel="0" collapsed="false">
      <c r="E1086" s="10"/>
    </row>
    <row r="1087" customFormat="false" ht="14.25" hidden="false" customHeight="true" outlineLevel="0" collapsed="false">
      <c r="E1087" s="10"/>
    </row>
    <row r="1088" customFormat="false" ht="14.25" hidden="false" customHeight="true" outlineLevel="0" collapsed="false">
      <c r="E1088" s="10"/>
    </row>
    <row r="1089" customFormat="false" ht="14.25" hidden="false" customHeight="true" outlineLevel="0" collapsed="false">
      <c r="E1089" s="10"/>
    </row>
    <row r="1090" customFormat="false" ht="14.25" hidden="false" customHeight="true" outlineLevel="0" collapsed="false">
      <c r="E1090" s="10"/>
    </row>
    <row r="1091" customFormat="false" ht="14.25" hidden="false" customHeight="true" outlineLevel="0" collapsed="false">
      <c r="E1091" s="10"/>
    </row>
    <row r="1092" customFormat="false" ht="14.25" hidden="false" customHeight="true" outlineLevel="0" collapsed="false">
      <c r="E1092" s="10"/>
    </row>
    <row r="1093" customFormat="false" ht="14.25" hidden="false" customHeight="true" outlineLevel="0" collapsed="false">
      <c r="E1093" s="10"/>
    </row>
    <row r="1094" customFormat="false" ht="14.25" hidden="false" customHeight="true" outlineLevel="0" collapsed="false">
      <c r="E1094" s="10"/>
    </row>
    <row r="1095" customFormat="false" ht="14.25" hidden="false" customHeight="true" outlineLevel="0" collapsed="false">
      <c r="E1095" s="10"/>
    </row>
    <row r="1096" customFormat="false" ht="14.25" hidden="false" customHeight="true" outlineLevel="0" collapsed="false">
      <c r="E1096" s="10"/>
    </row>
    <row r="1097" customFormat="false" ht="14.25" hidden="false" customHeight="true" outlineLevel="0" collapsed="false">
      <c r="E1097" s="10"/>
    </row>
    <row r="1098" customFormat="false" ht="14.25" hidden="false" customHeight="true" outlineLevel="0" collapsed="false">
      <c r="E1098" s="10"/>
    </row>
    <row r="1099" customFormat="false" ht="14.25" hidden="false" customHeight="true" outlineLevel="0" collapsed="false">
      <c r="E1099" s="10"/>
    </row>
    <row r="1100" customFormat="false" ht="14.25" hidden="false" customHeight="true" outlineLevel="0" collapsed="false">
      <c r="E1100" s="10"/>
    </row>
    <row r="1101" customFormat="false" ht="14.25" hidden="false" customHeight="true" outlineLevel="0" collapsed="false">
      <c r="E1101" s="10"/>
    </row>
    <row r="1102" customFormat="false" ht="14.25" hidden="false" customHeight="true" outlineLevel="0" collapsed="false">
      <c r="E1102" s="10"/>
    </row>
    <row r="1103" customFormat="false" ht="14.25" hidden="false" customHeight="true" outlineLevel="0" collapsed="false">
      <c r="E1103" s="10"/>
    </row>
    <row r="1104" customFormat="false" ht="14.25" hidden="false" customHeight="true" outlineLevel="0" collapsed="false">
      <c r="E1104" s="10"/>
    </row>
    <row r="1105" customFormat="false" ht="14.25" hidden="false" customHeight="true" outlineLevel="0" collapsed="false">
      <c r="E1105" s="10"/>
    </row>
    <row r="1106" customFormat="false" ht="14.25" hidden="false" customHeight="true" outlineLevel="0" collapsed="false">
      <c r="E1106" s="10"/>
    </row>
    <row r="1107" customFormat="false" ht="14.25" hidden="false" customHeight="true" outlineLevel="0" collapsed="false">
      <c r="E1107" s="10"/>
    </row>
    <row r="1108" customFormat="false" ht="14.25" hidden="false" customHeight="true" outlineLevel="0" collapsed="false">
      <c r="E1108" s="10"/>
    </row>
    <row r="1109" customFormat="false" ht="14.25" hidden="false" customHeight="true" outlineLevel="0" collapsed="false">
      <c r="E1109" s="10"/>
    </row>
    <row r="1110" customFormat="false" ht="14.25" hidden="false" customHeight="true" outlineLevel="0" collapsed="false">
      <c r="E1110" s="10"/>
    </row>
    <row r="1111" customFormat="false" ht="14.25" hidden="false" customHeight="true" outlineLevel="0" collapsed="false">
      <c r="E1111" s="10"/>
    </row>
    <row r="1112" customFormat="false" ht="14.25" hidden="false" customHeight="true" outlineLevel="0" collapsed="false">
      <c r="E1112" s="10"/>
    </row>
    <row r="1113" customFormat="false" ht="14.25" hidden="false" customHeight="true" outlineLevel="0" collapsed="false">
      <c r="E1113" s="10"/>
    </row>
    <row r="1114" customFormat="false" ht="14.25" hidden="false" customHeight="true" outlineLevel="0" collapsed="false">
      <c r="E1114" s="10"/>
    </row>
    <row r="1115" customFormat="false" ht="14.25" hidden="false" customHeight="true" outlineLevel="0" collapsed="false">
      <c r="E1115" s="10"/>
    </row>
    <row r="1116" customFormat="false" ht="14.25" hidden="false" customHeight="true" outlineLevel="0" collapsed="false">
      <c r="E1116" s="10"/>
    </row>
    <row r="1117" customFormat="false" ht="14.25" hidden="false" customHeight="true" outlineLevel="0" collapsed="false">
      <c r="E1117" s="10"/>
    </row>
    <row r="1118" customFormat="false" ht="14.25" hidden="false" customHeight="true" outlineLevel="0" collapsed="false">
      <c r="E1118" s="10"/>
    </row>
    <row r="1119" customFormat="false" ht="14.25" hidden="false" customHeight="true" outlineLevel="0" collapsed="false">
      <c r="E1119" s="10"/>
    </row>
    <row r="1120" customFormat="false" ht="14.25" hidden="false" customHeight="true" outlineLevel="0" collapsed="false">
      <c r="E1120" s="10"/>
    </row>
    <row r="1121" customFormat="false" ht="14.25" hidden="false" customHeight="true" outlineLevel="0" collapsed="false">
      <c r="E1121" s="10"/>
    </row>
    <row r="1122" customFormat="false" ht="14.25" hidden="false" customHeight="true" outlineLevel="0" collapsed="false">
      <c r="E1122" s="10"/>
    </row>
    <row r="1123" customFormat="false" ht="14.25" hidden="false" customHeight="true" outlineLevel="0" collapsed="false">
      <c r="E1123" s="10"/>
    </row>
    <row r="1124" customFormat="false" ht="14.25" hidden="false" customHeight="true" outlineLevel="0" collapsed="false">
      <c r="E1124" s="10"/>
    </row>
    <row r="1125" customFormat="false" ht="14.25" hidden="false" customHeight="true" outlineLevel="0" collapsed="false">
      <c r="E1125" s="10"/>
    </row>
    <row r="1126" customFormat="false" ht="14.25" hidden="false" customHeight="true" outlineLevel="0" collapsed="false">
      <c r="E1126" s="10"/>
    </row>
    <row r="1127" customFormat="false" ht="14.25" hidden="false" customHeight="true" outlineLevel="0" collapsed="false">
      <c r="E1127" s="10"/>
    </row>
    <row r="1128" customFormat="false" ht="14.25" hidden="false" customHeight="true" outlineLevel="0" collapsed="false">
      <c r="E1128" s="10"/>
    </row>
    <row r="1129" customFormat="false" ht="14.25" hidden="false" customHeight="true" outlineLevel="0" collapsed="false">
      <c r="E1129" s="10"/>
    </row>
    <row r="1130" customFormat="false" ht="14.25" hidden="false" customHeight="true" outlineLevel="0" collapsed="false">
      <c r="E1130" s="10"/>
    </row>
    <row r="1131" customFormat="false" ht="14.25" hidden="false" customHeight="true" outlineLevel="0" collapsed="false">
      <c r="E1131" s="10"/>
    </row>
    <row r="1132" customFormat="false" ht="14.25" hidden="false" customHeight="true" outlineLevel="0" collapsed="false">
      <c r="E1132" s="10"/>
    </row>
    <row r="1133" customFormat="false" ht="14.25" hidden="false" customHeight="true" outlineLevel="0" collapsed="false">
      <c r="E1133" s="10"/>
    </row>
    <row r="1134" customFormat="false" ht="14.25" hidden="false" customHeight="true" outlineLevel="0" collapsed="false">
      <c r="E1134" s="10"/>
    </row>
    <row r="1135" customFormat="false" ht="14.25" hidden="false" customHeight="true" outlineLevel="0" collapsed="false">
      <c r="E1135" s="10"/>
    </row>
    <row r="1136" customFormat="false" ht="14.25" hidden="false" customHeight="true" outlineLevel="0" collapsed="false">
      <c r="E1136" s="10"/>
    </row>
    <row r="1137" customFormat="false" ht="14.25" hidden="false" customHeight="true" outlineLevel="0" collapsed="false">
      <c r="E1137" s="10"/>
    </row>
    <row r="1138" customFormat="false" ht="14.25" hidden="false" customHeight="true" outlineLevel="0" collapsed="false">
      <c r="E1138" s="10"/>
    </row>
    <row r="1139" customFormat="false" ht="14.25" hidden="false" customHeight="true" outlineLevel="0" collapsed="false">
      <c r="E1139" s="10"/>
    </row>
    <row r="1140" customFormat="false" ht="14.25" hidden="false" customHeight="true" outlineLevel="0" collapsed="false">
      <c r="E1140" s="10"/>
    </row>
    <row r="1141" customFormat="false" ht="14.25" hidden="false" customHeight="true" outlineLevel="0" collapsed="false">
      <c r="E1141" s="10"/>
    </row>
    <row r="1142" customFormat="false" ht="14.25" hidden="false" customHeight="true" outlineLevel="0" collapsed="false">
      <c r="E1142" s="10"/>
    </row>
    <row r="1143" customFormat="false" ht="14.25" hidden="false" customHeight="true" outlineLevel="0" collapsed="false">
      <c r="E1143" s="10"/>
    </row>
    <row r="1144" customFormat="false" ht="14.25" hidden="false" customHeight="true" outlineLevel="0" collapsed="false">
      <c r="E1144" s="10"/>
    </row>
    <row r="1145" customFormat="false" ht="14.25" hidden="false" customHeight="true" outlineLevel="0" collapsed="false">
      <c r="E1145" s="10"/>
    </row>
    <row r="1146" customFormat="false" ht="14.25" hidden="false" customHeight="true" outlineLevel="0" collapsed="false">
      <c r="E1146" s="10"/>
    </row>
    <row r="1147" customFormat="false" ht="14.25" hidden="false" customHeight="true" outlineLevel="0" collapsed="false">
      <c r="E1147" s="10"/>
    </row>
    <row r="1148" customFormat="false" ht="14.25" hidden="false" customHeight="true" outlineLevel="0" collapsed="false">
      <c r="E1148" s="10"/>
    </row>
    <row r="1149" customFormat="false" ht="14.25" hidden="false" customHeight="true" outlineLevel="0" collapsed="false">
      <c r="E1149" s="10"/>
    </row>
    <row r="1150" customFormat="false" ht="14.25" hidden="false" customHeight="true" outlineLevel="0" collapsed="false">
      <c r="E1150" s="10"/>
    </row>
    <row r="1151" customFormat="false" ht="14.25" hidden="false" customHeight="true" outlineLevel="0" collapsed="false">
      <c r="E1151" s="10"/>
    </row>
    <row r="1152" customFormat="false" ht="14.25" hidden="false" customHeight="true" outlineLevel="0" collapsed="false">
      <c r="E1152" s="10"/>
    </row>
    <row r="1153" customFormat="false" ht="14.25" hidden="false" customHeight="true" outlineLevel="0" collapsed="false">
      <c r="E1153" s="10"/>
    </row>
    <row r="1154" customFormat="false" ht="14.25" hidden="false" customHeight="true" outlineLevel="0" collapsed="false">
      <c r="E1154" s="10"/>
    </row>
    <row r="1155" customFormat="false" ht="14.25" hidden="false" customHeight="true" outlineLevel="0" collapsed="false">
      <c r="E1155" s="10"/>
    </row>
    <row r="1156" customFormat="false" ht="14.25" hidden="false" customHeight="true" outlineLevel="0" collapsed="false">
      <c r="E1156" s="10"/>
    </row>
    <row r="1157" customFormat="false" ht="14.25" hidden="false" customHeight="true" outlineLevel="0" collapsed="false">
      <c r="E1157" s="10"/>
    </row>
    <row r="1158" customFormat="false" ht="14.25" hidden="false" customHeight="true" outlineLevel="0" collapsed="false">
      <c r="E1158" s="10"/>
    </row>
    <row r="1159" customFormat="false" ht="14.25" hidden="false" customHeight="true" outlineLevel="0" collapsed="false">
      <c r="E1159" s="10"/>
    </row>
    <row r="1160" customFormat="false" ht="14.25" hidden="false" customHeight="true" outlineLevel="0" collapsed="false">
      <c r="E1160" s="10"/>
    </row>
    <row r="1161" customFormat="false" ht="14.25" hidden="false" customHeight="true" outlineLevel="0" collapsed="false">
      <c r="E1161" s="10"/>
    </row>
    <row r="1162" customFormat="false" ht="14.25" hidden="false" customHeight="true" outlineLevel="0" collapsed="false">
      <c r="E1162" s="10"/>
    </row>
    <row r="1163" customFormat="false" ht="14.25" hidden="false" customHeight="true" outlineLevel="0" collapsed="false">
      <c r="E1163" s="10"/>
    </row>
    <row r="1164" customFormat="false" ht="14.25" hidden="false" customHeight="true" outlineLevel="0" collapsed="false">
      <c r="E1164" s="10"/>
    </row>
    <row r="1165" customFormat="false" ht="14.25" hidden="false" customHeight="true" outlineLevel="0" collapsed="false">
      <c r="E1165" s="10"/>
    </row>
    <row r="1166" customFormat="false" ht="14.25" hidden="false" customHeight="true" outlineLevel="0" collapsed="false">
      <c r="E1166" s="10"/>
    </row>
    <row r="1167" customFormat="false" ht="14.25" hidden="false" customHeight="true" outlineLevel="0" collapsed="false">
      <c r="E1167" s="10"/>
    </row>
    <row r="1168" customFormat="false" ht="14.25" hidden="false" customHeight="true" outlineLevel="0" collapsed="false">
      <c r="E1168" s="10"/>
    </row>
    <row r="1169" customFormat="false" ht="14.25" hidden="false" customHeight="true" outlineLevel="0" collapsed="false">
      <c r="E1169" s="10"/>
    </row>
    <row r="1170" customFormat="false" ht="14.25" hidden="false" customHeight="true" outlineLevel="0" collapsed="false">
      <c r="E1170" s="10"/>
    </row>
    <row r="1171" customFormat="false" ht="14.25" hidden="false" customHeight="true" outlineLevel="0" collapsed="false">
      <c r="E1171" s="10"/>
    </row>
    <row r="1172" customFormat="false" ht="14.25" hidden="false" customHeight="true" outlineLevel="0" collapsed="false">
      <c r="E1172" s="10"/>
    </row>
    <row r="1173" customFormat="false" ht="14.25" hidden="false" customHeight="true" outlineLevel="0" collapsed="false">
      <c r="E1173" s="10"/>
    </row>
    <row r="1174" customFormat="false" ht="14.25" hidden="false" customHeight="true" outlineLevel="0" collapsed="false">
      <c r="E1174" s="10"/>
    </row>
    <row r="1175" customFormat="false" ht="14.25" hidden="false" customHeight="true" outlineLevel="0" collapsed="false">
      <c r="E1175" s="10"/>
    </row>
    <row r="1176" customFormat="false" ht="14.25" hidden="false" customHeight="true" outlineLevel="0" collapsed="false">
      <c r="E1176" s="10"/>
    </row>
    <row r="1177" customFormat="false" ht="14.25" hidden="false" customHeight="true" outlineLevel="0" collapsed="false">
      <c r="E1177" s="10"/>
    </row>
    <row r="1178" customFormat="false" ht="14.25" hidden="false" customHeight="true" outlineLevel="0" collapsed="false">
      <c r="E1178" s="10"/>
    </row>
    <row r="1179" customFormat="false" ht="14.25" hidden="false" customHeight="true" outlineLevel="0" collapsed="false">
      <c r="E1179" s="10"/>
    </row>
    <row r="1180" customFormat="false" ht="14.25" hidden="false" customHeight="true" outlineLevel="0" collapsed="false">
      <c r="E1180" s="10"/>
    </row>
    <row r="1181" customFormat="false" ht="14.25" hidden="false" customHeight="true" outlineLevel="0" collapsed="false">
      <c r="E1181" s="10"/>
    </row>
    <row r="1182" customFormat="false" ht="14.25" hidden="false" customHeight="true" outlineLevel="0" collapsed="false">
      <c r="E1182" s="10"/>
    </row>
    <row r="1183" customFormat="false" ht="14.25" hidden="false" customHeight="true" outlineLevel="0" collapsed="false">
      <c r="E1183" s="10"/>
    </row>
    <row r="1184" customFormat="false" ht="14.25" hidden="false" customHeight="true" outlineLevel="0" collapsed="false">
      <c r="E1184" s="10"/>
    </row>
    <row r="1185" customFormat="false" ht="14.25" hidden="false" customHeight="true" outlineLevel="0" collapsed="false">
      <c r="E1185" s="10"/>
    </row>
    <row r="1186" customFormat="false" ht="14.25" hidden="false" customHeight="true" outlineLevel="0" collapsed="false">
      <c r="E1186" s="10"/>
    </row>
    <row r="1187" customFormat="false" ht="14.25" hidden="false" customHeight="true" outlineLevel="0" collapsed="false">
      <c r="E1187" s="10"/>
    </row>
    <row r="1188" customFormat="false" ht="14.25" hidden="false" customHeight="true" outlineLevel="0" collapsed="false">
      <c r="E1188" s="10"/>
    </row>
    <row r="1189" customFormat="false" ht="14.25" hidden="false" customHeight="true" outlineLevel="0" collapsed="false">
      <c r="E1189" s="10"/>
    </row>
    <row r="1190" customFormat="false" ht="14.25" hidden="false" customHeight="true" outlineLevel="0" collapsed="false">
      <c r="E1190" s="10"/>
    </row>
    <row r="1191" customFormat="false" ht="14.25" hidden="false" customHeight="true" outlineLevel="0" collapsed="false">
      <c r="E1191" s="10"/>
    </row>
    <row r="1192" customFormat="false" ht="14.25" hidden="false" customHeight="true" outlineLevel="0" collapsed="false">
      <c r="E1192" s="10"/>
    </row>
    <row r="1193" customFormat="false" ht="14.25" hidden="false" customHeight="true" outlineLevel="0" collapsed="false">
      <c r="E1193" s="10"/>
    </row>
    <row r="1194" customFormat="false" ht="14.25" hidden="false" customHeight="true" outlineLevel="0" collapsed="false">
      <c r="E1194" s="10"/>
    </row>
    <row r="1195" customFormat="false" ht="14.25" hidden="false" customHeight="true" outlineLevel="0" collapsed="false">
      <c r="E1195" s="10"/>
    </row>
    <row r="1196" customFormat="false" ht="14.25" hidden="false" customHeight="true" outlineLevel="0" collapsed="false">
      <c r="E1196" s="10"/>
    </row>
    <row r="1197" customFormat="false" ht="14.25" hidden="false" customHeight="true" outlineLevel="0" collapsed="false">
      <c r="E1197" s="10"/>
    </row>
    <row r="1198" customFormat="false" ht="14.25" hidden="false" customHeight="true" outlineLevel="0" collapsed="false">
      <c r="E1198" s="10"/>
    </row>
    <row r="1199" customFormat="false" ht="14.25" hidden="false" customHeight="true" outlineLevel="0" collapsed="false">
      <c r="E1199" s="10"/>
    </row>
    <row r="1200" customFormat="false" ht="14.25" hidden="false" customHeight="true" outlineLevel="0" collapsed="false">
      <c r="E1200" s="10"/>
    </row>
    <row r="1201" customFormat="false" ht="14.25" hidden="false" customHeight="true" outlineLevel="0" collapsed="false">
      <c r="E1201" s="10"/>
    </row>
    <row r="1202" customFormat="false" ht="14.25" hidden="false" customHeight="true" outlineLevel="0" collapsed="false">
      <c r="E1202" s="10"/>
    </row>
    <row r="1203" customFormat="false" ht="14.25" hidden="false" customHeight="true" outlineLevel="0" collapsed="false">
      <c r="E1203" s="10"/>
    </row>
    <row r="1204" customFormat="false" ht="14.25" hidden="false" customHeight="true" outlineLevel="0" collapsed="false">
      <c r="E1204" s="10"/>
    </row>
    <row r="1205" customFormat="false" ht="14.25" hidden="false" customHeight="true" outlineLevel="0" collapsed="false">
      <c r="E1205" s="10"/>
    </row>
    <row r="1206" customFormat="false" ht="14.25" hidden="false" customHeight="true" outlineLevel="0" collapsed="false">
      <c r="E1206" s="10"/>
    </row>
    <row r="1207" customFormat="false" ht="14.25" hidden="false" customHeight="true" outlineLevel="0" collapsed="false">
      <c r="E1207" s="10"/>
    </row>
    <row r="1208" customFormat="false" ht="14.25" hidden="false" customHeight="true" outlineLevel="0" collapsed="false">
      <c r="E1208" s="10"/>
    </row>
    <row r="1209" customFormat="false" ht="14.25" hidden="false" customHeight="true" outlineLevel="0" collapsed="false">
      <c r="E1209" s="10"/>
    </row>
    <row r="1210" customFormat="false" ht="14.25" hidden="false" customHeight="true" outlineLevel="0" collapsed="false">
      <c r="E1210" s="10"/>
    </row>
    <row r="1211" customFormat="false" ht="14.25" hidden="false" customHeight="true" outlineLevel="0" collapsed="false">
      <c r="E1211" s="10"/>
    </row>
    <row r="1212" customFormat="false" ht="14.25" hidden="false" customHeight="true" outlineLevel="0" collapsed="false">
      <c r="E1212" s="10"/>
    </row>
    <row r="1213" customFormat="false" ht="14.25" hidden="false" customHeight="true" outlineLevel="0" collapsed="false">
      <c r="E1213" s="10"/>
    </row>
    <row r="1214" customFormat="false" ht="14.25" hidden="false" customHeight="true" outlineLevel="0" collapsed="false">
      <c r="E1214" s="10"/>
    </row>
    <row r="1215" customFormat="false" ht="14.25" hidden="false" customHeight="true" outlineLevel="0" collapsed="false">
      <c r="E1215" s="10"/>
    </row>
    <row r="1216" customFormat="false" ht="14.25" hidden="false" customHeight="true" outlineLevel="0" collapsed="false">
      <c r="E1216" s="10"/>
    </row>
    <row r="1217" customFormat="false" ht="14.25" hidden="false" customHeight="true" outlineLevel="0" collapsed="false">
      <c r="E1217" s="10"/>
    </row>
    <row r="1218" customFormat="false" ht="14.25" hidden="false" customHeight="true" outlineLevel="0" collapsed="false">
      <c r="E1218" s="10"/>
    </row>
    <row r="1219" customFormat="false" ht="14.25" hidden="false" customHeight="true" outlineLevel="0" collapsed="false">
      <c r="E1219" s="10"/>
    </row>
    <row r="1220" customFormat="false" ht="14.25" hidden="false" customHeight="true" outlineLevel="0" collapsed="false">
      <c r="E1220" s="10"/>
    </row>
    <row r="1221" customFormat="false" ht="14.25" hidden="false" customHeight="true" outlineLevel="0" collapsed="false">
      <c r="E1221" s="10"/>
    </row>
    <row r="1222" customFormat="false" ht="14.25" hidden="false" customHeight="true" outlineLevel="0" collapsed="false">
      <c r="E1222" s="10"/>
    </row>
    <row r="1223" customFormat="false" ht="14.25" hidden="false" customHeight="true" outlineLevel="0" collapsed="false">
      <c r="E1223" s="10"/>
    </row>
    <row r="1224" customFormat="false" ht="14.25" hidden="false" customHeight="true" outlineLevel="0" collapsed="false">
      <c r="E1224" s="10"/>
    </row>
    <row r="1225" customFormat="false" ht="14.25" hidden="false" customHeight="true" outlineLevel="0" collapsed="false">
      <c r="E1225" s="10"/>
    </row>
    <row r="1226" customFormat="false" ht="14.25" hidden="false" customHeight="true" outlineLevel="0" collapsed="false">
      <c r="E1226" s="10"/>
    </row>
    <row r="1227" customFormat="false" ht="14.25" hidden="false" customHeight="true" outlineLevel="0" collapsed="false">
      <c r="E1227" s="10"/>
    </row>
    <row r="1228" customFormat="false" ht="14.25" hidden="false" customHeight="true" outlineLevel="0" collapsed="false">
      <c r="E1228" s="10"/>
    </row>
    <row r="1229" customFormat="false" ht="14.25" hidden="false" customHeight="true" outlineLevel="0" collapsed="false">
      <c r="E1229" s="10"/>
    </row>
    <row r="1230" customFormat="false" ht="14.25" hidden="false" customHeight="true" outlineLevel="0" collapsed="false">
      <c r="E1230" s="10"/>
    </row>
    <row r="1231" customFormat="false" ht="14.25" hidden="false" customHeight="true" outlineLevel="0" collapsed="false">
      <c r="E1231" s="10"/>
    </row>
    <row r="1232" customFormat="false" ht="14.25" hidden="false" customHeight="true" outlineLevel="0" collapsed="false">
      <c r="E1232" s="10"/>
    </row>
    <row r="1233" customFormat="false" ht="14.25" hidden="false" customHeight="true" outlineLevel="0" collapsed="false">
      <c r="E1233" s="10"/>
    </row>
    <row r="1234" customFormat="false" ht="14.25" hidden="false" customHeight="true" outlineLevel="0" collapsed="false">
      <c r="E1234" s="10"/>
    </row>
    <row r="1235" customFormat="false" ht="14.25" hidden="false" customHeight="true" outlineLevel="0" collapsed="false">
      <c r="E1235" s="10"/>
    </row>
    <row r="1236" customFormat="false" ht="14.25" hidden="false" customHeight="true" outlineLevel="0" collapsed="false">
      <c r="E1236" s="10"/>
    </row>
    <row r="1237" customFormat="false" ht="14.25" hidden="false" customHeight="true" outlineLevel="0" collapsed="false">
      <c r="E1237" s="10"/>
    </row>
    <row r="1238" customFormat="false" ht="14.25" hidden="false" customHeight="true" outlineLevel="0" collapsed="false">
      <c r="E1238" s="10"/>
    </row>
    <row r="1239" customFormat="false" ht="14.25" hidden="false" customHeight="true" outlineLevel="0" collapsed="false">
      <c r="E1239" s="10"/>
    </row>
    <row r="1240" customFormat="false" ht="14.25" hidden="false" customHeight="true" outlineLevel="0" collapsed="false">
      <c r="E1240" s="10"/>
    </row>
    <row r="1241" customFormat="false" ht="14.25" hidden="false" customHeight="true" outlineLevel="0" collapsed="false">
      <c r="E1241" s="10"/>
    </row>
    <row r="1242" customFormat="false" ht="14.25" hidden="false" customHeight="true" outlineLevel="0" collapsed="false">
      <c r="E1242" s="10"/>
    </row>
    <row r="1243" customFormat="false" ht="14.25" hidden="false" customHeight="true" outlineLevel="0" collapsed="false">
      <c r="E1243" s="10"/>
    </row>
    <row r="1244" customFormat="false" ht="14.25" hidden="false" customHeight="true" outlineLevel="0" collapsed="false">
      <c r="E1244" s="10"/>
    </row>
    <row r="1245" customFormat="false" ht="14.25" hidden="false" customHeight="true" outlineLevel="0" collapsed="false">
      <c r="E1245" s="10"/>
    </row>
    <row r="1246" customFormat="false" ht="14.25" hidden="false" customHeight="true" outlineLevel="0" collapsed="false">
      <c r="E1246" s="10"/>
    </row>
    <row r="1247" customFormat="false" ht="14.25" hidden="false" customHeight="true" outlineLevel="0" collapsed="false">
      <c r="E1247" s="10"/>
    </row>
    <row r="1248" customFormat="false" ht="14.25" hidden="false" customHeight="true" outlineLevel="0" collapsed="false">
      <c r="E1248" s="10"/>
    </row>
    <row r="1249" customFormat="false" ht="14.25" hidden="false" customHeight="true" outlineLevel="0" collapsed="false">
      <c r="E1249" s="10"/>
    </row>
    <row r="1250" customFormat="false" ht="14.25" hidden="false" customHeight="true" outlineLevel="0" collapsed="false">
      <c r="E1250" s="10"/>
    </row>
    <row r="1251" customFormat="false" ht="14.25" hidden="false" customHeight="true" outlineLevel="0" collapsed="false">
      <c r="E1251" s="10"/>
    </row>
    <row r="1252" customFormat="false" ht="14.25" hidden="false" customHeight="true" outlineLevel="0" collapsed="false">
      <c r="E1252" s="10"/>
    </row>
    <row r="1253" customFormat="false" ht="14.25" hidden="false" customHeight="true" outlineLevel="0" collapsed="false">
      <c r="E1253" s="10"/>
    </row>
    <row r="1254" customFormat="false" ht="14.25" hidden="false" customHeight="true" outlineLevel="0" collapsed="false">
      <c r="E1254" s="10"/>
    </row>
    <row r="1255" customFormat="false" ht="14.25" hidden="false" customHeight="true" outlineLevel="0" collapsed="false">
      <c r="E1255" s="10"/>
    </row>
    <row r="1256" customFormat="false" ht="14.25" hidden="false" customHeight="true" outlineLevel="0" collapsed="false">
      <c r="E1256" s="10"/>
    </row>
    <row r="1257" customFormat="false" ht="14.25" hidden="false" customHeight="true" outlineLevel="0" collapsed="false">
      <c r="E1257" s="10"/>
    </row>
    <row r="1258" customFormat="false" ht="14.25" hidden="false" customHeight="true" outlineLevel="0" collapsed="false">
      <c r="E1258" s="10"/>
    </row>
    <row r="1259" customFormat="false" ht="14.25" hidden="false" customHeight="true" outlineLevel="0" collapsed="false">
      <c r="E1259" s="10"/>
    </row>
    <row r="1260" customFormat="false" ht="14.25" hidden="false" customHeight="true" outlineLevel="0" collapsed="false">
      <c r="E1260" s="10"/>
    </row>
    <row r="1261" customFormat="false" ht="14.25" hidden="false" customHeight="true" outlineLevel="0" collapsed="false">
      <c r="E1261" s="10"/>
    </row>
    <row r="1262" customFormat="false" ht="14.25" hidden="false" customHeight="true" outlineLevel="0" collapsed="false">
      <c r="E1262" s="10"/>
    </row>
    <row r="1263" customFormat="false" ht="14.25" hidden="false" customHeight="true" outlineLevel="0" collapsed="false">
      <c r="E1263" s="10"/>
    </row>
    <row r="1264" customFormat="false" ht="14.25" hidden="false" customHeight="true" outlineLevel="0" collapsed="false">
      <c r="E1264" s="10"/>
    </row>
    <row r="1265" customFormat="false" ht="14.25" hidden="false" customHeight="true" outlineLevel="0" collapsed="false">
      <c r="E1265" s="10"/>
    </row>
    <row r="1266" customFormat="false" ht="14.25" hidden="false" customHeight="true" outlineLevel="0" collapsed="false">
      <c r="E1266" s="10"/>
    </row>
    <row r="1267" customFormat="false" ht="14.25" hidden="false" customHeight="true" outlineLevel="0" collapsed="false">
      <c r="E1267" s="10"/>
    </row>
    <row r="1268" customFormat="false" ht="14.25" hidden="false" customHeight="true" outlineLevel="0" collapsed="false">
      <c r="E1268" s="10"/>
    </row>
    <row r="1269" customFormat="false" ht="14.25" hidden="false" customHeight="true" outlineLevel="0" collapsed="false">
      <c r="E1269" s="10"/>
    </row>
    <row r="1270" customFormat="false" ht="14.25" hidden="false" customHeight="true" outlineLevel="0" collapsed="false">
      <c r="E1270" s="10"/>
    </row>
    <row r="1271" customFormat="false" ht="14.25" hidden="false" customHeight="true" outlineLevel="0" collapsed="false">
      <c r="E1271" s="10"/>
    </row>
    <row r="1272" customFormat="false" ht="14.25" hidden="false" customHeight="true" outlineLevel="0" collapsed="false">
      <c r="E1272" s="10"/>
    </row>
    <row r="1273" customFormat="false" ht="14.25" hidden="false" customHeight="true" outlineLevel="0" collapsed="false">
      <c r="E1273" s="10"/>
    </row>
    <row r="1274" customFormat="false" ht="14.25" hidden="false" customHeight="true" outlineLevel="0" collapsed="false">
      <c r="E1274" s="10"/>
    </row>
    <row r="1275" customFormat="false" ht="14.25" hidden="false" customHeight="true" outlineLevel="0" collapsed="false">
      <c r="E1275" s="10"/>
    </row>
    <row r="1276" customFormat="false" ht="14.25" hidden="false" customHeight="true" outlineLevel="0" collapsed="false">
      <c r="E1276" s="10"/>
    </row>
    <row r="1277" customFormat="false" ht="14.25" hidden="false" customHeight="true" outlineLevel="0" collapsed="false">
      <c r="E1277" s="10"/>
    </row>
    <row r="1278" customFormat="false" ht="14.25" hidden="false" customHeight="true" outlineLevel="0" collapsed="false">
      <c r="E1278" s="10"/>
    </row>
    <row r="1279" customFormat="false" ht="14.25" hidden="false" customHeight="true" outlineLevel="0" collapsed="false">
      <c r="E1279" s="10"/>
    </row>
    <row r="1280" customFormat="false" ht="14.25" hidden="false" customHeight="true" outlineLevel="0" collapsed="false">
      <c r="E1280" s="10"/>
    </row>
    <row r="1281" customFormat="false" ht="14.25" hidden="false" customHeight="true" outlineLevel="0" collapsed="false">
      <c r="E1281" s="10"/>
    </row>
    <row r="1282" customFormat="false" ht="14.25" hidden="false" customHeight="true" outlineLevel="0" collapsed="false">
      <c r="E1282" s="10"/>
    </row>
    <row r="1283" customFormat="false" ht="14.25" hidden="false" customHeight="true" outlineLevel="0" collapsed="false">
      <c r="E1283" s="10"/>
    </row>
    <row r="1284" customFormat="false" ht="14.25" hidden="false" customHeight="true" outlineLevel="0" collapsed="false">
      <c r="E1284" s="10"/>
    </row>
    <row r="1285" customFormat="false" ht="14.25" hidden="false" customHeight="true" outlineLevel="0" collapsed="false">
      <c r="E1285" s="10"/>
    </row>
    <row r="1286" customFormat="false" ht="14.25" hidden="false" customHeight="true" outlineLevel="0" collapsed="false">
      <c r="E1286" s="10"/>
    </row>
    <row r="1287" customFormat="false" ht="14.25" hidden="false" customHeight="true" outlineLevel="0" collapsed="false">
      <c r="E1287" s="10"/>
    </row>
    <row r="1288" customFormat="false" ht="14.25" hidden="false" customHeight="true" outlineLevel="0" collapsed="false">
      <c r="E1288" s="10"/>
    </row>
    <row r="1289" customFormat="false" ht="14.25" hidden="false" customHeight="true" outlineLevel="0" collapsed="false">
      <c r="E1289" s="10"/>
    </row>
    <row r="1290" customFormat="false" ht="14.25" hidden="false" customHeight="true" outlineLevel="0" collapsed="false">
      <c r="E1290" s="10"/>
    </row>
    <row r="1291" customFormat="false" ht="14.25" hidden="false" customHeight="true" outlineLevel="0" collapsed="false">
      <c r="E1291" s="10"/>
    </row>
    <row r="1292" customFormat="false" ht="14.25" hidden="false" customHeight="true" outlineLevel="0" collapsed="false">
      <c r="E1292" s="10"/>
    </row>
    <row r="1293" customFormat="false" ht="14.25" hidden="false" customHeight="true" outlineLevel="0" collapsed="false">
      <c r="E1293" s="10"/>
    </row>
    <row r="1294" customFormat="false" ht="14.25" hidden="false" customHeight="true" outlineLevel="0" collapsed="false">
      <c r="E1294" s="10"/>
    </row>
    <row r="1295" customFormat="false" ht="14.25" hidden="false" customHeight="true" outlineLevel="0" collapsed="false">
      <c r="E1295" s="10"/>
    </row>
    <row r="1296" customFormat="false" ht="14.25" hidden="false" customHeight="true" outlineLevel="0" collapsed="false">
      <c r="E1296" s="10"/>
    </row>
    <row r="1297" customFormat="false" ht="14.25" hidden="false" customHeight="true" outlineLevel="0" collapsed="false">
      <c r="E1297" s="10"/>
    </row>
    <row r="1298" customFormat="false" ht="14.25" hidden="false" customHeight="true" outlineLevel="0" collapsed="false">
      <c r="E1298" s="10"/>
    </row>
    <row r="1299" customFormat="false" ht="14.25" hidden="false" customHeight="true" outlineLevel="0" collapsed="false">
      <c r="E1299" s="10"/>
    </row>
    <row r="1300" customFormat="false" ht="14.25" hidden="false" customHeight="true" outlineLevel="0" collapsed="false">
      <c r="E1300" s="10"/>
    </row>
    <row r="1301" customFormat="false" ht="14.25" hidden="false" customHeight="true" outlineLevel="0" collapsed="false">
      <c r="E1301" s="10"/>
    </row>
    <row r="1302" customFormat="false" ht="14.25" hidden="false" customHeight="true" outlineLevel="0" collapsed="false">
      <c r="E1302" s="10"/>
    </row>
    <row r="1303" customFormat="false" ht="14.25" hidden="false" customHeight="true" outlineLevel="0" collapsed="false">
      <c r="E1303" s="10"/>
    </row>
    <row r="1304" customFormat="false" ht="14.25" hidden="false" customHeight="true" outlineLevel="0" collapsed="false">
      <c r="E1304" s="10"/>
    </row>
    <row r="1305" customFormat="false" ht="14.25" hidden="false" customHeight="true" outlineLevel="0" collapsed="false">
      <c r="E1305" s="10"/>
    </row>
    <row r="1306" customFormat="false" ht="14.25" hidden="false" customHeight="true" outlineLevel="0" collapsed="false">
      <c r="E1306" s="10"/>
    </row>
    <row r="1307" customFormat="false" ht="14.25" hidden="false" customHeight="true" outlineLevel="0" collapsed="false">
      <c r="E1307" s="10"/>
    </row>
    <row r="1308" customFormat="false" ht="14.25" hidden="false" customHeight="true" outlineLevel="0" collapsed="false">
      <c r="E1308" s="10"/>
    </row>
    <row r="1309" customFormat="false" ht="14.25" hidden="false" customHeight="true" outlineLevel="0" collapsed="false">
      <c r="E1309" s="10"/>
    </row>
    <row r="1310" customFormat="false" ht="14.25" hidden="false" customHeight="true" outlineLevel="0" collapsed="false">
      <c r="E1310" s="10"/>
    </row>
    <row r="1311" customFormat="false" ht="14.25" hidden="false" customHeight="true" outlineLevel="0" collapsed="false">
      <c r="E1311" s="10"/>
    </row>
    <row r="1312" customFormat="false" ht="14.25" hidden="false" customHeight="true" outlineLevel="0" collapsed="false">
      <c r="E1312" s="10"/>
    </row>
    <row r="1313" customFormat="false" ht="14.25" hidden="false" customHeight="true" outlineLevel="0" collapsed="false">
      <c r="E1313" s="10"/>
    </row>
    <row r="1314" customFormat="false" ht="14.25" hidden="false" customHeight="true" outlineLevel="0" collapsed="false">
      <c r="E1314" s="10"/>
    </row>
    <row r="1315" customFormat="false" ht="14.25" hidden="false" customHeight="true" outlineLevel="0" collapsed="false">
      <c r="E1315" s="10"/>
    </row>
    <row r="1316" customFormat="false" ht="14.25" hidden="false" customHeight="true" outlineLevel="0" collapsed="false">
      <c r="E1316" s="10"/>
    </row>
    <row r="1317" customFormat="false" ht="14.25" hidden="false" customHeight="true" outlineLevel="0" collapsed="false">
      <c r="E1317" s="10"/>
    </row>
    <row r="1318" customFormat="false" ht="14.25" hidden="false" customHeight="true" outlineLevel="0" collapsed="false">
      <c r="E1318" s="10"/>
    </row>
    <row r="1319" customFormat="false" ht="14.25" hidden="false" customHeight="true" outlineLevel="0" collapsed="false">
      <c r="E1319" s="10"/>
    </row>
    <row r="1320" customFormat="false" ht="14.25" hidden="false" customHeight="true" outlineLevel="0" collapsed="false">
      <c r="E1320" s="10"/>
    </row>
    <row r="1321" customFormat="false" ht="14.25" hidden="false" customHeight="true" outlineLevel="0" collapsed="false">
      <c r="E1321" s="10"/>
    </row>
    <row r="1322" customFormat="false" ht="14.25" hidden="false" customHeight="true" outlineLevel="0" collapsed="false">
      <c r="E1322" s="10"/>
    </row>
    <row r="1323" customFormat="false" ht="14.25" hidden="false" customHeight="true" outlineLevel="0" collapsed="false">
      <c r="E1323" s="10"/>
    </row>
    <row r="1324" customFormat="false" ht="14.25" hidden="false" customHeight="true" outlineLevel="0" collapsed="false">
      <c r="E1324" s="10"/>
    </row>
    <row r="1325" customFormat="false" ht="14.25" hidden="false" customHeight="true" outlineLevel="0" collapsed="false">
      <c r="E1325" s="10"/>
    </row>
    <row r="1326" customFormat="false" ht="14.25" hidden="false" customHeight="true" outlineLevel="0" collapsed="false">
      <c r="E1326" s="10"/>
    </row>
    <row r="1327" customFormat="false" ht="14.25" hidden="false" customHeight="true" outlineLevel="0" collapsed="false">
      <c r="E1327" s="10"/>
    </row>
    <row r="1328" customFormat="false" ht="14.25" hidden="false" customHeight="true" outlineLevel="0" collapsed="false">
      <c r="E1328" s="10"/>
    </row>
    <row r="1329" customFormat="false" ht="14.25" hidden="false" customHeight="true" outlineLevel="0" collapsed="false">
      <c r="E1329" s="10"/>
    </row>
    <row r="1330" customFormat="false" ht="14.25" hidden="false" customHeight="true" outlineLevel="0" collapsed="false">
      <c r="E1330" s="10"/>
    </row>
    <row r="1331" customFormat="false" ht="14.25" hidden="false" customHeight="true" outlineLevel="0" collapsed="false">
      <c r="E1331" s="10"/>
    </row>
    <row r="1332" customFormat="false" ht="14.25" hidden="false" customHeight="true" outlineLevel="0" collapsed="false">
      <c r="E1332" s="10"/>
    </row>
    <row r="1333" customFormat="false" ht="14.25" hidden="false" customHeight="true" outlineLevel="0" collapsed="false">
      <c r="E1333" s="10"/>
    </row>
    <row r="1334" customFormat="false" ht="14.25" hidden="false" customHeight="true" outlineLevel="0" collapsed="false">
      <c r="E1334" s="10"/>
    </row>
    <row r="1335" customFormat="false" ht="14.25" hidden="false" customHeight="true" outlineLevel="0" collapsed="false">
      <c r="E1335" s="10"/>
    </row>
    <row r="1336" customFormat="false" ht="14.25" hidden="false" customHeight="true" outlineLevel="0" collapsed="false">
      <c r="E1336" s="10"/>
    </row>
    <row r="1337" customFormat="false" ht="14.25" hidden="false" customHeight="true" outlineLevel="0" collapsed="false">
      <c r="E1337" s="10"/>
    </row>
    <row r="1338" customFormat="false" ht="14.25" hidden="false" customHeight="true" outlineLevel="0" collapsed="false">
      <c r="E1338" s="10"/>
    </row>
    <row r="1339" customFormat="false" ht="14.25" hidden="false" customHeight="true" outlineLevel="0" collapsed="false">
      <c r="E1339" s="10"/>
    </row>
    <row r="1340" customFormat="false" ht="14.25" hidden="false" customHeight="true" outlineLevel="0" collapsed="false">
      <c r="E1340" s="10"/>
    </row>
    <row r="1341" customFormat="false" ht="14.25" hidden="false" customHeight="true" outlineLevel="0" collapsed="false">
      <c r="E1341" s="10"/>
    </row>
    <row r="1342" customFormat="false" ht="14.25" hidden="false" customHeight="true" outlineLevel="0" collapsed="false">
      <c r="E1342" s="10"/>
    </row>
    <row r="1343" customFormat="false" ht="14.25" hidden="false" customHeight="true" outlineLevel="0" collapsed="false">
      <c r="E1343" s="10"/>
    </row>
    <row r="1344" customFormat="false" ht="14.25" hidden="false" customHeight="true" outlineLevel="0" collapsed="false">
      <c r="E1344" s="10"/>
    </row>
    <row r="1345" customFormat="false" ht="14.25" hidden="false" customHeight="true" outlineLevel="0" collapsed="false">
      <c r="E1345" s="10"/>
    </row>
    <row r="1346" customFormat="false" ht="14.25" hidden="false" customHeight="true" outlineLevel="0" collapsed="false">
      <c r="E1346" s="10"/>
    </row>
    <row r="1347" customFormat="false" ht="14.25" hidden="false" customHeight="true" outlineLevel="0" collapsed="false">
      <c r="E1347" s="10"/>
    </row>
    <row r="1348" customFormat="false" ht="14.25" hidden="false" customHeight="true" outlineLevel="0" collapsed="false">
      <c r="E1348" s="10"/>
    </row>
    <row r="1349" customFormat="false" ht="14.25" hidden="false" customHeight="true" outlineLevel="0" collapsed="false">
      <c r="E1349" s="10"/>
    </row>
    <row r="1350" customFormat="false" ht="14.25" hidden="false" customHeight="true" outlineLevel="0" collapsed="false">
      <c r="E1350" s="10"/>
    </row>
    <row r="1351" customFormat="false" ht="14.25" hidden="false" customHeight="true" outlineLevel="0" collapsed="false">
      <c r="E1351" s="10"/>
    </row>
    <row r="1352" customFormat="false" ht="14.25" hidden="false" customHeight="true" outlineLevel="0" collapsed="false">
      <c r="E1352" s="10"/>
    </row>
    <row r="1353" customFormat="false" ht="14.25" hidden="false" customHeight="true" outlineLevel="0" collapsed="false">
      <c r="E1353" s="10"/>
    </row>
    <row r="1354" customFormat="false" ht="14.25" hidden="false" customHeight="true" outlineLevel="0" collapsed="false">
      <c r="E1354" s="10"/>
    </row>
    <row r="1355" customFormat="false" ht="14.25" hidden="false" customHeight="true" outlineLevel="0" collapsed="false">
      <c r="E1355" s="10"/>
    </row>
    <row r="1356" customFormat="false" ht="14.25" hidden="false" customHeight="true" outlineLevel="0" collapsed="false">
      <c r="E1356" s="10"/>
    </row>
    <row r="1357" customFormat="false" ht="14.25" hidden="false" customHeight="true" outlineLevel="0" collapsed="false">
      <c r="E1357" s="10"/>
    </row>
    <row r="1358" customFormat="false" ht="14.25" hidden="false" customHeight="true" outlineLevel="0" collapsed="false">
      <c r="E1358" s="10"/>
    </row>
    <row r="1359" customFormat="false" ht="14.25" hidden="false" customHeight="true" outlineLevel="0" collapsed="false">
      <c r="E1359" s="10"/>
    </row>
    <row r="1360" customFormat="false" ht="14.25" hidden="false" customHeight="true" outlineLevel="0" collapsed="false">
      <c r="E1360" s="10"/>
    </row>
    <row r="1361" customFormat="false" ht="14.25" hidden="false" customHeight="true" outlineLevel="0" collapsed="false">
      <c r="E1361" s="10"/>
    </row>
    <row r="1362" customFormat="false" ht="14.25" hidden="false" customHeight="true" outlineLevel="0" collapsed="false">
      <c r="E1362" s="10"/>
    </row>
    <row r="1363" customFormat="false" ht="14.25" hidden="false" customHeight="true" outlineLevel="0" collapsed="false">
      <c r="E1363" s="10"/>
    </row>
    <row r="1364" customFormat="false" ht="14.25" hidden="false" customHeight="true" outlineLevel="0" collapsed="false">
      <c r="E1364" s="10"/>
    </row>
    <row r="1365" customFormat="false" ht="14.25" hidden="false" customHeight="true" outlineLevel="0" collapsed="false">
      <c r="E1365" s="10"/>
    </row>
    <row r="1366" customFormat="false" ht="14.25" hidden="false" customHeight="true" outlineLevel="0" collapsed="false">
      <c r="E1366" s="10"/>
    </row>
    <row r="1367" customFormat="false" ht="14.25" hidden="false" customHeight="true" outlineLevel="0" collapsed="false">
      <c r="E1367" s="10"/>
    </row>
    <row r="1368" customFormat="false" ht="14.25" hidden="false" customHeight="true" outlineLevel="0" collapsed="false">
      <c r="E1368" s="10"/>
    </row>
    <row r="1369" customFormat="false" ht="14.25" hidden="false" customHeight="true" outlineLevel="0" collapsed="false">
      <c r="E1369" s="10"/>
    </row>
    <row r="1370" customFormat="false" ht="14.25" hidden="false" customHeight="true" outlineLevel="0" collapsed="false">
      <c r="E1370" s="10"/>
    </row>
    <row r="1371" customFormat="false" ht="14.25" hidden="false" customHeight="true" outlineLevel="0" collapsed="false">
      <c r="E1371" s="10"/>
    </row>
    <row r="1372" customFormat="false" ht="14.25" hidden="false" customHeight="true" outlineLevel="0" collapsed="false">
      <c r="E1372" s="10"/>
    </row>
    <row r="1373" customFormat="false" ht="14.25" hidden="false" customHeight="true" outlineLevel="0" collapsed="false">
      <c r="E1373" s="10"/>
    </row>
    <row r="1374" customFormat="false" ht="14.25" hidden="false" customHeight="true" outlineLevel="0" collapsed="false">
      <c r="E1374" s="10"/>
    </row>
    <row r="1375" customFormat="false" ht="14.25" hidden="false" customHeight="true" outlineLevel="0" collapsed="false">
      <c r="E1375" s="10"/>
    </row>
    <row r="1376" customFormat="false" ht="14.25" hidden="false" customHeight="true" outlineLevel="0" collapsed="false">
      <c r="E1376" s="10"/>
    </row>
    <row r="1377" customFormat="false" ht="14.25" hidden="false" customHeight="true" outlineLevel="0" collapsed="false">
      <c r="E1377" s="10"/>
    </row>
    <row r="1378" customFormat="false" ht="14.25" hidden="false" customHeight="true" outlineLevel="0" collapsed="false">
      <c r="E1378" s="10"/>
    </row>
    <row r="1379" customFormat="false" ht="14.25" hidden="false" customHeight="true" outlineLevel="0" collapsed="false">
      <c r="E1379" s="10"/>
    </row>
    <row r="1380" customFormat="false" ht="14.25" hidden="false" customHeight="true" outlineLevel="0" collapsed="false">
      <c r="E1380" s="10"/>
    </row>
    <row r="1381" customFormat="false" ht="14.25" hidden="false" customHeight="true" outlineLevel="0" collapsed="false">
      <c r="E1381" s="10"/>
    </row>
    <row r="1382" customFormat="false" ht="14.25" hidden="false" customHeight="true" outlineLevel="0" collapsed="false">
      <c r="E1382" s="10"/>
    </row>
    <row r="1383" customFormat="false" ht="14.25" hidden="false" customHeight="true" outlineLevel="0" collapsed="false">
      <c r="E1383" s="10"/>
    </row>
    <row r="1384" customFormat="false" ht="14.25" hidden="false" customHeight="true" outlineLevel="0" collapsed="false">
      <c r="E1384" s="10"/>
    </row>
    <row r="1385" customFormat="false" ht="14.25" hidden="false" customHeight="true" outlineLevel="0" collapsed="false">
      <c r="E1385" s="10"/>
    </row>
    <row r="1386" customFormat="false" ht="14.25" hidden="false" customHeight="true" outlineLevel="0" collapsed="false">
      <c r="E1386" s="10"/>
    </row>
    <row r="1387" customFormat="false" ht="14.25" hidden="false" customHeight="true" outlineLevel="0" collapsed="false">
      <c r="E1387" s="10"/>
    </row>
    <row r="1388" customFormat="false" ht="14.25" hidden="false" customHeight="true" outlineLevel="0" collapsed="false">
      <c r="E1388" s="10"/>
    </row>
    <row r="1389" customFormat="false" ht="14.25" hidden="false" customHeight="true" outlineLevel="0" collapsed="false">
      <c r="E1389" s="10"/>
    </row>
    <row r="1390" customFormat="false" ht="14.25" hidden="false" customHeight="true" outlineLevel="0" collapsed="false">
      <c r="E1390" s="10"/>
    </row>
    <row r="1391" customFormat="false" ht="14.25" hidden="false" customHeight="true" outlineLevel="0" collapsed="false">
      <c r="E1391" s="10"/>
    </row>
    <row r="1392" customFormat="false" ht="14.25" hidden="false" customHeight="true" outlineLevel="0" collapsed="false">
      <c r="E1392" s="10"/>
    </row>
    <row r="1393" customFormat="false" ht="14.25" hidden="false" customHeight="true" outlineLevel="0" collapsed="false">
      <c r="E1393" s="10"/>
    </row>
    <row r="1394" customFormat="false" ht="14.25" hidden="false" customHeight="true" outlineLevel="0" collapsed="false">
      <c r="E1394" s="10"/>
    </row>
    <row r="1395" customFormat="false" ht="14.25" hidden="false" customHeight="true" outlineLevel="0" collapsed="false">
      <c r="E1395" s="10"/>
    </row>
    <row r="1396" customFormat="false" ht="14.25" hidden="false" customHeight="true" outlineLevel="0" collapsed="false">
      <c r="E1396" s="10"/>
    </row>
    <row r="1397" customFormat="false" ht="14.25" hidden="false" customHeight="true" outlineLevel="0" collapsed="false">
      <c r="E1397" s="10"/>
    </row>
    <row r="1398" customFormat="false" ht="14.25" hidden="false" customHeight="true" outlineLevel="0" collapsed="false">
      <c r="E1398" s="10"/>
    </row>
    <row r="1399" customFormat="false" ht="14.25" hidden="false" customHeight="true" outlineLevel="0" collapsed="false">
      <c r="E1399" s="10"/>
    </row>
    <row r="1400" customFormat="false" ht="14.25" hidden="false" customHeight="true" outlineLevel="0" collapsed="false">
      <c r="E1400" s="10"/>
    </row>
    <row r="1401" customFormat="false" ht="14.25" hidden="false" customHeight="true" outlineLevel="0" collapsed="false">
      <c r="E1401" s="10"/>
    </row>
    <row r="1402" customFormat="false" ht="14.25" hidden="false" customHeight="true" outlineLevel="0" collapsed="false">
      <c r="E1402" s="10"/>
    </row>
    <row r="1403" customFormat="false" ht="14.25" hidden="false" customHeight="true" outlineLevel="0" collapsed="false">
      <c r="E1403" s="10"/>
    </row>
    <row r="1404" customFormat="false" ht="14.25" hidden="false" customHeight="true" outlineLevel="0" collapsed="false">
      <c r="E1404" s="10"/>
    </row>
    <row r="1405" customFormat="false" ht="14.25" hidden="false" customHeight="true" outlineLevel="0" collapsed="false">
      <c r="E1405" s="10"/>
    </row>
    <row r="1406" customFormat="false" ht="14.25" hidden="false" customHeight="true" outlineLevel="0" collapsed="false">
      <c r="E1406" s="10"/>
    </row>
    <row r="1407" customFormat="false" ht="14.25" hidden="false" customHeight="true" outlineLevel="0" collapsed="false">
      <c r="E1407" s="10"/>
    </row>
    <row r="1408" customFormat="false" ht="14.25" hidden="false" customHeight="true" outlineLevel="0" collapsed="false">
      <c r="E1408" s="10"/>
    </row>
    <row r="1409" customFormat="false" ht="14.25" hidden="false" customHeight="true" outlineLevel="0" collapsed="false">
      <c r="E1409" s="10"/>
    </row>
    <row r="1410" customFormat="false" ht="14.25" hidden="false" customHeight="true" outlineLevel="0" collapsed="false">
      <c r="E1410" s="10"/>
    </row>
    <row r="1411" customFormat="false" ht="14.25" hidden="false" customHeight="true" outlineLevel="0" collapsed="false">
      <c r="E1411" s="10"/>
    </row>
    <row r="1412" customFormat="false" ht="14.25" hidden="false" customHeight="true" outlineLevel="0" collapsed="false">
      <c r="E1412" s="10"/>
    </row>
    <row r="1413" customFormat="false" ht="14.25" hidden="false" customHeight="true" outlineLevel="0" collapsed="false">
      <c r="E1413" s="10"/>
    </row>
    <row r="1414" customFormat="false" ht="14.25" hidden="false" customHeight="true" outlineLevel="0" collapsed="false">
      <c r="E1414" s="10"/>
    </row>
    <row r="1415" customFormat="false" ht="14.25" hidden="false" customHeight="true" outlineLevel="0" collapsed="false">
      <c r="E1415" s="10"/>
    </row>
    <row r="1416" customFormat="false" ht="14.25" hidden="false" customHeight="true" outlineLevel="0" collapsed="false">
      <c r="E1416" s="10"/>
    </row>
    <row r="1417" customFormat="false" ht="14.25" hidden="false" customHeight="true" outlineLevel="0" collapsed="false">
      <c r="E1417" s="10"/>
    </row>
    <row r="1418" customFormat="false" ht="14.25" hidden="false" customHeight="true" outlineLevel="0" collapsed="false">
      <c r="E1418" s="10"/>
    </row>
    <row r="1419" customFormat="false" ht="14.25" hidden="false" customHeight="true" outlineLevel="0" collapsed="false">
      <c r="E1419" s="10"/>
    </row>
    <row r="1420" customFormat="false" ht="14.25" hidden="false" customHeight="true" outlineLevel="0" collapsed="false">
      <c r="E142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.21"/>
    <col collapsed="false" customWidth="true" hidden="false" outlineLevel="0" max="3" min="3" style="1" width="8.22"/>
    <col collapsed="false" customWidth="true" hidden="false" outlineLevel="0" max="4" min="4" style="1" width="16.56"/>
    <col collapsed="false" customWidth="true" hidden="false" outlineLevel="0" max="6" min="6" style="1" width="13.44"/>
  </cols>
  <sheetData>
    <row r="1" customFormat="false" ht="14.25" hidden="false" customHeight="true" outlineLevel="0" collapsed="false">
      <c r="A1" s="1" t="s">
        <v>172</v>
      </c>
      <c r="B1" s="91" t="s">
        <v>173</v>
      </c>
      <c r="C1" s="91" t="s">
        <v>174</v>
      </c>
      <c r="D1" s="91" t="s">
        <v>301</v>
      </c>
      <c r="E1" s="91" t="s">
        <v>302</v>
      </c>
      <c r="F1" s="91" t="s">
        <v>303</v>
      </c>
    </row>
    <row r="2" customFormat="false" ht="14.25" hidden="false" customHeight="true" outlineLevel="0" collapsed="false">
      <c r="B2" s="1" t="s">
        <v>194</v>
      </c>
      <c r="C2" s="1" t="n">
        <v>93</v>
      </c>
      <c r="D2" s="1" t="n">
        <v>86</v>
      </c>
      <c r="E2" s="1" t="n">
        <f aca="false">C2-D2</f>
        <v>7</v>
      </c>
      <c r="F2" s="7" t="n">
        <f aca="false">E2/C2</f>
        <v>0.0752688172043011</v>
      </c>
    </row>
    <row r="3" customFormat="false" ht="14.25" hidden="false" customHeight="true" outlineLevel="0" collapsed="false">
      <c r="B3" s="1" t="s">
        <v>203</v>
      </c>
      <c r="C3" s="1" t="n">
        <v>46</v>
      </c>
      <c r="D3" s="1" t="n">
        <v>41</v>
      </c>
      <c r="E3" s="1" t="n">
        <f aca="false">C3-D3</f>
        <v>5</v>
      </c>
      <c r="F3" s="7" t="n">
        <f aca="false">E3/C3</f>
        <v>0.108695652173913</v>
      </c>
    </row>
    <row r="4" customFormat="false" ht="14.25" hidden="false" customHeight="true" outlineLevel="0" collapsed="false">
      <c r="B4" s="1" t="s">
        <v>207</v>
      </c>
      <c r="C4" s="1" t="n">
        <v>13</v>
      </c>
      <c r="D4" s="1" t="n">
        <v>11</v>
      </c>
      <c r="E4" s="1" t="n">
        <f aca="false">C4-D4</f>
        <v>2</v>
      </c>
      <c r="F4" s="7" t="n">
        <f aca="false">E4/C4</f>
        <v>0.153846153846154</v>
      </c>
    </row>
    <row r="5" customFormat="false" ht="14.25" hidden="false" customHeight="true" outlineLevel="0" collapsed="false">
      <c r="A5" s="1" t="s">
        <v>209</v>
      </c>
      <c r="B5" s="1" t="s">
        <v>210</v>
      </c>
      <c r="C5" s="1" t="n">
        <v>28</v>
      </c>
      <c r="D5" s="1" t="n">
        <v>25</v>
      </c>
      <c r="E5" s="1" t="n">
        <f aca="false">C5-D5</f>
        <v>3</v>
      </c>
      <c r="F5" s="7" t="n">
        <f aca="false">E5/C5</f>
        <v>0.107142857142857</v>
      </c>
    </row>
    <row r="6" customFormat="false" ht="14.25" hidden="false" customHeight="true" outlineLevel="0" collapsed="false">
      <c r="B6" s="1" t="s">
        <v>216</v>
      </c>
      <c r="C6" s="1" t="n">
        <v>27</v>
      </c>
      <c r="D6" s="1" t="n">
        <v>27</v>
      </c>
      <c r="E6" s="1" t="n">
        <f aca="false">C6-D6</f>
        <v>0</v>
      </c>
      <c r="F6" s="7" t="n">
        <f aca="false">E6/C6</f>
        <v>0</v>
      </c>
    </row>
    <row r="7" customFormat="false" ht="14.25" hidden="false" customHeight="true" outlineLevel="0" collapsed="false">
      <c r="A7" s="1" t="s">
        <v>209</v>
      </c>
      <c r="B7" s="1" t="s">
        <v>217</v>
      </c>
      <c r="C7" s="1" t="n">
        <v>22</v>
      </c>
      <c r="D7" s="1" t="n">
        <v>20</v>
      </c>
      <c r="E7" s="1" t="n">
        <f aca="false">C7-D7</f>
        <v>2</v>
      </c>
      <c r="F7" s="7" t="n">
        <f aca="false">E7/C7</f>
        <v>0.0909090909090909</v>
      </c>
    </row>
    <row r="8" customFormat="false" ht="14.25" hidden="false" customHeight="true" outlineLevel="0" collapsed="false">
      <c r="B8" s="1" t="s">
        <v>220</v>
      </c>
      <c r="C8" s="1" t="n">
        <v>20</v>
      </c>
      <c r="D8" s="1" t="n">
        <v>18</v>
      </c>
      <c r="E8" s="1" t="n">
        <f aca="false">C8-D8</f>
        <v>2</v>
      </c>
      <c r="F8" s="7" t="n">
        <f aca="false">E8/C8</f>
        <v>0.1</v>
      </c>
    </row>
    <row r="9" customFormat="false" ht="14.25" hidden="false" customHeight="true" outlineLevel="0" collapsed="false">
      <c r="B9" s="1" t="s">
        <v>221</v>
      </c>
      <c r="C9" s="1" t="n">
        <v>19</v>
      </c>
      <c r="D9" s="1" t="n">
        <v>18</v>
      </c>
      <c r="E9" s="1" t="n">
        <f aca="false">C9-D9</f>
        <v>1</v>
      </c>
      <c r="F9" s="7" t="n">
        <f aca="false">E9/C9</f>
        <v>0.0526315789473684</v>
      </c>
    </row>
    <row r="10" customFormat="false" ht="14.25" hidden="false" customHeight="true" outlineLevel="0" collapsed="false">
      <c r="A10" s="1" t="s">
        <v>209</v>
      </c>
      <c r="B10" s="1" t="s">
        <v>222</v>
      </c>
      <c r="C10" s="1" t="n">
        <v>19</v>
      </c>
      <c r="D10" s="1" t="n">
        <v>17</v>
      </c>
      <c r="E10" s="1" t="n">
        <f aca="false">C10-D10</f>
        <v>2</v>
      </c>
      <c r="F10" s="7" t="n">
        <f aca="false">E10/C10</f>
        <v>0.105263157894737</v>
      </c>
    </row>
    <row r="11" customFormat="false" ht="14.25" hidden="false" customHeight="true" outlineLevel="0" collapsed="false">
      <c r="B11" s="1" t="s">
        <v>223</v>
      </c>
      <c r="C11" s="1" t="n">
        <v>17</v>
      </c>
      <c r="D11" s="1" t="n">
        <v>15</v>
      </c>
      <c r="E11" s="1" t="n">
        <f aca="false">C11-D11</f>
        <v>2</v>
      </c>
      <c r="F11" s="7" t="n">
        <f aca="false">E11/C11</f>
        <v>0.117647058823529</v>
      </c>
    </row>
    <row r="12" customFormat="false" ht="14.25" hidden="false" customHeight="true" outlineLevel="0" collapsed="false">
      <c r="A12" s="1" t="s">
        <v>209</v>
      </c>
      <c r="B12" s="1" t="s">
        <v>224</v>
      </c>
      <c r="C12" s="1" t="n">
        <v>16</v>
      </c>
      <c r="D12" s="1" t="n">
        <v>13</v>
      </c>
      <c r="E12" s="1" t="n">
        <f aca="false">C12-D12</f>
        <v>3</v>
      </c>
      <c r="F12" s="7" t="n">
        <f aca="false">E12/C12</f>
        <v>0.1875</v>
      </c>
    </row>
    <row r="13" customFormat="false" ht="14.25" hidden="false" customHeight="true" outlineLevel="0" collapsed="false">
      <c r="B13" s="1" t="s">
        <v>226</v>
      </c>
      <c r="C13" s="1" t="n">
        <v>12</v>
      </c>
      <c r="D13" s="1" t="n">
        <v>11</v>
      </c>
      <c r="E13" s="1" t="n">
        <f aca="false">C13-D13</f>
        <v>1</v>
      </c>
      <c r="F13" s="7" t="n">
        <f aca="false">E13/C13</f>
        <v>0.0833333333333333</v>
      </c>
    </row>
    <row r="14" customFormat="false" ht="14.25" hidden="false" customHeight="true" outlineLevel="0" collapsed="false">
      <c r="B14" s="1" t="s">
        <v>230</v>
      </c>
      <c r="C14" s="1" t="n">
        <v>4</v>
      </c>
      <c r="D14" s="1" t="n">
        <v>4</v>
      </c>
      <c r="E14" s="1" t="n">
        <f aca="false">C14-D14</f>
        <v>0</v>
      </c>
      <c r="F14" s="7" t="n">
        <f aca="false">E14/C14</f>
        <v>0</v>
      </c>
    </row>
    <row r="15" customFormat="false" ht="14.25" hidden="false" customHeight="true" outlineLevel="0" collapsed="false">
      <c r="B15" s="1" t="s">
        <v>231</v>
      </c>
      <c r="C15" s="1" t="n">
        <v>9</v>
      </c>
      <c r="D15" s="1" t="n">
        <v>8</v>
      </c>
      <c r="E15" s="1" t="n">
        <f aca="false">C15-D15</f>
        <v>1</v>
      </c>
      <c r="F15" s="7" t="n">
        <f aca="false">E15/C15</f>
        <v>0.111111111111111</v>
      </c>
    </row>
    <row r="16" customFormat="false" ht="14.25" hidden="false" customHeight="true" outlineLevel="0" collapsed="false">
      <c r="B16" s="1" t="s">
        <v>233</v>
      </c>
      <c r="C16" s="1" t="n">
        <v>9</v>
      </c>
      <c r="D16" s="1" t="n">
        <v>8</v>
      </c>
      <c r="E16" s="1" t="n">
        <f aca="false">C16-D16</f>
        <v>1</v>
      </c>
      <c r="F16" s="7" t="n">
        <f aca="false">E16/C16</f>
        <v>0.111111111111111</v>
      </c>
    </row>
    <row r="17" customFormat="false" ht="14.25" hidden="false" customHeight="true" outlineLevel="0" collapsed="false">
      <c r="B17" s="1" t="s">
        <v>235</v>
      </c>
      <c r="C17" s="1" t="n">
        <v>10</v>
      </c>
      <c r="D17" s="1" t="n">
        <v>10</v>
      </c>
      <c r="E17" s="1" t="n">
        <f aca="false">C17-D17</f>
        <v>0</v>
      </c>
      <c r="F17" s="7" t="n">
        <f aca="false">E17/C17</f>
        <v>0</v>
      </c>
    </row>
    <row r="18" customFormat="false" ht="14.25" hidden="false" customHeight="true" outlineLevel="0" collapsed="false">
      <c r="B18" s="1" t="s">
        <v>238</v>
      </c>
      <c r="C18" s="1" t="n">
        <v>9</v>
      </c>
      <c r="D18" s="1" t="n">
        <v>9</v>
      </c>
      <c r="E18" s="1" t="n">
        <f aca="false">C18-D18</f>
        <v>0</v>
      </c>
      <c r="F18" s="7" t="n">
        <f aca="false">E18/C18</f>
        <v>0</v>
      </c>
    </row>
    <row r="19" customFormat="false" ht="14.25" hidden="false" customHeight="true" outlineLevel="0" collapsed="false">
      <c r="C19" s="11" t="n">
        <f aca="false">SUM(C2:C18)</f>
        <v>373</v>
      </c>
      <c r="D19" s="11" t="n">
        <f aca="false">SUM(D2:D18)</f>
        <v>341</v>
      </c>
      <c r="E19" s="11" t="n">
        <f aca="false">C19-D19</f>
        <v>32</v>
      </c>
      <c r="F19" s="7" t="n">
        <f aca="false">E19/C19</f>
        <v>0.0857908847184987</v>
      </c>
    </row>
  </sheetData>
  <conditionalFormatting sqref="F2:F19">
    <cfRule type="dataBar" priority="2">
      <dataBar showValue="1" minLength="10" maxLength="90"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{DF77869F-9B3F-4A19-8A23-50BF55841955}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77869F-9B3F-4A19-8A23-50BF55841955}">
            <x14:dataBar minLength="10" maxLength="90" axisPosition="none" gradient="true">
              <x14:cfvo type="min"/>
              <x14:cfvo type="max"/>
              <x14:negativeFillColor rgb="FFFF555A"/>
              <x14:axisColor rgb="FF000000"/>
            </x14:dataBar>
          </x14:cfRule>
          <xm:sqref>F2:F19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4.67"/>
    <col collapsed="false" customWidth="true" hidden="false" outlineLevel="0" max="3" min="3" style="1" width="34.33"/>
    <col collapsed="false" customWidth="true" hidden="false" outlineLevel="0" max="4" min="4" style="1" width="10"/>
    <col collapsed="false" customWidth="true" hidden="false" outlineLevel="0" max="5" min="5" style="1" width="11.22"/>
    <col collapsed="false" customWidth="true" hidden="false" outlineLevel="0" max="8" min="6" style="1" width="9"/>
    <col collapsed="false" customWidth="true" hidden="false" outlineLevel="0" max="9" min="9" style="1" width="10.88"/>
    <col collapsed="false" customWidth="true" hidden="false" outlineLevel="0" max="11" min="10" style="1" width="9"/>
    <col collapsed="false" customWidth="true" hidden="false" outlineLevel="0" max="13" min="12" style="1" width="11.33"/>
  </cols>
  <sheetData>
    <row r="3" customFormat="false" ht="42.75" hidden="false" customHeight="true" outlineLevel="0" collapsed="false">
      <c r="B3" s="92" t="s">
        <v>304</v>
      </c>
      <c r="C3" s="92" t="s">
        <v>305</v>
      </c>
      <c r="D3" s="92" t="s">
        <v>306</v>
      </c>
      <c r="E3" s="92" t="s">
        <v>307</v>
      </c>
      <c r="F3" s="92" t="s">
        <v>171</v>
      </c>
      <c r="G3" s="93" t="s">
        <v>308</v>
      </c>
      <c r="H3" s="93" t="s">
        <v>309</v>
      </c>
      <c r="I3" s="93" t="s">
        <v>310</v>
      </c>
      <c r="J3" s="93" t="s">
        <v>311</v>
      </c>
      <c r="K3" s="92" t="s">
        <v>312</v>
      </c>
      <c r="L3" s="92" t="s">
        <v>313</v>
      </c>
      <c r="M3" s="92" t="s">
        <v>314</v>
      </c>
    </row>
    <row r="4" customFormat="false" ht="14.25" hidden="false" customHeight="true" outlineLevel="0" collapsed="false">
      <c r="B4" s="1" t="s">
        <v>315</v>
      </c>
      <c r="C4" s="1" t="s">
        <v>316</v>
      </c>
      <c r="D4" s="2" t="n">
        <v>1.062958087</v>
      </c>
      <c r="E4" s="2" t="n">
        <v>0.435759073</v>
      </c>
      <c r="F4" s="2" t="n">
        <v>1.49871716</v>
      </c>
      <c r="G4" s="2" t="n">
        <v>0.00368206554158828</v>
      </c>
      <c r="H4" s="2" t="n">
        <v>4701</v>
      </c>
      <c r="I4" s="2" t="n">
        <v>271</v>
      </c>
      <c r="J4" s="2" t="n">
        <v>1150</v>
      </c>
      <c r="K4" s="2" t="n">
        <v>926.949740480749</v>
      </c>
      <c r="L4" s="2" t="n">
        <v>39223.5456457565</v>
      </c>
      <c r="M4" s="2" t="n">
        <v>9243.1138</v>
      </c>
    </row>
    <row r="5" customFormat="false" ht="14.25" hidden="false" customHeight="true" outlineLevel="0" collapsed="false">
      <c r="B5" s="1" t="s">
        <v>317</v>
      </c>
      <c r="C5" s="1" t="s">
        <v>318</v>
      </c>
      <c r="D5" s="2" t="n">
        <v>1.146492158</v>
      </c>
      <c r="E5" s="2" t="n">
        <v>0.10964046</v>
      </c>
      <c r="F5" s="2" t="n">
        <v>1.256132618</v>
      </c>
      <c r="G5" s="2" t="n">
        <v>0.00308608105107896</v>
      </c>
      <c r="H5" s="2" t="n">
        <v>813</v>
      </c>
      <c r="I5" s="2" t="n">
        <v>59</v>
      </c>
      <c r="J5" s="2" t="n">
        <v>398</v>
      </c>
      <c r="K5" s="2" t="n">
        <v>1348.59114391144</v>
      </c>
      <c r="L5" s="2" t="n">
        <v>194320.704745763</v>
      </c>
      <c r="M5" s="2" t="n">
        <v>28806.3356281407</v>
      </c>
    </row>
    <row r="6" customFormat="false" ht="14.25" hidden="false" customHeight="true" outlineLevel="0" collapsed="false">
      <c r="B6" s="1" t="s">
        <v>319</v>
      </c>
      <c r="C6" s="1" t="s">
        <v>316</v>
      </c>
      <c r="D6" s="2" t="n">
        <v>0.895436998</v>
      </c>
      <c r="E6" s="2" t="n">
        <v>0.342182449</v>
      </c>
      <c r="F6" s="2" t="n">
        <v>1.237619447</v>
      </c>
      <c r="G6" s="2" t="n">
        <v>0.00304059767981721</v>
      </c>
      <c r="H6" s="2" t="n">
        <v>3609</v>
      </c>
      <c r="I6" s="2" t="n">
        <v>244</v>
      </c>
      <c r="J6" s="2" t="n">
        <v>776</v>
      </c>
      <c r="K6" s="2" t="n">
        <v>948.136461623718</v>
      </c>
      <c r="L6" s="2" t="n">
        <v>36698.2376229508</v>
      </c>
      <c r="M6" s="2" t="n">
        <v>11539.136572165</v>
      </c>
    </row>
    <row r="7" customFormat="false" ht="14.25" hidden="false" customHeight="true" outlineLevel="0" collapsed="false">
      <c r="B7" s="1" t="s">
        <v>320</v>
      </c>
      <c r="C7" s="1" t="s">
        <v>321</v>
      </c>
      <c r="D7" s="2" t="n">
        <v>0.833069439</v>
      </c>
      <c r="E7" s="2" t="n">
        <v>0.261630851</v>
      </c>
      <c r="F7" s="2" t="n">
        <v>1.09470029</v>
      </c>
      <c r="G7" s="2" t="n">
        <v>0.00268947225250673</v>
      </c>
      <c r="H7" s="2" t="n">
        <v>1783</v>
      </c>
      <c r="I7" s="2" t="n">
        <v>79</v>
      </c>
      <c r="J7" s="2" t="n">
        <v>228</v>
      </c>
      <c r="K7" s="2" t="n">
        <v>1467.36315759955</v>
      </c>
      <c r="L7" s="2" t="n">
        <v>105451.827721519</v>
      </c>
      <c r="M7" s="2" t="n">
        <v>36538.1332894737</v>
      </c>
    </row>
    <row r="8" customFormat="false" ht="14.25" hidden="false" customHeight="true" outlineLevel="0" collapsed="false">
      <c r="B8" s="1" t="s">
        <v>322</v>
      </c>
      <c r="C8" s="1" t="s">
        <v>323</v>
      </c>
      <c r="D8" s="2" t="n">
        <v>0.046041366</v>
      </c>
      <c r="E8" s="2" t="n">
        <v>0.949741779</v>
      </c>
      <c r="F8" s="2" t="n">
        <v>0.995783145</v>
      </c>
      <c r="G8" s="2" t="n">
        <v>0.00244645147393849</v>
      </c>
      <c r="H8" s="2" t="n">
        <v>3547</v>
      </c>
      <c r="I8" s="2" t="n">
        <v>6</v>
      </c>
      <c r="J8" s="2" t="n">
        <v>4</v>
      </c>
      <c r="K8" s="2" t="n">
        <v>2677.59170848604</v>
      </c>
      <c r="L8" s="2" t="n">
        <v>76735.61</v>
      </c>
      <c r="M8" s="2" t="n">
        <v>115103.415</v>
      </c>
    </row>
    <row r="9" customFormat="false" ht="14.25" hidden="false" customHeight="true" outlineLevel="0" collapsed="false">
      <c r="B9" s="1" t="s">
        <v>324</v>
      </c>
      <c r="C9" s="1" t="s">
        <v>325</v>
      </c>
      <c r="D9" s="2" t="n">
        <v>0.064221977</v>
      </c>
      <c r="E9" s="2" t="n">
        <v>0.910331601</v>
      </c>
      <c r="F9" s="2" t="n">
        <v>0.974553578</v>
      </c>
      <c r="G9" s="2" t="n">
        <v>0.00239429442976777</v>
      </c>
      <c r="H9" s="2" t="n">
        <v>5256</v>
      </c>
      <c r="I9" s="2" t="n">
        <v>18</v>
      </c>
      <c r="J9" s="2" t="n">
        <v>17</v>
      </c>
      <c r="K9" s="2" t="n">
        <v>1731.98554223744</v>
      </c>
      <c r="L9" s="2" t="n">
        <v>35678.8761111111</v>
      </c>
      <c r="M9" s="2" t="n">
        <v>37777.6335294118</v>
      </c>
    </row>
    <row r="10" customFormat="false" ht="14.25" hidden="false" customHeight="true" outlineLevel="0" collapsed="false">
      <c r="B10" s="1" t="s">
        <v>326</v>
      </c>
      <c r="C10" s="1" t="s">
        <v>318</v>
      </c>
      <c r="D10" s="2" t="n">
        <v>0.834774164</v>
      </c>
      <c r="E10" s="2" t="n">
        <v>0.07262681</v>
      </c>
      <c r="F10" s="2" t="n">
        <v>0.907400974</v>
      </c>
      <c r="G10" s="2" t="n">
        <v>0.00222931314055885</v>
      </c>
      <c r="H10" s="2" t="n">
        <v>537</v>
      </c>
      <c r="I10" s="2" t="n">
        <v>55</v>
      </c>
      <c r="J10" s="2" t="n">
        <v>239</v>
      </c>
      <c r="K10" s="2" t="n">
        <v>1352.45456238361</v>
      </c>
      <c r="L10" s="2" t="n">
        <v>151777.120727273</v>
      </c>
      <c r="M10" s="2" t="n">
        <v>34927.7892887029</v>
      </c>
    </row>
    <row r="11" customFormat="false" ht="14.25" hidden="false" customHeight="true" outlineLevel="0" collapsed="false">
      <c r="B11" s="1" t="s">
        <v>327</v>
      </c>
      <c r="C11" s="1" t="s">
        <v>323</v>
      </c>
      <c r="D11" s="2" t="n">
        <v>0.003209792</v>
      </c>
      <c r="E11" s="2" t="n">
        <v>0.598993518</v>
      </c>
      <c r="F11" s="2" t="n">
        <v>0.60220331</v>
      </c>
      <c r="G11" s="2" t="n">
        <v>0.00147950001238486</v>
      </c>
      <c r="H11" s="2" t="n">
        <v>1964</v>
      </c>
      <c r="I11" s="2" t="n">
        <v>1</v>
      </c>
      <c r="J11" s="2" t="n">
        <v>1</v>
      </c>
      <c r="K11" s="2" t="n">
        <v>3049.86516293279</v>
      </c>
      <c r="L11" s="2" t="n">
        <v>32097.92</v>
      </c>
      <c r="M11" s="2" t="n">
        <v>32097.92</v>
      </c>
    </row>
    <row r="12" customFormat="false" ht="14.25" hidden="false" customHeight="true" outlineLevel="0" collapsed="false">
      <c r="B12" s="1" t="s">
        <v>328</v>
      </c>
      <c r="C12" s="1" t="s">
        <v>318</v>
      </c>
      <c r="D12" s="2" t="n">
        <v>0.418743294</v>
      </c>
      <c r="E12" s="2" t="n">
        <v>0.074306186</v>
      </c>
      <c r="F12" s="2" t="n">
        <v>0.49304948</v>
      </c>
      <c r="G12" s="2" t="n">
        <v>0.00121132962847107</v>
      </c>
      <c r="H12" s="2" t="n">
        <v>330</v>
      </c>
      <c r="I12" s="2" t="n">
        <v>22</v>
      </c>
      <c r="J12" s="2" t="n">
        <v>15</v>
      </c>
      <c r="K12" s="2" t="n">
        <v>2251.70260606061</v>
      </c>
      <c r="L12" s="2" t="n">
        <v>190337.860909091</v>
      </c>
      <c r="M12" s="2" t="n">
        <v>279162.196</v>
      </c>
    </row>
    <row r="13" customFormat="false" ht="14.25" hidden="false" customHeight="true" outlineLevel="0" collapsed="false">
      <c r="B13" s="1" t="s">
        <v>329</v>
      </c>
      <c r="C13" s="1" t="s">
        <v>330</v>
      </c>
      <c r="D13" s="2" t="n">
        <v>0.313284282</v>
      </c>
      <c r="E13" s="2" t="n">
        <v>0.093336752</v>
      </c>
      <c r="F13" s="2" t="n">
        <v>0.406621034</v>
      </c>
      <c r="G13" s="2" t="n">
        <v>0.000998991229123176</v>
      </c>
      <c r="H13" s="2" t="n">
        <v>439</v>
      </c>
      <c r="I13" s="2" t="n">
        <v>29</v>
      </c>
      <c r="J13" s="2" t="n">
        <v>23</v>
      </c>
      <c r="K13" s="2" t="n">
        <v>2126.12191343964</v>
      </c>
      <c r="L13" s="2" t="n">
        <v>108029.062758621</v>
      </c>
      <c r="M13" s="2" t="n">
        <v>136210.557391304</v>
      </c>
    </row>
    <row r="14" customFormat="false" ht="14.25" hidden="false" customHeight="true" outlineLevel="0" collapsed="false">
      <c r="B14" s="1" t="s">
        <v>331</v>
      </c>
      <c r="C14" s="1" t="s">
        <v>332</v>
      </c>
      <c r="D14" s="2" t="n">
        <v>0.193192212</v>
      </c>
      <c r="E14" s="2" t="n">
        <v>0.13644856</v>
      </c>
      <c r="F14" s="2" t="n">
        <v>0.329640772</v>
      </c>
      <c r="G14" s="2" t="n">
        <v>0.000809865236802759</v>
      </c>
      <c r="H14" s="2" t="n">
        <v>1200</v>
      </c>
      <c r="I14" s="2" t="n">
        <v>35</v>
      </c>
      <c r="J14" s="2" t="n">
        <v>60</v>
      </c>
      <c r="K14" s="2" t="n">
        <v>1137.07133333333</v>
      </c>
      <c r="L14" s="2" t="n">
        <v>55197.7748571429</v>
      </c>
      <c r="M14" s="2" t="n">
        <v>32198.702</v>
      </c>
    </row>
    <row r="15" customFormat="false" ht="14.25" hidden="false" customHeight="true" outlineLevel="0" collapsed="false">
      <c r="B15" s="1" t="s">
        <v>333</v>
      </c>
      <c r="C15" s="1" t="s">
        <v>332</v>
      </c>
      <c r="D15" s="2" t="n">
        <v>0.143636978</v>
      </c>
      <c r="E15" s="2" t="n">
        <v>0.18527</v>
      </c>
      <c r="F15" s="2" t="n">
        <v>0.328906978</v>
      </c>
      <c r="G15" s="2" t="n">
        <v>0.000808062443270973</v>
      </c>
      <c r="H15" s="2" t="n">
        <v>1821</v>
      </c>
      <c r="I15" s="2" t="n">
        <v>23</v>
      </c>
      <c r="J15" s="2" t="n">
        <v>55</v>
      </c>
      <c r="K15" s="2" t="n">
        <v>1017.40801757276</v>
      </c>
      <c r="L15" s="2" t="n">
        <v>62450.86</v>
      </c>
      <c r="M15" s="2" t="n">
        <v>26115.8141818182</v>
      </c>
    </row>
    <row r="16" customFormat="false" ht="14.25" hidden="false" customHeight="true" outlineLevel="0" collapsed="false">
      <c r="B16" s="1" t="s">
        <v>334</v>
      </c>
      <c r="C16" s="1" t="s">
        <v>262</v>
      </c>
      <c r="D16" s="2" t="n">
        <v>0.128778958</v>
      </c>
      <c r="E16" s="2" t="n">
        <v>0.123729974</v>
      </c>
      <c r="F16" s="2" t="n">
        <v>0.252508932</v>
      </c>
      <c r="G16" s="2" t="n">
        <v>0.000620366845910043</v>
      </c>
      <c r="H16" s="2" t="n">
        <v>3246</v>
      </c>
      <c r="I16" s="2" t="n">
        <v>34</v>
      </c>
      <c r="J16" s="2" t="n">
        <v>35</v>
      </c>
      <c r="K16" s="2" t="n">
        <v>381.176752926679</v>
      </c>
      <c r="L16" s="2" t="n">
        <v>37876.1641176471</v>
      </c>
      <c r="M16" s="2" t="n">
        <v>36793.988</v>
      </c>
    </row>
    <row r="17" customFormat="false" ht="14.25" hidden="false" customHeight="true" outlineLevel="0" collapsed="false">
      <c r="B17" s="1" t="s">
        <v>335</v>
      </c>
      <c r="C17" s="1" t="s">
        <v>262</v>
      </c>
      <c r="D17" s="2" t="n">
        <v>0.064628079</v>
      </c>
      <c r="E17" s="2" t="n">
        <v>0.139277309</v>
      </c>
      <c r="F17" s="2" t="n">
        <v>0.203905388</v>
      </c>
      <c r="G17" s="2" t="n">
        <v>0.000500957100470504</v>
      </c>
      <c r="H17" s="2" t="n">
        <v>1401</v>
      </c>
      <c r="I17" s="2" t="n">
        <v>16</v>
      </c>
      <c r="J17" s="2" t="n">
        <v>17</v>
      </c>
      <c r="K17" s="2" t="n">
        <v>994.127830121342</v>
      </c>
      <c r="L17" s="2" t="n">
        <v>40392.549375</v>
      </c>
      <c r="M17" s="2" t="n">
        <v>38016.5170588235</v>
      </c>
    </row>
    <row r="18" customFormat="false" ht="14.25" hidden="false" customHeight="true" outlineLevel="0" collapsed="false">
      <c r="B18" s="1" t="s">
        <v>336</v>
      </c>
      <c r="C18" s="1" t="s">
        <v>323</v>
      </c>
      <c r="D18" s="2" t="n">
        <v>0.045702171</v>
      </c>
      <c r="E18" s="2" t="n">
        <v>0.047612435</v>
      </c>
      <c r="F18" s="2" t="n">
        <v>0.093314606</v>
      </c>
      <c r="G18" s="2" t="n">
        <v>0.000229256396370004</v>
      </c>
      <c r="H18" s="2" t="n">
        <v>132</v>
      </c>
      <c r="I18" s="2" t="n">
        <v>5</v>
      </c>
      <c r="J18" s="2" t="n">
        <v>6</v>
      </c>
      <c r="K18" s="2" t="n">
        <v>3607.00265151515</v>
      </c>
      <c r="L18" s="2" t="n">
        <v>91404.342</v>
      </c>
      <c r="M18" s="2" t="n">
        <v>76170.285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3.11"/>
    <col collapsed="false" customWidth="true" hidden="false" outlineLevel="0" max="3" min="3" style="2" width="24.21"/>
  </cols>
  <sheetData>
    <row r="2" customFormat="false" ht="14.25" hidden="false" customHeight="true" outlineLevel="0" collapsed="false">
      <c r="B2" s="1" t="s">
        <v>337</v>
      </c>
      <c r="C2" s="2" t="s">
        <v>338</v>
      </c>
    </row>
    <row r="3" customFormat="false" ht="14.25" hidden="false" customHeight="true" outlineLevel="0" collapsed="false">
      <c r="B3" s="1" t="s">
        <v>2</v>
      </c>
      <c r="C3" s="2" t="s">
        <v>339</v>
      </c>
    </row>
    <row r="5" customFormat="false" ht="14.25" hidden="false" customHeight="true" outlineLevel="0" collapsed="false">
      <c r="B5" s="1" t="s">
        <v>173</v>
      </c>
      <c r="C5" s="2" t="s">
        <v>5</v>
      </c>
    </row>
    <row r="6" customFormat="false" ht="14.25" hidden="false" customHeight="true" outlineLevel="0" collapsed="false">
      <c r="B6" s="94" t="s">
        <v>153</v>
      </c>
      <c r="C6" s="2" t="n">
        <v>14551323.768</v>
      </c>
      <c r="D6" s="7"/>
    </row>
    <row r="7" customFormat="false" ht="14.25" hidden="false" customHeight="true" outlineLevel="0" collapsed="false">
      <c r="B7" s="94" t="s">
        <v>151</v>
      </c>
      <c r="C7" s="2" t="n">
        <v>10020366.62</v>
      </c>
      <c r="D7" s="7"/>
    </row>
    <row r="8" customFormat="false" ht="14.25" hidden="false" customHeight="true" outlineLevel="0" collapsed="false">
      <c r="B8" s="94" t="s">
        <v>340</v>
      </c>
      <c r="C8" s="2" t="n">
        <v>8628929.78</v>
      </c>
      <c r="D8" s="7"/>
    </row>
    <row r="9" customFormat="false" ht="14.25" hidden="false" customHeight="true" outlineLevel="0" collapsed="false">
      <c r="B9" s="94" t="s">
        <v>341</v>
      </c>
      <c r="C9" s="2" t="n">
        <v>6324571.76</v>
      </c>
      <c r="D9" s="7"/>
    </row>
    <row r="10" customFormat="false" ht="14.25" hidden="false" customHeight="true" outlineLevel="0" collapsed="false">
      <c r="B10" s="94" t="s">
        <v>342</v>
      </c>
      <c r="C10" s="2" t="n">
        <v>6296333.87</v>
      </c>
      <c r="D10" s="7"/>
    </row>
    <row r="11" customFormat="false" ht="14.25" hidden="false" customHeight="true" outlineLevel="0" collapsed="false">
      <c r="B11" s="94" t="s">
        <v>343</v>
      </c>
      <c r="C11" s="2" t="n">
        <v>4554007.96</v>
      </c>
      <c r="D11" s="7"/>
    </row>
    <row r="12" customFormat="false" ht="14.25" hidden="false" customHeight="true" outlineLevel="0" collapsed="false">
      <c r="B12" s="94" t="s">
        <v>344</v>
      </c>
      <c r="C12" s="2" t="n">
        <v>4309163.6</v>
      </c>
      <c r="D12" s="7"/>
    </row>
    <row r="13" customFormat="false" ht="14.25" hidden="false" customHeight="true" outlineLevel="0" collapsed="false">
      <c r="B13" s="94" t="s">
        <v>345</v>
      </c>
      <c r="C13" s="2" t="n">
        <v>4171650.36</v>
      </c>
      <c r="D13" s="7"/>
    </row>
    <row r="14" customFormat="false" ht="14.25" hidden="false" customHeight="true" outlineLevel="0" collapsed="false">
      <c r="B14" s="94" t="s">
        <v>346</v>
      </c>
      <c r="C14" s="2" t="n">
        <v>3609737.29000001</v>
      </c>
      <c r="D14" s="7"/>
    </row>
    <row r="15" customFormat="false" ht="14.25" hidden="false" customHeight="true" outlineLevel="0" collapsed="false">
      <c r="B15" s="94" t="s">
        <v>347</v>
      </c>
      <c r="C15" s="2" t="n">
        <v>3173370.81</v>
      </c>
      <c r="D15" s="7"/>
    </row>
    <row r="16" customFormat="false" ht="14.25" hidden="false" customHeight="true" outlineLevel="0" collapsed="false">
      <c r="B16" s="94" t="s">
        <v>348</v>
      </c>
      <c r="C16" s="2" t="n">
        <v>2856290.88</v>
      </c>
      <c r="D16" s="7"/>
    </row>
    <row r="17" customFormat="false" ht="14.25" hidden="false" customHeight="true" outlineLevel="0" collapsed="false">
      <c r="B17" s="94" t="s">
        <v>349</v>
      </c>
      <c r="C17" s="2" t="n">
        <v>2828280</v>
      </c>
      <c r="D17" s="7"/>
    </row>
    <row r="18" customFormat="false" ht="14.25" hidden="false" customHeight="true" outlineLevel="0" collapsed="false">
      <c r="B18" s="94" t="s">
        <v>350</v>
      </c>
      <c r="C18" s="2" t="n">
        <v>2605858.91</v>
      </c>
      <c r="D18" s="7"/>
    </row>
    <row r="19" customFormat="false" ht="14.25" hidden="false" customHeight="true" outlineLevel="0" collapsed="false">
      <c r="B19" s="94" t="s">
        <v>351</v>
      </c>
      <c r="C19" s="2" t="n">
        <v>2566046</v>
      </c>
      <c r="D19" s="7"/>
    </row>
    <row r="20" customFormat="false" ht="14.25" hidden="false" customHeight="true" outlineLevel="0" collapsed="false">
      <c r="B20" s="94" t="s">
        <v>352</v>
      </c>
      <c r="C20" s="2" t="n">
        <v>2485104.94</v>
      </c>
      <c r="D20" s="7"/>
    </row>
    <row r="21" customFormat="false" ht="14.25" hidden="false" customHeight="true" outlineLevel="0" collapsed="false">
      <c r="B21" s="94" t="s">
        <v>353</v>
      </c>
      <c r="C21" s="2" t="n">
        <v>2184957.69</v>
      </c>
      <c r="D21" s="7"/>
    </row>
    <row r="22" customFormat="false" ht="14.25" hidden="false" customHeight="true" outlineLevel="0" collapsed="false">
      <c r="B22" s="94" t="s">
        <v>354</v>
      </c>
      <c r="C22" s="2" t="n">
        <v>1872254.72</v>
      </c>
      <c r="D22" s="7"/>
    </row>
    <row r="23" customFormat="false" ht="14.25" hidden="false" customHeight="true" outlineLevel="0" collapsed="false">
      <c r="B23" s="94" t="s">
        <v>355</v>
      </c>
      <c r="C23" s="2" t="n">
        <v>1822190.58</v>
      </c>
      <c r="D23" s="7"/>
    </row>
    <row r="24" customFormat="false" ht="14.25" hidden="false" customHeight="true" outlineLevel="0" collapsed="false">
      <c r="B24" s="94" t="s">
        <v>356</v>
      </c>
      <c r="C24" s="2" t="n">
        <v>1718062.48</v>
      </c>
      <c r="D24" s="7"/>
    </row>
    <row r="25" customFormat="false" ht="14.25" hidden="false" customHeight="true" outlineLevel="0" collapsed="false">
      <c r="B25" s="94" t="s">
        <v>357</v>
      </c>
      <c r="C25" s="2" t="n">
        <v>1695750</v>
      </c>
      <c r="D25" s="7"/>
    </row>
    <row r="26" customFormat="false" ht="14.25" hidden="false" customHeight="true" outlineLevel="0" collapsed="false">
      <c r="B26" s="94" t="s">
        <v>358</v>
      </c>
      <c r="C26" s="2" t="n">
        <v>1371636</v>
      </c>
      <c r="D26" s="7"/>
    </row>
    <row r="27" customFormat="false" ht="14.25" hidden="false" customHeight="true" outlineLevel="0" collapsed="false">
      <c r="B27" s="94" t="s">
        <v>359</v>
      </c>
      <c r="C27" s="2" t="n">
        <v>1358197.4</v>
      </c>
      <c r="D27" s="7"/>
    </row>
    <row r="28" customFormat="false" ht="14.25" hidden="false" customHeight="true" outlineLevel="0" collapsed="false">
      <c r="B28" s="94" t="s">
        <v>360</v>
      </c>
      <c r="C28" s="2" t="n">
        <v>1353653</v>
      </c>
      <c r="D28" s="7"/>
    </row>
    <row r="29" customFormat="false" ht="14.25" hidden="false" customHeight="true" outlineLevel="0" collapsed="false">
      <c r="B29" s="94" t="s">
        <v>361</v>
      </c>
      <c r="C29" s="2" t="n">
        <v>1343813</v>
      </c>
    </row>
    <row r="30" customFormat="false" ht="14.25" hidden="false" customHeight="true" outlineLevel="0" collapsed="false">
      <c r="B30" s="94" t="s">
        <v>362</v>
      </c>
      <c r="C30" s="2" t="n">
        <v>1300219.98</v>
      </c>
    </row>
    <row r="31" customFormat="false" ht="14.25" hidden="false" customHeight="true" outlineLevel="0" collapsed="false">
      <c r="B31" s="94" t="s">
        <v>363</v>
      </c>
      <c r="C31" s="2" t="n">
        <v>1187812.5</v>
      </c>
    </row>
    <row r="32" customFormat="false" ht="14.25" hidden="false" customHeight="true" outlineLevel="0" collapsed="false">
      <c r="B32" s="94" t="s">
        <v>364</v>
      </c>
      <c r="C32" s="2" t="n">
        <v>1121994.7</v>
      </c>
    </row>
    <row r="33" customFormat="false" ht="14.25" hidden="false" customHeight="true" outlineLevel="0" collapsed="false">
      <c r="B33" s="94" t="s">
        <v>365</v>
      </c>
      <c r="C33" s="2" t="n">
        <v>1095759.36</v>
      </c>
    </row>
    <row r="34" customFormat="false" ht="14.25" hidden="false" customHeight="true" outlineLevel="0" collapsed="false">
      <c r="B34" s="94" t="s">
        <v>366</v>
      </c>
      <c r="C34" s="2" t="n">
        <v>1032745</v>
      </c>
    </row>
    <row r="35" customFormat="false" ht="14.25" hidden="false" customHeight="true" outlineLevel="0" collapsed="false">
      <c r="B35" s="94" t="s">
        <v>367</v>
      </c>
      <c r="C35" s="2" t="n">
        <v>1009293.28</v>
      </c>
    </row>
    <row r="36" customFormat="false" ht="14.25" hidden="false" customHeight="true" outlineLevel="0" collapsed="false">
      <c r="B36" s="94" t="s">
        <v>368</v>
      </c>
      <c r="C36" s="2" t="n">
        <v>971718.96</v>
      </c>
    </row>
    <row r="37" customFormat="false" ht="14.25" hidden="false" customHeight="true" outlineLevel="0" collapsed="false">
      <c r="B37" s="94" t="s">
        <v>369</v>
      </c>
      <c r="C37" s="2" t="n">
        <v>924644.7</v>
      </c>
    </row>
    <row r="38" customFormat="false" ht="14.25" hidden="false" customHeight="true" outlineLevel="0" collapsed="false">
      <c r="B38" s="94" t="s">
        <v>370</v>
      </c>
      <c r="C38" s="2" t="n">
        <v>914409.739999999</v>
      </c>
    </row>
    <row r="39" customFormat="false" ht="14.25" hidden="false" customHeight="true" outlineLevel="0" collapsed="false">
      <c r="B39" s="94" t="s">
        <v>371</v>
      </c>
      <c r="C39" s="2" t="n">
        <v>879515</v>
      </c>
    </row>
    <row r="40" customFormat="false" ht="14.25" hidden="false" customHeight="true" outlineLevel="0" collapsed="false">
      <c r="B40" s="94" t="s">
        <v>372</v>
      </c>
      <c r="C40" s="2" t="n">
        <v>876131.2</v>
      </c>
    </row>
    <row r="41" customFormat="false" ht="14.25" hidden="false" customHeight="true" outlineLevel="0" collapsed="false">
      <c r="B41" s="94" t="s">
        <v>373</v>
      </c>
      <c r="C41" s="2" t="n">
        <v>800094.36</v>
      </c>
    </row>
    <row r="42" customFormat="false" ht="14.25" hidden="false" customHeight="true" outlineLevel="0" collapsed="false">
      <c r="B42" s="94" t="s">
        <v>374</v>
      </c>
      <c r="C42" s="2" t="n">
        <v>776496</v>
      </c>
    </row>
    <row r="43" customFormat="false" ht="14.25" hidden="false" customHeight="true" outlineLevel="0" collapsed="false">
      <c r="B43" s="94" t="s">
        <v>375</v>
      </c>
      <c r="C43" s="2" t="n">
        <v>770329</v>
      </c>
    </row>
    <row r="44" customFormat="false" ht="14.25" hidden="false" customHeight="true" outlineLevel="0" collapsed="false">
      <c r="B44" s="94" t="s">
        <v>376</v>
      </c>
      <c r="C44" s="2" t="n">
        <v>768993.78</v>
      </c>
    </row>
    <row r="45" customFormat="false" ht="14.25" hidden="false" customHeight="true" outlineLevel="0" collapsed="false">
      <c r="B45" s="94" t="s">
        <v>145</v>
      </c>
      <c r="C45" s="2" t="n">
        <v>736857.48</v>
      </c>
    </row>
    <row r="46" customFormat="false" ht="14.25" hidden="false" customHeight="true" outlineLevel="0" collapsed="false">
      <c r="B46" s="94" t="s">
        <v>377</v>
      </c>
      <c r="C46" s="2" t="n">
        <v>721253.76</v>
      </c>
    </row>
    <row r="47" customFormat="false" ht="14.25" hidden="false" customHeight="true" outlineLevel="0" collapsed="false">
      <c r="B47" s="94" t="s">
        <v>378</v>
      </c>
      <c r="C47" s="2" t="n">
        <v>682746.64</v>
      </c>
    </row>
    <row r="48" customFormat="false" ht="14.25" hidden="false" customHeight="true" outlineLevel="0" collapsed="false">
      <c r="B48" s="94" t="s">
        <v>379</v>
      </c>
      <c r="C48" s="2" t="n">
        <v>664835.26</v>
      </c>
    </row>
    <row r="49" customFormat="false" ht="14.25" hidden="false" customHeight="true" outlineLevel="0" collapsed="false">
      <c r="B49" s="94" t="s">
        <v>380</v>
      </c>
      <c r="C49" s="2" t="n">
        <v>647681.68</v>
      </c>
    </row>
    <row r="50" customFormat="false" ht="14.25" hidden="false" customHeight="true" outlineLevel="0" collapsed="false">
      <c r="B50" s="94" t="s">
        <v>381</v>
      </c>
      <c r="C50" s="2" t="n">
        <v>644784</v>
      </c>
    </row>
    <row r="51" customFormat="false" ht="14.25" hidden="false" customHeight="true" outlineLevel="0" collapsed="false">
      <c r="B51" s="94" t="s">
        <v>382</v>
      </c>
      <c r="C51" s="2" t="n">
        <v>610489.6</v>
      </c>
    </row>
    <row r="52" customFormat="false" ht="14.25" hidden="false" customHeight="true" outlineLevel="0" collapsed="false">
      <c r="B52" s="94" t="s">
        <v>383</v>
      </c>
      <c r="C52" s="2" t="n">
        <v>574717.5</v>
      </c>
    </row>
    <row r="53" customFormat="false" ht="14.25" hidden="false" customHeight="true" outlineLevel="0" collapsed="false">
      <c r="B53" s="94" t="s">
        <v>384</v>
      </c>
      <c r="C53" s="2" t="n">
        <v>560627.36</v>
      </c>
    </row>
    <row r="54" customFormat="false" ht="14.25" hidden="false" customHeight="true" outlineLevel="0" collapsed="false">
      <c r="B54" s="94" t="s">
        <v>385</v>
      </c>
      <c r="C54" s="2" t="n">
        <v>540172.5</v>
      </c>
    </row>
    <row r="55" customFormat="false" ht="14.25" hidden="false" customHeight="true" outlineLevel="0" collapsed="false">
      <c r="B55" s="94" t="s">
        <v>386</v>
      </c>
      <c r="C55" s="2" t="n">
        <v>523057.4</v>
      </c>
    </row>
    <row r="56" customFormat="false" ht="14.25" hidden="false" customHeight="true" outlineLevel="0" collapsed="false">
      <c r="B56" s="94" t="s">
        <v>387</v>
      </c>
      <c r="C56" s="2" t="n">
        <v>478041.268</v>
      </c>
    </row>
    <row r="57" customFormat="false" ht="14.25" hidden="false" customHeight="true" outlineLevel="0" collapsed="false">
      <c r="B57" s="94" t="s">
        <v>388</v>
      </c>
      <c r="C57" s="2" t="n">
        <v>474852.26</v>
      </c>
    </row>
    <row r="58" customFormat="false" ht="14.25" hidden="false" customHeight="true" outlineLevel="0" collapsed="false">
      <c r="B58" s="94" t="s">
        <v>389</v>
      </c>
      <c r="C58" s="2" t="n">
        <v>474751.9</v>
      </c>
    </row>
    <row r="59" customFormat="false" ht="14.25" hidden="false" customHeight="true" outlineLevel="0" collapsed="false">
      <c r="B59" s="94" t="s">
        <v>390</v>
      </c>
      <c r="C59" s="2" t="n">
        <v>474075</v>
      </c>
    </row>
    <row r="60" customFormat="false" ht="14.25" hidden="false" customHeight="true" outlineLevel="0" collapsed="false">
      <c r="B60" s="94" t="s">
        <v>391</v>
      </c>
      <c r="C60" s="2" t="n">
        <v>375391.48</v>
      </c>
    </row>
    <row r="61" customFormat="false" ht="14.25" hidden="false" customHeight="true" outlineLevel="0" collapsed="false">
      <c r="B61" s="94" t="s">
        <v>392</v>
      </c>
      <c r="C61" s="2" t="n">
        <v>348194</v>
      </c>
    </row>
    <row r="62" customFormat="false" ht="14.25" hidden="false" customHeight="true" outlineLevel="0" collapsed="false">
      <c r="B62" s="94" t="s">
        <v>393</v>
      </c>
      <c r="C62" s="2" t="n">
        <v>347901.8</v>
      </c>
    </row>
    <row r="63" customFormat="false" ht="14.25" hidden="false" customHeight="true" outlineLevel="0" collapsed="false">
      <c r="B63" s="94" t="s">
        <v>394</v>
      </c>
      <c r="C63" s="2" t="n">
        <v>327024.58</v>
      </c>
    </row>
    <row r="64" customFormat="false" ht="14.25" hidden="false" customHeight="true" outlineLevel="0" collapsed="false">
      <c r="B64" s="94" t="s">
        <v>395</v>
      </c>
      <c r="C64" s="2" t="n">
        <v>310081.9</v>
      </c>
    </row>
    <row r="65" customFormat="false" ht="14.25" hidden="false" customHeight="true" outlineLevel="0" collapsed="false">
      <c r="B65" s="94" t="s">
        <v>396</v>
      </c>
      <c r="C65" s="2" t="n">
        <v>307980</v>
      </c>
    </row>
    <row r="66" customFormat="false" ht="14.25" hidden="false" customHeight="true" outlineLevel="0" collapsed="false">
      <c r="B66" s="94" t="s">
        <v>397</v>
      </c>
      <c r="C66" s="2" t="n">
        <v>274739.86</v>
      </c>
    </row>
    <row r="67" customFormat="false" ht="14.25" hidden="false" customHeight="true" outlineLevel="0" collapsed="false">
      <c r="B67" s="94" t="s">
        <v>398</v>
      </c>
      <c r="C67" s="2" t="n">
        <v>267521.36</v>
      </c>
    </row>
    <row r="68" customFormat="false" ht="14.25" hidden="false" customHeight="true" outlineLevel="0" collapsed="false">
      <c r="B68" s="94" t="s">
        <v>399</v>
      </c>
      <c r="C68" s="2" t="n">
        <v>264288.1</v>
      </c>
    </row>
    <row r="69" customFormat="false" ht="14.25" hidden="false" customHeight="true" outlineLevel="0" collapsed="false">
      <c r="B69" s="94" t="s">
        <v>400</v>
      </c>
      <c r="C69" s="2" t="n">
        <v>253010.8</v>
      </c>
    </row>
    <row r="70" customFormat="false" ht="14.25" hidden="false" customHeight="true" outlineLevel="0" collapsed="false">
      <c r="B70" s="94" t="s">
        <v>401</v>
      </c>
      <c r="C70" s="2" t="n">
        <v>240962.44</v>
      </c>
    </row>
    <row r="71" customFormat="false" ht="14.25" hidden="false" customHeight="true" outlineLevel="0" collapsed="false">
      <c r="B71" s="94" t="s">
        <v>402</v>
      </c>
      <c r="C71" s="2" t="n">
        <v>194523.51</v>
      </c>
    </row>
    <row r="72" customFormat="false" ht="14.25" hidden="false" customHeight="true" outlineLevel="0" collapsed="false">
      <c r="B72" s="94" t="s">
        <v>403</v>
      </c>
      <c r="C72" s="2" t="n">
        <v>191402.09</v>
      </c>
    </row>
    <row r="73" customFormat="false" ht="14.25" hidden="false" customHeight="true" outlineLevel="0" collapsed="false">
      <c r="B73" s="94" t="s">
        <v>404</v>
      </c>
      <c r="C73" s="2" t="n">
        <v>183393.28</v>
      </c>
    </row>
    <row r="74" customFormat="false" ht="14.25" hidden="false" customHeight="true" outlineLevel="0" collapsed="false">
      <c r="B74" s="94" t="s">
        <v>405</v>
      </c>
      <c r="C74" s="2" t="n">
        <v>180464.9</v>
      </c>
    </row>
    <row r="75" customFormat="false" ht="14.25" hidden="false" customHeight="true" outlineLevel="0" collapsed="false">
      <c r="B75" s="94" t="s">
        <v>406</v>
      </c>
      <c r="C75" s="2" t="n">
        <v>176249.6</v>
      </c>
    </row>
    <row r="76" customFormat="false" ht="14.25" hidden="false" customHeight="true" outlineLevel="0" collapsed="false">
      <c r="B76" s="94" t="s">
        <v>407</v>
      </c>
      <c r="C76" s="2" t="n">
        <v>170100</v>
      </c>
    </row>
    <row r="77" customFormat="false" ht="14.25" hidden="false" customHeight="true" outlineLevel="0" collapsed="false">
      <c r="B77" s="94" t="s">
        <v>408</v>
      </c>
      <c r="C77" s="2" t="n">
        <v>151775.4</v>
      </c>
    </row>
    <row r="78" customFormat="false" ht="14.25" hidden="false" customHeight="true" outlineLevel="0" collapsed="false">
      <c r="B78" s="94" t="s">
        <v>409</v>
      </c>
      <c r="C78" s="2" t="n">
        <v>148700</v>
      </c>
    </row>
    <row r="79" customFormat="false" ht="14.25" hidden="false" customHeight="true" outlineLevel="0" collapsed="false">
      <c r="B79" s="94" t="s">
        <v>410</v>
      </c>
      <c r="C79" s="2" t="n">
        <v>140504</v>
      </c>
    </row>
    <row r="80" customFormat="false" ht="14.25" hidden="false" customHeight="true" outlineLevel="0" collapsed="false">
      <c r="B80" s="94" t="s">
        <v>411</v>
      </c>
      <c r="C80" s="2" t="n">
        <v>136192</v>
      </c>
    </row>
    <row r="81" customFormat="false" ht="14.25" hidden="false" customHeight="true" outlineLevel="0" collapsed="false">
      <c r="B81" s="94" t="s">
        <v>412</v>
      </c>
      <c r="C81" s="2" t="n">
        <v>136014.47</v>
      </c>
    </row>
    <row r="82" customFormat="false" ht="14.25" hidden="false" customHeight="true" outlineLevel="0" collapsed="false">
      <c r="B82" s="94" t="s">
        <v>413</v>
      </c>
      <c r="C82" s="2" t="n">
        <v>134397.48</v>
      </c>
    </row>
    <row r="83" customFormat="false" ht="14.25" hidden="false" customHeight="true" outlineLevel="0" collapsed="false">
      <c r="B83" s="94" t="s">
        <v>414</v>
      </c>
      <c r="C83" s="2" t="n">
        <v>134166.54</v>
      </c>
    </row>
    <row r="84" customFormat="false" ht="14.25" hidden="false" customHeight="true" outlineLevel="0" collapsed="false">
      <c r="B84" s="94" t="s">
        <v>415</v>
      </c>
      <c r="C84" s="2" t="n">
        <v>130272</v>
      </c>
    </row>
    <row r="85" customFormat="false" ht="14.25" hidden="false" customHeight="true" outlineLevel="0" collapsed="false">
      <c r="B85" s="94" t="s">
        <v>416</v>
      </c>
      <c r="C85" s="2" t="n">
        <v>126210</v>
      </c>
    </row>
    <row r="86" customFormat="false" ht="14.25" hidden="false" customHeight="true" outlineLevel="0" collapsed="false">
      <c r="B86" s="94" t="s">
        <v>417</v>
      </c>
      <c r="C86" s="2" t="n">
        <v>122289.93</v>
      </c>
    </row>
    <row r="87" customFormat="false" ht="14.25" hidden="false" customHeight="true" outlineLevel="0" collapsed="false">
      <c r="B87" s="94" t="s">
        <v>418</v>
      </c>
      <c r="C87" s="2" t="n">
        <v>116609.66</v>
      </c>
    </row>
    <row r="88" customFormat="false" ht="14.25" hidden="false" customHeight="true" outlineLevel="0" collapsed="false">
      <c r="B88" s="94" t="s">
        <v>419</v>
      </c>
      <c r="C88" s="2" t="n">
        <v>116223.6</v>
      </c>
    </row>
    <row r="89" customFormat="false" ht="14.25" hidden="false" customHeight="true" outlineLevel="0" collapsed="false">
      <c r="B89" s="94" t="s">
        <v>420</v>
      </c>
      <c r="C89" s="2" t="n">
        <v>108000</v>
      </c>
    </row>
    <row r="90" customFormat="false" ht="14.25" hidden="false" customHeight="true" outlineLevel="0" collapsed="false">
      <c r="B90" s="94" t="s">
        <v>421</v>
      </c>
      <c r="C90" s="2" t="n">
        <v>94080</v>
      </c>
    </row>
    <row r="91" customFormat="false" ht="14.25" hidden="false" customHeight="true" outlineLevel="0" collapsed="false">
      <c r="B91" s="94" t="s">
        <v>422</v>
      </c>
      <c r="C91" s="2" t="n">
        <v>88752.32</v>
      </c>
    </row>
    <row r="92" customFormat="false" ht="14.25" hidden="false" customHeight="true" outlineLevel="0" collapsed="false">
      <c r="B92" s="94" t="s">
        <v>423</v>
      </c>
      <c r="C92" s="2" t="n">
        <v>84840</v>
      </c>
    </row>
    <row r="93" customFormat="false" ht="14.25" hidden="false" customHeight="true" outlineLevel="0" collapsed="false">
      <c r="B93" s="94" t="s">
        <v>424</v>
      </c>
      <c r="C93" s="2" t="n">
        <v>82676.6</v>
      </c>
    </row>
    <row r="94" customFormat="false" ht="14.25" hidden="false" customHeight="true" outlineLevel="0" collapsed="false">
      <c r="B94" s="94" t="s">
        <v>425</v>
      </c>
      <c r="C94" s="2" t="n">
        <v>82387.6</v>
      </c>
    </row>
    <row r="95" customFormat="false" ht="14.25" hidden="false" customHeight="true" outlineLevel="0" collapsed="false">
      <c r="B95" s="94" t="s">
        <v>426</v>
      </c>
      <c r="C95" s="2" t="n">
        <v>78692.26</v>
      </c>
    </row>
    <row r="96" customFormat="false" ht="14.25" hidden="false" customHeight="true" outlineLevel="0" collapsed="false">
      <c r="B96" s="94" t="s">
        <v>427</v>
      </c>
      <c r="C96" s="2" t="n">
        <v>76627.6</v>
      </c>
    </row>
    <row r="97" customFormat="false" ht="14.25" hidden="false" customHeight="true" outlineLevel="0" collapsed="false">
      <c r="B97" s="94" t="s">
        <v>428</v>
      </c>
      <c r="C97" s="2" t="n">
        <v>64925</v>
      </c>
    </row>
    <row r="98" customFormat="false" ht="14.25" hidden="false" customHeight="true" outlineLevel="0" collapsed="false">
      <c r="B98" s="94" t="s">
        <v>429</v>
      </c>
      <c r="C98" s="2" t="n">
        <v>63665</v>
      </c>
    </row>
    <row r="99" customFormat="false" ht="14.25" hidden="false" customHeight="true" outlineLevel="0" collapsed="false">
      <c r="B99" s="94" t="s">
        <v>430</v>
      </c>
      <c r="C99" s="2" t="n">
        <v>60228.21</v>
      </c>
    </row>
    <row r="100" customFormat="false" ht="14.25" hidden="false" customHeight="true" outlineLevel="0" collapsed="false">
      <c r="B100" s="94" t="s">
        <v>431</v>
      </c>
      <c r="C100" s="2" t="n">
        <v>57820</v>
      </c>
    </row>
    <row r="101" customFormat="false" ht="14.25" hidden="false" customHeight="true" outlineLevel="0" collapsed="false">
      <c r="B101" s="94" t="s">
        <v>432</v>
      </c>
      <c r="C101" s="2" t="n">
        <v>56070</v>
      </c>
    </row>
    <row r="102" customFormat="false" ht="14.25" hidden="false" customHeight="true" outlineLevel="0" collapsed="false">
      <c r="B102" s="94" t="s">
        <v>433</v>
      </c>
      <c r="C102" s="2" t="n">
        <v>55664</v>
      </c>
    </row>
    <row r="103" customFormat="false" ht="14.25" hidden="false" customHeight="true" outlineLevel="0" collapsed="false">
      <c r="B103" s="94" t="s">
        <v>434</v>
      </c>
      <c r="C103" s="2" t="n">
        <v>55363</v>
      </c>
    </row>
    <row r="104" customFormat="false" ht="14.25" hidden="false" customHeight="true" outlineLevel="0" collapsed="false">
      <c r="B104" s="94" t="s">
        <v>435</v>
      </c>
      <c r="C104" s="2" t="n">
        <v>51117.6</v>
      </c>
    </row>
    <row r="105" customFormat="false" ht="14.25" hidden="false" customHeight="true" outlineLevel="0" collapsed="false">
      <c r="B105" s="94" t="s">
        <v>436</v>
      </c>
      <c r="C105" s="2" t="n">
        <v>50915.2</v>
      </c>
    </row>
    <row r="106" customFormat="false" ht="14.25" hidden="false" customHeight="true" outlineLevel="0" collapsed="false">
      <c r="B106" s="94" t="s">
        <v>437</v>
      </c>
      <c r="C106" s="2" t="n">
        <v>49280</v>
      </c>
    </row>
    <row r="107" customFormat="false" ht="14.25" hidden="false" customHeight="true" outlineLevel="0" collapsed="false">
      <c r="B107" s="94" t="s">
        <v>438</v>
      </c>
      <c r="C107" s="2" t="n">
        <v>48058.5</v>
      </c>
    </row>
    <row r="108" customFormat="false" ht="14.25" hidden="false" customHeight="true" outlineLevel="0" collapsed="false">
      <c r="B108" s="94" t="s">
        <v>439</v>
      </c>
      <c r="C108" s="2" t="n">
        <v>48000</v>
      </c>
    </row>
    <row r="109" customFormat="false" ht="14.25" hidden="false" customHeight="true" outlineLevel="0" collapsed="false">
      <c r="B109" s="94" t="s">
        <v>440</v>
      </c>
      <c r="C109" s="2" t="n">
        <v>46830</v>
      </c>
    </row>
    <row r="110" customFormat="false" ht="14.25" hidden="false" customHeight="true" outlineLevel="0" collapsed="false">
      <c r="B110" s="94" t="s">
        <v>441</v>
      </c>
      <c r="C110" s="2" t="n">
        <v>45738</v>
      </c>
    </row>
    <row r="111" customFormat="false" ht="14.25" hidden="false" customHeight="true" outlineLevel="0" collapsed="false">
      <c r="B111" s="94" t="s">
        <v>442</v>
      </c>
      <c r="C111" s="2" t="n">
        <v>43549.28</v>
      </c>
    </row>
    <row r="112" customFormat="false" ht="14.25" hidden="false" customHeight="true" outlineLevel="0" collapsed="false">
      <c r="B112" s="94" t="s">
        <v>443</v>
      </c>
      <c r="C112" s="2" t="n">
        <v>39900</v>
      </c>
    </row>
    <row r="113" customFormat="false" ht="14.25" hidden="false" customHeight="true" outlineLevel="0" collapsed="false">
      <c r="B113" s="94" t="s">
        <v>444</v>
      </c>
      <c r="C113" s="2" t="n">
        <v>36560.16</v>
      </c>
    </row>
    <row r="114" customFormat="false" ht="14.25" hidden="false" customHeight="true" outlineLevel="0" collapsed="false">
      <c r="B114" s="94" t="s">
        <v>445</v>
      </c>
      <c r="C114" s="2" t="n">
        <v>33992</v>
      </c>
    </row>
    <row r="115" customFormat="false" ht="14.25" hidden="false" customHeight="true" outlineLevel="0" collapsed="false">
      <c r="B115" s="94" t="s">
        <v>446</v>
      </c>
      <c r="C115" s="2" t="n">
        <v>33048.76</v>
      </c>
    </row>
    <row r="116" customFormat="false" ht="14.25" hidden="false" customHeight="true" outlineLevel="0" collapsed="false">
      <c r="B116" s="94" t="s">
        <v>447</v>
      </c>
      <c r="C116" s="2" t="n">
        <v>32602.5</v>
      </c>
    </row>
    <row r="117" customFormat="false" ht="14.25" hidden="false" customHeight="true" outlineLevel="0" collapsed="false">
      <c r="B117" s="94" t="s">
        <v>448</v>
      </c>
      <c r="C117" s="2" t="n">
        <v>30300</v>
      </c>
    </row>
    <row r="118" customFormat="false" ht="14.25" hidden="false" customHeight="true" outlineLevel="0" collapsed="false">
      <c r="B118" s="94" t="s">
        <v>449</v>
      </c>
      <c r="C118" s="2" t="n">
        <v>29264</v>
      </c>
    </row>
    <row r="119" customFormat="false" ht="14.25" hidden="false" customHeight="true" outlineLevel="0" collapsed="false">
      <c r="B119" s="94" t="s">
        <v>450</v>
      </c>
      <c r="C119" s="2" t="n">
        <v>27993.76</v>
      </c>
    </row>
    <row r="120" customFormat="false" ht="14.25" hidden="false" customHeight="true" outlineLevel="0" collapsed="false">
      <c r="B120" s="94" t="s">
        <v>451</v>
      </c>
      <c r="C120" s="2" t="n">
        <v>26418.7</v>
      </c>
    </row>
    <row r="121" customFormat="false" ht="14.25" hidden="false" customHeight="true" outlineLevel="0" collapsed="false">
      <c r="B121" s="94" t="s">
        <v>452</v>
      </c>
      <c r="C121" s="2" t="n">
        <v>26021.8</v>
      </c>
    </row>
    <row r="122" customFormat="false" ht="14.25" hidden="false" customHeight="true" outlineLevel="0" collapsed="false">
      <c r="B122" s="94" t="s">
        <v>453</v>
      </c>
      <c r="C122" s="2" t="n">
        <v>25116</v>
      </c>
    </row>
    <row r="123" customFormat="false" ht="14.25" hidden="false" customHeight="true" outlineLevel="0" collapsed="false">
      <c r="B123" s="94" t="s">
        <v>454</v>
      </c>
      <c r="C123" s="2" t="n">
        <v>24541.78</v>
      </c>
    </row>
    <row r="124" customFormat="false" ht="14.25" hidden="false" customHeight="true" outlineLevel="0" collapsed="false">
      <c r="B124" s="94" t="s">
        <v>455</v>
      </c>
      <c r="C124" s="2" t="n">
        <v>23999.98</v>
      </c>
    </row>
    <row r="125" customFormat="false" ht="14.25" hidden="false" customHeight="true" outlineLevel="0" collapsed="false">
      <c r="B125" s="94" t="s">
        <v>456</v>
      </c>
      <c r="C125" s="2" t="n">
        <v>22400</v>
      </c>
    </row>
    <row r="126" customFormat="false" ht="14.25" hidden="false" customHeight="true" outlineLevel="0" collapsed="false">
      <c r="B126" s="94" t="s">
        <v>457</v>
      </c>
      <c r="C126" s="2" t="n">
        <v>20950.16</v>
      </c>
    </row>
    <row r="127" customFormat="false" ht="14.25" hidden="false" customHeight="true" outlineLevel="0" collapsed="false">
      <c r="B127" s="94" t="s">
        <v>458</v>
      </c>
      <c r="C127" s="2" t="n">
        <v>19320</v>
      </c>
    </row>
    <row r="128" customFormat="false" ht="14.25" hidden="false" customHeight="true" outlineLevel="0" collapsed="false">
      <c r="B128" s="94" t="s">
        <v>459</v>
      </c>
      <c r="C128" s="2" t="n">
        <v>16688</v>
      </c>
    </row>
    <row r="129" customFormat="false" ht="14.25" hidden="false" customHeight="true" outlineLevel="0" collapsed="false">
      <c r="B129" s="94" t="s">
        <v>460</v>
      </c>
      <c r="C129" s="2" t="n">
        <v>16199.95</v>
      </c>
    </row>
    <row r="130" customFormat="false" ht="14.25" hidden="false" customHeight="true" outlineLevel="0" collapsed="false">
      <c r="B130" s="94" t="s">
        <v>461</v>
      </c>
      <c r="C130" s="2" t="n">
        <v>15694</v>
      </c>
    </row>
    <row r="131" customFormat="false" ht="14.25" hidden="false" customHeight="true" outlineLevel="0" collapsed="false">
      <c r="B131" s="94" t="s">
        <v>462</v>
      </c>
      <c r="C131" s="2" t="n">
        <v>15566.04</v>
      </c>
    </row>
    <row r="132" customFormat="false" ht="14.25" hidden="false" customHeight="true" outlineLevel="0" collapsed="false">
      <c r="B132" s="94" t="s">
        <v>463</v>
      </c>
      <c r="C132" s="2" t="n">
        <v>14910</v>
      </c>
    </row>
    <row r="133" customFormat="false" ht="14.25" hidden="false" customHeight="true" outlineLevel="0" collapsed="false">
      <c r="B133" s="94" t="s">
        <v>464</v>
      </c>
      <c r="C133" s="2" t="n">
        <v>14160</v>
      </c>
    </row>
    <row r="134" customFormat="false" ht="14.25" hidden="false" customHeight="true" outlineLevel="0" collapsed="false">
      <c r="B134" s="94" t="s">
        <v>465</v>
      </c>
      <c r="C134" s="2" t="n">
        <v>13440</v>
      </c>
    </row>
    <row r="135" customFormat="false" ht="14.25" hidden="false" customHeight="true" outlineLevel="0" collapsed="false">
      <c r="B135" s="94" t="s">
        <v>466</v>
      </c>
      <c r="C135" s="2" t="n">
        <v>10720</v>
      </c>
    </row>
    <row r="136" customFormat="false" ht="14.25" hidden="false" customHeight="true" outlineLevel="0" collapsed="false">
      <c r="B136" s="94" t="s">
        <v>467</v>
      </c>
      <c r="C136" s="2" t="n">
        <v>10692.5</v>
      </c>
    </row>
    <row r="137" customFormat="false" ht="14.25" hidden="false" customHeight="true" outlineLevel="0" collapsed="false">
      <c r="B137" s="94" t="s">
        <v>468</v>
      </c>
      <c r="C137" s="2" t="n">
        <v>9541.84</v>
      </c>
    </row>
    <row r="138" customFormat="false" ht="14.25" hidden="false" customHeight="true" outlineLevel="0" collapsed="false">
      <c r="B138" s="94" t="s">
        <v>469</v>
      </c>
      <c r="C138" s="2" t="n">
        <v>9381.02</v>
      </c>
    </row>
    <row r="139" customFormat="false" ht="14.25" hidden="false" customHeight="true" outlineLevel="0" collapsed="false">
      <c r="B139" s="94" t="s">
        <v>470</v>
      </c>
      <c r="C139" s="2" t="n">
        <v>8872.5</v>
      </c>
    </row>
    <row r="140" customFormat="false" ht="14.25" hidden="false" customHeight="true" outlineLevel="0" collapsed="false">
      <c r="B140" s="94" t="s">
        <v>471</v>
      </c>
      <c r="C140" s="2" t="n">
        <v>8833.65</v>
      </c>
    </row>
    <row r="141" customFormat="false" ht="14.25" hidden="false" customHeight="true" outlineLevel="0" collapsed="false">
      <c r="B141" s="94" t="s">
        <v>472</v>
      </c>
      <c r="C141" s="2" t="n">
        <v>8099.52</v>
      </c>
    </row>
    <row r="142" customFormat="false" ht="14.25" hidden="false" customHeight="true" outlineLevel="0" collapsed="false">
      <c r="B142" s="94" t="s">
        <v>473</v>
      </c>
      <c r="C142" s="2" t="n">
        <v>7720</v>
      </c>
    </row>
    <row r="143" customFormat="false" ht="14.25" hidden="false" customHeight="true" outlineLevel="0" collapsed="false">
      <c r="B143" s="94" t="s">
        <v>474</v>
      </c>
      <c r="C143" s="2" t="n">
        <v>7549.5</v>
      </c>
    </row>
    <row r="144" customFormat="false" ht="14.25" hidden="false" customHeight="true" outlineLevel="0" collapsed="false">
      <c r="B144" s="94" t="s">
        <v>475</v>
      </c>
      <c r="C144" s="2" t="n">
        <v>5040</v>
      </c>
    </row>
    <row r="145" customFormat="false" ht="14.25" hidden="false" customHeight="true" outlineLevel="0" collapsed="false">
      <c r="B145" s="94" t="s">
        <v>476</v>
      </c>
      <c r="C145" s="2" t="n">
        <v>4074</v>
      </c>
    </row>
    <row r="146" customFormat="false" ht="14.25" hidden="false" customHeight="true" outlineLevel="0" collapsed="false">
      <c r="B146" s="94" t="s">
        <v>477</v>
      </c>
      <c r="C146" s="2" t="n">
        <v>3363</v>
      </c>
    </row>
    <row r="147" customFormat="false" ht="14.25" hidden="false" customHeight="true" outlineLevel="0" collapsed="false">
      <c r="B147" s="94" t="s">
        <v>478</v>
      </c>
      <c r="C147" s="2" t="n">
        <v>3197.26</v>
      </c>
    </row>
    <row r="148" customFormat="false" ht="14.25" hidden="false" customHeight="true" outlineLevel="0" collapsed="false">
      <c r="B148" s="94" t="s">
        <v>479</v>
      </c>
      <c r="C148" s="2" t="n">
        <v>3150.6</v>
      </c>
    </row>
    <row r="149" customFormat="false" ht="14.25" hidden="false" customHeight="true" outlineLevel="0" collapsed="false">
      <c r="B149" s="94" t="s">
        <v>480</v>
      </c>
      <c r="C149" s="2" t="n">
        <v>3023.8</v>
      </c>
    </row>
    <row r="150" customFormat="false" ht="14.25" hidden="false" customHeight="true" outlineLevel="0" collapsed="false">
      <c r="B150" s="94" t="s">
        <v>481</v>
      </c>
      <c r="C150" s="2" t="n">
        <v>2655</v>
      </c>
    </row>
    <row r="151" customFormat="false" ht="14.25" hidden="false" customHeight="true" outlineLevel="0" collapsed="false">
      <c r="B151" s="94" t="s">
        <v>482</v>
      </c>
      <c r="C151" s="2" t="n">
        <v>2471.57</v>
      </c>
    </row>
    <row r="152" customFormat="false" ht="14.25" hidden="false" customHeight="true" outlineLevel="0" collapsed="false">
      <c r="B152" s="94" t="s">
        <v>483</v>
      </c>
      <c r="C152" s="2" t="n">
        <v>1890</v>
      </c>
    </row>
    <row r="153" customFormat="false" ht="14.25" hidden="false" customHeight="true" outlineLevel="0" collapsed="false">
      <c r="B153" s="94" t="s">
        <v>484</v>
      </c>
      <c r="C153" s="2" t="n">
        <v>1785</v>
      </c>
    </row>
    <row r="154" customFormat="false" ht="14.25" hidden="false" customHeight="true" outlineLevel="0" collapsed="false">
      <c r="B154" s="94" t="s">
        <v>485</v>
      </c>
      <c r="C154" s="2" t="n">
        <v>1646.12</v>
      </c>
    </row>
    <row r="155" customFormat="false" ht="14.25" hidden="false" customHeight="true" outlineLevel="0" collapsed="false">
      <c r="B155" s="94" t="s">
        <v>486</v>
      </c>
      <c r="C155" s="2" t="n">
        <v>885</v>
      </c>
    </row>
    <row r="156" customFormat="false" ht="14.25" hidden="false" customHeight="true" outlineLevel="0" collapsed="false">
      <c r="B156" s="94" t="s">
        <v>487</v>
      </c>
      <c r="C156" s="2" t="n">
        <v>590</v>
      </c>
    </row>
    <row r="157" customFormat="false" ht="14.25" hidden="false" customHeight="true" outlineLevel="0" collapsed="false">
      <c r="B157" s="94" t="s">
        <v>488</v>
      </c>
      <c r="C157" s="2" t="n">
        <v>6.36</v>
      </c>
    </row>
    <row r="158" customFormat="false" ht="14.25" hidden="false" customHeight="true" outlineLevel="0" collapsed="false">
      <c r="B158" s="94" t="s">
        <v>489</v>
      </c>
      <c r="C158" s="2" t="n">
        <v>0</v>
      </c>
    </row>
    <row r="159" customFormat="false" ht="14.25" hidden="false" customHeight="true" outlineLevel="0" collapsed="false">
      <c r="B159" s="94" t="s">
        <v>490</v>
      </c>
      <c r="C159" s="2" t="n">
        <v>0</v>
      </c>
    </row>
    <row r="160" customFormat="false" ht="14.25" hidden="false" customHeight="true" outlineLevel="0" collapsed="false">
      <c r="B160" s="94" t="s">
        <v>491</v>
      </c>
      <c r="C160" s="2" t="n">
        <v>125114793.366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2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20" activeCellId="0" sqref="E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90" width="2.33"/>
    <col collapsed="false" customWidth="true" hidden="false" outlineLevel="0" max="2" min="2" style="1" width="59.44"/>
    <col collapsed="false" customWidth="true" hidden="false" outlineLevel="0" max="3" min="3" style="2" width="22"/>
  </cols>
  <sheetData>
    <row r="3" customFormat="false" ht="14.25" hidden="false" customHeight="true" outlineLevel="0" collapsed="false">
      <c r="B3" s="1" t="s">
        <v>2</v>
      </c>
      <c r="C3" s="2" t="s">
        <v>339</v>
      </c>
    </row>
    <row r="4" customFormat="false" ht="14.25" hidden="false" customHeight="true" outlineLevel="0" collapsed="false">
      <c r="B4" s="1" t="s">
        <v>337</v>
      </c>
      <c r="C4" s="2" t="s">
        <v>338</v>
      </c>
    </row>
    <row r="6" customFormat="false" ht="14.25" hidden="false" customHeight="true" outlineLevel="0" collapsed="false">
      <c r="B6" s="1" t="s">
        <v>492</v>
      </c>
      <c r="C6" s="2" t="s">
        <v>5</v>
      </c>
    </row>
    <row r="7" customFormat="false" ht="14.25" hidden="false" customHeight="true" outlineLevel="0" collapsed="false">
      <c r="B7" s="1" t="s">
        <v>493</v>
      </c>
      <c r="C7" s="2" t="n">
        <v>2828280</v>
      </c>
      <c r="D7" s="7"/>
    </row>
    <row r="8" customFormat="false" ht="14.25" hidden="false" customHeight="true" outlineLevel="0" collapsed="false">
      <c r="B8" s="1" t="s">
        <v>494</v>
      </c>
      <c r="C8" s="2" t="n">
        <v>2716000</v>
      </c>
      <c r="D8" s="7"/>
    </row>
    <row r="9" customFormat="false" ht="14.25" hidden="false" customHeight="true" outlineLevel="0" collapsed="false">
      <c r="B9" s="1" t="s">
        <v>495</v>
      </c>
      <c r="C9" s="2" t="n">
        <v>2373688</v>
      </c>
      <c r="D9" s="7"/>
    </row>
    <row r="10" customFormat="false" ht="14.25" hidden="false" customHeight="true" outlineLevel="0" collapsed="false">
      <c r="B10" s="1" t="s">
        <v>496</v>
      </c>
      <c r="C10" s="2" t="n">
        <v>2166004.62</v>
      </c>
      <c r="D10" s="7"/>
    </row>
    <row r="11" customFormat="false" ht="14.25" hidden="false" customHeight="true" outlineLevel="0" collapsed="false">
      <c r="B11" s="1" t="s">
        <v>497</v>
      </c>
      <c r="C11" s="2" t="n">
        <v>1940400</v>
      </c>
      <c r="D11" s="7"/>
    </row>
    <row r="12" customFormat="false" ht="14.25" hidden="false" customHeight="true" outlineLevel="0" collapsed="false">
      <c r="B12" s="1" t="s">
        <v>498</v>
      </c>
      <c r="C12" s="2" t="n">
        <v>1695750</v>
      </c>
      <c r="D12" s="7"/>
    </row>
    <row r="13" customFormat="false" ht="14.25" hidden="false" customHeight="true" outlineLevel="0" collapsed="false">
      <c r="B13" s="1" t="s">
        <v>499</v>
      </c>
      <c r="C13" s="2" t="n">
        <v>1668048</v>
      </c>
      <c r="D13" s="7"/>
    </row>
    <row r="14" customFormat="false" ht="14.25" hidden="false" customHeight="true" outlineLevel="0" collapsed="false">
      <c r="B14" s="1" t="s">
        <v>500</v>
      </c>
      <c r="C14" s="2" t="n">
        <v>1627724</v>
      </c>
      <c r="D14" s="7"/>
    </row>
    <row r="15" customFormat="false" ht="14.25" hidden="false" customHeight="true" outlineLevel="0" collapsed="false">
      <c r="B15" s="1" t="s">
        <v>501</v>
      </c>
      <c r="C15" s="2" t="n">
        <v>1579284</v>
      </c>
      <c r="D15" s="7"/>
    </row>
    <row r="16" customFormat="false" ht="14.25" hidden="false" customHeight="true" outlineLevel="0" collapsed="false">
      <c r="B16" s="1" t="s">
        <v>502</v>
      </c>
      <c r="C16" s="2" t="n">
        <v>1528450</v>
      </c>
      <c r="D16" s="7"/>
    </row>
    <row r="17" customFormat="false" ht="14.25" hidden="false" customHeight="true" outlineLevel="0" collapsed="false">
      <c r="B17" s="1" t="s">
        <v>503</v>
      </c>
      <c r="C17" s="2" t="n">
        <v>1523110.4</v>
      </c>
      <c r="D17" s="7"/>
    </row>
    <row r="18" customFormat="false" ht="14.25" hidden="false" customHeight="true" outlineLevel="0" collapsed="false">
      <c r="B18" s="1" t="s">
        <v>504</v>
      </c>
      <c r="C18" s="2" t="n">
        <v>1492491</v>
      </c>
      <c r="D18" s="7"/>
    </row>
    <row r="19" customFormat="false" ht="14.25" hidden="false" customHeight="true" outlineLevel="0" collapsed="false">
      <c r="B19" s="1" t="s">
        <v>505</v>
      </c>
      <c r="C19" s="2" t="n">
        <v>1482306.22</v>
      </c>
      <c r="D19" s="7"/>
    </row>
    <row r="20" customFormat="false" ht="14.25" hidden="false" customHeight="true" outlineLevel="0" collapsed="false">
      <c r="B20" s="1" t="s">
        <v>506</v>
      </c>
      <c r="C20" s="2" t="n">
        <v>1442385</v>
      </c>
      <c r="D20" s="7"/>
    </row>
    <row r="21" customFormat="false" ht="14.25" hidden="false" customHeight="true" outlineLevel="0" collapsed="false">
      <c r="B21" s="1" t="s">
        <v>507</v>
      </c>
      <c r="C21" s="2" t="n">
        <v>1425725</v>
      </c>
      <c r="D21" s="7"/>
    </row>
    <row r="22" customFormat="false" ht="14.25" hidden="false" customHeight="true" outlineLevel="0" collapsed="false">
      <c r="B22" s="1" t="s">
        <v>508</v>
      </c>
      <c r="C22" s="2" t="n">
        <v>1388378.54</v>
      </c>
      <c r="D22" s="7"/>
    </row>
    <row r="23" customFormat="false" ht="14.25" hidden="false" customHeight="true" outlineLevel="0" collapsed="false">
      <c r="B23" s="1" t="s">
        <v>509</v>
      </c>
      <c r="C23" s="2" t="n">
        <v>1377582.36</v>
      </c>
      <c r="D23" s="7"/>
    </row>
    <row r="24" customFormat="false" ht="14.25" hidden="false" customHeight="true" outlineLevel="0" collapsed="false">
      <c r="B24" s="1" t="s">
        <v>510</v>
      </c>
      <c r="C24" s="2" t="n">
        <v>1345738.08</v>
      </c>
      <c r="D24" s="7"/>
    </row>
    <row r="25" customFormat="false" ht="14.25" hidden="false" customHeight="true" outlineLevel="0" collapsed="false">
      <c r="B25" s="1" t="s">
        <v>511</v>
      </c>
      <c r="C25" s="2" t="n">
        <v>1246797.72</v>
      </c>
      <c r="D25" s="7"/>
    </row>
    <row r="26" customFormat="false" ht="14.25" hidden="false" customHeight="true" outlineLevel="0" collapsed="false">
      <c r="B26" s="1" t="s">
        <v>512</v>
      </c>
      <c r="C26" s="2" t="n">
        <v>1152480</v>
      </c>
      <c r="D26" s="7"/>
    </row>
    <row r="27" customFormat="false" ht="14.25" hidden="false" customHeight="true" outlineLevel="0" collapsed="false">
      <c r="C27" s="2" t="n">
        <f aca="false">SUM(C7:C26)</f>
        <v>34000622.94</v>
      </c>
      <c r="D27" s="7"/>
    </row>
    <row r="28" customFormat="false" ht="14.25" hidden="false" customHeight="true" outlineLevel="0" collapsed="false">
      <c r="D28" s="7"/>
    </row>
    <row r="29" customFormat="false" ht="14.25" hidden="false" customHeight="true" outlineLevel="0" collapsed="false">
      <c r="D2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5" t="s">
        <v>513</v>
      </c>
    </row>
    <row r="2" customFormat="false" ht="15" hidden="false" customHeight="false" outlineLevel="0" collapsed="false">
      <c r="A2" s="96" t="s">
        <v>514</v>
      </c>
    </row>
    <row r="4" customFormat="false" ht="15" hidden="false" customHeight="false" outlineLevel="0" collapsed="false">
      <c r="A4" s="97" t="s">
        <v>515</v>
      </c>
      <c r="B4" s="97" t="s">
        <v>4</v>
      </c>
      <c r="C4" s="97" t="s">
        <v>516</v>
      </c>
      <c r="D4" s="97" t="s">
        <v>517</v>
      </c>
    </row>
    <row r="5" customFormat="false" ht="15" hidden="false" customHeight="false" outlineLevel="0" collapsed="false">
      <c r="A5" s="98" t="n">
        <v>1</v>
      </c>
      <c r="B5" s="99" t="s">
        <v>518</v>
      </c>
      <c r="C5" s="100" t="n">
        <v>311.3</v>
      </c>
      <c r="D5" s="101" t="n">
        <v>15.6</v>
      </c>
    </row>
    <row r="6" customFormat="false" ht="15" hidden="false" customHeight="false" outlineLevel="0" collapsed="false">
      <c r="A6" s="98" t="n">
        <v>2</v>
      </c>
      <c r="B6" s="99" t="s">
        <v>519</v>
      </c>
      <c r="C6" s="100" t="n">
        <v>205.6</v>
      </c>
      <c r="D6" s="101" t="n">
        <v>10.3</v>
      </c>
    </row>
    <row r="7" customFormat="false" ht="15" hidden="false" customHeight="false" outlineLevel="0" collapsed="false">
      <c r="A7" s="98" t="n">
        <v>3</v>
      </c>
      <c r="B7" s="99" t="s">
        <v>520</v>
      </c>
      <c r="C7" s="100" t="n">
        <v>166.9</v>
      </c>
      <c r="D7" s="101" t="n">
        <v>8.3</v>
      </c>
    </row>
    <row r="8" customFormat="false" ht="15" hidden="false" customHeight="false" outlineLevel="0" collapsed="false">
      <c r="A8" s="98" t="n">
        <v>4</v>
      </c>
      <c r="B8" s="99" t="s">
        <v>521</v>
      </c>
      <c r="C8" s="100" t="n">
        <v>165.3</v>
      </c>
      <c r="D8" s="101" t="n">
        <v>8.3</v>
      </c>
    </row>
    <row r="9" customFormat="false" ht="15" hidden="false" customHeight="false" outlineLevel="0" collapsed="false">
      <c r="A9" s="98" t="n">
        <v>5</v>
      </c>
      <c r="B9" s="99" t="s">
        <v>522</v>
      </c>
      <c r="C9" s="100" t="n">
        <v>141.7</v>
      </c>
      <c r="D9" s="101" t="n">
        <v>7.1</v>
      </c>
    </row>
    <row r="10" customFormat="false" ht="15" hidden="false" customHeight="false" outlineLevel="0" collapsed="false">
      <c r="A10" s="98" t="n">
        <v>6</v>
      </c>
      <c r="B10" s="99" t="s">
        <v>523</v>
      </c>
      <c r="C10" s="100" t="n">
        <v>131.4</v>
      </c>
      <c r="D10" s="101" t="n">
        <v>6.6</v>
      </c>
    </row>
    <row r="11" customFormat="false" ht="15" hidden="false" customHeight="false" outlineLevel="0" collapsed="false">
      <c r="A11" s="98" t="n">
        <v>7</v>
      </c>
      <c r="B11" s="99" t="s">
        <v>524</v>
      </c>
      <c r="C11" s="100" t="n">
        <v>112.5</v>
      </c>
      <c r="D11" s="101" t="n">
        <v>5.6</v>
      </c>
    </row>
    <row r="12" customFormat="false" ht="15" hidden="false" customHeight="false" outlineLevel="0" collapsed="false">
      <c r="A12" s="98" t="n">
        <v>8</v>
      </c>
      <c r="B12" s="99" t="s">
        <v>525</v>
      </c>
      <c r="C12" s="100" t="n">
        <v>103.6</v>
      </c>
      <c r="D12" s="101" t="n">
        <v>5.2</v>
      </c>
    </row>
    <row r="13" customFormat="false" ht="15" hidden="false" customHeight="false" outlineLevel="0" collapsed="false">
      <c r="A13" s="98" t="n">
        <v>9</v>
      </c>
      <c r="B13" s="99" t="s">
        <v>526</v>
      </c>
      <c r="C13" s="100" t="n">
        <v>94.2</v>
      </c>
      <c r="D13" s="101" t="n">
        <v>4.7</v>
      </c>
    </row>
    <row r="14" customFormat="false" ht="15" hidden="false" customHeight="false" outlineLevel="0" collapsed="false">
      <c r="A14" s="98" t="n">
        <v>10</v>
      </c>
      <c r="B14" s="99" t="s">
        <v>527</v>
      </c>
      <c r="C14" s="100" t="n">
        <v>93.1</v>
      </c>
      <c r="D14" s="101" t="n">
        <v>4.7</v>
      </c>
    </row>
    <row r="15" customFormat="false" ht="15" hidden="false" customHeight="false" outlineLevel="0" collapsed="false">
      <c r="A15" s="98" t="n">
        <v>11</v>
      </c>
      <c r="B15" s="99" t="s">
        <v>528</v>
      </c>
      <c r="C15" s="100" t="n">
        <v>90.4</v>
      </c>
      <c r="D15" s="101" t="n">
        <v>4.5</v>
      </c>
    </row>
    <row r="16" customFormat="false" ht="15" hidden="false" customHeight="false" outlineLevel="0" collapsed="false">
      <c r="A16" s="98" t="n">
        <v>12</v>
      </c>
      <c r="B16" s="99" t="s">
        <v>529</v>
      </c>
      <c r="C16" s="100" t="n">
        <v>84.8</v>
      </c>
      <c r="D16" s="101" t="n">
        <v>4.2</v>
      </c>
    </row>
    <row r="17" customFormat="false" ht="15" hidden="false" customHeight="false" outlineLevel="0" collapsed="false">
      <c r="A17" s="98" t="n">
        <v>13</v>
      </c>
      <c r="B17" s="99" t="s">
        <v>530</v>
      </c>
      <c r="C17" s="100" t="n">
        <v>84.5</v>
      </c>
      <c r="D17" s="101" t="n">
        <v>4.2</v>
      </c>
    </row>
    <row r="18" customFormat="false" ht="15" hidden="false" customHeight="false" outlineLevel="0" collapsed="false">
      <c r="A18" s="98" t="n">
        <v>14</v>
      </c>
      <c r="B18" s="99" t="s">
        <v>531</v>
      </c>
      <c r="C18" s="100" t="n">
        <v>79.5</v>
      </c>
      <c r="D18" s="101" t="n">
        <v>4</v>
      </c>
    </row>
    <row r="19" customFormat="false" ht="15" hidden="false" customHeight="false" outlineLevel="0" collapsed="false">
      <c r="A19" s="98" t="n">
        <v>15</v>
      </c>
      <c r="B19" s="99" t="s">
        <v>532</v>
      </c>
      <c r="C19" s="100" t="n">
        <v>78.3</v>
      </c>
      <c r="D19" s="101" t="n">
        <v>3.9</v>
      </c>
    </row>
    <row r="20" customFormat="false" ht="15" hidden="false" customHeight="false" outlineLevel="0" collapsed="false">
      <c r="A20" s="98" t="n">
        <v>16</v>
      </c>
      <c r="B20" s="99" t="s">
        <v>533</v>
      </c>
      <c r="C20" s="100" t="n">
        <v>72.9</v>
      </c>
      <c r="D20" s="101" t="n">
        <v>3.6</v>
      </c>
    </row>
    <row r="21" customFormat="false" ht="15" hidden="false" customHeight="false" outlineLevel="0" collapsed="false">
      <c r="A21" s="98" t="n">
        <v>17</v>
      </c>
      <c r="B21" s="99" t="s">
        <v>534</v>
      </c>
      <c r="C21" s="100" t="n">
        <v>70.9</v>
      </c>
      <c r="D21" s="101" t="n">
        <v>3.5</v>
      </c>
    </row>
    <row r="22" customFormat="false" ht="15" hidden="false" customHeight="false" outlineLevel="0" collapsed="false">
      <c r="A22" s="98" t="n">
        <v>18</v>
      </c>
      <c r="B22" s="99" t="s">
        <v>535</v>
      </c>
      <c r="C22" s="100" t="n">
        <v>67.8</v>
      </c>
      <c r="D22" s="101" t="n">
        <v>3.4</v>
      </c>
    </row>
    <row r="23" customFormat="false" ht="15" hidden="false" customHeight="false" outlineLevel="0" collapsed="false">
      <c r="A23" s="98" t="n">
        <v>19</v>
      </c>
      <c r="B23" s="99" t="s">
        <v>536</v>
      </c>
      <c r="C23" s="100" t="n">
        <v>65.4</v>
      </c>
      <c r="D23" s="101" t="n">
        <v>3.3</v>
      </c>
    </row>
    <row r="24" customFormat="false" ht="15" hidden="false" customHeight="false" outlineLevel="0" collapsed="false">
      <c r="A24" s="98" t="n">
        <v>20</v>
      </c>
      <c r="B24" s="99" t="s">
        <v>537</v>
      </c>
      <c r="C24" s="100" t="n">
        <v>63.6</v>
      </c>
      <c r="D24" s="101" t="n">
        <v>3.2</v>
      </c>
    </row>
    <row r="25" customFormat="false" ht="15" hidden="false" customHeight="false" outlineLevel="0" collapsed="false">
      <c r="A25" s="98" t="n">
        <v>21</v>
      </c>
      <c r="B25" s="99" t="s">
        <v>538</v>
      </c>
      <c r="C25" s="100" t="n">
        <v>62.9</v>
      </c>
      <c r="D25" s="101" t="n">
        <v>3.1</v>
      </c>
    </row>
    <row r="26" customFormat="false" ht="15" hidden="false" customHeight="false" outlineLevel="0" collapsed="false">
      <c r="A26" s="102"/>
      <c r="B26" s="102" t="s">
        <v>539</v>
      </c>
      <c r="C26" s="103" t="n">
        <f aca="false">SUM(C5:C25)</f>
        <v>2346.6</v>
      </c>
      <c r="D26" s="103" t="n">
        <f aca="false">SUM(D5:D25)</f>
        <v>117.3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5" t="s">
        <v>540</v>
      </c>
    </row>
    <row r="2" customFormat="false" ht="15" hidden="false" customHeight="false" outlineLevel="0" collapsed="false">
      <c r="A2" s="96" t="s">
        <v>541</v>
      </c>
    </row>
    <row r="4" customFormat="false" ht="15" hidden="false" customHeight="false" outlineLevel="0" collapsed="false">
      <c r="A4" s="97" t="s">
        <v>515</v>
      </c>
      <c r="B4" s="97" t="s">
        <v>542</v>
      </c>
      <c r="C4" s="97" t="s">
        <v>516</v>
      </c>
      <c r="D4" s="97" t="s">
        <v>517</v>
      </c>
    </row>
    <row r="5" customFormat="false" ht="15" hidden="false" customHeight="false" outlineLevel="0" collapsed="false">
      <c r="A5" s="98" t="n">
        <v>1</v>
      </c>
      <c r="B5" s="99" t="s">
        <v>543</v>
      </c>
      <c r="C5" s="100" t="n">
        <v>832</v>
      </c>
      <c r="D5" s="101" t="n">
        <v>41.6</v>
      </c>
    </row>
    <row r="6" customFormat="false" ht="15" hidden="false" customHeight="false" outlineLevel="0" collapsed="false">
      <c r="A6" s="98" t="n">
        <v>2</v>
      </c>
      <c r="B6" s="99" t="s">
        <v>544</v>
      </c>
      <c r="C6" s="100" t="n">
        <v>504.7</v>
      </c>
      <c r="D6" s="101" t="n">
        <v>25.2</v>
      </c>
    </row>
    <row r="7" customFormat="false" ht="15" hidden="false" customHeight="false" outlineLevel="0" collapsed="false">
      <c r="A7" s="98" t="n">
        <v>3</v>
      </c>
      <c r="B7" s="99" t="s">
        <v>545</v>
      </c>
      <c r="C7" s="100" t="n">
        <v>495.4</v>
      </c>
      <c r="D7" s="101" t="n">
        <v>24.8</v>
      </c>
    </row>
    <row r="8" customFormat="false" ht="15" hidden="false" customHeight="false" outlineLevel="0" collapsed="false">
      <c r="A8" s="98" t="n">
        <v>4</v>
      </c>
      <c r="B8" s="99" t="s">
        <v>546</v>
      </c>
      <c r="C8" s="100" t="n">
        <v>400.3</v>
      </c>
      <c r="D8" s="101" t="n">
        <v>20</v>
      </c>
    </row>
    <row r="9" customFormat="false" ht="15" hidden="false" customHeight="false" outlineLevel="0" collapsed="false">
      <c r="A9" s="98" t="n">
        <v>5</v>
      </c>
      <c r="B9" s="99" t="s">
        <v>547</v>
      </c>
      <c r="C9" s="100" t="n">
        <v>352.8</v>
      </c>
      <c r="D9" s="101" t="n">
        <v>17.6</v>
      </c>
    </row>
    <row r="10" customFormat="false" ht="15" hidden="false" customHeight="false" outlineLevel="0" collapsed="false">
      <c r="A10" s="98" t="n">
        <v>6</v>
      </c>
      <c r="B10" s="99" t="s">
        <v>548</v>
      </c>
      <c r="C10" s="100" t="n">
        <v>303.7</v>
      </c>
      <c r="D10" s="101" t="n">
        <v>15.2</v>
      </c>
    </row>
    <row r="11" customFormat="false" ht="15" hidden="false" customHeight="false" outlineLevel="0" collapsed="false">
      <c r="A11" s="98" t="n">
        <v>7</v>
      </c>
      <c r="B11" s="99" t="s">
        <v>549</v>
      </c>
      <c r="C11" s="100" t="n">
        <v>300.3</v>
      </c>
      <c r="D11" s="101" t="n">
        <v>15</v>
      </c>
    </row>
    <row r="12" customFormat="false" ht="15" hidden="false" customHeight="false" outlineLevel="0" collapsed="false">
      <c r="A12" s="98" t="n">
        <v>8</v>
      </c>
      <c r="B12" s="99" t="s">
        <v>550</v>
      </c>
      <c r="C12" s="100" t="n">
        <v>276.8</v>
      </c>
      <c r="D12" s="101" t="n">
        <v>13.8</v>
      </c>
    </row>
    <row r="13" customFormat="false" ht="15" hidden="false" customHeight="false" outlineLevel="0" collapsed="false">
      <c r="A13" s="98" t="n">
        <v>9</v>
      </c>
      <c r="B13" s="99" t="s">
        <v>551</v>
      </c>
      <c r="C13" s="100" t="n">
        <v>265.3</v>
      </c>
      <c r="D13" s="101" t="n">
        <v>13.3</v>
      </c>
    </row>
    <row r="14" customFormat="false" ht="15" hidden="false" customHeight="false" outlineLevel="0" collapsed="false">
      <c r="A14" s="98" t="n">
        <v>10</v>
      </c>
      <c r="B14" s="99" t="s">
        <v>552</v>
      </c>
      <c r="C14" s="100" t="n">
        <v>246.9</v>
      </c>
      <c r="D14" s="101" t="n">
        <v>12.3</v>
      </c>
    </row>
    <row r="15" customFormat="false" ht="15" hidden="false" customHeight="false" outlineLevel="0" collapsed="false">
      <c r="A15" s="102"/>
      <c r="B15" s="102" t="s">
        <v>539</v>
      </c>
      <c r="C15" s="103" t="n">
        <f aca="false">SUM(C5:C14)</f>
        <v>3978.2</v>
      </c>
      <c r="D15" s="103" t="n">
        <f aca="false">SUM(D5:D14)</f>
        <v>198.8</v>
      </c>
    </row>
    <row r="17" customFormat="false" ht="15" hidden="false" customHeight="false" outlineLevel="0" collapsed="false">
      <c r="A17" s="96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5" t="s">
        <v>554</v>
      </c>
    </row>
    <row r="2" customFormat="false" ht="15" hidden="false" customHeight="false" outlineLevel="0" collapsed="false">
      <c r="A2" s="96" t="s">
        <v>555</v>
      </c>
    </row>
    <row r="4" customFormat="false" ht="15" hidden="false" customHeight="false" outlineLevel="0" collapsed="false">
      <c r="A4" s="97" t="s">
        <v>515</v>
      </c>
      <c r="B4" s="97" t="s">
        <v>556</v>
      </c>
      <c r="C4" s="97" t="s">
        <v>516</v>
      </c>
      <c r="D4" s="97" t="s">
        <v>517</v>
      </c>
    </row>
    <row r="5" customFormat="false" ht="15" hidden="false" customHeight="false" outlineLevel="0" collapsed="false">
      <c r="A5" s="98" t="n">
        <v>1</v>
      </c>
      <c r="B5" s="99" t="s">
        <v>551</v>
      </c>
      <c r="C5" s="100" t="n">
        <v>145.5</v>
      </c>
      <c r="D5" s="101" t="n">
        <v>7.3</v>
      </c>
    </row>
    <row r="6" customFormat="false" ht="15" hidden="false" customHeight="false" outlineLevel="0" collapsed="false">
      <c r="A6" s="98" t="n">
        <v>2</v>
      </c>
      <c r="B6" s="99" t="s">
        <v>549</v>
      </c>
      <c r="C6" s="100" t="n">
        <v>100.2</v>
      </c>
      <c r="D6" s="101" t="n">
        <v>5</v>
      </c>
    </row>
    <row r="7" customFormat="false" ht="15" hidden="false" customHeight="false" outlineLevel="0" collapsed="false">
      <c r="A7" s="98" t="n">
        <v>3</v>
      </c>
      <c r="B7" s="99" t="s">
        <v>557</v>
      </c>
      <c r="C7" s="100" t="n">
        <v>86.3</v>
      </c>
      <c r="D7" s="101" t="n">
        <v>4.3</v>
      </c>
    </row>
    <row r="8" customFormat="false" ht="15" hidden="false" customHeight="false" outlineLevel="0" collapsed="false">
      <c r="A8" s="98" t="n">
        <v>4</v>
      </c>
      <c r="B8" s="99" t="s">
        <v>558</v>
      </c>
      <c r="C8" s="100" t="n">
        <v>63.2</v>
      </c>
      <c r="D8" s="101" t="n">
        <v>3.2</v>
      </c>
    </row>
    <row r="9" customFormat="false" ht="15" hidden="false" customHeight="false" outlineLevel="0" collapsed="false">
      <c r="A9" s="98" t="n">
        <v>5</v>
      </c>
      <c r="B9" s="99" t="s">
        <v>559</v>
      </c>
      <c r="C9" s="100" t="n">
        <v>63</v>
      </c>
      <c r="D9" s="101" t="n">
        <v>3.1</v>
      </c>
    </row>
    <row r="10" customFormat="false" ht="15" hidden="false" customHeight="false" outlineLevel="0" collapsed="false">
      <c r="A10" s="98" t="n">
        <v>6</v>
      </c>
      <c r="B10" s="99" t="s">
        <v>560</v>
      </c>
      <c r="C10" s="100" t="n">
        <v>45.5</v>
      </c>
      <c r="D10" s="101" t="n">
        <v>2.3</v>
      </c>
    </row>
    <row r="11" customFormat="false" ht="15" hidden="false" customHeight="false" outlineLevel="0" collapsed="false">
      <c r="A11" s="98" t="n">
        <v>7</v>
      </c>
      <c r="B11" s="99" t="s">
        <v>561</v>
      </c>
      <c r="C11" s="100" t="n">
        <v>43.1</v>
      </c>
      <c r="D11" s="101" t="n">
        <v>2.2</v>
      </c>
    </row>
    <row r="12" customFormat="false" ht="15" hidden="false" customHeight="false" outlineLevel="0" collapsed="false">
      <c r="A12" s="98" t="n">
        <v>8</v>
      </c>
      <c r="B12" s="99" t="s">
        <v>562</v>
      </c>
      <c r="C12" s="100" t="n">
        <v>41.7</v>
      </c>
      <c r="D12" s="101" t="n">
        <v>2.1</v>
      </c>
    </row>
    <row r="13" customFormat="false" ht="15" hidden="false" customHeight="false" outlineLevel="0" collapsed="false">
      <c r="A13" s="98" t="n">
        <v>9</v>
      </c>
      <c r="B13" s="99" t="s">
        <v>563</v>
      </c>
      <c r="C13" s="100" t="n">
        <v>36.1</v>
      </c>
      <c r="D13" s="101" t="n">
        <v>1.8</v>
      </c>
    </row>
    <row r="14" customFormat="false" ht="15" hidden="false" customHeight="false" outlineLevel="0" collapsed="false">
      <c r="A14" s="98" t="n">
        <v>10</v>
      </c>
      <c r="B14" s="99" t="s">
        <v>564</v>
      </c>
      <c r="C14" s="100" t="n">
        <v>31.7</v>
      </c>
      <c r="D14" s="101" t="n">
        <v>1.6</v>
      </c>
    </row>
    <row r="15" customFormat="false" ht="15" hidden="false" customHeight="false" outlineLevel="0" collapsed="false">
      <c r="A15" s="98" t="n">
        <v>11</v>
      </c>
      <c r="B15" s="99" t="s">
        <v>565</v>
      </c>
      <c r="C15" s="100" t="n">
        <v>28.6</v>
      </c>
      <c r="D15" s="101" t="n">
        <v>1.4</v>
      </c>
    </row>
    <row r="16" customFormat="false" ht="15" hidden="false" customHeight="false" outlineLevel="0" collapsed="false">
      <c r="A16" s="98" t="n">
        <v>12</v>
      </c>
      <c r="B16" s="99" t="s">
        <v>566</v>
      </c>
      <c r="C16" s="100" t="n">
        <v>28.3</v>
      </c>
      <c r="D16" s="101" t="n">
        <v>1.4</v>
      </c>
    </row>
    <row r="17" customFormat="false" ht="15" hidden="false" customHeight="false" outlineLevel="0" collapsed="false">
      <c r="A17" s="98" t="n">
        <v>13</v>
      </c>
      <c r="B17" s="99" t="s">
        <v>567</v>
      </c>
      <c r="C17" s="100" t="n">
        <v>26.1</v>
      </c>
      <c r="D17" s="101" t="n">
        <v>1.3</v>
      </c>
    </row>
    <row r="18" customFormat="false" ht="15" hidden="false" customHeight="false" outlineLevel="0" collapsed="false">
      <c r="A18" s="98" t="n">
        <v>14</v>
      </c>
      <c r="B18" s="99" t="s">
        <v>568</v>
      </c>
      <c r="C18" s="100" t="n">
        <v>25.7</v>
      </c>
      <c r="D18" s="101" t="n">
        <v>1.3</v>
      </c>
    </row>
    <row r="19" customFormat="false" ht="15" hidden="false" customHeight="false" outlineLevel="0" collapsed="false">
      <c r="A19" s="98" t="n">
        <v>15</v>
      </c>
      <c r="B19" s="99" t="s">
        <v>569</v>
      </c>
      <c r="C19" s="100" t="n">
        <v>24.9</v>
      </c>
      <c r="D19" s="101" t="n">
        <v>1.2</v>
      </c>
    </row>
    <row r="20" customFormat="false" ht="15" hidden="false" customHeight="false" outlineLevel="0" collapsed="false">
      <c r="A20" s="98" t="n">
        <v>16</v>
      </c>
      <c r="B20" s="99" t="s">
        <v>570</v>
      </c>
      <c r="C20" s="100" t="n">
        <v>21.8</v>
      </c>
      <c r="D20" s="101" t="n">
        <v>1.1</v>
      </c>
    </row>
    <row r="21" customFormat="false" ht="15" hidden="false" customHeight="false" outlineLevel="0" collapsed="false">
      <c r="A21" s="98" t="n">
        <v>17</v>
      </c>
      <c r="B21" s="99" t="s">
        <v>571</v>
      </c>
      <c r="C21" s="100" t="n">
        <v>18.7</v>
      </c>
      <c r="D21" s="101" t="n">
        <v>0.9</v>
      </c>
    </row>
    <row r="22" customFormat="false" ht="15" hidden="false" customHeight="false" outlineLevel="0" collapsed="false">
      <c r="A22" s="98" t="n">
        <v>18</v>
      </c>
      <c r="B22" s="99" t="s">
        <v>572</v>
      </c>
      <c r="C22" s="100" t="n">
        <v>18.2</v>
      </c>
      <c r="D22" s="101" t="n">
        <v>0.9</v>
      </c>
    </row>
    <row r="23" customFormat="false" ht="15" hidden="false" customHeight="false" outlineLevel="0" collapsed="false">
      <c r="A23" s="98" t="n">
        <v>19</v>
      </c>
      <c r="B23" s="99" t="s">
        <v>573</v>
      </c>
      <c r="C23" s="100" t="n">
        <v>17.2</v>
      </c>
      <c r="D23" s="101" t="n">
        <v>0.9</v>
      </c>
    </row>
    <row r="24" customFormat="false" ht="15" hidden="false" customHeight="false" outlineLevel="0" collapsed="false">
      <c r="A24" s="98" t="n">
        <v>20</v>
      </c>
      <c r="B24" s="99" t="s">
        <v>574</v>
      </c>
      <c r="C24" s="100" t="n">
        <v>17</v>
      </c>
      <c r="D24" s="101" t="n">
        <v>0.8</v>
      </c>
    </row>
    <row r="25" customFormat="false" ht="15" hidden="false" customHeight="false" outlineLevel="0" collapsed="false">
      <c r="A25" s="102"/>
      <c r="B25" s="102" t="s">
        <v>575</v>
      </c>
      <c r="C25" s="103" t="n">
        <f aca="false">SUM(C5:C24)</f>
        <v>882.8</v>
      </c>
      <c r="D25" s="103" t="n">
        <f aca="false">SUM(D5:D24)</f>
        <v>44.1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5" t="s">
        <v>576</v>
      </c>
    </row>
    <row r="2" customFormat="false" ht="15" hidden="false" customHeight="false" outlineLevel="0" collapsed="false">
      <c r="A2" s="96" t="s">
        <v>577</v>
      </c>
    </row>
    <row r="4" customFormat="false" ht="15" hidden="false" customHeight="false" outlineLevel="0" collapsed="false">
      <c r="A4" s="97" t="s">
        <v>515</v>
      </c>
      <c r="B4" s="97" t="s">
        <v>578</v>
      </c>
      <c r="C4" s="97" t="s">
        <v>516</v>
      </c>
      <c r="D4" s="97" t="s">
        <v>517</v>
      </c>
    </row>
    <row r="5" customFormat="false" ht="15" hidden="false" customHeight="false" outlineLevel="0" collapsed="false">
      <c r="A5" s="98" t="n">
        <v>1</v>
      </c>
      <c r="B5" s="99" t="s">
        <v>579</v>
      </c>
      <c r="C5" s="100" t="n">
        <v>28.3</v>
      </c>
      <c r="D5" s="101" t="n">
        <v>1.4</v>
      </c>
    </row>
    <row r="6" customFormat="false" ht="15" hidden="false" customHeight="false" outlineLevel="0" collapsed="false">
      <c r="A6" s="98" t="n">
        <v>2</v>
      </c>
      <c r="B6" s="99" t="s">
        <v>580</v>
      </c>
      <c r="C6" s="100" t="n">
        <v>27.2</v>
      </c>
      <c r="D6" s="101" t="n">
        <v>1.4</v>
      </c>
    </row>
    <row r="7" customFormat="false" ht="15" hidden="false" customHeight="false" outlineLevel="0" collapsed="false">
      <c r="A7" s="98" t="n">
        <v>3</v>
      </c>
      <c r="B7" s="99" t="s">
        <v>581</v>
      </c>
      <c r="C7" s="100" t="n">
        <v>23.7</v>
      </c>
      <c r="D7" s="101" t="n">
        <v>1.2</v>
      </c>
    </row>
    <row r="8" customFormat="false" ht="15" hidden="false" customHeight="false" outlineLevel="0" collapsed="false">
      <c r="A8" s="98" t="n">
        <v>4</v>
      </c>
      <c r="B8" s="99" t="s">
        <v>582</v>
      </c>
      <c r="C8" s="100" t="n">
        <v>21.7</v>
      </c>
      <c r="D8" s="101" t="n">
        <v>1.1</v>
      </c>
    </row>
    <row r="9" customFormat="false" ht="15" hidden="false" customHeight="false" outlineLevel="0" collapsed="false">
      <c r="A9" s="98" t="n">
        <v>5</v>
      </c>
      <c r="B9" s="99" t="s">
        <v>583</v>
      </c>
      <c r="C9" s="100" t="n">
        <v>19.4</v>
      </c>
      <c r="D9" s="101" t="n">
        <v>1</v>
      </c>
    </row>
    <row r="10" customFormat="false" ht="15" hidden="false" customHeight="false" outlineLevel="0" collapsed="false">
      <c r="A10" s="98" t="n">
        <v>6</v>
      </c>
      <c r="B10" s="99" t="s">
        <v>584</v>
      </c>
      <c r="C10" s="100" t="n">
        <v>17</v>
      </c>
      <c r="D10" s="101" t="n">
        <v>0.8</v>
      </c>
    </row>
    <row r="11" customFormat="false" ht="15" hidden="false" customHeight="false" outlineLevel="0" collapsed="false">
      <c r="A11" s="98" t="n">
        <v>7</v>
      </c>
      <c r="B11" s="99" t="s">
        <v>585</v>
      </c>
      <c r="C11" s="100" t="n">
        <v>16.7</v>
      </c>
      <c r="D11" s="101" t="n">
        <v>0.8</v>
      </c>
    </row>
    <row r="12" customFormat="false" ht="15" hidden="false" customHeight="false" outlineLevel="0" collapsed="false">
      <c r="A12" s="98" t="n">
        <v>8</v>
      </c>
      <c r="B12" s="99" t="s">
        <v>586</v>
      </c>
      <c r="C12" s="100" t="n">
        <v>16.3</v>
      </c>
      <c r="D12" s="101" t="n">
        <v>0.8</v>
      </c>
    </row>
    <row r="13" customFormat="false" ht="15" hidden="false" customHeight="false" outlineLevel="0" collapsed="false">
      <c r="A13" s="98" t="n">
        <v>9</v>
      </c>
      <c r="B13" s="99" t="s">
        <v>587</v>
      </c>
      <c r="C13" s="100" t="n">
        <v>15.8</v>
      </c>
      <c r="D13" s="101" t="n">
        <v>0.8</v>
      </c>
    </row>
    <row r="14" customFormat="false" ht="15" hidden="false" customHeight="false" outlineLevel="0" collapsed="false">
      <c r="A14" s="98" t="n">
        <v>10</v>
      </c>
      <c r="B14" s="99" t="s">
        <v>588</v>
      </c>
      <c r="C14" s="100" t="n">
        <v>15.3</v>
      </c>
      <c r="D14" s="101" t="n">
        <v>0.8</v>
      </c>
    </row>
    <row r="15" customFormat="false" ht="15" hidden="false" customHeight="false" outlineLevel="0" collapsed="false">
      <c r="A15" s="98" t="n">
        <v>11</v>
      </c>
      <c r="B15" s="99" t="s">
        <v>589</v>
      </c>
      <c r="C15" s="100" t="n">
        <v>15.2</v>
      </c>
      <c r="D15" s="101" t="n">
        <v>0.8</v>
      </c>
    </row>
    <row r="16" customFormat="false" ht="15" hidden="false" customHeight="false" outlineLevel="0" collapsed="false">
      <c r="A16" s="98" t="n">
        <v>12</v>
      </c>
      <c r="B16" s="99" t="s">
        <v>590</v>
      </c>
      <c r="C16" s="100" t="n">
        <v>14.9</v>
      </c>
      <c r="D16" s="101" t="n">
        <v>0.7</v>
      </c>
    </row>
    <row r="17" customFormat="false" ht="15" hidden="false" customHeight="false" outlineLevel="0" collapsed="false">
      <c r="A17" s="98" t="n">
        <v>13</v>
      </c>
      <c r="B17" s="99" t="s">
        <v>591</v>
      </c>
      <c r="C17" s="100" t="n">
        <v>14.8</v>
      </c>
      <c r="D17" s="101" t="n">
        <v>0.7</v>
      </c>
    </row>
    <row r="18" customFormat="false" ht="15" hidden="false" customHeight="false" outlineLevel="0" collapsed="false">
      <c r="A18" s="98" t="n">
        <v>14</v>
      </c>
      <c r="B18" s="99" t="s">
        <v>592</v>
      </c>
      <c r="C18" s="100" t="n">
        <v>14.4</v>
      </c>
      <c r="D18" s="101" t="n">
        <v>0.7</v>
      </c>
    </row>
    <row r="19" customFormat="false" ht="15" hidden="false" customHeight="false" outlineLevel="0" collapsed="false">
      <c r="A19" s="98" t="n">
        <v>15</v>
      </c>
      <c r="B19" s="99" t="s">
        <v>593</v>
      </c>
      <c r="C19" s="100" t="n">
        <v>14.3</v>
      </c>
      <c r="D19" s="101" t="n">
        <v>0.7</v>
      </c>
    </row>
    <row r="20" customFormat="false" ht="15" hidden="false" customHeight="false" outlineLevel="0" collapsed="false">
      <c r="A20" s="98" t="n">
        <v>16</v>
      </c>
      <c r="B20" s="99" t="s">
        <v>594</v>
      </c>
      <c r="C20" s="100" t="n">
        <v>13.9</v>
      </c>
      <c r="D20" s="101" t="n">
        <v>0.7</v>
      </c>
    </row>
    <row r="21" customFormat="false" ht="15" hidden="false" customHeight="false" outlineLevel="0" collapsed="false">
      <c r="A21" s="98" t="n">
        <v>17</v>
      </c>
      <c r="B21" s="99" t="s">
        <v>595</v>
      </c>
      <c r="C21" s="100" t="n">
        <v>13.8</v>
      </c>
      <c r="D21" s="101" t="n">
        <v>0.7</v>
      </c>
    </row>
    <row r="22" customFormat="false" ht="15" hidden="false" customHeight="false" outlineLevel="0" collapsed="false">
      <c r="A22" s="98" t="n">
        <v>18</v>
      </c>
      <c r="B22" s="99" t="s">
        <v>596</v>
      </c>
      <c r="C22" s="100" t="n">
        <v>13.5</v>
      </c>
      <c r="D22" s="101" t="n">
        <v>0.7</v>
      </c>
    </row>
    <row r="23" customFormat="false" ht="15" hidden="false" customHeight="false" outlineLevel="0" collapsed="false">
      <c r="A23" s="98" t="n">
        <v>19</v>
      </c>
      <c r="B23" s="99" t="s">
        <v>597</v>
      </c>
      <c r="C23" s="100" t="n">
        <v>12.5</v>
      </c>
      <c r="D23" s="101" t="n">
        <v>0.6</v>
      </c>
    </row>
    <row r="24" customFormat="false" ht="15" hidden="false" customHeight="false" outlineLevel="0" collapsed="false">
      <c r="A24" s="98" t="n">
        <v>20</v>
      </c>
      <c r="B24" s="99" t="s">
        <v>598</v>
      </c>
      <c r="C24" s="100" t="n">
        <v>11.5</v>
      </c>
      <c r="D24" s="101" t="n">
        <v>0.6</v>
      </c>
    </row>
    <row r="25" customFormat="false" ht="15" hidden="false" customHeight="false" outlineLevel="0" collapsed="false">
      <c r="A25" s="102"/>
      <c r="B25" s="102" t="s">
        <v>599</v>
      </c>
      <c r="C25" s="103" t="n">
        <f aca="false">SUM(C5:C24)</f>
        <v>340.2</v>
      </c>
      <c r="D25" s="103" t="n">
        <f aca="false">SUM(D5:D24)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95" t="s">
        <v>600</v>
      </c>
    </row>
    <row r="2" customFormat="false" ht="15" hidden="false" customHeight="false" outlineLevel="0" collapsed="false">
      <c r="A2" s="96" t="s">
        <v>601</v>
      </c>
    </row>
    <row r="4" customFormat="false" ht="15" hidden="false" customHeight="false" outlineLevel="0" collapsed="false">
      <c r="A4" s="97" t="s">
        <v>602</v>
      </c>
      <c r="B4" s="97" t="s">
        <v>603</v>
      </c>
      <c r="C4" s="97" t="s">
        <v>337</v>
      </c>
      <c r="D4" s="97" t="s">
        <v>604</v>
      </c>
      <c r="E4" s="97" t="s">
        <v>605</v>
      </c>
      <c r="F4" s="97" t="s">
        <v>606</v>
      </c>
    </row>
    <row r="5" customFormat="false" ht="15" hidden="false" customHeight="false" outlineLevel="0" collapsed="false">
      <c r="A5" s="99" t="s">
        <v>607</v>
      </c>
      <c r="B5" s="99" t="s">
        <v>608</v>
      </c>
      <c r="C5" s="98" t="s">
        <v>609</v>
      </c>
      <c r="D5" s="104" t="n">
        <v>3200</v>
      </c>
      <c r="E5" s="104" t="n">
        <v>38</v>
      </c>
      <c r="F5" s="101" t="n">
        <v>14.6</v>
      </c>
    </row>
    <row r="6" customFormat="false" ht="15" hidden="false" customHeight="false" outlineLevel="0" collapsed="false">
      <c r="A6" s="99" t="s">
        <v>610</v>
      </c>
      <c r="B6" s="99" t="s">
        <v>611</v>
      </c>
      <c r="C6" s="98" t="s">
        <v>612</v>
      </c>
      <c r="D6" s="104" t="n">
        <v>5800</v>
      </c>
      <c r="E6" s="104" t="n">
        <v>12</v>
      </c>
      <c r="F6" s="101" t="n">
        <v>8.4</v>
      </c>
    </row>
    <row r="7" customFormat="false" ht="15" hidden="false" customHeight="false" outlineLevel="0" collapsed="false">
      <c r="A7" s="99" t="s">
        <v>613</v>
      </c>
      <c r="B7" s="99" t="s">
        <v>614</v>
      </c>
      <c r="C7" s="98" t="s">
        <v>615</v>
      </c>
      <c r="D7" s="104" t="n">
        <v>4100</v>
      </c>
      <c r="E7" s="104" t="n">
        <v>22</v>
      </c>
      <c r="F7" s="101" t="n">
        <v>10.8</v>
      </c>
    </row>
    <row r="8" customFormat="false" ht="15" hidden="false" customHeight="false" outlineLevel="0" collapsed="false">
      <c r="A8" s="99" t="s">
        <v>616</v>
      </c>
      <c r="B8" s="99" t="s">
        <v>617</v>
      </c>
      <c r="C8" s="98" t="s">
        <v>618</v>
      </c>
      <c r="D8" s="104" t="n">
        <v>1400</v>
      </c>
      <c r="E8" s="104" t="n">
        <v>185</v>
      </c>
      <c r="F8" s="101" t="n">
        <v>31.1</v>
      </c>
    </row>
    <row r="9" customFormat="false" ht="15" hidden="false" customHeight="false" outlineLevel="0" collapsed="false">
      <c r="A9" s="99" t="s">
        <v>619</v>
      </c>
      <c r="B9" s="99" t="s">
        <v>620</v>
      </c>
      <c r="C9" s="98" t="s">
        <v>609</v>
      </c>
      <c r="D9" s="104" t="n">
        <v>2600</v>
      </c>
      <c r="E9" s="104" t="n">
        <v>28</v>
      </c>
      <c r="F9" s="101" t="n">
        <v>8.7</v>
      </c>
    </row>
    <row r="10" customFormat="false" ht="15" hidden="false" customHeight="false" outlineLevel="0" collapsed="false">
      <c r="A10" s="99" t="s">
        <v>621</v>
      </c>
      <c r="B10" s="99" t="s">
        <v>622</v>
      </c>
      <c r="C10" s="98" t="s">
        <v>612</v>
      </c>
      <c r="D10" s="104" t="n">
        <v>3900</v>
      </c>
      <c r="E10" s="104" t="n">
        <v>18</v>
      </c>
      <c r="F10" s="101" t="n">
        <v>8.4</v>
      </c>
    </row>
    <row r="11" customFormat="false" ht="15" hidden="false" customHeight="false" outlineLevel="0" collapsed="false">
      <c r="A11" s="99" t="s">
        <v>623</v>
      </c>
      <c r="B11" s="99" t="s">
        <v>624</v>
      </c>
      <c r="C11" s="98" t="s">
        <v>615</v>
      </c>
      <c r="D11" s="104" t="n">
        <v>2200</v>
      </c>
      <c r="E11" s="104" t="n">
        <v>45</v>
      </c>
      <c r="F11" s="101" t="n">
        <v>11.9</v>
      </c>
    </row>
    <row r="12" customFormat="false" ht="15" hidden="false" customHeight="false" outlineLevel="0" collapsed="false">
      <c r="A12" s="99" t="s">
        <v>625</v>
      </c>
      <c r="B12" s="99" t="s">
        <v>626</v>
      </c>
      <c r="C12" s="98" t="s">
        <v>627</v>
      </c>
      <c r="D12" s="104" t="n">
        <v>1800</v>
      </c>
      <c r="E12" s="104" t="n">
        <v>62</v>
      </c>
      <c r="F12" s="101" t="n">
        <v>13.4</v>
      </c>
    </row>
    <row r="13" customFormat="false" ht="15" hidden="false" customHeight="false" outlineLevel="0" collapsed="false">
      <c r="A13" s="99" t="s">
        <v>628</v>
      </c>
      <c r="B13" s="99" t="s">
        <v>629</v>
      </c>
      <c r="C13" s="98" t="s">
        <v>609</v>
      </c>
      <c r="D13" s="104" t="n">
        <v>2900</v>
      </c>
      <c r="E13" s="104" t="n">
        <v>55</v>
      </c>
      <c r="F13" s="101" t="n">
        <v>19.1</v>
      </c>
    </row>
    <row r="14" customFormat="false" ht="15" hidden="false" customHeight="false" outlineLevel="0" collapsed="false">
      <c r="A14" s="99" t="s">
        <v>630</v>
      </c>
      <c r="B14" s="99" t="s">
        <v>631</v>
      </c>
      <c r="C14" s="98" t="s">
        <v>615</v>
      </c>
      <c r="D14" s="104" t="n">
        <v>2400</v>
      </c>
      <c r="E14" s="104" t="n">
        <v>14</v>
      </c>
      <c r="F14" s="101" t="n">
        <v>4</v>
      </c>
    </row>
    <row r="15" customFormat="false" ht="15" hidden="false" customHeight="false" outlineLevel="0" collapsed="false">
      <c r="A15" s="102" t="s">
        <v>632</v>
      </c>
      <c r="B15" s="102"/>
      <c r="C15" s="102"/>
      <c r="D15" s="102"/>
      <c r="E15" s="102"/>
      <c r="F15" s="103" t="n">
        <f aca="false">SUM(F5:F14)</f>
        <v>130.4</v>
      </c>
    </row>
    <row r="16" customFormat="false" ht="15" hidden="false" customHeight="false" outlineLevel="0" collapsed="false">
      <c r="A16" s="105" t="s">
        <v>633</v>
      </c>
      <c r="B16" s="105"/>
      <c r="C16" s="105"/>
      <c r="D16" s="105"/>
      <c r="E16" s="105"/>
      <c r="F16" s="106" t="n">
        <v>460</v>
      </c>
    </row>
    <row r="18" customFormat="false" ht="15" hidden="false" customHeight="false" outlineLevel="0" collapsed="false">
      <c r="A18" s="96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5" t="s">
        <v>635</v>
      </c>
    </row>
    <row r="2" customFormat="false" ht="15" hidden="false" customHeight="false" outlineLevel="0" collapsed="false">
      <c r="A2" s="96" t="s">
        <v>636</v>
      </c>
    </row>
    <row r="4" customFormat="false" ht="15" hidden="false" customHeight="false" outlineLevel="0" collapsed="false">
      <c r="A4" s="97" t="s">
        <v>637</v>
      </c>
      <c r="B4" s="97" t="s">
        <v>638</v>
      </c>
      <c r="C4" s="97" t="s">
        <v>639</v>
      </c>
      <c r="D4" s="97" t="s">
        <v>278</v>
      </c>
    </row>
    <row r="5" customFormat="false" ht="23.85" hidden="false" customHeight="false" outlineLevel="0" collapsed="false">
      <c r="A5" s="107" t="s">
        <v>640</v>
      </c>
      <c r="B5" s="108" t="s">
        <v>641</v>
      </c>
      <c r="C5" s="109" t="n">
        <v>4.6</v>
      </c>
      <c r="D5" s="98" t="s">
        <v>642</v>
      </c>
    </row>
    <row r="6" customFormat="false" ht="23.85" hidden="false" customHeight="false" outlineLevel="0" collapsed="false">
      <c r="A6" s="107" t="s">
        <v>643</v>
      </c>
      <c r="B6" s="108" t="s">
        <v>644</v>
      </c>
      <c r="C6" s="109" t="n">
        <v>2.5</v>
      </c>
      <c r="D6" s="98" t="s">
        <v>645</v>
      </c>
    </row>
    <row r="7" customFormat="false" ht="23.85" hidden="false" customHeight="false" outlineLevel="0" collapsed="false">
      <c r="A7" s="107" t="s">
        <v>646</v>
      </c>
      <c r="B7" s="108" t="s">
        <v>647</v>
      </c>
      <c r="C7" s="109" t="n">
        <v>7.5</v>
      </c>
      <c r="D7" s="98" t="s">
        <v>648</v>
      </c>
    </row>
    <row r="8" customFormat="false" ht="23.85" hidden="false" customHeight="false" outlineLevel="0" collapsed="false">
      <c r="A8" s="107" t="s">
        <v>649</v>
      </c>
      <c r="B8" s="108" t="s">
        <v>650</v>
      </c>
      <c r="C8" s="109" t="n">
        <v>2.5</v>
      </c>
      <c r="D8" s="98" t="s">
        <v>645</v>
      </c>
    </row>
    <row r="9" customFormat="false" ht="23.85" hidden="false" customHeight="false" outlineLevel="0" collapsed="false">
      <c r="A9" s="107" t="s">
        <v>651</v>
      </c>
      <c r="B9" s="108" t="s">
        <v>652</v>
      </c>
      <c r="C9" s="110" t="s">
        <v>653</v>
      </c>
      <c r="D9" s="98" t="s">
        <v>654</v>
      </c>
    </row>
    <row r="10" customFormat="false" ht="15" hidden="false" customHeight="false" outlineLevel="0" collapsed="false">
      <c r="A10" s="102" t="s">
        <v>655</v>
      </c>
      <c r="B10" s="102"/>
      <c r="C10" s="103" t="n">
        <f aca="false">SUM(C5:C9)</f>
        <v>17.1</v>
      </c>
      <c r="D10" s="102"/>
    </row>
    <row r="12" customFormat="false" ht="15" hidden="false" customHeight="false" outlineLevel="0" collapsed="false">
      <c r="A12" s="111" t="s">
        <v>656</v>
      </c>
    </row>
    <row r="13" customFormat="false" ht="15" hidden="false" customHeight="false" outlineLevel="0" collapsed="false">
      <c r="A13" s="96" t="s">
        <v>657</v>
      </c>
    </row>
    <row r="14" customFormat="false" ht="15" hidden="false" customHeight="false" outlineLevel="0" collapsed="false">
      <c r="A14" s="96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Administrator</dc:creator>
  <dc:description/>
  <dc:language>en-US</dc:language>
  <cp:lastModifiedBy>SM Finance</cp:lastModifiedBy>
  <dcterms:modified xsi:type="dcterms:W3CDTF">2026-03-25T07:29:40Z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
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sammy/Desktop/VPS/LHRC /Finance and HR Data/"/>
    </mc:Choice>
  </mc:AlternateContent>
  <xr:revisionPtr revIDLastSave="0" documentId="8_{A2863C2D-9029-CF42-A0CC-BAB771E6520F}" xr6:coauthVersionLast="47" xr6:coauthVersionMax="47" xr10:uidLastSave="{00000000-0000-0000-0000-000000000000}"/>
  <bookViews>
    <workbookView xWindow="0" yWindow="600" windowWidth="38060" windowHeight="20840" xr2:uid="{00000000-000D-0000-FFFF-FFFF00000000}"/>
  </bookViews>
  <sheets>
    <sheet name="Capex_Summary" sheetId="3" r:id="rId1"/>
    <sheet name="Capex_Details" sheetId="1" r:id="rId2"/>
    <sheet name="MIXED_new" sheetId="6" r:id="rId3"/>
    <sheet name="MonthWise" sheetId="4" state="hidden" r:id="rId4"/>
    <sheet name="Sheet1" sheetId="5" state="hidden" r:id="rId5"/>
  </sheets>
  <definedNames>
    <definedName name="_xlnm._FilterDatabase" localSheetId="1" hidden="1">Capex_Details!$B$4:$V$353</definedName>
    <definedName name="_xlnm._FilterDatabase" localSheetId="2" hidden="1">MIXED_new!$A$1:$AC$179</definedName>
  </definedNames>
  <calcPr calcId="191029"/>
  <pivotCaches>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9" i="6" l="1"/>
  <c r="I21" i="3"/>
  <c r="M13" i="3"/>
  <c r="M12" i="3"/>
  <c r="M11" i="3"/>
  <c r="M10" i="3"/>
  <c r="M9" i="3"/>
  <c r="M8" i="3"/>
  <c r="M7" i="3"/>
  <c r="I22" i="3"/>
  <c r="I20" i="3"/>
  <c r="I19" i="3"/>
  <c r="I18" i="3"/>
  <c r="I17" i="3"/>
  <c r="I16" i="3"/>
  <c r="I15" i="3"/>
  <c r="I14" i="3"/>
  <c r="I13" i="3"/>
  <c r="I12" i="3"/>
  <c r="I11" i="3"/>
  <c r="I10" i="3"/>
  <c r="I9" i="3"/>
  <c r="I8" i="3"/>
  <c r="I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AB179" i="6"/>
  <c r="AA179" i="6"/>
  <c r="Z179" i="6"/>
  <c r="Y179" i="6"/>
  <c r="X179" i="6"/>
  <c r="W179" i="6"/>
  <c r="V179" i="6"/>
  <c r="U179" i="6"/>
  <c r="T179" i="6"/>
  <c r="S179" i="6"/>
  <c r="R179" i="6"/>
  <c r="Q179" i="6"/>
  <c r="P179" i="6"/>
  <c r="O179" i="6"/>
  <c r="N179" i="6"/>
  <c r="M179" i="6"/>
  <c r="M15" i="3"/>
  <c r="K353" i="1"/>
  <c r="L353" i="1"/>
  <c r="J353" i="1"/>
  <c r="M162" i="1"/>
  <c r="M163" i="1"/>
  <c r="E38" i="3" l="1"/>
  <c r="I24" i="3"/>
  <c r="M14" i="3"/>
  <c r="E37" i="3"/>
  <c r="I23" i="3"/>
  <c r="L181" i="6"/>
  <c r="M12" i="1"/>
  <c r="M20" i="1"/>
  <c r="M19" i="1"/>
  <c r="M8" i="1"/>
  <c r="M18" i="1"/>
  <c r="M11" i="1"/>
  <c r="M9" i="1"/>
  <c r="M13" i="1"/>
  <c r="M14" i="1"/>
  <c r="M15" i="1"/>
  <c r="M41" i="1"/>
  <c r="M26" i="1"/>
  <c r="M40" i="1"/>
  <c r="M5" i="1"/>
  <c r="M42" i="1"/>
  <c r="M7" i="1"/>
  <c r="M22" i="1"/>
  <c r="M23" i="1"/>
  <c r="M24" i="1"/>
  <c r="M10" i="1"/>
  <c r="M16" i="1"/>
  <c r="M27" i="1"/>
  <c r="M28" i="1"/>
  <c r="M29" i="1"/>
  <c r="M30" i="1"/>
  <c r="M31" i="1"/>
  <c r="M32" i="1"/>
  <c r="M33" i="1"/>
  <c r="M34" i="1"/>
  <c r="M35" i="1"/>
  <c r="M36" i="1"/>
  <c r="M37" i="1"/>
  <c r="M38" i="1"/>
  <c r="M39" i="1"/>
  <c r="M21" i="1"/>
  <c r="M25" i="1"/>
  <c r="M17"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53" i="1"/>
  <c r="M148" i="1"/>
  <c r="M159" i="1"/>
  <c r="M160" i="1"/>
  <c r="M158" i="1"/>
  <c r="M154" i="1"/>
  <c r="M147" i="1"/>
  <c r="M152" i="1"/>
  <c r="M156" i="1"/>
  <c r="M157" i="1"/>
  <c r="M149" i="1"/>
  <c r="M161" i="1"/>
  <c r="M145" i="1"/>
  <c r="M150" i="1"/>
  <c r="M144" i="1"/>
  <c r="M126" i="1"/>
  <c r="M127" i="1"/>
  <c r="M128" i="1"/>
  <c r="M129" i="1"/>
  <c r="M151" i="1"/>
  <c r="M155" i="1"/>
  <c r="M130" i="1"/>
  <c r="M131" i="1"/>
  <c r="M132" i="1"/>
  <c r="M133" i="1"/>
  <c r="M146" i="1"/>
  <c r="M134" i="1"/>
  <c r="M135" i="1"/>
  <c r="M136" i="1"/>
  <c r="M137" i="1"/>
  <c r="M138" i="1"/>
  <c r="M139" i="1"/>
  <c r="M140" i="1"/>
  <c r="M141" i="1"/>
  <c r="M142" i="1"/>
  <c r="M143" i="1"/>
  <c r="M6" i="1"/>
  <c r="M353" i="1" l="1"/>
  <c r="H12" i="4"/>
  <c r="M4" i="4"/>
  <c r="E5" i="4"/>
  <c r="F5" i="4"/>
  <c r="H5" i="4"/>
  <c r="I5" i="4"/>
  <c r="J5" i="4"/>
  <c r="K5" i="4"/>
  <c r="L5" i="4"/>
  <c r="M5" i="4"/>
  <c r="N5" i="4"/>
  <c r="O5" i="4"/>
  <c r="E6" i="4"/>
  <c r="F6" i="4"/>
  <c r="H6" i="4"/>
  <c r="I6" i="4"/>
  <c r="J6" i="4"/>
  <c r="K6" i="4"/>
  <c r="L6" i="4"/>
  <c r="M6" i="4"/>
  <c r="N6" i="4"/>
  <c r="O6" i="4"/>
  <c r="E7" i="4"/>
  <c r="F7" i="4"/>
  <c r="J7" i="4"/>
  <c r="K7" i="4"/>
  <c r="L7" i="4"/>
  <c r="M7" i="4"/>
  <c r="N7" i="4"/>
  <c r="J8" i="4"/>
  <c r="K8" i="4"/>
  <c r="L8" i="4"/>
  <c r="M8" i="4"/>
  <c r="E9" i="4"/>
  <c r="G9" i="4"/>
  <c r="I9" i="4"/>
  <c r="J9" i="4"/>
  <c r="K9" i="4"/>
  <c r="L9" i="4"/>
  <c r="M9" i="4"/>
  <c r="N9" i="4"/>
  <c r="F10" i="4"/>
  <c r="G10" i="4"/>
  <c r="I10" i="4"/>
  <c r="J10" i="4"/>
  <c r="K10" i="4"/>
  <c r="L10" i="4"/>
  <c r="M10" i="4"/>
  <c r="E11" i="4"/>
  <c r="F11" i="4"/>
  <c r="G11" i="4"/>
  <c r="I11" i="4"/>
  <c r="J11" i="4"/>
  <c r="K11" i="4"/>
  <c r="L11" i="4"/>
  <c r="M11" i="4"/>
  <c r="N11" i="4"/>
  <c r="O11" i="4"/>
  <c r="E12" i="4"/>
  <c r="F12" i="4"/>
  <c r="G12" i="4"/>
  <c r="I12" i="4"/>
  <c r="J12" i="4"/>
  <c r="K12" i="4"/>
  <c r="L12" i="4"/>
  <c r="M12" i="4"/>
  <c r="N12" i="4"/>
  <c r="O12" i="4"/>
  <c r="E13" i="4"/>
  <c r="F13" i="4"/>
  <c r="G13" i="4"/>
  <c r="H13" i="4"/>
  <c r="I13" i="4"/>
  <c r="J13" i="4"/>
  <c r="K13" i="4"/>
  <c r="L13" i="4"/>
  <c r="M13" i="4"/>
  <c r="N13" i="4"/>
  <c r="O13" i="4"/>
  <c r="D5" i="4"/>
  <c r="D6" i="4"/>
  <c r="D11" i="4"/>
  <c r="D12" i="4"/>
  <c r="D13" i="4"/>
  <c r="C13" i="4"/>
  <c r="G6" i="4"/>
  <c r="H9" i="4"/>
  <c r="N8" i="4"/>
  <c r="D7" i="4"/>
  <c r="O9" i="4"/>
  <c r="E10" i="4"/>
  <c r="N10" i="4"/>
  <c r="O8" i="4"/>
  <c r="H11" i="4" l="1"/>
  <c r="C12" i="4"/>
  <c r="P12" i="4" s="1"/>
  <c r="C11" i="4"/>
  <c r="G8" i="4"/>
  <c r="D10" i="4"/>
  <c r="E4" i="4"/>
  <c r="H4" i="4"/>
  <c r="N4" i="4"/>
  <c r="H8" i="4"/>
  <c r="I4" i="4"/>
  <c r="G7" i="4"/>
  <c r="D8" i="4"/>
  <c r="L4" i="4"/>
  <c r="H10" i="4"/>
  <c r="C10" i="4"/>
  <c r="F9" i="4"/>
  <c r="C6" i="4"/>
  <c r="P6" i="4" s="1"/>
  <c r="D4" i="4"/>
  <c r="C7" i="4"/>
  <c r="D9" i="4"/>
  <c r="O4" i="4"/>
  <c r="G5" i="4"/>
  <c r="K4" i="4"/>
  <c r="I7" i="4"/>
  <c r="I8" i="4"/>
  <c r="E8" i="4"/>
  <c r="C8" i="4"/>
  <c r="F4" i="4"/>
  <c r="J4" i="4"/>
  <c r="P13" i="4"/>
  <c r="F8" i="4"/>
  <c r="C9" i="4"/>
  <c r="O10" i="4"/>
  <c r="H7" i="4"/>
  <c r="O7" i="4"/>
  <c r="G4" i="4"/>
  <c r="C4" i="4"/>
  <c r="C5" i="4"/>
  <c r="P11" i="4" l="1"/>
  <c r="P5" i="4"/>
  <c r="P10" i="4"/>
  <c r="P9" i="4"/>
  <c r="P8" i="4"/>
  <c r="P7" i="4"/>
  <c r="P4" i="4"/>
  <c r="M14" i="4"/>
  <c r="K14" i="4" l="1"/>
  <c r="L14" i="4"/>
  <c r="O14" i="4"/>
  <c r="J14" i="4"/>
  <c r="N14" i="4" l="1"/>
  <c r="E14" i="4"/>
  <c r="H14" i="4"/>
  <c r="F14" i="4"/>
  <c r="I14" i="4"/>
  <c r="G14" i="4"/>
  <c r="D14" i="4"/>
  <c r="C14" i="4" l="1"/>
  <c r="P14" i="4" s="1"/>
  <c r="B5" i="1" l="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l="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Dilshad V.P</author>
  </authors>
  <commentList>
    <comment ref="H3" authorId="0" shapeId="0" xr:uid="{F4196CEC-76B0-4224-936E-35ED24C69C87}">
      <text>
        <r>
          <rPr>
            <b/>
            <sz val="9"/>
            <color indexed="81"/>
            <rFont val="Tahoma"/>
            <family val="2"/>
          </rPr>
          <t>Dilshad V.P:</t>
        </r>
        <r>
          <rPr>
            <sz val="9"/>
            <color indexed="81"/>
            <rFont val="Tahoma"/>
            <family val="2"/>
          </rPr>
          <t xml:space="preserve">
[New Asset Acquisition / Replacement / Expansion / Compliance / Others]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Dilshad V.P</author>
    <author>tc={9D875304-7FC8-EC4B-9EA4-9F235AFEC161}</author>
    <author>tc={20E6540D-C8D1-9246-8538-89F98AB9CAD7}</author>
    <author>tc={E02B4671-CA30-4349-ABA5-A61FE8B18561}</author>
    <author>tc={D7F378F8-8978-5946-BB88-7A73FE364E86}</author>
    <author>tc={2A44A4F2-11A0-3941-83B7-45DA8DD5A008}</author>
    <author>tc={F69E756F-A9B9-1D40-B4E0-DEF7551CEBFF}</author>
  </authors>
  <commentList>
    <comment ref="G1" authorId="0" shapeId="0" xr:uid="{57918391-09C5-734B-B05D-89A2C9B17348}">
      <text>
        <r>
          <rPr>
            <b/>
            <sz val="9"/>
            <color indexed="81"/>
            <rFont val="Tahoma"/>
            <family val="2"/>
          </rPr>
          <t>Dilshad V.P:</t>
        </r>
        <r>
          <rPr>
            <sz val="9"/>
            <color indexed="81"/>
            <rFont val="Tahoma"/>
            <family val="2"/>
          </rPr>
          <t xml:space="preserve">
[New Asset Acquisition / Replacement / Expansion / Compliance / Others]</t>
        </r>
      </text>
    </comment>
    <comment ref="B175" authorId="1" shapeId="0" xr:uid="{9D875304-7FC8-EC4B-9EA4-9F235AFEC161}">
      <text>
        <t>[Threaded comment]
Your version of Excel allows you to read this threaded comment; however, any edits to it will get removed if the file is opened in a newer version of Excel. Learn more: https://go.microsoft.com/fwlink/?linkid=870924
Comment:
    ⚠ Department is blank — this item (Rota flow) is excluded from Capex_Summary department breakdown. Please assign a department.</t>
      </text>
    </comment>
    <comment ref="C175" authorId="2" shapeId="0" xr:uid="{20E6540D-C8D1-9246-8538-89F98AB9CAD7}">
      <text>
        <t>[Threaded comment]
Your version of Excel allows you to read this threaded comment; however, any edits to it will get removed if the file is opened in a newer version of Excel. Learn more: https://go.microsoft.com/fwlink/?linkid=870924
Comment:
    ⚠ Asset Category is blank — this item (Rota flow) is excluded from Capex_Summary asset category breakdown. Please assign a category.</t>
      </text>
    </comment>
    <comment ref="B176" authorId="3" shapeId="0" xr:uid="{E02B4671-CA30-4349-ABA5-A61FE8B18561}">
      <text>
        <t>[Threaded comment]
Your version of Excel allows you to read this threaded comment; however, any edits to it will get removed if the file is opened in a newer version of Excel. Learn more: https://go.microsoft.com/fwlink/?linkid=870924
Comment:
    ⚠ Department is blank — this item (Vital Sign monitor) is excluded from Capex_Summary department breakdown. Please assign a department.</t>
      </text>
    </comment>
    <comment ref="C176" authorId="4" shapeId="0" xr:uid="{D7F378F8-8978-5946-BB88-7A73FE364E86}">
      <text>
        <t>[Threaded comment]
Your version of Excel allows you to read this threaded comment; however, any edits to it will get removed if the file is opened in a newer version of Excel. Learn more: https://go.microsoft.com/fwlink/?linkid=870924
Comment:
    ⚠ Asset Category is blank — this item (Vital Sign monitor) is excluded from Capex_Summary asset category breakdown. Please assign a category.</t>
      </text>
    </comment>
    <comment ref="B177" authorId="5" shapeId="0" xr:uid="{2A44A4F2-11A0-3941-83B7-45DA8DD5A008}">
      <text>
        <t>[Threaded comment]
Your version of Excel allows you to read this threaded comment; however, any edits to it will get removed if the file is opened in a newer version of Excel. Learn more: https://go.microsoft.com/fwlink/?linkid=870924
Comment:
    ⚠ Department is blank — this item (Vital Sign monitor) is excluded from Capex_Summary department breakdown. Please assign a department.</t>
      </text>
    </comment>
    <comment ref="B178" authorId="6" shapeId="0" xr:uid="{F69E756F-A9B9-1D40-B4E0-DEF7551CEBFF}">
      <text>
        <t>[Threaded comment]
Your version of Excel allows you to read this threaded comment; however, any edits to it will get removed if the file is opened in a newer version of Excel. Learn more: https://go.microsoft.com/fwlink/?linkid=870924
Comment:
    ⚠ Department is blank — this item (Vital Sign monitor) is excluded from Capex_Summary department breakdown. Please assign a department.</t>
      </text>
    </comment>
  </commentList>
</comments>
</file>

<file path=xl/sharedStrings.xml><?xml version="1.0" encoding="utf-8"?>
<sst xmlns="http://schemas.openxmlformats.org/spreadsheetml/2006/main" count="6238" uniqueCount="1078">
  <si>
    <t>LAKESHORE HOSPITAL &amp; RESEARCH CENTRE LIMITED</t>
  </si>
  <si>
    <t>Project Description /Item Name</t>
  </si>
  <si>
    <t>Category of CAPEX</t>
  </si>
  <si>
    <t>Location/ Area of Implementation</t>
  </si>
  <si>
    <t>Estimated Cost (INR)</t>
  </si>
  <si>
    <t>Equipment Cost</t>
  </si>
  <si>
    <t>Installation Cost</t>
  </si>
  <si>
    <t>Other Costs (Specify)</t>
  </si>
  <si>
    <t>Total</t>
  </si>
  <si>
    <t>Source of Pricing Information</t>
  </si>
  <si>
    <t>Proposed Timeline for Investment</t>
  </si>
  <si>
    <t>Start Date</t>
  </si>
  <si>
    <t>End Date</t>
  </si>
  <si>
    <t>Purpose of the Investment</t>
  </si>
  <si>
    <t>Impact of Non-Investment</t>
  </si>
  <si>
    <t>Specifications/Features Required</t>
  </si>
  <si>
    <t>Justification</t>
  </si>
  <si>
    <t>Maintenance/ Operational Costs</t>
  </si>
  <si>
    <t>QTY</t>
  </si>
  <si>
    <t>SL.No</t>
  </si>
  <si>
    <t>Replacement</t>
  </si>
  <si>
    <t>Clinical Nutrition</t>
  </si>
  <si>
    <t>Department</t>
  </si>
  <si>
    <t>Safety &amp; Security</t>
  </si>
  <si>
    <t>IT</t>
  </si>
  <si>
    <t>Pharmacy</t>
  </si>
  <si>
    <t>Food &amp; Beverage</t>
  </si>
  <si>
    <t>&gt;&gt;</t>
  </si>
  <si>
    <t>Wheel chairs</t>
  </si>
  <si>
    <t>Physiotherapy</t>
  </si>
  <si>
    <t>Store</t>
  </si>
  <si>
    <t>CSSD</t>
  </si>
  <si>
    <t>Operation</t>
  </si>
  <si>
    <t>Radiology</t>
  </si>
  <si>
    <t>MRD</t>
  </si>
  <si>
    <t>HRD</t>
  </si>
  <si>
    <t>Biomedical</t>
  </si>
  <si>
    <t>May</t>
  </si>
  <si>
    <t>&gt;&gt;&gt;</t>
  </si>
  <si>
    <t>Asset Category</t>
  </si>
  <si>
    <t>Biomedical Assets</t>
  </si>
  <si>
    <t>Vehicles</t>
  </si>
  <si>
    <t>Fire &amp; Safety Assets</t>
  </si>
  <si>
    <t>IT Assets</t>
  </si>
  <si>
    <t>Furniture &amp; Fixtures Assets</t>
  </si>
  <si>
    <t>Electrical Equipments</t>
  </si>
  <si>
    <t>Asset Category Wise Summary</t>
  </si>
  <si>
    <t>ICU Complex</t>
  </si>
  <si>
    <t>Renovation</t>
  </si>
  <si>
    <t>1st Floor Main Block</t>
  </si>
  <si>
    <t>Inviting tender</t>
  </si>
  <si>
    <t xml:space="preserve">Combine ICUs in one area. </t>
  </si>
  <si>
    <t>For reducing staff &amp; electrical Consumption</t>
  </si>
  <si>
    <t>Existing ICU space utilise for another purpose</t>
  </si>
  <si>
    <t>DG overhead platform strengthening &amp; RECD fixing works</t>
  </si>
  <si>
    <t>Electrical area (DG)</t>
  </si>
  <si>
    <t>Pollution control board rules.</t>
  </si>
  <si>
    <t>Statutory government rule.</t>
  </si>
  <si>
    <t>Based on pollution control board order.</t>
  </si>
  <si>
    <t>Main block G.F.</t>
  </si>
  <si>
    <t>Main block</t>
  </si>
  <si>
    <t>Beautifications</t>
  </si>
  <si>
    <t>Stoppage of water sepage &amp; fungus reducing</t>
  </si>
  <si>
    <t>More space for smooth opeartion</t>
  </si>
  <si>
    <t>Patient statisfaction</t>
  </si>
  <si>
    <t>Road &amp; walkway beautification works</t>
  </si>
  <si>
    <t>Arch gate to 4th gate
&amp; casualty</t>
  </si>
  <si>
    <t>Smooth travelling</t>
  </si>
  <si>
    <t>Porch &amp; Front area</t>
  </si>
  <si>
    <t xml:space="preserve">Beautifications &amp; Smooth traffic </t>
  </si>
  <si>
    <t>Patient friendly</t>
  </si>
  <si>
    <t>STP renovation</t>
  </si>
  <si>
    <t>PCB related</t>
  </si>
  <si>
    <t>Environmental Friendly.</t>
  </si>
  <si>
    <t>UF Replacement</t>
  </si>
  <si>
    <t>Treated water reusage</t>
  </si>
  <si>
    <t>Water for Gardening purpose.</t>
  </si>
  <si>
    <t>Domestic Line hot water and flush line</t>
  </si>
  <si>
    <t>Prevent water leak</t>
  </si>
  <si>
    <t>Water saving.</t>
  </si>
  <si>
    <t>Automatic doors installation works</t>
  </si>
  <si>
    <t>New Block</t>
  </si>
  <si>
    <t>Safety &amp; energy saving</t>
  </si>
  <si>
    <t>Increasing airconditioning efficiency.</t>
  </si>
  <si>
    <t>Flush with cistern fixing</t>
  </si>
  <si>
    <t>New block - various rooms</t>
  </si>
  <si>
    <t>Purchasing</t>
  </si>
  <si>
    <t>Unavailiability parts (schell brand fittings)</t>
  </si>
  <si>
    <t>Smooth Operations</t>
  </si>
  <si>
    <t>Engineering</t>
  </si>
  <si>
    <t>Apr</t>
  </si>
  <si>
    <t>Jun</t>
  </si>
  <si>
    <t>Jan</t>
  </si>
  <si>
    <t>Jul</t>
  </si>
  <si>
    <t>Feb</t>
  </si>
  <si>
    <t>Mar</t>
  </si>
  <si>
    <t>Aug</t>
  </si>
  <si>
    <t>Nov</t>
  </si>
  <si>
    <t>Dec</t>
  </si>
  <si>
    <t>Oct</t>
  </si>
  <si>
    <t>Sep</t>
  </si>
  <si>
    <t>YTD</t>
  </si>
  <si>
    <t>Billing</t>
  </si>
  <si>
    <t>Project</t>
  </si>
  <si>
    <t>Land</t>
  </si>
  <si>
    <t>Building</t>
  </si>
  <si>
    <t>CAPEX BUDGET FOR THE FY 2026-27</t>
  </si>
  <si>
    <t>CAPEX REQUIREMENT FOR THE FY 2026-27</t>
  </si>
  <si>
    <t>Exterior Painting - Main block</t>
  </si>
  <si>
    <t>Central Cutout renovation work</t>
  </si>
  <si>
    <t>Ultrasound &amp;
Ortho Dept. Renovation</t>
  </si>
  <si>
    <t>Renal kidney transplant centre</t>
  </si>
  <si>
    <t>Fire Escape &amp; support painting</t>
  </si>
  <si>
    <t>Casualty</t>
  </si>
  <si>
    <t>Outside noise complaint rectifications</t>
  </si>
  <si>
    <t>Regularization purpose (fee)</t>
  </si>
  <si>
    <t>Multi Level Parking</t>
  </si>
  <si>
    <t>Coil, Electrical, Water, Soil testing etc.</t>
  </si>
  <si>
    <t>Parking area leveling &amp; inter lock laying</t>
  </si>
  <si>
    <t>Paediatric OP construction works</t>
  </si>
  <si>
    <t>Architectural &amp; PMC Fees</t>
  </si>
  <si>
    <t>Lowside (New block) BMS activation</t>
  </si>
  <si>
    <t>AHU coil replacement</t>
  </si>
  <si>
    <t>AHU unit replacement</t>
  </si>
  <si>
    <t>Chilled water line replacement (Plastic Surgery, NSICU, OT Recovery) 1 1/2" pipe</t>
  </si>
  <si>
    <t>Cooling Tower valve replacement</t>
  </si>
  <si>
    <t xml:space="preserve">HRW recovery wheel replacement </t>
  </si>
  <si>
    <t>Split AC replacement (call centre, drivers cabin, 635, 636  doctor's resting area, Biochemistry)</t>
  </si>
  <si>
    <t>5 TR , 1 Tower AC Spare</t>
  </si>
  <si>
    <t>Main Lobby Glass fixing</t>
  </si>
  <si>
    <t>Robotic duct cleaning in OT passage</t>
  </si>
  <si>
    <t>Microfilter &amp; pre filter changing in OT</t>
  </si>
  <si>
    <t>Pharmacy
Vaccine Refrigerator</t>
  </si>
  <si>
    <t>Pharmacy
Refrigerator</t>
  </si>
  <si>
    <t xml:space="preserve">Cold room </t>
  </si>
  <si>
    <t>8th floor Premium suite renovation</t>
  </si>
  <si>
    <t>Main block rooms renovation &amp; delux room renovation</t>
  </si>
  <si>
    <t>Main block - 1st floor</t>
  </si>
  <si>
    <t>New block</t>
  </si>
  <si>
    <t>Parking Area</t>
  </si>
  <si>
    <t>Main block 2nd floor</t>
  </si>
  <si>
    <t>All Blocks</t>
  </si>
  <si>
    <t>Main Block</t>
  </si>
  <si>
    <t>Work awarded</t>
  </si>
  <si>
    <t>Government Fee &amp; Consultant</t>
  </si>
  <si>
    <t>Engeering</t>
  </si>
  <si>
    <t>Combine Rental transplant ICU 1 &amp; 2 one area.</t>
  </si>
  <si>
    <t>Prevent corrosion</t>
  </si>
  <si>
    <t>Facility improvement.</t>
  </si>
  <si>
    <t>Avoiding noise complaint from patient (exteranal louver side)</t>
  </si>
  <si>
    <t>Legal Purpose</t>
  </si>
  <si>
    <t>Patient friendly.</t>
  </si>
  <si>
    <t>Renovation purpose</t>
  </si>
  <si>
    <t>Centralizing HVAC controle optimizing building performance.</t>
  </si>
  <si>
    <t>HVAC performance improving</t>
  </si>
  <si>
    <t>Performance improving</t>
  </si>
  <si>
    <t>HVAC performance</t>
  </si>
  <si>
    <t>Dust removal</t>
  </si>
  <si>
    <t>Mandatory requirement</t>
  </si>
  <si>
    <t>Based on the request from Pharmacy</t>
  </si>
  <si>
    <t>Clealiness</t>
  </si>
  <si>
    <t xml:space="preserve">For reducing staff &amp; ele. Consumption reducing. </t>
  </si>
  <si>
    <t>More life.</t>
  </si>
  <si>
    <t>Patient capacity enhancing.</t>
  </si>
  <si>
    <t>Statutory Purpose</t>
  </si>
  <si>
    <t>New requirment</t>
  </si>
  <si>
    <t>Maintenace</t>
  </si>
  <si>
    <t>Other</t>
  </si>
  <si>
    <t>Replacement/Spare</t>
  </si>
  <si>
    <t>House Keeping</t>
  </si>
  <si>
    <t>Replacement of Old chair</t>
  </si>
  <si>
    <t>Furniture &amp; Fixtures</t>
  </si>
  <si>
    <t>Chairs</t>
  </si>
  <si>
    <t xml:space="preserve">Around 50 Nos of Old Visiting &amp; computer chairs to be replaced with new one </t>
  </si>
  <si>
    <t>Airport Chairs of Radiology &amp; Paediatric / oncology OPDs to be replaced &amp; added with new one ( 50 Nos )</t>
  </si>
  <si>
    <t>Airport Chairs</t>
  </si>
  <si>
    <t>Radiology &amp; Paediatric / oncology OPDs</t>
  </si>
  <si>
    <t>Patient privacy curtains</t>
  </si>
  <si>
    <t>Patient privacy Curtains to be fixed in All Deluxe rooms ( 56 Nos )</t>
  </si>
  <si>
    <t>Urali Aluminium Big</t>
  </si>
  <si>
    <t>Grinder Titling Type 20 ltr</t>
  </si>
  <si>
    <t>Sujatha Mixer Grinder</t>
  </si>
  <si>
    <t>Sujatha Juicer Machine</t>
  </si>
  <si>
    <t>Rice Steamer  Boiler Unit</t>
  </si>
  <si>
    <t>Dough sheeter for Bakery</t>
  </si>
  <si>
    <t>Asset Sub Category</t>
  </si>
  <si>
    <t>Chairs, tables, cupboards</t>
  </si>
  <si>
    <t>Curtains, blinds</t>
  </si>
  <si>
    <t>Plant &amp; Machinery</t>
  </si>
  <si>
    <t>Kitchen utensils</t>
  </si>
  <si>
    <t>Kitchen</t>
  </si>
  <si>
    <t>For Presently using urali cracked and replace</t>
  </si>
  <si>
    <t>For  old Machine Complaint and discarded , Need new one</t>
  </si>
  <si>
    <t>For Presntly using machine is old and always complaint buy new one</t>
  </si>
  <si>
    <t>For Presently using machine is old and always complaint buy new one</t>
  </si>
  <si>
    <t>Presently one  Machine is damage and replace new</t>
  </si>
  <si>
    <t>Microwave Oven</t>
  </si>
  <si>
    <t>Camabro Black Trolly</t>
  </si>
  <si>
    <t>Sujatha mixer grinder</t>
  </si>
  <si>
    <t>Sujath juicer Machine</t>
  </si>
  <si>
    <t>Clearance Trolly</t>
  </si>
  <si>
    <t>Full Plate warmer</t>
  </si>
  <si>
    <t>Kitchen / Service Equipment</t>
  </si>
  <si>
    <t>New</t>
  </si>
  <si>
    <t>Service Restaurant &amp; Coffee Shops</t>
  </si>
  <si>
    <t>For Replacement for Coffee shops</t>
  </si>
  <si>
    <t>for Coffee shops Snakcs pick up</t>
  </si>
  <si>
    <t>for Coffee shops juice counter</t>
  </si>
  <si>
    <t>for Gourmet &amp;  CB -1 area food clearance</t>
  </si>
  <si>
    <t>for Doctors dining area using Hot Plate</t>
  </si>
  <si>
    <t>Food Service Trolly Electric operated</t>
  </si>
  <si>
    <t>Tea Kettile Cambro 20 ltr</t>
  </si>
  <si>
    <t>Room Service</t>
  </si>
  <si>
    <t>CORNELL HEATED HOSPITAL CART Size: 1070 x 710 x 1400 mm
Capacity : 60 Trays</t>
  </si>
  <si>
    <t>CORNELL HEATED HOSPITAL CART Size: 550 x 710 x 1400 mm
Capacity : 30 Trays</t>
  </si>
  <si>
    <t xml:space="preserve">for Patient  Rooms  Tea snacks &amp; Food  service </t>
  </si>
  <si>
    <t>for  Patient Room  Hot tea  service</t>
  </si>
  <si>
    <t>for Room service food Warming Purpose</t>
  </si>
  <si>
    <t>Glass washing Machine</t>
  </si>
  <si>
    <t>Trolly Two wheel (arbana)</t>
  </si>
  <si>
    <t>Sanitizer Tub S S( cutting board )</t>
  </si>
  <si>
    <t>Stewarding Dept</t>
  </si>
  <si>
    <t>For  Water Glass Washing  purpose</t>
  </si>
  <si>
    <t>For out side food Waste Clearance</t>
  </si>
  <si>
    <t>For Kitchen cutting Board Sanitizing</t>
  </si>
  <si>
    <t>Steel Trolly Heavy</t>
  </si>
  <si>
    <t>Stores &amp; Purchase</t>
  </si>
  <si>
    <t>for Heavy Grocery items pick up and shifted from receving area to stores</t>
  </si>
  <si>
    <t>Bread Toaster 4 slice - Table Top</t>
  </si>
  <si>
    <t>Induction cooker VIC 200</t>
  </si>
  <si>
    <t>Snacks Plates</t>
  </si>
  <si>
    <t>Full Plate Round SS</t>
  </si>
  <si>
    <t>Ceramic Half Plate</t>
  </si>
  <si>
    <t>S.S Plate Round Big( Dosa )</t>
  </si>
  <si>
    <t>Steel glass for Payasam</t>
  </si>
  <si>
    <t>Bowl for Kanji Melamine White</t>
  </si>
  <si>
    <t>Bowl For Fried Rice /Noodles Melamine</t>
  </si>
  <si>
    <t>For  Coffee shop No. 4  Banquet Purpose</t>
  </si>
  <si>
    <t>for all coffee shops snacks service</t>
  </si>
  <si>
    <t>for gourmet restaurant  Meals service</t>
  </si>
  <si>
    <t>for for Side dish food service</t>
  </si>
  <si>
    <t>for Restaurant dosa service</t>
  </si>
  <si>
    <t>for restaurant meals payasam service</t>
  </si>
  <si>
    <t>for gourmet Restaurant kanaji service</t>
  </si>
  <si>
    <t>For Restaurant chineese food Service</t>
  </si>
  <si>
    <t>Full Plate Grey Melamine</t>
  </si>
  <si>
    <t>Half Plate White Melamine</t>
  </si>
  <si>
    <t>Soup Bowl Ceramic White</t>
  </si>
  <si>
    <t>Biriyani Pot with Lid  S.S</t>
  </si>
  <si>
    <t>Fruits Salad Bowl S.S</t>
  </si>
  <si>
    <t>Flask Steel 2 Ltr</t>
  </si>
  <si>
    <t>Tea Cup Comfy Brown</t>
  </si>
  <si>
    <t>Dessert Spoon</t>
  </si>
  <si>
    <t>Tea Spoon</t>
  </si>
  <si>
    <t>Soup spoon</t>
  </si>
  <si>
    <t>S.S Fork</t>
  </si>
  <si>
    <t>S.S Knife</t>
  </si>
  <si>
    <t>Service Laddle S.S</t>
  </si>
  <si>
    <t>Rice cutter S.S</t>
  </si>
  <si>
    <t>Hot Case 3 layer</t>
  </si>
  <si>
    <t>Casserol 500 ml S.S</t>
  </si>
  <si>
    <t>Service Tray Red / Grey</t>
  </si>
  <si>
    <t>Flask 500ml S.S</t>
  </si>
  <si>
    <t>Feed Bottle S.S</t>
  </si>
  <si>
    <t>Curry Bowl With Lid Ovel shape</t>
  </si>
  <si>
    <t xml:space="preserve">3 compartment Tray  with Lid  </t>
  </si>
  <si>
    <t xml:space="preserve">6 compartment Tray  with Lid  </t>
  </si>
  <si>
    <t>for Room service Patient food service</t>
  </si>
  <si>
    <t>for Room service Patient Kanji Service</t>
  </si>
  <si>
    <t>for Room service Patient Soup service</t>
  </si>
  <si>
    <t>for Room service Patient  Hot Biriyani service</t>
  </si>
  <si>
    <t>for Room service Patient  Fruits service</t>
  </si>
  <si>
    <t>for Patient Room  6 or More Tea service</t>
  </si>
  <si>
    <t>for Room service Patient  Tea / coffee service</t>
  </si>
  <si>
    <t>for Room service  Food packing purpose</t>
  </si>
  <si>
    <t>for Room service Patient Hot food service</t>
  </si>
  <si>
    <t>for Room service Patient Food &amp; Tea / coffee service</t>
  </si>
  <si>
    <t>for Room service Patient  Diet food service</t>
  </si>
  <si>
    <t>for Room service Patient  Brakefast food service</t>
  </si>
  <si>
    <t>for Room service Patient Mealas food service</t>
  </si>
  <si>
    <t>S.S Trolly wheel Heavy</t>
  </si>
  <si>
    <t xml:space="preserve">Waste bin </t>
  </si>
  <si>
    <t xml:space="preserve">S.S. Tap </t>
  </si>
  <si>
    <t xml:space="preserve">Stewarding Dept </t>
  </si>
  <si>
    <t>For Steel Trolly wheel Replacement</t>
  </si>
  <si>
    <t>For Food Waste colleting bin coffee shop &amp; Kitchen  Area</t>
  </si>
  <si>
    <t>For Kitchen &amp; Washing Area tap repalcement</t>
  </si>
  <si>
    <t>Steel Trolly wheel</t>
  </si>
  <si>
    <t>Buildings</t>
  </si>
  <si>
    <t>Hospital Building</t>
  </si>
  <si>
    <t>DG Platform</t>
  </si>
  <si>
    <t>Cutout Strcture</t>
  </si>
  <si>
    <t>Internal Infrastructure</t>
  </si>
  <si>
    <t>Palnt</t>
  </si>
  <si>
    <t>Sanitary &amp; Plumbing Fixtures</t>
  </si>
  <si>
    <t>Electrical / Mechanical Equipments</t>
  </si>
  <si>
    <t>Amount</t>
  </si>
  <si>
    <t>Status</t>
  </si>
  <si>
    <t>Capex Requirement For FY 26-27</t>
  </si>
  <si>
    <t>Pending</t>
  </si>
  <si>
    <t>Received</t>
  </si>
  <si>
    <t>Insurance</t>
  </si>
  <si>
    <t>Lab</t>
  </si>
  <si>
    <t>Marketing</t>
  </si>
  <si>
    <t>Sl.No.</t>
  </si>
  <si>
    <t>Quality</t>
  </si>
  <si>
    <t>Purchase</t>
  </si>
  <si>
    <t>(Figure in Lakhs )</t>
  </si>
  <si>
    <t>File Cabinet ( 4 Rack )</t>
  </si>
  <si>
    <t>Mobile Phone</t>
  </si>
  <si>
    <t>Compter System</t>
  </si>
  <si>
    <t>Printer (Double Side )</t>
  </si>
  <si>
    <t>H R Department</t>
  </si>
  <si>
    <t>Office furniture</t>
  </si>
  <si>
    <t>Computers &amp; IT Equipment</t>
  </si>
  <si>
    <t>Office Equipment</t>
  </si>
  <si>
    <t>Telephones &amp; EPABX systems</t>
  </si>
  <si>
    <t>Desktop computers</t>
  </si>
  <si>
    <t>Printers, scanners</t>
  </si>
  <si>
    <t>IT Dept:</t>
  </si>
  <si>
    <t>Purchase Dept:</t>
  </si>
  <si>
    <t>Unsafe storage of Personnel files</t>
  </si>
  <si>
    <t xml:space="preserve">Recruitment Purpose-Candidate co ordination and Official Communication </t>
  </si>
  <si>
    <t>Replacement required due to frequent slowness and system hanging issues affecting day-to-day operations)</t>
  </si>
  <si>
    <t>Printer required as a replacement for the existing old printer, which is not functioning properly.</t>
  </si>
  <si>
    <t>Steel rack powder quoted with sliding trays</t>
  </si>
  <si>
    <t>shortage of file rack</t>
  </si>
  <si>
    <t>Telephone connection</t>
  </si>
  <si>
    <t>IP Pharmacy</t>
  </si>
  <si>
    <t>op pharmacy main block</t>
  </si>
  <si>
    <t>Medical store</t>
  </si>
  <si>
    <t>OP Pharmacy GF New Block</t>
  </si>
  <si>
    <t>OP Pharmacy Main block</t>
  </si>
  <si>
    <t>purchase department</t>
  </si>
  <si>
    <t>Replacement  to improve the efficiency</t>
  </si>
  <si>
    <t>Refrigerator</t>
  </si>
  <si>
    <t>Shutter Medicine storage cabinet A5-336 &amp; D74 G(36+36)</t>
  </si>
  <si>
    <t>Medical store main door</t>
  </si>
  <si>
    <t xml:space="preserve">Fire exit  medical store </t>
  </si>
  <si>
    <t>slotted angle rack shelves replacement</t>
  </si>
  <si>
    <t>supply trolley medical store platform type</t>
  </si>
  <si>
    <t>steel almirah</t>
  </si>
  <si>
    <t>new</t>
  </si>
  <si>
    <t>OP Pharmacy new  block 2</t>
  </si>
  <si>
    <t>Engineering department</t>
  </si>
  <si>
    <t>Replacement of old  refrigerator</t>
  </si>
  <si>
    <t>Replacement of damaged bin system</t>
  </si>
  <si>
    <t>for security puropse</t>
  </si>
  <si>
    <t>Fire escape route</t>
  </si>
  <si>
    <t>Replacement of damaged shelves</t>
  </si>
  <si>
    <t>Replacement of old trolley</t>
  </si>
  <si>
    <t>Replacemnt of old almirah</t>
  </si>
  <si>
    <t>low performance &amp; repairs</t>
  </si>
  <si>
    <t>Lack proper storage of medicines</t>
  </si>
  <si>
    <t>secuirty compromised</t>
  </si>
  <si>
    <t>safety will be compromised</t>
  </si>
  <si>
    <t>proper transportation will be compromised</t>
  </si>
  <si>
    <t xml:space="preserve">Lack proper storage </t>
  </si>
  <si>
    <t xml:space="preserve">samsung double door </t>
  </si>
  <si>
    <t>fabricated strong  door with steel door closure</t>
  </si>
  <si>
    <t>steel stairs</t>
  </si>
  <si>
    <t>steel painted shelves</t>
  </si>
  <si>
    <t>platform type steel</t>
  </si>
  <si>
    <t>steel painted almirah with shelves</t>
  </si>
  <si>
    <t>for proper storage of medicines in bins</t>
  </si>
  <si>
    <t>for proper storage</t>
  </si>
  <si>
    <t>for life saving purpose</t>
  </si>
  <si>
    <t xml:space="preserve">for proper storage of medicines </t>
  </si>
  <si>
    <t>for proper transportation</t>
  </si>
  <si>
    <t>Refrigeration Equipment</t>
  </si>
  <si>
    <t>Storage Cabinet / Pharmacy Furniture</t>
  </si>
  <si>
    <t>Medicine trolley</t>
  </si>
  <si>
    <t>Replacement of old damaged</t>
  </si>
  <si>
    <t>Not suitable for use</t>
  </si>
  <si>
    <t>Stainless steel medciien trolley</t>
  </si>
  <si>
    <t>to improve th medicine delivery in trolley</t>
  </si>
  <si>
    <t>Computer Chairs</t>
  </si>
  <si>
    <t>medium high back chair</t>
  </si>
  <si>
    <t>Computer Chair</t>
  </si>
  <si>
    <t xml:space="preserve">Medical store </t>
  </si>
  <si>
    <t>Chances of  staff fall</t>
  </si>
  <si>
    <t>Office Chair</t>
  </si>
  <si>
    <t>Office chair</t>
  </si>
  <si>
    <t>Replacemnt of very old chair</t>
  </si>
  <si>
    <t>Replacement of very old chair</t>
  </si>
  <si>
    <t>PHYSIOTHERAPY</t>
  </si>
  <si>
    <t>Laser Therapy (Class 4)</t>
  </si>
  <si>
    <t>Shock wave therapy</t>
  </si>
  <si>
    <t>Tilt table</t>
  </si>
  <si>
    <t>Recumbent Bike</t>
  </si>
  <si>
    <t>Multi Gym Unit</t>
  </si>
  <si>
    <t xml:space="preserve">Advanced combination therapy unit / wireless combination therapy unit - Intelect Mobile 2 </t>
  </si>
  <si>
    <t>Spinal decompression traction unit</t>
  </si>
  <si>
    <t>Shoulder continuous passive movement machine</t>
  </si>
  <si>
    <t>Patient lifter and transfer chair unit (Bed to wheelchair)  </t>
  </si>
  <si>
    <t>Theraband wall station</t>
  </si>
  <si>
    <t>Armable Game based Physiotherapy upperlimb rehabilitation device</t>
  </si>
  <si>
    <t>Blood flow restriction therapy units</t>
  </si>
  <si>
    <t>Biomedical Equipment</t>
  </si>
  <si>
    <t>Physiotherapy Unit</t>
  </si>
  <si>
    <t>Vendor Quote</t>
  </si>
  <si>
    <t>Vendor Quote(Chattanooga)</t>
  </si>
  <si>
    <t>Vendor Quote (Schnell Tech)</t>
  </si>
  <si>
    <t>Vendor Quote(H+ cuff)</t>
  </si>
  <si>
    <t>Used for pain relief, inflammation reduction, and tissue repair in musculoskeletal conditions. </t>
  </si>
  <si>
    <t> Effective for chronic pain conditions like plantar fasciitis, tendinopathies, and calcific shoulder issues</t>
  </si>
  <si>
    <t>Facilitates gradual weight-bearing and mobilization for neurologically impaired and bed-bound patients</t>
  </si>
  <si>
    <t>Low-impact cardiovascular exercise for patients with mobility limitations or joint issue</t>
  </si>
  <si>
    <t>Facilitates full-body strengthening for rehabilitation and conditioning purposes</t>
  </si>
  <si>
    <t>Combines multiple electrotherapy modalities (IFC, TENS, Ultrasound) for pain management and tissue healing</t>
  </si>
  <si>
    <t>Non-surgical spinal decompression for conditions like disc herniations and nerve impingements</t>
  </si>
  <si>
    <t>Aids in post-surgical shoulder rehabilitation by providing controlled passive motion</t>
  </si>
  <si>
    <t>Assists in safe and ergonomic patient transfers for mobility-impaired individuals</t>
  </si>
  <si>
    <t>Resistance-based rehabilitation for strength training and functional mobility</t>
  </si>
  <si>
    <t>to strengthen and modernize the physiotherapy and neuro rehab services by incorporating technology driven, patient centric rehabilitaion for individuals with upperlimb weakness</t>
  </si>
  <si>
    <t>Enhances muscle strength and hypertrophy using low-load exercises with restricted blood flow</t>
  </si>
  <si>
    <t>Limited options for non-invasive pain management and delayed healing for soft tissue injuries.</t>
  </si>
  <si>
    <t>Reduced effectiveness in treating chronic musculoskeletal conditions, leading to longer recovery times</t>
  </si>
  <si>
    <t>Limited ability to assist in early-stage neuro-rehabilitation, delaying functional recovery</t>
  </si>
  <si>
    <t>Reduced cardio options for patients with joint issues, limiting holistic rehabilitation programs</t>
  </si>
  <si>
    <t>Limited access to multi-functional resistance exercises for strength training and injury prevention</t>
  </si>
  <si>
    <t>Limited pain relief options and delayed tissue healing, impacting patient turnover</t>
  </si>
  <si>
    <t>Fewer non-invasive treatment options for spinal issues, leading to prolonged recovery</t>
  </si>
  <si>
    <t>Increased risk of post-surgical stiffness and delayed recovery</t>
  </si>
  <si>
    <t>Increased risk of caregiver injury and discomfort for patients during transfers</t>
  </si>
  <si>
    <t>Limited options for progressive resistance training in physiotherapy</t>
  </si>
  <si>
    <t>Limit the department to conventional rehabilitation methods, resulting in lower patient engagement, slower recovery, reduced competitiveness and missed revenue opportunities from advanced neuro rehab services</t>
  </si>
  <si>
    <t> Limited options for early-stage strength rehabilitation in post-injury or post-surgery cases</t>
  </si>
  <si>
    <t>Wavelength:980/810 nm -  Power Output:Up to 25W, adjustable -     Modes:Continuous &amp; pulsed - Features:Digital touchscreen, safety lock, eye protection</t>
  </si>
  <si>
    <t>Shockwave Type:Radial/Focused - Frequency: 1-20 Hz -           Intensity: Up to 5 bars - Features:Multiple applicator heads, low noise, portable</t>
  </si>
  <si>
    <t>Tilt Range:0° to 90° (electric) - Safety: Lockable wheels, straps, handrails                                      Weight Capacity:Up to 200 kg - Features:Padded, anti-slip surface</t>
  </si>
  <si>
    <t>Resistance:20 levels (magnetic) - Seat: Adjustable, lumbar support - Display:Speed, distance, time, calories, heart rate -            Features: Step-through design, preset programs</t>
  </si>
  <si>
    <t>Weight Stack:100-120 kg - Stations: Lat pulldown, chest press, leg extension and other large group muscle attachment Frame:Heavy-duty steel, coated cables - Features: Adjustable seats, lockable plates</t>
  </si>
  <si>
    <t>Modalities:TENS, IFT, Ultrasound, Russian Current Channels:2-4 - Frequency: 1-150 Hz (TENS), 1 MHz &amp; 3 MHz (US)                      Features: Digital display, therapy timer</t>
  </si>
  <si>
    <t>Traction Type: Lumbar &amp; cervical                    Pulling Force:0-100  kg -     Modes:Static, intermittent, cyclic                         Features: Emergency stop, digital control</t>
  </si>
  <si>
    <t>ROM: 0° to 180° - Speed:Variable -         Control: Handheld remote - Features:Soft padding, auto-stop sensor</t>
  </si>
  <si>
    <t>Lifting Capacity: Up to 150 kg - Features: Lockable wheels, adjustable harness, ergonomic handles</t>
  </si>
  <si>
    <t>Resistance:Multiple bands - Frame:Wall-mounted with anchors - Features:Adjustable tension, compact design</t>
  </si>
  <si>
    <t xml:space="preserve">real time performance feedback and progress monitoring with objective data recording for assessment and reporting. </t>
  </si>
  <si>
    <t>Pressure Range:Adjustable Bands: Inflatable cuffs - Features:Digital pressure monitoring, safety lock</t>
  </si>
  <si>
    <t>Investing improves patient recovery rates, reduces dependency on medications, and offers a competitive advantage in physiotherapy care</t>
  </si>
  <si>
    <t>Proven non-invasive solution for chronic pain, reduces surgical referrals, and enhances patient satisfaction.</t>
  </si>
  <si>
    <t> Essential for neuro-rehabilitation, improving circulation, preventing bedsores, and aiding balance retraining</t>
  </si>
  <si>
    <t>Offers safe cardiovascular conditioning for seniors and those with orthopedic issues, promoting functional recovery</t>
  </si>
  <si>
    <t>Encourages complete musculoskeletal rehabilitation and conditioning, suitable for all age groups and fitness levels</t>
  </si>
  <si>
    <t>Cost-effective multipurpose solution for pain relief and faster recovery in various conditions</t>
  </si>
  <si>
    <t>Effective in treating chronic spinal conditions without surgery, improving patient outcomes and reducing hospital referrals</t>
  </si>
  <si>
    <t>Essential for early mobilization post-surgery, preventing joint stiffness and improving functional outcomes</t>
  </si>
  <si>
    <t>Enhances patient safety, reduces caregiver strain, and ensures dignified patient handling</t>
  </si>
  <si>
    <t>Cost-effective, versatile, and suitable for various rehabilitation phases, improving patient engagement</t>
  </si>
  <si>
    <t>Technology driven engaging therapy  which improves patient compliance and therapist efficiency. Requires minimal space and support revenue generation.</t>
  </si>
  <si>
    <t>Effective for early-phase strengthening, especially when full-weight exercises are contraindicated, reducing muscle loss during recovery</t>
  </si>
  <si>
    <t>Electrophoresis Instrument</t>
  </si>
  <si>
    <t>Tube Labeller Insturment</t>
  </si>
  <si>
    <t>Automated Urine Analyzer</t>
  </si>
  <si>
    <t>Block Cabinets</t>
  </si>
  <si>
    <t>Slide Cabinets</t>
  </si>
  <si>
    <t>Interfacing of Microbiology and Biochemistry Instruments</t>
  </si>
  <si>
    <t>Navify software with Features Autoreporting, Integrated QC, Rerun etc.</t>
  </si>
  <si>
    <t>Cytospin</t>
  </si>
  <si>
    <t>Microscope-Leica DM 750/equivalent)</t>
  </si>
  <si>
    <t>Biochemistry</t>
  </si>
  <si>
    <t>Hematology/Clinical pathology</t>
  </si>
  <si>
    <t>Histopathology</t>
  </si>
  <si>
    <t>Microbiology</t>
  </si>
  <si>
    <t>Hematology</t>
  </si>
  <si>
    <t>Electrophoresis numbers are increasing day by day and presently we are outsourcing the samples.</t>
  </si>
  <si>
    <t>Already had discussed the same.  To improve the phlebotomy process and for TAT saving.</t>
  </si>
  <si>
    <t>Automate the current process to improve the tat in clinical pathology, but presently there is limited space available in hematology department.</t>
  </si>
  <si>
    <t>Space requirement for storing blocks/avoid rodent issues.</t>
  </si>
  <si>
    <t>New machines to be connected to middleware/HIS.</t>
  </si>
  <si>
    <t>Roche provided middlware which has unique fetaures like auto reporting, rerun, qc management etc.</t>
  </si>
  <si>
    <t>Instrument is too old.</t>
  </si>
  <si>
    <t>For Dr.Pushpa Mahadevan</t>
  </si>
  <si>
    <t>Fire &amp; Safety</t>
  </si>
  <si>
    <t>ACLS Ambulance</t>
  </si>
  <si>
    <t xml:space="preserve">fire curtains </t>
  </si>
  <si>
    <t>cctv surveillance in parking areas</t>
  </si>
  <si>
    <t>fire alarm system and sprinkler and other additions</t>
  </si>
  <si>
    <t>Ambulances</t>
  </si>
  <si>
    <t>CCTV</t>
  </si>
  <si>
    <t>Electrical installations</t>
  </si>
  <si>
    <t>3 /Floor</t>
  </si>
  <si>
    <t>transport dept</t>
  </si>
  <si>
    <t>throught the hospital</t>
  </si>
  <si>
    <t>parking grounds</t>
  </si>
  <si>
    <t>thoroughout the hospital</t>
  </si>
  <si>
    <t>existing price</t>
  </si>
  <si>
    <t>existing ICU ambulance not fit for an orgamisation of our kind</t>
  </si>
  <si>
    <t>quality improvement in fire protection and several inspecting team has asked about the same</t>
  </si>
  <si>
    <t>to cover multilevel parking areas and other areas of parking</t>
  </si>
  <si>
    <t>patient dissatisfaction</t>
  </si>
  <si>
    <t>we will fall behind to the major players</t>
  </si>
  <si>
    <t>inadequate surveillance at sensitive areas</t>
  </si>
  <si>
    <t>FORCE Ambulance with interior fabricated for ICU ambulance with required biomedical equipemnts</t>
  </si>
  <si>
    <t>fire retardant wire mesh with rolling system</t>
  </si>
  <si>
    <t>camera,dvr,cable</t>
  </si>
  <si>
    <t>as required fuel and servicing</t>
  </si>
  <si>
    <t>need to replace the ICU ambulance which is 13 years old</t>
  </si>
  <si>
    <t>1.14 lakhs AMC</t>
  </si>
  <si>
    <t>wehave over 300 parking slot which needs to be covered</t>
  </si>
  <si>
    <t xml:space="preserve">fire systems need to be kept operational always </t>
  </si>
  <si>
    <t>Body composition analyser (InBody)</t>
  </si>
  <si>
    <t>Market Survey</t>
  </si>
  <si>
    <t>Biomedical equipment, for nutrition screening/ assessment and also to adapt to newer technologies leading to revenue generation</t>
  </si>
  <si>
    <t>Will not be able to upgrade the services and attract patient flow and related revenue loss</t>
  </si>
  <si>
    <t>Need to assess the BCA while sitting/ standing and supine positions</t>
  </si>
  <si>
    <t>As per the inputs from BME</t>
  </si>
  <si>
    <t>Improve clinical nutrition services for IP and OP, portable technique for quick and fast body composition analysis, to enhance departmentwise revenue generation</t>
  </si>
  <si>
    <t>Comuputers/Desktop</t>
  </si>
  <si>
    <t xml:space="preserve">Network Core Switches and Uplinks </t>
  </si>
  <si>
    <t>Networking equipment</t>
  </si>
  <si>
    <t xml:space="preserve">Nexus 93180YC-EX Switchs and Uplinks </t>
  </si>
  <si>
    <t xml:space="preserve">50  nos  replacement and 03 nos standby </t>
  </si>
  <si>
    <t>Laptop and Tablets</t>
  </si>
  <si>
    <t>Printers</t>
  </si>
  <si>
    <t>40 nos doctors &amp; nursing stations</t>
  </si>
  <si>
    <t>cadrige,key borad,mouse HDD,SMS etc</t>
  </si>
  <si>
    <t>Laptops</t>
  </si>
  <si>
    <t>Other Items</t>
  </si>
  <si>
    <t xml:space="preserve">Netwok Improvement, network upgrade </t>
  </si>
  <si>
    <t>Intangible Assets</t>
  </si>
  <si>
    <t>Computer software</t>
  </si>
  <si>
    <t xml:space="preserve">Oracle , volume/ OS/Microsoft-/O365 , Antivirus </t>
  </si>
  <si>
    <t>Digittalization /Automation /Customization /Security /DPDP</t>
  </si>
  <si>
    <t>Digittalization /Automation</t>
  </si>
  <si>
    <t>WALKING REFERGERATOR</t>
  </si>
  <si>
    <t>General Store</t>
  </si>
  <si>
    <t>DIGITAL DUPLICATOR</t>
  </si>
  <si>
    <t>TO KEEP REFERGERATOR ITEMS.</t>
  </si>
  <si>
    <t>NOW THE REFERGERATOR ITEMS ARE TRANSFERRED AT THE TIME OF DELIVERY</t>
  </si>
  <si>
    <t>NOW WE ARE NOT STOCKING FRIDGE ITEMS SO WE HAVE NO STOCK CONTROL FOR REFERGERATING ITEMS</t>
  </si>
  <si>
    <t>WE CAN CONTROLL THE PURCHASE OF REFERGERATION ITEMS</t>
  </si>
  <si>
    <t>THIS COPPIER WILL REDUCE ALL THE BLACK AND WHITE PRINTOUTS. THE PRINTER HAVING A SPEED OF 120 PAGES PER MINUTE. OUR PRINTING COST WILL REDUCE TO ONE FOURTH.</t>
  </si>
  <si>
    <t>PRINT COST FOR 1000 PRINTS EXCLUDING PAPER IS 160 - 200ONLY.</t>
  </si>
  <si>
    <t>IABP machine</t>
  </si>
  <si>
    <t>Defibrillator</t>
  </si>
  <si>
    <t>Body warmer</t>
  </si>
  <si>
    <t>Blood fluid warmer</t>
  </si>
  <si>
    <t xml:space="preserve">OT Table </t>
  </si>
  <si>
    <t>Anesthesia machine</t>
  </si>
  <si>
    <t>CO monitor</t>
  </si>
  <si>
    <t>Coblator</t>
  </si>
  <si>
    <t>Under body warmer</t>
  </si>
  <si>
    <t>Surgical diathermy</t>
  </si>
  <si>
    <t xml:space="preserve">Head light </t>
  </si>
  <si>
    <t>Thomsan retractor</t>
  </si>
  <si>
    <t>Surgical instruments</t>
  </si>
  <si>
    <t>OT Table Ortho</t>
  </si>
  <si>
    <t>Multipara monitor</t>
  </si>
  <si>
    <t>Syringe pump</t>
  </si>
  <si>
    <t xml:space="preserve"> Surgical Aspirator - CUSA</t>
  </si>
  <si>
    <t>Electric drill</t>
  </si>
  <si>
    <t>Pneumatic drill</t>
  </si>
  <si>
    <t xml:space="preserve">Neuro Navigation Surgical Instruments </t>
  </si>
  <si>
    <t>Neuro monitoring system</t>
  </si>
  <si>
    <t>Neo puff</t>
  </si>
  <si>
    <t>Incubator with portable ventilator</t>
  </si>
  <si>
    <t>Cold cabinet</t>
  </si>
  <si>
    <t>Dye Injector</t>
  </si>
  <si>
    <t>Sealing machine</t>
  </si>
  <si>
    <t>ACT machine</t>
  </si>
  <si>
    <t>Portable monitor</t>
  </si>
  <si>
    <t>Uretero reno fiber Scope</t>
  </si>
  <si>
    <t>Ortho Surgical instruments</t>
  </si>
  <si>
    <t>ENT Surgical instruments</t>
  </si>
  <si>
    <t>Electric bed</t>
  </si>
  <si>
    <t>Patient trolley</t>
  </si>
  <si>
    <t>Examination couch</t>
  </si>
  <si>
    <t>Hot air oven</t>
  </si>
  <si>
    <t>Centrifuge</t>
  </si>
  <si>
    <t>Cold Room</t>
  </si>
  <si>
    <t>Immuno fluorescence microscope with camera</t>
  </si>
  <si>
    <t>PH meter</t>
  </si>
  <si>
    <t xml:space="preserve">Centrifuge </t>
  </si>
  <si>
    <t>Autoclave</t>
  </si>
  <si>
    <t>Deep freezer</t>
  </si>
  <si>
    <t>Laminar air flow cabinet</t>
  </si>
  <si>
    <t>Hot Air Oven</t>
  </si>
  <si>
    <t>Elisa Reader</t>
  </si>
  <si>
    <t>Elisa Washer</t>
  </si>
  <si>
    <t>Densitometer</t>
  </si>
  <si>
    <t>Deep Freezer</t>
  </si>
  <si>
    <t>Cyclomixer</t>
  </si>
  <si>
    <t>Laminar Air Flow</t>
  </si>
  <si>
    <t>CRRT</t>
  </si>
  <si>
    <t>Dialysis machine</t>
  </si>
  <si>
    <t>Ultrasound machine</t>
  </si>
  <si>
    <t>Blood Bank Refrigerator 600L</t>
  </si>
  <si>
    <t>Reagent Refrigerator 600L</t>
  </si>
  <si>
    <t xml:space="preserve">Deep Freezer -40 </t>
  </si>
  <si>
    <t>Blood Collection Monitor</t>
  </si>
  <si>
    <t>Donor Couch</t>
  </si>
  <si>
    <t>Component Extractor</t>
  </si>
  <si>
    <t>Sterile Tubing Welder</t>
  </si>
  <si>
    <t>Platelet Agitator with Incubator</t>
  </si>
  <si>
    <t>Refrigerated Centrifuge</t>
  </si>
  <si>
    <t xml:space="preserve">Deep Freezer -80 </t>
  </si>
  <si>
    <t>Incubator</t>
  </si>
  <si>
    <t>Ultrasonic cleaner</t>
  </si>
  <si>
    <t>Sealing Machine</t>
  </si>
  <si>
    <t>Infusion pump</t>
  </si>
  <si>
    <t>Pendent</t>
  </si>
  <si>
    <t>Monitor</t>
  </si>
  <si>
    <t>Massager</t>
  </si>
  <si>
    <t>Birthing bed</t>
  </si>
  <si>
    <t>Barbyl suction</t>
  </si>
  <si>
    <t>Diathermy</t>
  </si>
  <si>
    <t>Portable ventilator</t>
  </si>
  <si>
    <t>Feeding pump</t>
  </si>
  <si>
    <t>Suction</t>
  </si>
  <si>
    <t>Infusion Pump</t>
  </si>
  <si>
    <t>Vascular doppler</t>
  </si>
  <si>
    <t>Examination light</t>
  </si>
  <si>
    <t>ECG machine</t>
  </si>
  <si>
    <t>Printer and AMBAL software</t>
  </si>
  <si>
    <t>Microscope</t>
  </si>
  <si>
    <t>Nasal endoscope</t>
  </si>
  <si>
    <t>Radio surgery  unit</t>
  </si>
  <si>
    <t>Fetal dopler</t>
  </si>
  <si>
    <t>Head light</t>
  </si>
  <si>
    <t>Pulse oximeter</t>
  </si>
  <si>
    <t xml:space="preserve"> Lens meter</t>
  </si>
  <si>
    <t xml:space="preserve">LASER   </t>
  </si>
  <si>
    <t>Electro surge 600SE</t>
  </si>
  <si>
    <t>Implant micro motor</t>
  </si>
  <si>
    <t xml:space="preserve">P-5 booster </t>
  </si>
  <si>
    <t xml:space="preserve"> Manometry </t>
  </si>
  <si>
    <t>Referal monitor</t>
  </si>
  <si>
    <t xml:space="preserve">XI system </t>
  </si>
  <si>
    <t>Cardiac workstation with TMT</t>
  </si>
  <si>
    <t>ERCP scope</t>
  </si>
  <si>
    <t>Digital X Ray</t>
  </si>
  <si>
    <t>Total body densitometry system</t>
  </si>
  <si>
    <t>Dye Injector MRI compitable</t>
  </si>
  <si>
    <t>Anesthesia work station MRI</t>
  </si>
  <si>
    <t>Cardiac trigger monitor</t>
  </si>
  <si>
    <t>Portable DR</t>
  </si>
  <si>
    <t>WAB for ultrasound</t>
  </si>
  <si>
    <t>C -Arm</t>
  </si>
  <si>
    <t>PET scan upgradation</t>
  </si>
  <si>
    <t>Dental chair</t>
  </si>
  <si>
    <t>Dose calibrator</t>
  </si>
  <si>
    <t>Contamination monitor</t>
  </si>
  <si>
    <t>Syringe sheild- Tungston</t>
  </si>
  <si>
    <t>Syringe holder Tungston</t>
  </si>
  <si>
    <t>Syringe holder Lead</t>
  </si>
  <si>
    <t>Pocket dosimetry</t>
  </si>
  <si>
    <t>Portable ECHO</t>
  </si>
  <si>
    <t>Hand held fundus camera</t>
  </si>
  <si>
    <t>Breast Board for Patient Positioning</t>
  </si>
  <si>
    <t>Calibration and QA of various equipments</t>
  </si>
  <si>
    <t>Consumables for various equipments</t>
  </si>
  <si>
    <t>Bme tools and other Assets calibrattion</t>
  </si>
  <si>
    <t>Impulse oscillometry</t>
  </si>
  <si>
    <t>Mini grasping wire insruments</t>
  </si>
  <si>
    <t>Full body phototherapy</t>
  </si>
  <si>
    <t>CPAP</t>
  </si>
  <si>
    <t>BIPAP</t>
  </si>
  <si>
    <t>Microwave ablation system</t>
  </si>
  <si>
    <t>Penumbra aspiration pump</t>
  </si>
  <si>
    <t>Warm oxygen Therapy unit</t>
  </si>
  <si>
    <t>Cardiac OT</t>
  </si>
  <si>
    <t>Main OT</t>
  </si>
  <si>
    <t>Ortho OT</t>
  </si>
  <si>
    <t>Neuro OT</t>
  </si>
  <si>
    <t>NICU</t>
  </si>
  <si>
    <t>CATHLAB</t>
  </si>
  <si>
    <t>ENT</t>
  </si>
  <si>
    <t>Various department</t>
  </si>
  <si>
    <t>Haematology</t>
  </si>
  <si>
    <t>Molecular biology</t>
  </si>
  <si>
    <t>Nephrology</t>
  </si>
  <si>
    <t>Blood  Bank</t>
  </si>
  <si>
    <t>SICU</t>
  </si>
  <si>
    <t>CSICU</t>
  </si>
  <si>
    <t>NSICU</t>
  </si>
  <si>
    <t>MDICU</t>
  </si>
  <si>
    <t>TICU</t>
  </si>
  <si>
    <t>TICU2</t>
  </si>
  <si>
    <t>ORICU</t>
  </si>
  <si>
    <t>ONCICU</t>
  </si>
  <si>
    <t>SDICU</t>
  </si>
  <si>
    <t>LR</t>
  </si>
  <si>
    <t>Neuro HDU</t>
  </si>
  <si>
    <t>LTICU</t>
  </si>
  <si>
    <t>Ambulance</t>
  </si>
  <si>
    <t>Emergency</t>
  </si>
  <si>
    <t>Urology OPD</t>
  </si>
  <si>
    <t>ENT OPD</t>
  </si>
  <si>
    <t xml:space="preserve">ENT </t>
  </si>
  <si>
    <t>Dermatology OPD</t>
  </si>
  <si>
    <t xml:space="preserve"> Urology OPD</t>
  </si>
  <si>
    <t>Gynac OPD</t>
  </si>
  <si>
    <t>2ND FLOOR</t>
  </si>
  <si>
    <t>5TH Floor</t>
  </si>
  <si>
    <t>Opthal OPD</t>
  </si>
  <si>
    <t>10TH Floor</t>
  </si>
  <si>
    <t>Dental OP</t>
  </si>
  <si>
    <t>Gastroenterology</t>
  </si>
  <si>
    <t>Cardiology OP</t>
  </si>
  <si>
    <t>BMT</t>
  </si>
  <si>
    <t>Radiotherapy</t>
  </si>
  <si>
    <t>Nuclear medicine</t>
  </si>
  <si>
    <t>Various floors</t>
  </si>
  <si>
    <t>Pulmanology</t>
  </si>
  <si>
    <t>Interventional Radiology</t>
  </si>
  <si>
    <t>Foot and Ankle</t>
  </si>
  <si>
    <t>Morethan 10 years of usage</t>
  </si>
  <si>
    <t>New requirement</t>
  </si>
  <si>
    <t>New Requirement</t>
  </si>
  <si>
    <t>More than 10 years of usage, needs replacement</t>
  </si>
  <si>
    <t>Immunofluorescence microscopy is a sensitive and critical technique, and aging equipment can impact image quality, reliability, and efficiency.</t>
  </si>
  <si>
    <t>new requirement</t>
  </si>
  <si>
    <t>Replacement for old one</t>
  </si>
  <si>
    <t>More than 10 years of usage,achived its life</t>
  </si>
  <si>
    <t xml:space="preserve"> New requirment</t>
  </si>
  <si>
    <t>More than 10 years of usage</t>
  </si>
  <si>
    <t>More than 10 years of usage,achieved its life.</t>
  </si>
  <si>
    <t>Upgrade</t>
  </si>
  <si>
    <t>Frequent complaint</t>
  </si>
  <si>
    <t>July</t>
  </si>
  <si>
    <t>October</t>
  </si>
  <si>
    <t>November</t>
  </si>
  <si>
    <t>September</t>
  </si>
  <si>
    <t>August</t>
  </si>
  <si>
    <t>June</t>
  </si>
  <si>
    <t>January</t>
  </si>
  <si>
    <t>March</t>
  </si>
  <si>
    <t>December</t>
  </si>
  <si>
    <t>February</t>
  </si>
  <si>
    <t>April</t>
  </si>
  <si>
    <t>Month (Put to Use)</t>
  </si>
  <si>
    <t>Neuroscience</t>
  </si>
  <si>
    <t>Admin</t>
  </si>
  <si>
    <t>Passenger</t>
  </si>
  <si>
    <t>Innova Hycross</t>
  </si>
  <si>
    <t>Guard tour system</t>
  </si>
  <si>
    <t>Hospital</t>
  </si>
  <si>
    <t>This is to electronically monitor the rounds taken by each supervisor</t>
  </si>
  <si>
    <t>Admin CEO</t>
  </si>
  <si>
    <t>XX</t>
  </si>
  <si>
    <t>Row Labels</t>
  </si>
  <si>
    <t>(blank)</t>
  </si>
  <si>
    <t>Grand Total</t>
  </si>
  <si>
    <t>Total Cost</t>
  </si>
  <si>
    <t>Sum of Total Cost</t>
  </si>
  <si>
    <t xml:space="preserve">Digital Slide Scaner </t>
  </si>
  <si>
    <t>Lab Furniutre</t>
  </si>
  <si>
    <t xml:space="preserve">Replacement for the old  76 manual cot  for twin sharing rooms as well as executive rooms </t>
  </si>
  <si>
    <t>For patient comfort and marketing tool</t>
  </si>
  <si>
    <t xml:space="preserve">Replacement for old machine which was installed in 2002 and 2009 </t>
  </si>
  <si>
    <t>Advanced technology and reduce the procedure time</t>
  </si>
  <si>
    <t>After warranty CMC will come</t>
  </si>
  <si>
    <t>Digital  Pathology</t>
  </si>
  <si>
    <t>Pathology</t>
  </si>
  <si>
    <t xml:space="preserve">New requirement </t>
  </si>
  <si>
    <t>Generate additional income &amp;  marketing tool</t>
  </si>
  <si>
    <t xml:space="preserve">Heart Lung Machine </t>
  </si>
  <si>
    <t>Replacement for old machine installed in 2006</t>
  </si>
  <si>
    <t>Supportive for cardiac thoraic surgery</t>
  </si>
  <si>
    <t>Ventilator(Pead +Adult)</t>
  </si>
  <si>
    <t>Replacement for old machine more than 15 yrs</t>
  </si>
  <si>
    <t xml:space="preserve">Patient comfort </t>
  </si>
  <si>
    <t>Implement advanced technology</t>
  </si>
  <si>
    <t>Replacement of old machine more than 10yrs old</t>
  </si>
  <si>
    <t>Latest technology</t>
  </si>
  <si>
    <t>Replacement for old system</t>
  </si>
  <si>
    <t>Generate additional income and latest technology</t>
  </si>
  <si>
    <t>New technology for laser procedures and treatments</t>
  </si>
  <si>
    <t>To generate additional income</t>
  </si>
  <si>
    <t>Surgical Microscope</t>
  </si>
  <si>
    <t>Replacement for old machine  installed in 2002</t>
  </si>
  <si>
    <t xml:space="preserve"> Latest technology</t>
  </si>
  <si>
    <t>Replacement for old machine, end of life declared  No service support available</t>
  </si>
  <si>
    <t>Replacement of old machine end of life declared</t>
  </si>
  <si>
    <t>To generate additional income and latest technology</t>
  </si>
  <si>
    <t>Additional ICU bed creating</t>
  </si>
  <si>
    <t>Additional income generating</t>
  </si>
  <si>
    <t>Thulium Laser</t>
  </si>
  <si>
    <t>Additional requirement</t>
  </si>
  <si>
    <t>Additional Requirement</t>
  </si>
  <si>
    <t>New reqirement for new ICU</t>
  </si>
  <si>
    <t>Replacement of old system more than 10 years old</t>
  </si>
  <si>
    <t>latest technology</t>
  </si>
  <si>
    <t>Replacement for old machine</t>
  </si>
  <si>
    <t>To generate additional income and patient comfort</t>
  </si>
  <si>
    <t>Replacement for old instrument</t>
  </si>
  <si>
    <t>Patient saftey</t>
  </si>
  <si>
    <t>Replacement of ols machine ore than 15 yrs old</t>
  </si>
  <si>
    <t>Morethan 15 years of usage</t>
  </si>
  <si>
    <t>Replacement of old system</t>
  </si>
  <si>
    <t>Additional income generating and latest technolgy</t>
  </si>
  <si>
    <t xml:space="preserve">New reqirement </t>
  </si>
  <si>
    <t>Additional income and latest technology</t>
  </si>
  <si>
    <t>Replacement for old instruments</t>
  </si>
  <si>
    <t>MRI compactable monitor</t>
  </si>
  <si>
    <t>Replacement for old machine more than 10 yrs</t>
  </si>
  <si>
    <t>Replacement of old machine more than 12 years</t>
  </si>
  <si>
    <t>An Automated Urine Analyzer is a diagnostic instrument used for rapid and standardized examination of urine samples. In the Hematology setting (or integrated central lab), it supports screening, monitoring, and diagnostic evaluation of various systemic and hematological conditions.</t>
  </si>
  <si>
    <t>Failure to invest in an Automated Urine Analyzer can significantly affect diagnostic efficiency, patient safety, and laboratory productivity in the Hematology Department. Reliance on manual urine strip reading and microscopy
Higher observer variability
Increased technician workload
Reduced productivity during peak hours</t>
  </si>
  <si>
    <t>a) Urine Reagent Strips (Major Cost Component)
Multi-parameter strips (10–14 parameters depending on model)
Cost directly proportional to daily sample volume .     Quality Control (QC) Materials Annual Maintenance Contract (AMC)</t>
  </si>
  <si>
    <t>Replacement for old machine more than 10 years old</t>
  </si>
  <si>
    <t>Reporting Workstation</t>
  </si>
  <si>
    <t>New requirment for neonatal icu</t>
  </si>
  <si>
    <t>Additional income generative</t>
  </si>
  <si>
    <t xml:space="preserve">Replacement for old machine </t>
  </si>
  <si>
    <t>Supportive</t>
  </si>
  <si>
    <t>Replacement of old machine more than 15years old</t>
  </si>
  <si>
    <t>Replacement of old machine more than 15 yrs old machine</t>
  </si>
  <si>
    <t>New requirement,as per NABH standard we need calibrated tools</t>
  </si>
  <si>
    <t>additional income generative</t>
  </si>
  <si>
    <t xml:space="preserve">Video Duodenoscope (Adult) </t>
  </si>
  <si>
    <t>Replacement more than 10years old</t>
  </si>
  <si>
    <t>Ultrasound  Machine</t>
  </si>
  <si>
    <t>Replacement for old machine more than 10years old</t>
  </si>
  <si>
    <t>New Requirement for new MRI system</t>
  </si>
  <si>
    <t>Portable Ultrasound Machine</t>
  </si>
  <si>
    <t>Versajet Machine</t>
  </si>
  <si>
    <t>Additional income generatrive</t>
  </si>
  <si>
    <t>EEG,EMG</t>
  </si>
  <si>
    <t xml:space="preserve">Replacement </t>
  </si>
  <si>
    <t>Repalcement</t>
  </si>
  <si>
    <t>Additional table for trauma surgery</t>
  </si>
  <si>
    <t>Pateint saftey</t>
  </si>
  <si>
    <t>Cath-Lab</t>
  </si>
  <si>
    <t>Surgical diathermy - Ligasure</t>
  </si>
  <si>
    <t>Ortho OT,Recovery</t>
  </si>
  <si>
    <t>A Refrigerated Centrifuge is a critical component in blood bank operations, used for component separation and preservation of blood products under controlled temperature conditions. Separation of:
Packed Red Blood Cells (PRBC)
Fresh Frozen Plasma (FFP)
Platelet Concentrate
Cryoprecipitate</t>
  </si>
  <si>
    <t>Inability to prepare blood components
Dependence on external blood banks
Increased cost per unit procurement
Delay in emergency transfusions
Reduced regulatory compliance</t>
  </si>
  <si>
    <t>Maintenance
AMC/CMC: 8–12% of equipment cost annually
Rotor maintenance and balancing
Compressor and cooling system servicing</t>
  </si>
  <si>
    <t>Replacement for old monitors</t>
  </si>
  <si>
    <t>Replacement for old machine more than 10years</t>
  </si>
  <si>
    <t xml:space="preserve">MDICU , Varius Departments </t>
  </si>
  <si>
    <t>New requirement for new ICU</t>
  </si>
  <si>
    <t>Used for separation and analysis of proteins, hemoglobin, lipoproteins, and other biomolecules .               Supports NABL/NABH compliance requirements.
Enhances laboratory standards and audit readiness.</t>
  </si>
  <si>
    <t>Inability to perform essential tests such as Serum Protein Electrophoresis (SPEP) and Hemoglobin electrophoresis. Continuous expenditure on outsourced investigations.Loss of potential revenue from in-house specialized testing</t>
  </si>
  <si>
    <t>Typically 8–12% of equipment cost per year after warranty period. AMC/CMC                  a) Consumables          b) Quality Control Materials</t>
  </si>
  <si>
    <t>A Deep Freezer (-40°C) is a critical storage equipment in the Blood Bank for preserving plasma components and temperature-sensitive reagents under controlled conditions.</t>
  </si>
  <si>
    <t>Inability to Store Fresh Frozen Plasma (FFP)
Plasma requires storage at ≤ -30°C
Without proper freezing, clotting factors degrade
Reduced therapeutic efficacy of plasma transfusion</t>
  </si>
  <si>
    <t>additional income</t>
  </si>
  <si>
    <t>New requirement for new icu ambulance</t>
  </si>
  <si>
    <t>additionla income generative</t>
  </si>
  <si>
    <t>Repacement for old machine more than 10 years</t>
  </si>
  <si>
    <t>Recalibration of radiology equipments</t>
  </si>
  <si>
    <t>Nil</t>
  </si>
  <si>
    <t>A Cold Room (2–8°C Walk-in Refrigeration System) is a centralized temperature-controlled storage facility used in laboratories for safe preservation of reagents, kits, calibrators, controls, and patient samples.</t>
  </si>
  <si>
    <t xml:space="preserve">failure to store items in specific temperature </t>
  </si>
  <si>
    <t>A Tube Labeller Instrument is an automated device used for accurate labeling of sample collection tubes in the laboratory. It plays a critical role in patient identification, sample tracking, and workflow efficiency in the Biochemistry Department.Essential for high sample volume labs.
Improves TAT (Turnaround Time).
Supports NABL/NABH compliance.
Enhances audit traceability.</t>
  </si>
  <si>
    <t>Failure to invest in a Laboratory Tube Labeler can significantly affect the pre-analytical phase of laboratory operations, leading to clinical, operational, and financial risks. Manual labeling consumes more time.
Slower sample registration and processing.
Increased patient waiting time.</t>
  </si>
  <si>
    <t>Operational (Recurring) Costs
a) Label Rolls (Major Recurring Cost)
Thermal labels / barcode labels
Cost depends on:
Number of samples per day
Label size and quality
Average consumption: Directly proportional to daily sample load</t>
  </si>
  <si>
    <t>A Cytospin (Cytocentrifuge) is a specialized laboratory instrument used to concentrate cells from fluid specimens onto a small, defined area of a microscope slide for cytological examination. It plays a crucial role in Histopathology and Cytopathology diagnostics.</t>
  </si>
  <si>
    <t>Non-investment in a Cytocentrifuge reduces diagnostic accuracy, increases repeat sampling, delays reporting, and impacts institutional reputation. For a hospital handling fluid cytology cases, it is a critical instrument to ensure high-quality and reliable histopathology services</t>
  </si>
  <si>
    <t xml:space="preserve">spare parts replacement and amc/cmc cost after warrenty </t>
  </si>
  <si>
    <t>Flexible Cystoscope</t>
  </si>
  <si>
    <t>An Immunofluorescence Microscope with Camera is an advanced diagnostic instrument used for detecting antigen–antibody reactions in tissue sections using fluorescent-labeled antibodies. It is essential for specialized diagnostic services in Histopathology.</t>
  </si>
  <si>
    <t>Mandatory for comprehensive renal pathology reporting
Detects IgG, IgA, IgM, C3, C1q deposition patterns</t>
  </si>
  <si>
    <t xml:space="preserve">After warranty CMC will come and bulb replacement </t>
  </si>
  <si>
    <t>A Deep Freezer (-40°C) is an essential equipment in the Microbiology laboratory for long-term preservation of microbial isolates, control strains, reagents, and sensitive materials.</t>
  </si>
  <si>
    <t>NABL requires preservation of significant isolates
Mandatory documentation for traceability
Supports audit compliance and quality assurance</t>
  </si>
  <si>
    <t>A Deep Freezer (-40°C) is a critical infrastructure component in a Molecular Laboratory for preserving temperature-sensitive reagents, extracted nucleic acids, and control materials required for PCR and other molecular assays.</t>
  </si>
  <si>
    <t>Reagent degradation
Compromised test accuracy
Increased repeat testing
Loss of expensive molecular kits
Audit non-conformities
Risk of incorrect diagnostic reports</t>
  </si>
  <si>
    <t>A Deep Freezer (-80°C) is an advanced ultra-low temperature storage system used in specialized blood banks for long-term preservation of rare and critical blood components.</t>
  </si>
  <si>
    <t>Inability to store rare plasma long-term
Risk of losing rare donor units
Increased dependency on external sourcing
Delays during emergencies
Limited advancement of blood bank services</t>
  </si>
  <si>
    <t>Proper Storage of Platelet Concentrates
Maintains temperature at 20–24°C
Provides continuous gentle agitation
Prevents platelet clumping and preserves viability
 Preservation of Platelet Function
Maintains metabolic activity
Ensures optimal pH levels
Prevents bacterial proliferation due to improper storage</t>
  </si>
  <si>
    <t>Inability to store platelets properly
Increased dependency on external blood centers
High risk of platelet spoilage
Delay during dengue season and emergency cases
Non-compliance during inspection
Possible license suspension for component therapy</t>
  </si>
  <si>
    <t>AMC (8–12% annually)
Motor and agitation mechanism servicing
Alarm and temperature sensor validation</t>
  </si>
  <si>
    <t>to store the Blood grouping antisera (Anti-A, Anti-B, Anti-D)
Coombs reagent (AHG)
Screening and panel cells
Enzyme reagents
Gel cards (if applicable)
Quality control</t>
  </si>
  <si>
    <t>Use of domestic refrigerator (temperature instability)
Reagent degradation
Incorrect blood grouping results
Risk of transfusion reactions
Audit non-conformities
Increased reagent wastage</t>
  </si>
  <si>
    <t>AMC (8–12% annually)
Compressor servicing
Door gasket and alarm maintenance</t>
  </si>
  <si>
    <t>A Blood Collection Monitor (BCM) is an essential device used during donor blood collection to ensure accurate volume collection and proper mixing of blood with anticoagulant solution.</t>
  </si>
  <si>
    <t>Manual collection leading to volume inaccuracies
Risk of clot formation
Improper anticoagulant ratio
Increased rejection of collected units
Regulatory non-compliance
Compromised donor and patient safety</t>
  </si>
  <si>
    <t>AMC (8–12% annually)
Sensor and weighing scale calibration
Clamp mechanism servicing</t>
  </si>
  <si>
    <t>An Autoclave is a steam sterilizer used to decontaminate microbiological media, instruments, glassware, and infectious waste using saturated steam under pressure (typically 121°C at 15 psi).</t>
  </si>
  <si>
    <t>Risk of contaminated media
False laboratory results
Increased infection transmission risk
Regulatory non-compliance
Unsafe disposal of infectious waste
Possible lab shutdown during audits</t>
  </si>
  <si>
    <t>AMC (8–12% annually)
Pressure valve and sensor calibration
Chamber cleaning and inspection</t>
  </si>
  <si>
    <t>new requirement for new icu ambulance</t>
  </si>
  <si>
    <t>Additiional income generating</t>
  </si>
  <si>
    <t xml:space="preserve">New Requirement </t>
  </si>
  <si>
    <t>SL. No</t>
  </si>
  <si>
    <t>Commersial Justification</t>
  </si>
  <si>
    <t xml:space="preserve">new or replacements </t>
  </si>
  <si>
    <t xml:space="preserve">requested by </t>
  </si>
  <si>
    <t xml:space="preserve">curent utilization </t>
  </si>
  <si>
    <t>infra structrue</t>
  </si>
  <si>
    <t>Approved total quantity</t>
  </si>
  <si>
    <t>Quantity to be purchased</t>
  </si>
  <si>
    <t>Final cost</t>
  </si>
  <si>
    <t>Notes</t>
  </si>
  <si>
    <t>Replacements of  old cot</t>
  </si>
  <si>
    <t>Facility Manager</t>
  </si>
  <si>
    <t>Waiting for operation team reply</t>
  </si>
  <si>
    <t xml:space="preserve">Replacements of  old machine </t>
  </si>
  <si>
    <t>Dr Thara</t>
  </si>
  <si>
    <t>Average of 180 Cases/day (Lowest billing cost 330 rs )</t>
  </si>
  <si>
    <t>Present infracture is accurate</t>
  </si>
  <si>
    <t>Approved</t>
  </si>
  <si>
    <t>Dr HR,Dr Roy,Dr Chithrathara,Dr Moni</t>
  </si>
  <si>
    <t>50 Cases/ month</t>
  </si>
  <si>
    <t>Hold ,need to discuss with Dr</t>
  </si>
  <si>
    <t>Dr Sujith,Dr Anand</t>
  </si>
  <si>
    <t>5 Cases/month</t>
  </si>
  <si>
    <t>Dr Nita</t>
  </si>
  <si>
    <t>12-15 Machines/Day</t>
  </si>
  <si>
    <t>6+4</t>
  </si>
  <si>
    <t>New Requirment</t>
  </si>
  <si>
    <t>Dr. Pushpa</t>
  </si>
  <si>
    <t xml:space="preserve">Nil </t>
  </si>
  <si>
    <t>ON HOLD</t>
  </si>
  <si>
    <t>5 Cases/Day</t>
  </si>
  <si>
    <t>Dr Roy</t>
  </si>
  <si>
    <t>25 Cases/Day with 3system Endoscopy 3000/- Colono 9000/-</t>
  </si>
  <si>
    <t>Dr. Abin Abraham Itty</t>
  </si>
  <si>
    <t>Approx of 10 cases per day (Per patient 10000/ sitting)</t>
  </si>
  <si>
    <t>Required</t>
  </si>
  <si>
    <t>Checked with vendor for lease bases</t>
  </si>
  <si>
    <t xml:space="preserve">ENT,Head &amp; Neck,Plastic Surgery </t>
  </si>
  <si>
    <t>Dr, SK</t>
  </si>
  <si>
    <t>6 Cases/Month 18000/- avg billing</t>
  </si>
  <si>
    <t>Dr Senthil</t>
  </si>
  <si>
    <t>Dr Mallie</t>
  </si>
  <si>
    <t>Avargae 22 Cases/Day</t>
  </si>
  <si>
    <t>All ICU,HDU,Ambulance</t>
  </si>
  <si>
    <t>Dr. Nita</t>
  </si>
  <si>
    <t>Dr Datson</t>
  </si>
  <si>
    <t>40 Cases/Month</t>
  </si>
  <si>
    <t>Approved with buyback  option</t>
  </si>
  <si>
    <t>Dr Anand</t>
  </si>
  <si>
    <t>190 Cases/ Month 2000per case</t>
  </si>
  <si>
    <t>80 Cases/Day 450/- per case</t>
  </si>
  <si>
    <t>Dr. HR, Dr Fadal</t>
  </si>
  <si>
    <t>8-10 Cases / Month</t>
  </si>
  <si>
    <t>APPROVED</t>
  </si>
  <si>
    <t>Dr SK</t>
  </si>
  <si>
    <t>3 -5 Cases/Month</t>
  </si>
  <si>
    <t>APPROVED ,Need to charge for each case</t>
  </si>
  <si>
    <t>Rreplacement</t>
  </si>
  <si>
    <t>Dr JV,Dr Vivek</t>
  </si>
  <si>
    <t>8 Cases/Day</t>
  </si>
  <si>
    <t>Dr Chithratara, Dr Thara</t>
  </si>
  <si>
    <t>Dr Abi Abhraham</t>
  </si>
  <si>
    <t>60 Cases/Day(26 machine</t>
  </si>
  <si>
    <t>Dr JV</t>
  </si>
  <si>
    <t>Waiting for list from CSSD</t>
  </si>
  <si>
    <t>20 Cases/Day (1700/- per case)</t>
  </si>
  <si>
    <t>Dr Julio</t>
  </si>
  <si>
    <t>10 Cases/Month</t>
  </si>
  <si>
    <t>Rejected</t>
  </si>
  <si>
    <t xml:space="preserve">Nishanth </t>
  </si>
  <si>
    <t>Dr Sujith</t>
  </si>
  <si>
    <t>2cases/month</t>
  </si>
  <si>
    <t>CSSD ,Manager</t>
  </si>
  <si>
    <t>Dr Navin</t>
  </si>
  <si>
    <t>Need to discuss with Dr</t>
  </si>
  <si>
    <t>6 Cases/Month 15000/- per case</t>
  </si>
  <si>
    <t>OT incharge</t>
  </si>
  <si>
    <t>NIL</t>
  </si>
  <si>
    <t>Dr HR</t>
  </si>
  <si>
    <t>Dr Idiculla</t>
  </si>
  <si>
    <t>Dr. Roy</t>
  </si>
  <si>
    <t>30cases/month</t>
  </si>
  <si>
    <t>Approved need ROI Calculation</t>
  </si>
  <si>
    <t>Dr Shahir</t>
  </si>
  <si>
    <t>5 Cases/Month (1.5)</t>
  </si>
  <si>
    <t>Dr.Roy</t>
  </si>
  <si>
    <t>nil</t>
  </si>
  <si>
    <t>Dr Smitha</t>
  </si>
  <si>
    <t>Need to discuss with Dr Moni</t>
  </si>
  <si>
    <t>250 Cases/Month</t>
  </si>
  <si>
    <t>Dr Rajesh Simon</t>
  </si>
  <si>
    <t>Rental</t>
  </si>
  <si>
    <t>Dr Murali</t>
  </si>
  <si>
    <t xml:space="preserve">Dr Jacob </t>
  </si>
  <si>
    <t>20cases / month</t>
  </si>
  <si>
    <t>DGM Radiology</t>
  </si>
  <si>
    <t>Monthly an average of 25 cases</t>
  </si>
  <si>
    <t>Dr Moni,Dr HR</t>
  </si>
  <si>
    <t>PO Released</t>
  </si>
  <si>
    <t xml:space="preserve">replacement </t>
  </si>
  <si>
    <t>DR Don</t>
  </si>
  <si>
    <t>Mandatory for component preparation in licensed blood banks
Required for NABH/NABL and Drug Controller compliance
Ensures adherence to transfusion medicine guidelines</t>
  </si>
  <si>
    <t>Approved on machine condition</t>
  </si>
  <si>
    <t xml:space="preserve">MDICU , Various Departments </t>
  </si>
  <si>
    <t>Dr.Nita</t>
  </si>
  <si>
    <t xml:space="preserve">nishanth </t>
  </si>
  <si>
    <t>utilization of the Electrophoresis Machine in the Biochemistry Department can be assessed based on workload, test types, and operational frequency</t>
  </si>
  <si>
    <t>Dr DATSON</t>
  </si>
  <si>
    <t>replacement</t>
  </si>
  <si>
    <t>Dr Jacob Chacko</t>
  </si>
  <si>
    <t>Dr KK, Dr SK</t>
  </si>
  <si>
    <t>Dr Idicula</t>
  </si>
  <si>
    <t>Dr Fadal</t>
  </si>
  <si>
    <t>Dr Deepthi</t>
  </si>
  <si>
    <t>Recalibration</t>
  </si>
  <si>
    <t xml:space="preserve">It’s a New Machine , it will generate addition income </t>
  </si>
  <si>
    <t xml:space="preserve">Departments Head </t>
  </si>
  <si>
    <t>Dr Mujeeb Rahman</t>
  </si>
  <si>
    <t xml:space="preserve">replacement of old instrument </t>
  </si>
  <si>
    <t>Dr.Pushpa Mahadevan</t>
  </si>
  <si>
    <t>Dr. Datson</t>
  </si>
  <si>
    <t>100 Cases/ Month</t>
  </si>
  <si>
    <t>OT Technician</t>
  </si>
  <si>
    <t>Dr. Don</t>
  </si>
  <si>
    <t>Anish</t>
  </si>
  <si>
    <t>Dr.Datson</t>
  </si>
  <si>
    <t>Jacob</t>
  </si>
  <si>
    <t>Dr.Don</t>
  </si>
  <si>
    <t>Shibu</t>
  </si>
  <si>
    <t>Dr.Rajesh Simon</t>
  </si>
  <si>
    <t>Dr.Haris</t>
  </si>
  <si>
    <t>Dr. Mujeeb</t>
  </si>
  <si>
    <t>Dr.Smitha</t>
  </si>
  <si>
    <t>Dr.Sujith</t>
  </si>
  <si>
    <t>Dr.Malli</t>
  </si>
  <si>
    <t>Dr.Anand</t>
  </si>
  <si>
    <t>Dr.Abi</t>
  </si>
  <si>
    <t>Dr.SK</t>
  </si>
  <si>
    <t xml:space="preserve">Dr.Jacob </t>
  </si>
  <si>
    <t>Dr.Deepthi</t>
  </si>
  <si>
    <t>Johnson</t>
  </si>
  <si>
    <t>Dr.Shahir</t>
  </si>
  <si>
    <t>ICU/Floor</t>
  </si>
  <si>
    <t>New requirement /replacement</t>
  </si>
  <si>
    <t>Dr.VPG</t>
  </si>
  <si>
    <t>Sojo</t>
  </si>
  <si>
    <t>Shyjen</t>
  </si>
  <si>
    <t>Dr.Mujeeb</t>
  </si>
  <si>
    <t>Dr MALLIE</t>
  </si>
  <si>
    <t>Dr Smitha,Dr Gigi</t>
  </si>
  <si>
    <t>Dr Abin Abraham Itty</t>
  </si>
  <si>
    <t xml:space="preserve">It’s a New Machine , it will generate addition income from Neuro Cases </t>
  </si>
  <si>
    <t>Replaement</t>
  </si>
  <si>
    <t>Dr Jacob</t>
  </si>
  <si>
    <t>Rota flow</t>
  </si>
  <si>
    <t>Replacement for old one company stopped the consumabls</t>
  </si>
  <si>
    <t>Vital Sign monitor</t>
  </si>
  <si>
    <t>OPDS</t>
  </si>
  <si>
    <t>TOTAL</t>
  </si>
  <si>
    <t>Original Budget (INR)</t>
  </si>
  <si>
    <t>—</t>
  </si>
  <si>
    <t>Final Cost (INR)</t>
  </si>
  <si>
    <t>SL No</t>
  </si>
  <si>
    <t>Qty</t>
  </si>
  <si>
    <t>Potential Savings</t>
  </si>
  <si>
    <t>(INR)</t>
  </si>
  <si>
    <t>Item Description</t>
  </si>
  <si>
    <t>ITEMS REDUCED OR REMOVED FROM CAPEX BUDGET — FY 2026-27</t>
  </si>
  <si>
    <t>Savings (INR)</t>
  </si>
  <si>
    <t>4 → 1</t>
  </si>
  <si>
    <t>Approved — Qty reduced</t>
  </si>
  <si>
    <t>4 → 2</t>
  </si>
  <si>
    <t>2 → 1</t>
  </si>
  <si>
    <t>Digital Pathology</t>
  </si>
  <si>
    <t>On Hold — Pending discussion</t>
  </si>
  <si>
    <t>Digital Slide Scanner</t>
  </si>
  <si>
    <t>On Hold</t>
  </si>
  <si>
    <t>LASER</t>
  </si>
  <si>
    <t>Ultrasound machine (Nephrology)</t>
  </si>
  <si>
    <t>Ultrasound Machine (LR)</t>
  </si>
  <si>
    <t>Microscope (ENT OPD)</t>
  </si>
  <si>
    <t>Neuro Navigation Surgical Instruments</t>
  </si>
  <si>
    <t>Armable Game Physiotherapy rehab device</t>
  </si>
  <si>
    <t>Tube Labeller Instrument (x3)</t>
  </si>
  <si>
    <t>Advanced combination therapy unit</t>
  </si>
  <si>
    <t>Centrifuge (Microbiology)</t>
  </si>
  <si>
    <t>Patient lifter &amp; transfer chair</t>
  </si>
  <si>
    <t>Status / Notes</t>
  </si>
  <si>
    <t>Type</t>
  </si>
  <si>
    <t>Reduced</t>
  </si>
  <si>
    <t>Removed</t>
  </si>
  <si>
    <t>On Hold — Awaiting operations</t>
  </si>
  <si>
    <t>On Hold — Waiting CSSD list</t>
  </si>
  <si>
    <t>No final cost entered</t>
  </si>
  <si>
    <t>PO Released — No final cost</t>
  </si>
  <si>
    <t>Approved — No final cost</t>
  </si>
  <si>
    <t>On Hold — Rental option</t>
  </si>
  <si>
    <t>Centrifuge (Histopathology)</t>
  </si>
  <si>
    <t>TOTAL SAVINGS — All Reduced + Removed Items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</si>
</sst>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
  </numFmts>
  <fonts count="2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9"/>
      <color indexed="81"/>
      <name val="Tahoma"/>
      <family val="2"/>
    </font>
    <font>
      <b/>
      <sz val="9"/>
      <color indexed="81"/>
      <name val="Tahoma"/>
      <family val="2"/>
    </font>
    <font>
      <sz val="12"/>
      <color theme="1"/>
      <name val="Calibri"/>
      <family val="2"/>
      <scheme val="minor"/>
    </font>
    <font>
      <sz val="8"/>
      <name val="Calibri"/>
      <family val="2"/>
      <scheme val="minor"/>
    </font>
    <font>
      <sz val="11"/>
      <color rgb="FFFF0000"/>
      <name val="Calibri"/>
      <family val="2"/>
      <scheme val="minor"/>
    </font>
    <font>
      <b/>
      <sz val="18"/>
      <color rgb="FF0571B9"/>
      <name val="Calibri"/>
      <family val="2"/>
      <scheme val="minor"/>
    </font>
    <font>
      <b/>
      <sz val="14"/>
      <color rgb="FF0571B9"/>
      <name val="Calibri"/>
      <family val="2"/>
      <scheme val="minor"/>
    </font>
    <font>
      <sz val="11"/>
      <color rgb="FF00B050"/>
      <name val="Calibri"/>
      <family val="2"/>
      <scheme val="minor"/>
    </font>
    <font>
      <i/>
      <sz val="12"/>
      <color rgb="FF0070C0"/>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i/>
      <sz val="11"/>
      <color theme="1"/>
      <name val="Calibri"/>
      <family val="2"/>
      <scheme val="minor"/>
    </font>
    <font>
      <b/>
      <sz val="11"/>
      <color rgb="FFFFFFFF"/>
      <name val="Calibri"/>
      <family val="2"/>
      <scheme val="minor"/>
    </font>
    <font>
      <sz val="10"/>
      <color rgb="FF000000"/>
      <name val="Tahoma"/>
      <family val="2"/>
    </font>
    <font>
      <b/>
      <sz val="11"/>
      <color rgb="FF276221"/>
      <name val="Calibri"/>
      <family val="2"/>
      <scheme val="minor"/>
    </font>
  </fonts>
  <fills count="15">
    <fill>
      <patternFill patternType="none"/>
    </fill>
    <fill>
      <patternFill patternType="gray125"/>
    </fill>
    <fill>
      <patternFill patternType="solid">
        <fgColor theme="8" tint="0.79998168889431442"/>
        <bgColor indexed="64"/>
      </patternFill>
    </fill>
    <fill>
      <patternFill patternType="solid">
        <fgColor theme="4"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571B9"/>
        <bgColor indexed="64"/>
      </patternFill>
    </fill>
    <fill>
      <patternFill patternType="solid">
        <fgColor rgb="FF92D050"/>
        <bgColor indexed="64"/>
      </patternFill>
    </fill>
    <fill>
      <patternFill patternType="solid">
        <fgColor rgb="FFFF0000"/>
        <bgColor indexed="64"/>
      </patternFill>
    </fill>
    <fill>
      <patternFill patternType="solid">
        <fgColor rgb="FF1F4E79"/>
        <bgColor indexed="64"/>
      </patternFill>
    </fill>
    <fill>
      <patternFill patternType="solid">
        <fgColor rgb="FF2E75B6"/>
        <bgColor indexed="64"/>
      </patternFill>
    </fill>
    <fill>
      <patternFill patternType="solid">
        <fgColor rgb="FFFFF2CC"/>
        <bgColor indexed="64"/>
      </patternFill>
    </fill>
    <fill>
      <patternFill patternType="solid">
        <fgColor rgb="FFFCE4D6"/>
        <bgColor indexed="64"/>
      </patternFill>
    </fill>
    <fill>
      <patternFill patternType="solid">
        <fgColor rgb="FFF2F2F2"/>
        <bgColor indexed="64"/>
      </patternFill>
    </fill>
    <fill>
      <patternFill patternType="solid">
        <fgColor rgb="FFE2EFDA"/>
        <bgColor indexed="64"/>
      </patternFill>
    </fill>
  </fills>
  <borders count="1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double">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double">
        <color theme="0" tint="-0.499984740745262"/>
      </bottom>
      <diagonal/>
    </border>
    <border>
      <left/>
      <right/>
      <top/>
      <bottom style="hair">
        <color theme="0" tint="-0.499984740745262"/>
      </bottom>
      <diagonal/>
    </border>
    <border>
      <left/>
      <right style="thin">
        <color theme="0" tint="-0.499984740745262"/>
      </right>
      <top/>
      <bottom/>
      <diagonal/>
    </border>
    <border>
      <left/>
      <right/>
      <top/>
      <bottom style="medium">
        <color rgb="FF0571B9"/>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s>
  <cellStyleXfs count="2">
    <xf numFmtId="0" fontId="0" fillId="0" borderId="0"/>
    <xf numFmtId="164" fontId="1" fillId="0" borderId="0" applyFont="0" applyFill="0" applyBorder="0" applyAlignment="0" applyProtection="0"/>
  </cellStyleXfs>
  <cellXfs count="119">
    <xf numFmtId="0" fontId="0" fillId="0" borderId="0" xfId="0"/>
    <xf numFmtId="0" fontId="0" fillId="0" borderId="1" xfId="0" applyBorder="1"/>
    <xf numFmtId="0" fontId="0" fillId="2" borderId="1" xfId="0" applyFill="1" applyBorder="1"/>
    <xf numFmtId="0" fontId="0" fillId="0" borderId="1" xfId="0" applyBorder="1" applyAlignment="1">
      <alignment wrapText="1"/>
    </xf>
    <xf numFmtId="0" fontId="0" fillId="2" borderId="1" xfId="0" applyFill="1" applyBorder="1" applyAlignment="1">
      <alignment wrapText="1"/>
    </xf>
    <xf numFmtId="164" fontId="0" fillId="0" borderId="1" xfId="1" applyFont="1" applyBorder="1"/>
    <xf numFmtId="15" fontId="0" fillId="0" borderId="1" xfId="0" applyNumberFormat="1" applyBorder="1"/>
    <xf numFmtId="0" fontId="2" fillId="3" borderId="3" xfId="0" applyFont="1" applyFill="1" applyBorder="1"/>
    <xf numFmtId="0" fontId="0" fillId="0" borderId="3" xfId="0" applyBorder="1"/>
    <xf numFmtId="164" fontId="0" fillId="0" borderId="3" xfId="1" applyFont="1" applyBorder="1"/>
    <xf numFmtId="0" fontId="3" fillId="4" borderId="4" xfId="0" applyFont="1" applyFill="1" applyBorder="1"/>
    <xf numFmtId="164" fontId="3" fillId="4" borderId="4" xfId="0" applyNumberFormat="1" applyFont="1" applyFill="1" applyBorder="1"/>
    <xf numFmtId="0" fontId="7" fillId="0" borderId="0" xfId="0" applyFont="1"/>
    <xf numFmtId="164" fontId="0" fillId="0" borderId="0" xfId="0" applyNumberFormat="1"/>
    <xf numFmtId="0" fontId="4" fillId="0" borderId="0" xfId="0" applyFont="1" applyAlignment="1">
      <alignment horizontal="center"/>
    </xf>
    <xf numFmtId="0" fontId="0" fillId="0" borderId="6" xfId="0" applyBorder="1" applyAlignment="1">
      <alignment wrapText="1"/>
    </xf>
    <xf numFmtId="0" fontId="3" fillId="5" borderId="2" xfId="0" applyFont="1" applyFill="1" applyBorder="1"/>
    <xf numFmtId="164" fontId="3" fillId="5" borderId="2" xfId="1" applyFont="1" applyFill="1" applyBorder="1"/>
    <xf numFmtId="0" fontId="10" fillId="0" borderId="0" xfId="0" applyFont="1"/>
    <xf numFmtId="0" fontId="11" fillId="0" borderId="0" xfId="0" applyFont="1"/>
    <xf numFmtId="0" fontId="2" fillId="6" borderId="0" xfId="0" applyFont="1" applyFill="1" applyAlignment="1">
      <alignment wrapText="1"/>
    </xf>
    <xf numFmtId="0" fontId="0" fillId="0" borderId="7" xfId="0" applyBorder="1"/>
    <xf numFmtId="0" fontId="2" fillId="6" borderId="0" xfId="0" applyFont="1" applyFill="1" applyAlignment="1">
      <alignment horizontal="center" wrapText="1"/>
    </xf>
    <xf numFmtId="0" fontId="2" fillId="6" borderId="1" xfId="0" applyFont="1" applyFill="1" applyBorder="1" applyAlignment="1">
      <alignment wrapText="1"/>
    </xf>
    <xf numFmtId="0" fontId="9" fillId="0" borderId="1" xfId="0" applyFont="1" applyBorder="1"/>
    <xf numFmtId="0" fontId="12" fillId="0" borderId="1" xfId="0" applyFont="1" applyBorder="1"/>
    <xf numFmtId="0" fontId="13" fillId="0" borderId="0" xfId="0" applyFont="1"/>
    <xf numFmtId="0" fontId="0" fillId="0" borderId="0" xfId="0" pivotButton="1"/>
    <xf numFmtId="0" fontId="0" fillId="0" borderId="0" xfId="0" applyAlignment="1">
      <alignment horizontal="left"/>
    </xf>
    <xf numFmtId="0" fontId="0" fillId="0" borderId="9" xfId="0" applyBorder="1"/>
    <xf numFmtId="164" fontId="0" fillId="0" borderId="9" xfId="1" applyFont="1" applyBorder="1"/>
    <xf numFmtId="15" fontId="0" fillId="0" borderId="9" xfId="0" applyNumberFormat="1" applyBorder="1"/>
    <xf numFmtId="0" fontId="0" fillId="0" borderId="9" xfId="0" applyBorder="1" applyAlignment="1">
      <alignment wrapText="1"/>
    </xf>
    <xf numFmtId="0" fontId="4" fillId="0" borderId="0" xfId="0" applyFont="1" applyAlignment="1">
      <alignment horizontal="center"/>
    </xf>
    <xf numFmtId="0" fontId="4" fillId="0" borderId="5" xfId="0" applyFont="1" applyBorder="1" applyAlignment="1">
      <alignment horizontal="center"/>
    </xf>
    <xf numFmtId="0" fontId="3" fillId="0" borderId="8" xfId="0" applyFont="1" applyBorder="1" applyAlignment="1">
      <alignment horizontal="center"/>
    </xf>
    <xf numFmtId="0" fontId="14" fillId="6" borderId="10" xfId="0" applyFont="1" applyFill="1" applyBorder="1" applyAlignment="1">
      <alignment horizontal="center" wrapText="1"/>
    </xf>
    <xf numFmtId="0" fontId="2" fillId="6" borderId="10" xfId="0" applyFont="1" applyFill="1" applyBorder="1" applyAlignment="1">
      <alignment horizontal="center" wrapText="1"/>
    </xf>
    <xf numFmtId="0" fontId="2" fillId="6" borderId="10" xfId="0" applyFont="1" applyFill="1" applyBorder="1" applyAlignment="1">
      <alignment horizontal="center" vertical="center" wrapText="1"/>
    </xf>
    <xf numFmtId="0" fontId="15" fillId="0" borderId="0" xfId="0" applyFont="1"/>
    <xf numFmtId="0" fontId="15" fillId="2" borderId="10" xfId="0" applyFont="1" applyFill="1" applyBorder="1" applyAlignment="1">
      <alignment horizontal="center"/>
    </xf>
    <xf numFmtId="0" fontId="15" fillId="2" borderId="10" xfId="0" applyFont="1" applyFill="1" applyBorder="1" applyAlignment="1">
      <alignment horizontal="center" wrapText="1"/>
    </xf>
    <xf numFmtId="0" fontId="15" fillId="0" borderId="10" xfId="0" applyFont="1" applyBorder="1"/>
    <xf numFmtId="0" fontId="15" fillId="0" borderId="10" xfId="0" applyFont="1" applyBorder="1" applyAlignment="1">
      <alignment horizontal="center" vertical="center"/>
    </xf>
    <xf numFmtId="0" fontId="15" fillId="0" borderId="10" xfId="0" applyFont="1" applyBorder="1" applyAlignment="1">
      <alignment horizontal="center"/>
    </xf>
    <xf numFmtId="0" fontId="15" fillId="0" borderId="10" xfId="0" applyFont="1" applyBorder="1" applyAlignment="1">
      <alignment horizontal="center" wrapText="1"/>
    </xf>
    <xf numFmtId="164" fontId="15" fillId="0" borderId="10" xfId="1" applyFont="1" applyFill="1" applyBorder="1" applyAlignment="1">
      <alignment horizontal="center"/>
    </xf>
    <xf numFmtId="15" fontId="15" fillId="0" borderId="10" xfId="0" applyNumberFormat="1" applyFont="1" applyBorder="1" applyAlignment="1">
      <alignment horizontal="center"/>
    </xf>
    <xf numFmtId="0" fontId="15" fillId="0" borderId="10" xfId="0" applyFont="1" applyBorder="1" applyAlignment="1">
      <alignment horizontal="center" vertical="center" wrapText="1"/>
    </xf>
    <xf numFmtId="0" fontId="15" fillId="7" borderId="10" xfId="0" applyFont="1" applyFill="1" applyBorder="1" applyAlignment="1">
      <alignment horizontal="center"/>
    </xf>
    <xf numFmtId="0" fontId="15" fillId="7" borderId="10" xfId="0" applyFont="1" applyFill="1" applyBorder="1" applyAlignment="1">
      <alignment horizontal="center" wrapText="1"/>
    </xf>
    <xf numFmtId="164" fontId="15" fillId="7" borderId="10" xfId="1" applyFont="1" applyFill="1" applyBorder="1" applyAlignment="1">
      <alignment horizontal="center"/>
    </xf>
    <xf numFmtId="15" fontId="15" fillId="7" borderId="10" xfId="0" applyNumberFormat="1" applyFont="1" applyFill="1" applyBorder="1" applyAlignment="1">
      <alignment horizontal="center"/>
    </xf>
    <xf numFmtId="0" fontId="15" fillId="7" borderId="10" xfId="0" applyFont="1" applyFill="1" applyBorder="1"/>
    <xf numFmtId="0" fontId="15" fillId="7" borderId="10" xfId="0" applyFont="1" applyFill="1" applyBorder="1" applyAlignment="1">
      <alignment horizontal="center" vertical="center" wrapText="1"/>
    </xf>
    <xf numFmtId="0" fontId="15" fillId="7" borderId="10" xfId="0" applyFont="1" applyFill="1" applyBorder="1" applyAlignment="1">
      <alignment horizontal="center" vertical="center"/>
    </xf>
    <xf numFmtId="0" fontId="15" fillId="0" borderId="0" xfId="0" applyFont="1" applyAlignment="1">
      <alignment horizontal="center" vertical="center"/>
    </xf>
    <xf numFmtId="0" fontId="15" fillId="8" borderId="10" xfId="0" applyFont="1" applyFill="1" applyBorder="1" applyAlignment="1">
      <alignment horizontal="center"/>
    </xf>
    <xf numFmtId="0" fontId="15" fillId="8" borderId="10" xfId="0" applyFont="1" applyFill="1" applyBorder="1" applyAlignment="1">
      <alignment horizontal="center" wrapText="1"/>
    </xf>
    <xf numFmtId="164" fontId="15" fillId="8" borderId="10" xfId="1" applyFont="1" applyFill="1" applyBorder="1" applyAlignment="1">
      <alignment horizontal="center"/>
    </xf>
    <xf numFmtId="15" fontId="15" fillId="8" borderId="10" xfId="0" applyNumberFormat="1" applyFont="1" applyFill="1" applyBorder="1" applyAlignment="1">
      <alignment horizontal="center"/>
    </xf>
    <xf numFmtId="0" fontId="15" fillId="8" borderId="10" xfId="0" applyFont="1" applyFill="1" applyBorder="1"/>
    <xf numFmtId="0" fontId="15" fillId="8" borderId="10" xfId="0" applyFont="1" applyFill="1" applyBorder="1" applyAlignment="1">
      <alignment horizontal="center" vertical="center"/>
    </xf>
    <xf numFmtId="164" fontId="15" fillId="0" borderId="10" xfId="1" applyFont="1" applyFill="1" applyBorder="1" applyAlignment="1">
      <alignment horizontal="center" vertical="center"/>
    </xf>
    <xf numFmtId="15" fontId="15" fillId="0" borderId="10" xfId="0" applyNumberFormat="1" applyFont="1" applyBorder="1" applyAlignment="1">
      <alignment horizontal="center" vertical="center"/>
    </xf>
    <xf numFmtId="0" fontId="15" fillId="0" borderId="10" xfId="0" applyFont="1" applyBorder="1" applyAlignment="1">
      <alignment vertical="center"/>
    </xf>
    <xf numFmtId="0" fontId="15" fillId="0" borderId="0" xfId="0" applyFont="1" applyAlignment="1">
      <alignment vertical="center"/>
    </xf>
    <xf numFmtId="0" fontId="15" fillId="7" borderId="10" xfId="0" applyFont="1" applyFill="1" applyBorder="1" applyAlignment="1">
      <alignment horizontal="right" vertical="center" wrapText="1"/>
    </xf>
    <xf numFmtId="3" fontId="15" fillId="7" borderId="10" xfId="1" applyNumberFormat="1" applyFont="1" applyFill="1" applyBorder="1" applyAlignment="1">
      <alignment horizontal="center"/>
    </xf>
    <xf numFmtId="0" fontId="15" fillId="0" borderId="0" xfId="0" applyFont="1" applyAlignment="1">
      <alignment horizontal="center"/>
    </xf>
    <xf numFmtId="0" fontId="15" fillId="0" borderId="0" xfId="0" applyFont="1" applyAlignment="1">
      <alignment horizontal="center" wrapText="1"/>
    </xf>
    <xf numFmtId="0" fontId="16" fillId="0" borderId="0" xfId="0" applyFont="1" applyAlignment="1">
      <alignment horizontal="center"/>
    </xf>
    <xf numFmtId="164" fontId="16" fillId="0" borderId="0" xfId="0" applyNumberFormat="1" applyFont="1" applyAlignment="1">
      <alignment horizontal="center"/>
    </xf>
    <xf numFmtId="165" fontId="0" fillId="0" borderId="0" xfId="0" applyNumberFormat="1"/>
    <xf numFmtId="165" fontId="3" fillId="11" borderId="0" xfId="0" applyNumberFormat="1" applyFont="1" applyFill="1"/>
    <xf numFmtId="0" fontId="0" fillId="0" borderId="10" xfId="0" applyBorder="1"/>
    <xf numFmtId="165" fontId="3" fillId="11" borderId="12" xfId="0" applyNumberFormat="1" applyFont="1" applyFill="1" applyBorder="1"/>
    <xf numFmtId="0" fontId="3" fillId="11" borderId="12" xfId="0" applyFont="1" applyFill="1" applyBorder="1"/>
    <xf numFmtId="0" fontId="0" fillId="0" borderId="14" xfId="0" applyBorder="1"/>
    <xf numFmtId="0" fontId="0" fillId="0" borderId="17" xfId="0" applyBorder="1"/>
    <xf numFmtId="0" fontId="3" fillId="11" borderId="18" xfId="0" applyFont="1" applyFill="1" applyBorder="1"/>
    <xf numFmtId="0" fontId="0" fillId="0" borderId="0" xfId="0" applyBorder="1"/>
    <xf numFmtId="0" fontId="18" fillId="10" borderId="0" xfId="0" applyFont="1" applyFill="1" applyAlignment="1">
      <alignment horizontal="center" wrapText="1"/>
    </xf>
    <xf numFmtId="0" fontId="18" fillId="10" borderId="0" xfId="0" applyFont="1" applyFill="1" applyAlignment="1">
      <alignment horizontal="center"/>
    </xf>
    <xf numFmtId="43" fontId="15" fillId="0" borderId="0" xfId="0" applyNumberFormat="1" applyFont="1" applyAlignment="1">
      <alignment horizontal="center"/>
    </xf>
    <xf numFmtId="165" fontId="17" fillId="0" borderId="0" xfId="0" applyNumberFormat="1" applyFont="1"/>
    <xf numFmtId="0" fontId="0" fillId="0" borderId="11" xfId="0" applyBorder="1"/>
    <xf numFmtId="0" fontId="3" fillId="11" borderId="12" xfId="0" applyFont="1" applyFill="1" applyBorder="1"/>
    <xf numFmtId="0" fontId="3" fillId="11" borderId="15" xfId="0" applyFont="1" applyFill="1" applyBorder="1"/>
    <xf numFmtId="0" fontId="0" fillId="0" borderId="16" xfId="0" applyBorder="1"/>
    <xf numFmtId="0" fontId="0" fillId="11" borderId="10" xfId="0" applyFill="1" applyBorder="1"/>
    <xf numFmtId="165" fontId="0" fillId="11" borderId="10" xfId="0" applyNumberFormat="1" applyFill="1" applyBorder="1"/>
    <xf numFmtId="0" fontId="0" fillId="12" borderId="10" xfId="0" applyFill="1" applyBorder="1"/>
    <xf numFmtId="165" fontId="0" fillId="12" borderId="10" xfId="0" applyNumberFormat="1" applyFill="1" applyBorder="1"/>
    <xf numFmtId="0" fontId="18" fillId="9" borderId="13" xfId="0" applyFont="1" applyFill="1" applyBorder="1"/>
    <xf numFmtId="0" fontId="0" fillId="11" borderId="17" xfId="0" applyFill="1" applyBorder="1"/>
    <xf numFmtId="0" fontId="0" fillId="12" borderId="17" xfId="0" applyFill="1" applyBorder="1"/>
    <xf numFmtId="0" fontId="0" fillId="13" borderId="10" xfId="0" applyFill="1" applyBorder="1"/>
    <xf numFmtId="165" fontId="0" fillId="13" borderId="10" xfId="0" applyNumberFormat="1" applyFill="1" applyBorder="1"/>
    <xf numFmtId="0" fontId="0" fillId="13" borderId="17" xfId="0" applyFill="1" applyBorder="1"/>
    <xf numFmtId="0" fontId="18" fillId="9" borderId="10" xfId="0" applyFont="1" applyFill="1" applyBorder="1" applyAlignment="1">
      <alignment horizontal="center"/>
    </xf>
    <xf numFmtId="0" fontId="0" fillId="14" borderId="10" xfId="0" applyFill="1" applyBorder="1"/>
    <xf numFmtId="0" fontId="0" fillId="14" borderId="10" xfId="0" applyFill="1" applyBorder="1" applyAlignment="1">
      <alignment horizontal="center"/>
    </xf>
    <xf numFmtId="165" fontId="0" fillId="14" borderId="10" xfId="0" applyNumberFormat="1" applyFill="1" applyBorder="1"/>
    <xf numFmtId="165" fontId="20" fillId="14" borderId="10" xfId="0" applyNumberFormat="1" applyFont="1" applyFill="1" applyBorder="1"/>
    <xf numFmtId="0" fontId="0" fillId="11" borderId="10" xfId="0" applyFill="1" applyBorder="1" applyAlignment="1">
      <alignment horizontal="center"/>
    </xf>
    <xf numFmtId="165" fontId="20" fillId="11" borderId="10" xfId="0" applyNumberFormat="1" applyFont="1" applyFill="1" applyBorder="1"/>
    <xf numFmtId="0" fontId="0" fillId="13" borderId="10" xfId="0" applyFill="1" applyBorder="1" applyAlignment="1">
      <alignment horizontal="center"/>
    </xf>
    <xf numFmtId="165" fontId="20" fillId="13" borderId="10" xfId="0" applyNumberFormat="1" applyFont="1" applyFill="1" applyBorder="1"/>
    <xf numFmtId="0" fontId="0" fillId="12" borderId="10" xfId="0" applyFill="1" applyBorder="1" applyAlignment="1">
      <alignment horizontal="center"/>
    </xf>
    <xf numFmtId="165" fontId="20" fillId="12" borderId="10" xfId="0" applyNumberFormat="1" applyFont="1" applyFill="1" applyBorder="1"/>
    <xf numFmtId="165" fontId="20" fillId="11" borderId="12" xfId="0" applyNumberFormat="1" applyFont="1" applyFill="1" applyBorder="1"/>
    <xf numFmtId="0" fontId="18" fillId="9" borderId="14" xfId="0" applyFont="1" applyFill="1" applyBorder="1" applyAlignment="1">
      <alignment horizontal="center"/>
    </xf>
    <xf numFmtId="0" fontId="0" fillId="14" borderId="14" xfId="0" applyFill="1" applyBorder="1" applyAlignment="1">
      <alignment horizontal="center"/>
    </xf>
    <xf numFmtId="0" fontId="0" fillId="11" borderId="14" xfId="0" applyFill="1" applyBorder="1" applyAlignment="1">
      <alignment horizontal="center"/>
    </xf>
    <xf numFmtId="0" fontId="0" fillId="13" borderId="14" xfId="0" applyFill="1" applyBorder="1" applyAlignment="1">
      <alignment horizontal="center"/>
    </xf>
    <xf numFmtId="0" fontId="0" fillId="12" borderId="14" xfId="0" applyFill="1" applyBorder="1" applyAlignment="1">
      <alignment horizontal="center"/>
    </xf>
    <xf numFmtId="0" fontId="18" fillId="9" borderId="17" xfId="0" applyFont="1" applyFill="1" applyBorder="1" applyAlignment="1">
      <alignment horizontal="center"/>
    </xf>
    <xf numFmtId="0" fontId="0" fillId="14" borderId="17" xfId="0" applyFill="1" applyBorder="1"/>
  </cellXfs>
  <cellStyles count="2">
    <cellStyle name="Comma" xfId="1" builtinId="3"/>
    <cellStyle name="Normal" xfId="0" builtinId="0"/>
  </cellStyles>
  <dxfs count="3">
    <dxf>
      <numFmt numFmtId="164" formatCode="_ * #,##0.00_ ;_ * \-#,##0.00_ ;_ * &quot;-&quot;??_ ;_ @_ "/>
    </dxf>
    <dxf>
      <numFmt numFmtId="164" formatCode="_ * #,##0.00_ ;_ * \-#,##0.00_ ;_ * &quot;-&quot;??_ ;_ @_ "/>
    </dxf>
    <dxf>
      <numFmt numFmtId="164"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Capex_Details!A1"/></Relationships>
</file>

<file path=xl/drawings/_rels/drawing2.xml.rels><?xml version="1.0" encoding="UTF-8" standalone="yes"?>
<Relationships xmlns="http://schemas.openxmlformats.org/package/2006/relationships"><Relationship Id="rId1" Type="http://schemas.openxmlformats.org/officeDocument/2006/relationships/hyperlink" Target="#Capex_Summary!A1"/></Relationships>
</file>

<file path=xl/drawings/drawing1.xml><?xml version="1.0" encoding="utf-8"?>
<xdr:wsDr xmlns:xdr="http://schemas.openxmlformats.org/drawingml/2006/spreadsheetDrawing" xmlns:a="http://schemas.openxmlformats.org/drawingml/2006/main">
  <xdr:twoCellAnchor>
    <xdr:from>
      <xdr:col>6</xdr:col>
      <xdr:colOff>733425</xdr:colOff>
      <xdr:row>0</xdr:row>
      <xdr:rowOff>38100</xdr:rowOff>
    </xdr:from>
    <xdr:to>
      <xdr:col>9</xdr:col>
      <xdr:colOff>104775</xdr:colOff>
      <xdr:row>1</xdr:row>
      <xdr:rowOff>209550</xdr:rowOff>
    </xdr:to>
    <xdr:sp macro="" textlink="">
      <xdr:nvSpPr>
        <xdr:cNvPr id="2" name="Arrow: Right 1">
          <a:hlinkClick xmlns:r="http://schemas.openxmlformats.org/officeDocument/2006/relationships" r:id="rId1"/>
          <a:extLst>
            <a:ext uri="{FF2B5EF4-FFF2-40B4-BE49-F238E27FC236}">
              <a16:creationId xmlns:a16="http://schemas.microsoft.com/office/drawing/2014/main" id="{081FFA14-DD5E-EFDE-ADB1-280D5E0A528D}"/>
            </a:ext>
          </a:extLst>
        </xdr:cNvPr>
        <xdr:cNvSpPr/>
      </xdr:nvSpPr>
      <xdr:spPr>
        <a:xfrm>
          <a:off x="6877050" y="38100"/>
          <a:ext cx="895350" cy="466725"/>
        </a:xfrm>
        <a:prstGeom prst="rightArrow">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IN" sz="1100" kern="1200"/>
            <a:t>Detailed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916998</xdr:colOff>
      <xdr:row>0</xdr:row>
      <xdr:rowOff>0</xdr:rowOff>
    </xdr:from>
    <xdr:to>
      <xdr:col>6</xdr:col>
      <xdr:colOff>196562</xdr:colOff>
      <xdr:row>1</xdr:row>
      <xdr:rowOff>190500</xdr:rowOff>
    </xdr:to>
    <xdr:sp macro="" textlink="">
      <xdr:nvSpPr>
        <xdr:cNvPr id="4" name="Arrow: Left 3">
          <a:hlinkClick xmlns:r="http://schemas.openxmlformats.org/officeDocument/2006/relationships" r:id="rId1"/>
          <a:extLst>
            <a:ext uri="{FF2B5EF4-FFF2-40B4-BE49-F238E27FC236}">
              <a16:creationId xmlns:a16="http://schemas.microsoft.com/office/drawing/2014/main" id="{A368214E-4547-7123-6921-6C13030D61C4}"/>
            </a:ext>
          </a:extLst>
        </xdr:cNvPr>
        <xdr:cNvSpPr/>
      </xdr:nvSpPr>
      <xdr:spPr>
        <a:xfrm>
          <a:off x="4726998" y="0"/>
          <a:ext cx="933450" cy="432955"/>
        </a:xfrm>
        <a:prstGeom prst="leftArrow">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n-IN" sz="1100" kern="1200"/>
            <a:t>Summary</a:t>
          </a:r>
        </a:p>
        <a:p>
          <a:pPr algn="l"/>
          <a:endParaRPr lang="en-IN" sz="1100" kern="1200"/>
        </a:p>
      </xdr:txBody>
    </xdr:sp>
    <xdr:clientData/>
  </xdr:twoCellAnchor>
</xdr:wsDr>
</file>

<file path=xl/persons/person.xml><?xml version="1.0" encoding="utf-8"?>
<personList xmlns="http://schemas.microsoft.com/office/spreadsheetml/2018/threadedcomments" xmlns:x="http://schemas.openxmlformats.org/spreadsheetml/2006/main">
  <person displayName="Sameeraj Ilapavuluri" id="{338FD473-3EDF-E942-A2CF-B158A94A9608}" userId="Sameeraj Ilapavuluri"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85.544329282406" createdVersion="8" refreshedVersion="8" minRefreshableVersion="3" recordCount="349" xr:uid="{EEA61AEC-392B-43A6-A529-EFF8473BF4E1}">
  <cacheSource type="worksheet">
    <worksheetSource ref="B3:V352" sheet="Capex_Details"/>
  </cacheSource>
  <cacheFields count="21">
    <cacheField name="SL.No" numFmtId="0">
      <sharedItems containsBlank="1" containsMixedTypes="1" containsNumber="1" containsInteger="1" minValue="1" maxValue="189"/>
    </cacheField>
    <cacheField name="Department" numFmtId="0">
      <sharedItems containsBlank="1" count="17">
        <m/>
        <s v="Project"/>
        <s v="Engeering"/>
        <s v="House Keeping"/>
        <s v="Food &amp; Beverage"/>
        <s v="HRD"/>
        <s v="Pharmacy"/>
        <s v="Histopathology"/>
        <s v="Biochemistry"/>
        <s v="Fire &amp; Safety"/>
        <s v="IT"/>
        <s v="General Store"/>
        <s v="Hematology"/>
        <s v="Clinical Nutrition"/>
        <s v="PHYSIOTHERAPY"/>
        <s v="Admin CEO"/>
        <s v="Biomedical"/>
      </sharedItems>
    </cacheField>
    <cacheField name="Asset Category" numFmtId="0">
      <sharedItems containsBlank="1" count="8">
        <m/>
        <s v="Buildings"/>
        <s v="Plant &amp; Machinery"/>
        <s v="Furniture &amp; Fixtures"/>
        <s v="Office Equipment"/>
        <s v="Computers &amp; IT Equipment"/>
        <s v="Intangible Assets"/>
        <s v="Vehicles"/>
      </sharedItems>
    </cacheField>
    <cacheField name="Asset Sub Category" numFmtId="0">
      <sharedItems containsBlank="1" count="30">
        <m/>
        <s v="Hospital Building"/>
        <s v="Internal Infrastructure"/>
        <s v="DG Platform"/>
        <s v="Palnt"/>
        <s v="Cutout Strcture"/>
        <s v="Electrical / Mechanical Equipments"/>
        <s v="Electrical Equipments"/>
        <s v="Sanitary &amp; Plumbing Fixtures"/>
        <s v="Chairs, tables, cupboards"/>
        <s v="Curtains, blinds"/>
        <s v="Kitchen utensils"/>
        <s v="Kitchen / Service Equipment"/>
        <s v="Office furniture"/>
        <s v="Telephones &amp; EPABX systems"/>
        <s v="Desktop computers"/>
        <s v="Printers, scanners"/>
        <s v="Refrigeration Equipment"/>
        <s v="Storage Cabinet / Pharmacy Furniture"/>
        <s v="Lab Furniutre"/>
        <s v="Computer software"/>
        <s v="Ambulances"/>
        <s v="CCTV"/>
        <s v="Electrical installations"/>
        <s v="Networking equipment"/>
        <s v="Laptops"/>
        <s v="Other Items"/>
        <s v="Digittalization /Automation"/>
        <s v="Biomedical Equipment"/>
        <s v="Passenger"/>
      </sharedItems>
    </cacheField>
    <cacheField name="Project Description /Item Name" numFmtId="0">
      <sharedItems containsBlank="1"/>
    </cacheField>
    <cacheField name="QTY" numFmtId="0">
      <sharedItems containsBlank="1" containsMixedTypes="1" containsNumber="1" containsInteger="1" minValue="1" maxValue="750"/>
    </cacheField>
    <cacheField name="Category of CAPEX" numFmtId="0">
      <sharedItems containsBlank="1"/>
    </cacheField>
    <cacheField name="Location/ Area of Implementation" numFmtId="0">
      <sharedItems containsBlank="1"/>
    </cacheField>
    <cacheField name="Estimated Cost (INR)" numFmtId="0">
      <sharedItems containsMixedTypes="1" containsNumber="1" containsInteger="1" minValue="360" maxValue="150000000"/>
    </cacheField>
    <cacheField name="XX" numFmtId="0">
      <sharedItems containsBlank="1" containsMixedTypes="1" containsNumber="1" containsInteger="1" minValue="0" maxValue="2500000"/>
    </cacheField>
    <cacheField name="XX2" numFmtId="0">
      <sharedItems containsBlank="1" containsMixedTypes="1" containsNumber="1" containsInteger="1" minValue="0" maxValue="2500000"/>
    </cacheField>
    <cacheField name="Total Cost" numFmtId="0">
      <sharedItems containsMixedTypes="1" containsNumber="1" containsInteger="1" minValue="360" maxValue="44100000"/>
    </cacheField>
    <cacheField name="Source of Pricing Information" numFmtId="0">
      <sharedItems containsBlank="1"/>
    </cacheField>
    <cacheField name="Proposed Timeline for Investment" numFmtId="0">
      <sharedItems containsDate="1" containsBlank="1" containsMixedTypes="1" minDate="2025-02-10T00:00:00" maxDate="2026-07-06T00:00:00"/>
    </cacheField>
    <cacheField name="XX3" numFmtId="0">
      <sharedItems containsDate="1" containsBlank="1" containsMixedTypes="1" minDate="2025-03-30T00:00:00" maxDate="2027-01-01T00:00:00"/>
    </cacheField>
    <cacheField name="Month (Put to Use)" numFmtId="0">
      <sharedItems containsBlank="1"/>
    </cacheField>
    <cacheField name="Purpose of the Investment" numFmtId="0">
      <sharedItems containsBlank="1" longText="1"/>
    </cacheField>
    <cacheField name="Impact of Non-Investment" numFmtId="0">
      <sharedItems containsBlank="1" longText="1"/>
    </cacheField>
    <cacheField name="Specifications/Features Required" numFmtId="0">
      <sharedItems containsBlank="1"/>
    </cacheField>
    <cacheField name="Maintenance/ Operational Costs" numFmtId="0">
      <sharedItems containsBlank="1" containsMixedTypes="1" containsNumber="1" containsInteger="1" minValue="50000" maxValue="200000"/>
    </cacheField>
    <cacheField name="Justifica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m/>
    <x v="0"/>
    <x v="0"/>
    <x v="0"/>
    <m/>
    <m/>
    <m/>
    <m/>
    <s v="Equipment Cost"/>
    <s v="Installation Cost"/>
    <s v="Other Costs (Specify)"/>
    <s v="Total"/>
    <m/>
    <s v="Start Date"/>
    <s v="End Date"/>
    <m/>
    <m/>
    <m/>
    <m/>
    <m/>
    <m/>
  </r>
  <r>
    <n v="1"/>
    <x v="1"/>
    <x v="1"/>
    <x v="1"/>
    <s v="Casualty"/>
    <n v="1"/>
    <s v="Renovation"/>
    <s v="Main block G.F."/>
    <n v="38000000"/>
    <n v="0"/>
    <n v="0"/>
    <n v="38000000"/>
    <s v="Inviting tender"/>
    <d v="2026-07-01T00:00:00"/>
    <d v="2026-11-30T00:00:00"/>
    <s v="November"/>
    <s v="Facility improvement."/>
    <s v="Patient capacity enhancing."/>
    <m/>
    <m/>
    <m/>
  </r>
  <r>
    <n v="2"/>
    <x v="1"/>
    <x v="1"/>
    <x v="1"/>
    <s v="ICU Complex"/>
    <n v="1"/>
    <s v="Renovation"/>
    <s v="1st Floor Main Block"/>
    <n v="22500000"/>
    <n v="0"/>
    <n v="0"/>
    <n v="22500000"/>
    <s v="Work awarded"/>
    <d v="2025-11-20T00:00:00"/>
    <d v="2026-04-20T00:00:00"/>
    <s v="April"/>
    <s v="Combine ICUs in one area. "/>
    <s v="For reducing staff &amp; electrical Consumption"/>
    <m/>
    <n v="200000"/>
    <s v="Existing ICU space utilise for another purpose"/>
  </r>
  <r>
    <n v="3"/>
    <x v="1"/>
    <x v="1"/>
    <x v="1"/>
    <s v="Regularization purpose (fee)"/>
    <n v="1"/>
    <s v="Other"/>
    <s v="Main block"/>
    <n v="16400000"/>
    <n v="0"/>
    <n v="0"/>
    <n v="16400000"/>
    <s v="Government Fee &amp; Consultant"/>
    <d v="2026-06-10T00:00:00"/>
    <d v="2026-06-30T00:00:00"/>
    <s v="June"/>
    <s v="Legal Purpose"/>
    <m/>
    <m/>
    <m/>
    <s v="Statutory Purpose"/>
  </r>
  <r>
    <n v="4"/>
    <x v="1"/>
    <x v="1"/>
    <x v="1"/>
    <s v="Ultrasound &amp;_x000a_Ortho Dept. Renovation"/>
    <n v="1"/>
    <s v="Renovation"/>
    <s v="Main block G.F."/>
    <n v="16000000"/>
    <n v="0"/>
    <n v="0"/>
    <n v="16000000"/>
    <s v="Inviting tender"/>
    <d v="2026-01-20T00:00:00"/>
    <d v="2026-05-20T00:00:00"/>
    <s v="May"/>
    <s v="More space for smooth opeartion"/>
    <s v="Patient statisfaction"/>
    <m/>
    <m/>
    <m/>
  </r>
  <r>
    <n v="5"/>
    <x v="1"/>
    <x v="1"/>
    <x v="1"/>
    <s v="Renal kidney transplant centre"/>
    <n v="1"/>
    <s v="Renovation"/>
    <s v="Main block - 1st floor"/>
    <n v="15000000"/>
    <n v="0"/>
    <n v="0"/>
    <n v="15000000"/>
    <s v="Inviting tender"/>
    <d v="2026-07-05T00:00:00"/>
    <d v="2026-10-19T00:00:00"/>
    <s v="October"/>
    <s v="Combine Rental transplant ICU 1 &amp; 2 one area."/>
    <s v="For reducing staff &amp; ele. Consumption reducing. "/>
    <m/>
    <m/>
    <m/>
  </r>
  <r>
    <n v="6"/>
    <x v="1"/>
    <x v="1"/>
    <x v="1"/>
    <s v="Paediatric OP construction works"/>
    <n v="1"/>
    <s v="Renovation"/>
    <s v="Main block 2nd floor"/>
    <n v="15000000"/>
    <n v="0"/>
    <n v="0"/>
    <n v="15000000"/>
    <s v="Inviting tender"/>
    <d v="2026-05-15T00:00:00"/>
    <d v="2026-09-10T00:00:00"/>
    <s v="September"/>
    <s v="Patient friendly."/>
    <m/>
    <m/>
    <m/>
    <m/>
  </r>
  <r>
    <n v="7"/>
    <x v="1"/>
    <x v="1"/>
    <x v="2"/>
    <s v="Porch &amp; Front area"/>
    <n v="1"/>
    <s v="Renovation"/>
    <s v="Main block"/>
    <n v="14000000"/>
    <n v="0"/>
    <n v="0"/>
    <n v="14000000"/>
    <s v="Inviting tender"/>
    <d v="2026-03-10T00:00:00"/>
    <d v="2026-05-10T00:00:00"/>
    <s v="May"/>
    <s v="Beautifications &amp; Smooth traffic "/>
    <s v="Patient friendly"/>
    <m/>
    <n v="50000"/>
    <m/>
  </r>
  <r>
    <n v="8"/>
    <x v="1"/>
    <x v="1"/>
    <x v="3"/>
    <s v="DG overhead platform strengthening &amp; RECD fixing works"/>
    <n v="3"/>
    <s v="New requirment"/>
    <s v="Electrical area (DG)"/>
    <n v="9000000"/>
    <n v="0"/>
    <n v="0"/>
    <n v="9000000"/>
    <s v="Inviting tender"/>
    <d v="2026-03-30T00:00:00"/>
    <d v="2026-05-15T00:00:00"/>
    <s v="May"/>
    <s v="Pollution control board rules."/>
    <s v="Statutory government rule."/>
    <m/>
    <n v="50000"/>
    <s v="Based on pollution control board order."/>
  </r>
  <r>
    <n v="9"/>
    <x v="2"/>
    <x v="2"/>
    <x v="4"/>
    <s v="STP renovation"/>
    <n v="1"/>
    <s v="Renovation"/>
    <s v="Main block"/>
    <n v="3700000"/>
    <n v="0"/>
    <n v="0"/>
    <n v="3700000"/>
    <s v="Inviting tender"/>
    <d v="2026-01-20T00:00:00"/>
    <d v="2026-03-10T00:00:00"/>
    <s v="April"/>
    <s v="PCB related"/>
    <s v="Environmental Friendly."/>
    <m/>
    <m/>
    <m/>
  </r>
  <r>
    <n v="10"/>
    <x v="2"/>
    <x v="2"/>
    <x v="4"/>
    <s v="UF Replacement"/>
    <n v="1"/>
    <s v="Replacement"/>
    <s v="Main block"/>
    <n v="800000"/>
    <n v="0"/>
    <n v="0"/>
    <n v="800000"/>
    <s v="Inviting tender"/>
    <d v="2026-02-10T00:00:00"/>
    <d v="2026-03-20T00:00:00"/>
    <s v="April"/>
    <s v="Treated water reusage"/>
    <s v="Water for Gardening purpose."/>
    <m/>
    <m/>
    <m/>
  </r>
  <r>
    <n v="11"/>
    <x v="2"/>
    <x v="2"/>
    <x v="4"/>
    <s v="Domestic Line hot water and flush line"/>
    <n v="1"/>
    <s v="Replacement"/>
    <s v="Main block"/>
    <n v="900000"/>
    <n v="0"/>
    <n v="0"/>
    <n v="900000"/>
    <s v="Inviting tender"/>
    <d v="2026-04-14T00:00:00"/>
    <d v="2026-08-18T00:00:00"/>
    <s v="August"/>
    <s v="Prevent water leak"/>
    <s v="Water saving."/>
    <m/>
    <m/>
    <m/>
  </r>
  <r>
    <n v="12"/>
    <x v="1"/>
    <x v="1"/>
    <x v="1"/>
    <s v="Architectural &amp; PMC Fees"/>
    <m/>
    <m/>
    <m/>
    <n v="7000000"/>
    <n v="0"/>
    <n v="0"/>
    <n v="7000000"/>
    <s v="Inviting tender"/>
    <m/>
    <m/>
    <s v="September"/>
    <s v="Renovation purpose"/>
    <m/>
    <m/>
    <m/>
    <m/>
  </r>
  <r>
    <n v="13"/>
    <x v="1"/>
    <x v="1"/>
    <x v="1"/>
    <s v="Main block rooms renovation &amp; delux room renovation"/>
    <n v="104"/>
    <s v="Renovation"/>
    <s v="Main block"/>
    <n v="5000000"/>
    <n v="0"/>
    <n v="0"/>
    <n v="5000000"/>
    <s v="Inviting tender"/>
    <d v="2026-01-01T00:00:00"/>
    <d v="2026-12-31T00:00:00"/>
    <s v="December"/>
    <s v="Beautifications"/>
    <m/>
    <m/>
    <m/>
    <m/>
  </r>
  <r>
    <n v="14"/>
    <x v="1"/>
    <x v="1"/>
    <x v="2"/>
    <s v="Road &amp; walkway beautification works"/>
    <n v="1"/>
    <s v="Renovation"/>
    <s v="Arch gate to 4th gate_x000a_&amp; casualty"/>
    <n v="4000000"/>
    <n v="0"/>
    <n v="0"/>
    <n v="4000000"/>
    <s v="Inviting tender"/>
    <d v="2026-02-05T00:00:00"/>
    <d v="2026-04-10T00:00:00"/>
    <s v="April"/>
    <s v="Beautifications"/>
    <s v="Smooth travelling"/>
    <m/>
    <n v="50000"/>
    <m/>
  </r>
  <r>
    <n v="15"/>
    <x v="1"/>
    <x v="1"/>
    <x v="5"/>
    <s v="Central Cutout renovation work"/>
    <n v="1"/>
    <s v="Renovation"/>
    <s v="Main block G.F."/>
    <n v="3400000"/>
    <n v="0"/>
    <n v="0"/>
    <n v="3400000"/>
    <s v="Inviting tender"/>
    <d v="2025-02-10T00:00:00"/>
    <d v="2025-05-28T00:00:00"/>
    <s v="May"/>
    <s v="Stoppage of water sepage &amp; fungus reducing"/>
    <s v="Beautifications"/>
    <m/>
    <n v="50000"/>
    <m/>
  </r>
  <r>
    <n v="16"/>
    <x v="1"/>
    <x v="1"/>
    <x v="5"/>
    <s v="Exterior Painting - Main block"/>
    <n v="1"/>
    <s v="Maintenace"/>
    <s v="Main block"/>
    <n v="1800000"/>
    <n v="0"/>
    <n v="0"/>
    <n v="1800000"/>
    <s v="Inviting tender"/>
    <d v="2026-04-10T00:00:00"/>
    <d v="2026-05-15T00:00:00"/>
    <s v="May"/>
    <s v="Beautifications"/>
    <s v="Clealiness"/>
    <m/>
    <m/>
    <m/>
  </r>
  <r>
    <n v="17"/>
    <x v="1"/>
    <x v="1"/>
    <x v="1"/>
    <s v="Cold room "/>
    <n v="1"/>
    <s v="Replacement"/>
    <s v="Main block 2nd floor"/>
    <n v="1500000"/>
    <n v="0"/>
    <n v="0"/>
    <n v="1500000"/>
    <s v="Inviting tender"/>
    <d v="2026-03-04T00:00:00"/>
    <d v="2026-03-29T00:00:00"/>
    <s v="April"/>
    <s v="Based on the request from Pharmacy"/>
    <m/>
    <m/>
    <m/>
    <m/>
  </r>
  <r>
    <n v="18"/>
    <x v="2"/>
    <x v="2"/>
    <x v="6"/>
    <s v="Multi Level Parking"/>
    <n v="1"/>
    <s v="New requirment"/>
    <s v="Parking Area"/>
    <n v="44100000"/>
    <n v="0"/>
    <n v="0"/>
    <n v="44100000"/>
    <s v="Inviting tender"/>
    <d v="2026-01-01T00:00:00"/>
    <d v="2026-06-15T00:00:00"/>
    <s v="June"/>
    <s v="Facility improvement."/>
    <m/>
    <m/>
    <m/>
    <m/>
  </r>
  <r>
    <n v="19"/>
    <x v="2"/>
    <x v="2"/>
    <x v="6"/>
    <s v="Coil, Electrical, Water, Soil testing etc."/>
    <n v="1"/>
    <s v="New requirment"/>
    <s v="Parking Area"/>
    <n v="750000"/>
    <n v="0"/>
    <n v="0"/>
    <n v="750000"/>
    <s v="Inviting tender"/>
    <d v="2026-01-01T00:00:00"/>
    <d v="2026-01-20T00:00:00"/>
    <s v="April"/>
    <s v="Facility improvement."/>
    <m/>
    <m/>
    <m/>
    <m/>
  </r>
  <r>
    <n v="20"/>
    <x v="2"/>
    <x v="1"/>
    <x v="2"/>
    <s v="Parking area leveling &amp; inter lock laying"/>
    <n v="1"/>
    <s v="New requirment"/>
    <s v="Parking Area"/>
    <n v="3500000"/>
    <n v="0"/>
    <n v="0"/>
    <n v="3500000"/>
    <s v="Inviting tender"/>
    <d v="2026-06-10T00:00:00"/>
    <d v="2026-07-20T00:00:00"/>
    <s v="April"/>
    <s v="Facility improvement."/>
    <m/>
    <m/>
    <m/>
    <m/>
  </r>
  <r>
    <n v="21"/>
    <x v="1"/>
    <x v="1"/>
    <x v="1"/>
    <s v="8th floor Premium suite renovation"/>
    <n v="1"/>
    <s v="Renovation"/>
    <s v="Main block"/>
    <n v="1200000"/>
    <n v="0"/>
    <n v="0"/>
    <n v="1200000"/>
    <s v="Inviting tender"/>
    <d v="2025-12-28T00:00:00"/>
    <d v="2026-01-28T00:00:00"/>
    <s v="April"/>
    <s v="Beautifications"/>
    <m/>
    <m/>
    <m/>
    <m/>
  </r>
  <r>
    <n v="22"/>
    <x v="1"/>
    <x v="1"/>
    <x v="1"/>
    <s v="Fire Escape &amp; support painting"/>
    <n v="1"/>
    <s v="Maintenace"/>
    <s v="Main block"/>
    <n v="900000"/>
    <n v="0"/>
    <n v="0"/>
    <n v="900000"/>
    <s v="Inviting tender"/>
    <d v="2026-01-15T00:00:00"/>
    <d v="2026-04-10T00:00:00"/>
    <s v="April"/>
    <s v="Prevent corrosion"/>
    <s v="More life."/>
    <m/>
    <m/>
    <m/>
  </r>
  <r>
    <n v="23"/>
    <x v="2"/>
    <x v="1"/>
    <x v="6"/>
    <s v="Lowside (New block) BMS activation"/>
    <n v="1"/>
    <s v="Maintenace"/>
    <s v="New block"/>
    <n v="2000000"/>
    <n v="0"/>
    <n v="0"/>
    <n v="2000000"/>
    <s v="Inviting tender"/>
    <d v="2026-04-05T00:00:00"/>
    <d v="2026-05-29T00:00:00"/>
    <s v="May"/>
    <s v="Centralizing HVAC controle optimizing building performance."/>
    <m/>
    <m/>
    <m/>
    <m/>
  </r>
  <r>
    <n v="24"/>
    <x v="2"/>
    <x v="1"/>
    <x v="6"/>
    <s v="AHU coil replacement"/>
    <n v="4"/>
    <s v="Maintenace"/>
    <s v="All Blocks"/>
    <n v="1000000"/>
    <n v="0"/>
    <n v="0"/>
    <n v="1000000"/>
    <s v="Inviting tender"/>
    <d v="2026-02-02T00:00:00"/>
    <d v="2026-04-15T00:00:00"/>
    <s v="April"/>
    <s v="HVAC performance improving"/>
    <m/>
    <m/>
    <m/>
    <m/>
  </r>
  <r>
    <n v="25"/>
    <x v="2"/>
    <x v="1"/>
    <x v="6"/>
    <s v="AHU unit replacement"/>
    <n v="5"/>
    <s v="Maintenace"/>
    <s v="All Blocks"/>
    <n v="1000000"/>
    <n v="0"/>
    <n v="0"/>
    <n v="1000000"/>
    <s v="Inviting tender"/>
    <d v="2026-02-02T00:00:00"/>
    <d v="2026-04-15T00:00:00"/>
    <s v="April"/>
    <s v="HVAC performance improving"/>
    <m/>
    <m/>
    <m/>
    <m/>
  </r>
  <r>
    <n v="26"/>
    <x v="2"/>
    <x v="1"/>
    <x v="1"/>
    <s v="Chilled water line replacement (Plastic Surgery, NSICU, OT Recovery) 1 1/2&quot; pipe"/>
    <n v="1"/>
    <s v="Replacement"/>
    <s v="All Blocks"/>
    <n v="2000000"/>
    <n v="0"/>
    <n v="0"/>
    <n v="2000000"/>
    <s v="Inviting tender"/>
    <d v="2026-02-01T00:00:00"/>
    <d v="2026-02-27T00:00:00"/>
    <s v="April"/>
    <s v="Performance improving"/>
    <m/>
    <m/>
    <m/>
    <m/>
  </r>
  <r>
    <n v="27"/>
    <x v="2"/>
    <x v="1"/>
    <x v="1"/>
    <s v="Cooling Tower valve replacement"/>
    <n v="1"/>
    <s v="Replacement"/>
    <s v="All Blocks"/>
    <n v="500000"/>
    <n v="0"/>
    <n v="0"/>
    <n v="500000"/>
    <s v="Inviting tender"/>
    <d v="2026-03-01T00:00:00"/>
    <d v="2026-03-30T00:00:00"/>
    <s v="April"/>
    <s v="Performance improving"/>
    <m/>
    <m/>
    <m/>
    <m/>
  </r>
  <r>
    <n v="28"/>
    <x v="2"/>
    <x v="1"/>
    <x v="6"/>
    <s v="HRW recovery wheel replacement "/>
    <n v="1"/>
    <s v="Replacement"/>
    <s v="All Blocks"/>
    <n v="200000"/>
    <n v="0"/>
    <n v="0"/>
    <n v="200000"/>
    <s v="Inviting tender"/>
    <d v="2026-01-01T00:00:00"/>
    <d v="2026-01-30T00:00:00"/>
    <s v="April"/>
    <s v="Performance improving"/>
    <m/>
    <m/>
    <m/>
    <m/>
  </r>
  <r>
    <n v="29"/>
    <x v="2"/>
    <x v="2"/>
    <x v="6"/>
    <s v="Split AC replacement (call centre, drivers cabin, 635, 636  doctor's resting area, Biochemistry)"/>
    <n v="1"/>
    <s v="Replacement"/>
    <s v="Main block"/>
    <n v="300000"/>
    <n v="0"/>
    <n v="0"/>
    <n v="300000"/>
    <s v="Inviting tender"/>
    <d v="2026-01-01T00:00:00"/>
    <d v="2026-01-30T00:00:00"/>
    <s v="April"/>
    <s v="Performance improving"/>
    <m/>
    <m/>
    <m/>
    <m/>
  </r>
  <r>
    <n v="30"/>
    <x v="2"/>
    <x v="2"/>
    <x v="6"/>
    <s v="5 TR , 1 Tower AC Spare"/>
    <n v="2"/>
    <s v="Replacement/Spare"/>
    <s v="All Blocks"/>
    <n v="400000"/>
    <n v="0"/>
    <n v="0"/>
    <n v="400000"/>
    <s v="Inviting tender"/>
    <d v="2026-03-01T00:00:00"/>
    <d v="2025-03-30T00:00:00"/>
    <s v="April"/>
    <s v="Performance improving"/>
    <m/>
    <m/>
    <m/>
    <m/>
  </r>
  <r>
    <n v="31"/>
    <x v="2"/>
    <x v="1"/>
    <x v="1"/>
    <s v="Main Lobby Glass fixing"/>
    <n v="1"/>
    <s v="Maintenace"/>
    <s v="Main block"/>
    <n v="400000"/>
    <n v="0"/>
    <n v="0"/>
    <n v="400000"/>
    <s v="Inviting tender"/>
    <d v="2026-03-01T00:00:00"/>
    <d v="2026-03-30T00:00:00"/>
    <s v="April"/>
    <s v="HVAC performance"/>
    <m/>
    <m/>
    <m/>
    <m/>
  </r>
  <r>
    <n v="32"/>
    <x v="2"/>
    <x v="2"/>
    <x v="6"/>
    <s v="Robotic duct cleaning in OT passage"/>
    <n v="1"/>
    <s v="Maintenace"/>
    <s v="Main block"/>
    <n v="400000"/>
    <n v="0"/>
    <n v="0"/>
    <n v="400000"/>
    <s v="Inviting tender"/>
    <d v="2026-02-05T00:00:00"/>
    <d v="2026-02-27T00:00:00"/>
    <s v="April"/>
    <s v="Dust removal"/>
    <m/>
    <m/>
    <m/>
    <m/>
  </r>
  <r>
    <n v="33"/>
    <x v="2"/>
    <x v="2"/>
    <x v="6"/>
    <s v="Microfilter &amp; pre filter changing in OT"/>
    <n v="1"/>
    <s v="Maintenace"/>
    <s v="Main block"/>
    <n v="100000"/>
    <n v="0"/>
    <n v="0"/>
    <n v="100000"/>
    <s v="Inviting tender"/>
    <d v="2026-01-04T00:00:00"/>
    <d v="2026-01-28T00:00:00"/>
    <s v="April"/>
    <s v="Mandatory requirement"/>
    <m/>
    <m/>
    <m/>
    <m/>
  </r>
  <r>
    <n v="34"/>
    <x v="2"/>
    <x v="2"/>
    <x v="7"/>
    <s v="Pharmacy_x000a_Vaccine Refrigerator"/>
    <n v="1"/>
    <s v="Replacement"/>
    <s v="All Blocks"/>
    <n v="200000"/>
    <n v="0"/>
    <n v="0"/>
    <n v="200000"/>
    <s v="Inviting tender"/>
    <d v="2026-03-04T00:00:00"/>
    <d v="2026-03-29T00:00:00"/>
    <s v="April"/>
    <s v="Based on the request from Pharmacy"/>
    <m/>
    <m/>
    <m/>
    <m/>
  </r>
  <r>
    <n v="35"/>
    <x v="2"/>
    <x v="2"/>
    <x v="7"/>
    <s v="Pharmacy_x000a_Refrigerator"/>
    <n v="2"/>
    <s v="Replacement"/>
    <s v="All Blocks"/>
    <n v="200000"/>
    <n v="0"/>
    <n v="0"/>
    <n v="200000"/>
    <s v="Inviting tender"/>
    <d v="2026-03-04T00:00:00"/>
    <d v="2026-03-29T00:00:00"/>
    <s v="April"/>
    <s v="Based on the request from Pharmacy"/>
    <m/>
    <m/>
    <m/>
    <m/>
  </r>
  <r>
    <n v="36"/>
    <x v="1"/>
    <x v="1"/>
    <x v="8"/>
    <s v="Flush with cistern fixing"/>
    <n v="40"/>
    <s v="Maintenace"/>
    <s v="New block - various rooms"/>
    <n v="500000"/>
    <n v="0"/>
    <n v="0"/>
    <n v="500000"/>
    <s v="Purchasing"/>
    <d v="2026-01-25T00:00:00"/>
    <d v="2026-03-15T00:00:00"/>
    <s v="April"/>
    <s v="Unavailiability parts (schell brand fittings)"/>
    <s v="Smooth Operations"/>
    <m/>
    <m/>
    <m/>
  </r>
  <r>
    <n v="37"/>
    <x v="1"/>
    <x v="1"/>
    <x v="6"/>
    <s v="Automatic doors installation works"/>
    <n v="1"/>
    <s v="Maintenace"/>
    <s v="New block"/>
    <n v="400000"/>
    <n v="0"/>
    <n v="0"/>
    <n v="400000"/>
    <s v="Inviting tender"/>
    <d v="2026-03-10T00:00:00"/>
    <d v="2026-03-28T00:00:00"/>
    <s v="April"/>
    <s v="Safety &amp; energy saving"/>
    <s v="Increasing airconditioning efficiency."/>
    <m/>
    <m/>
    <m/>
  </r>
  <r>
    <n v="38"/>
    <x v="1"/>
    <x v="1"/>
    <x v="1"/>
    <s v="Outside noise complaint rectifications"/>
    <n v="1"/>
    <s v="Maintenace"/>
    <s v="New block"/>
    <n v="350000"/>
    <n v="0"/>
    <n v="0"/>
    <n v="350000"/>
    <s v="Inviting tender"/>
    <d v="2026-05-18T00:00:00"/>
    <d v="2026-06-10T00:00:00"/>
    <s v="June"/>
    <s v="Avoiding noise complaint from patient (exteranal louver side)"/>
    <s v="Patient statisfaction"/>
    <m/>
    <m/>
    <m/>
  </r>
  <r>
    <n v="39"/>
    <x v="3"/>
    <x v="3"/>
    <x v="9"/>
    <s v="Wheel chairs"/>
    <n v="30"/>
    <s v="Replacement"/>
    <s v="Main block"/>
    <n v="270000"/>
    <n v="0"/>
    <n v="0"/>
    <n v="270000"/>
    <m/>
    <d v="2026-04-01T00:00:00"/>
    <d v="2026-06-30T00:00:00"/>
    <s v="June"/>
    <m/>
    <m/>
    <m/>
    <m/>
    <s v="Replacement of Old chair"/>
  </r>
  <r>
    <n v="40"/>
    <x v="3"/>
    <x v="3"/>
    <x v="9"/>
    <s v="Chairs"/>
    <n v="50"/>
    <s v="Replacement"/>
    <s v="Main block"/>
    <n v="150000"/>
    <n v="0"/>
    <n v="0"/>
    <n v="150000"/>
    <m/>
    <d v="2026-04-01T00:00:00"/>
    <d v="2026-06-30T00:00:00"/>
    <s v="June"/>
    <m/>
    <m/>
    <m/>
    <m/>
    <s v="Around 50 Nos of Old Visiting &amp; computer chairs to be replaced with new one "/>
  </r>
  <r>
    <n v="41"/>
    <x v="3"/>
    <x v="3"/>
    <x v="9"/>
    <s v="Airport Chairs"/>
    <n v="50"/>
    <s v="Replacement"/>
    <s v="Radiology &amp; Paediatric / oncology OPDs"/>
    <n v="600000"/>
    <n v="0"/>
    <n v="0"/>
    <n v="600000"/>
    <m/>
    <d v="2026-05-01T00:00:00"/>
    <d v="2026-07-30T00:00:00"/>
    <s v="July"/>
    <s v="Airport Chairs of Radiology &amp; Paediatric / oncology OPDs to be replaced &amp; added with new one ( 50 Nos )"/>
    <m/>
    <m/>
    <m/>
    <s v="Airport Chairs of Radiology &amp; Paediatric / oncology OPDs to be replaced &amp; added with new one ( 50 Nos )"/>
  </r>
  <r>
    <n v="42"/>
    <x v="3"/>
    <x v="3"/>
    <x v="10"/>
    <s v="Patient privacy curtains"/>
    <n v="56"/>
    <s v="New requirment"/>
    <s v="New block"/>
    <n v="504000"/>
    <n v="0"/>
    <n v="0"/>
    <n v="504000"/>
    <m/>
    <d v="2026-04-01T00:00:00"/>
    <d v="2026-07-30T00:00:00"/>
    <s v="July"/>
    <s v="Patient privacy Curtains to be fixed in All Deluxe rooms ( 56 Nos )"/>
    <m/>
    <m/>
    <m/>
    <s v="Patient privacy Curtains to be fixed in All Deluxe rooms ( 56 Nos )"/>
  </r>
  <r>
    <n v="43"/>
    <x v="4"/>
    <x v="2"/>
    <x v="11"/>
    <s v="Urali Aluminium Big"/>
    <n v="2"/>
    <s v="Replacement"/>
    <s v="Kitchen"/>
    <n v="46000"/>
    <n v="0"/>
    <n v="0"/>
    <n v="46000"/>
    <m/>
    <m/>
    <m/>
    <s v="April"/>
    <m/>
    <m/>
    <m/>
    <m/>
    <s v="For Presently using urali cracked and replace"/>
  </r>
  <r>
    <n v="44"/>
    <x v="4"/>
    <x v="2"/>
    <x v="12"/>
    <s v="Grinder Titling Type 20 ltr"/>
    <n v="1"/>
    <s v="Replacement"/>
    <s v="Kitchen"/>
    <n v="46000"/>
    <n v="0"/>
    <n v="0"/>
    <n v="46000"/>
    <m/>
    <m/>
    <m/>
    <s v="April"/>
    <m/>
    <m/>
    <m/>
    <m/>
    <s v="For  old Machine Complaint and discarded , Need new one"/>
  </r>
  <r>
    <n v="45"/>
    <x v="4"/>
    <x v="2"/>
    <x v="12"/>
    <s v="Sujatha Mixer Grinder"/>
    <n v="2"/>
    <s v="Replacement"/>
    <s v="Kitchen"/>
    <n v="12000"/>
    <n v="0"/>
    <n v="0"/>
    <n v="12000"/>
    <m/>
    <m/>
    <m/>
    <s v="April"/>
    <m/>
    <m/>
    <m/>
    <m/>
    <s v="For Presntly using machine is old and always complaint buy new one"/>
  </r>
  <r>
    <n v="46"/>
    <x v="4"/>
    <x v="2"/>
    <x v="12"/>
    <s v="Sujatha Juicer Machine"/>
    <n v="2"/>
    <s v="Replacement"/>
    <s v="Kitchen"/>
    <n v="13000"/>
    <n v="0"/>
    <n v="0"/>
    <n v="13000"/>
    <m/>
    <m/>
    <m/>
    <s v="April"/>
    <m/>
    <m/>
    <m/>
    <m/>
    <s v="For Presently using machine is old and always complaint buy new one"/>
  </r>
  <r>
    <n v="47"/>
    <x v="4"/>
    <x v="2"/>
    <x v="12"/>
    <s v="Rice Steamer  Boiler Unit"/>
    <n v="1"/>
    <s v="Replacement"/>
    <s v="Kitchen"/>
    <n v="175000"/>
    <n v="0"/>
    <n v="0"/>
    <n v="175000"/>
    <m/>
    <m/>
    <m/>
    <s v="May"/>
    <m/>
    <m/>
    <m/>
    <m/>
    <s v="Presently one  Machine is damage and replace new"/>
  </r>
  <r>
    <n v="48"/>
    <x v="4"/>
    <x v="2"/>
    <x v="12"/>
    <s v="Dough sheeter for Bakery"/>
    <n v="1"/>
    <s v="Replacement"/>
    <s v="Kitchen"/>
    <n v="300000"/>
    <n v="0"/>
    <n v="0"/>
    <n v="300000"/>
    <m/>
    <m/>
    <m/>
    <s v="May"/>
    <m/>
    <m/>
    <m/>
    <m/>
    <s v="Presently one  Machine is damage and replace new"/>
  </r>
  <r>
    <n v="49"/>
    <x v="4"/>
    <x v="2"/>
    <x v="12"/>
    <s v="Microwave Oven"/>
    <n v="2"/>
    <s v="Replacement"/>
    <s v="Service Restaurant &amp; Coffee Shops"/>
    <n v="15000"/>
    <n v="0"/>
    <n v="0"/>
    <n v="15000"/>
    <m/>
    <m/>
    <m/>
    <s v="May"/>
    <m/>
    <m/>
    <m/>
    <m/>
    <s v="For Replacement for Coffee shops"/>
  </r>
  <r>
    <n v="50"/>
    <x v="4"/>
    <x v="2"/>
    <x v="12"/>
    <s v="Camabro Black Trolly"/>
    <n v="4"/>
    <s v="New"/>
    <s v="Service Restaurant &amp; Coffee Shops"/>
    <n v="60000"/>
    <n v="0"/>
    <n v="0"/>
    <n v="60000"/>
    <m/>
    <m/>
    <m/>
    <s v="May"/>
    <m/>
    <m/>
    <m/>
    <m/>
    <s v="for Coffee shops Snakcs pick up"/>
  </r>
  <r>
    <n v="51"/>
    <x v="4"/>
    <x v="2"/>
    <x v="12"/>
    <s v="Sujatha mixer grinder"/>
    <n v="1"/>
    <s v="New"/>
    <s v="Service Restaurant &amp; Coffee Shops"/>
    <n v="6250"/>
    <n v="0"/>
    <n v="0"/>
    <n v="6250"/>
    <m/>
    <m/>
    <m/>
    <s v="May"/>
    <m/>
    <m/>
    <m/>
    <m/>
    <s v="for Coffee shops juice counter"/>
  </r>
  <r>
    <n v="52"/>
    <x v="4"/>
    <x v="2"/>
    <x v="12"/>
    <s v="Sujath juicer Machine"/>
    <n v="1"/>
    <s v="New"/>
    <s v="Service Restaurant &amp; Coffee Shops"/>
    <n v="6500"/>
    <n v="0"/>
    <n v="0"/>
    <n v="6500"/>
    <m/>
    <m/>
    <m/>
    <s v="May"/>
    <m/>
    <m/>
    <m/>
    <m/>
    <s v="for Coffee shops juice counter"/>
  </r>
  <r>
    <n v="53"/>
    <x v="4"/>
    <x v="2"/>
    <x v="12"/>
    <s v="Clearance Trolly"/>
    <n v="2"/>
    <s v="New"/>
    <s v="Service Restaurant &amp; Coffee Shops"/>
    <n v="30000"/>
    <n v="0"/>
    <n v="0"/>
    <n v="30000"/>
    <m/>
    <m/>
    <m/>
    <s v="May"/>
    <m/>
    <m/>
    <m/>
    <m/>
    <s v="for Gourmet &amp;  CB -1 area food clearance"/>
  </r>
  <r>
    <n v="54"/>
    <x v="4"/>
    <x v="2"/>
    <x v="12"/>
    <s v="Full Plate warmer"/>
    <n v="1"/>
    <s v="New"/>
    <s v="Service Restaurant &amp; Coffee Shops"/>
    <n v="70000"/>
    <n v="0"/>
    <n v="0"/>
    <n v="70000"/>
    <m/>
    <m/>
    <m/>
    <s v="May"/>
    <m/>
    <m/>
    <m/>
    <m/>
    <s v="for Doctors dining area using Hot Plate"/>
  </r>
  <r>
    <n v="55"/>
    <x v="4"/>
    <x v="2"/>
    <x v="12"/>
    <s v="Food Service Trolly Electric operated"/>
    <n v="7"/>
    <s v="New"/>
    <s v="Room Service"/>
    <n v="1365000"/>
    <n v="0"/>
    <n v="0"/>
    <n v="1365000"/>
    <m/>
    <m/>
    <m/>
    <s v="June"/>
    <m/>
    <m/>
    <m/>
    <m/>
    <s v="CORNELL HEATED HOSPITAL CART Size: 1070 x 710 x 1400 mm_x000a_Capacity : 60 Trays"/>
  </r>
  <r>
    <n v="56"/>
    <x v="4"/>
    <x v="2"/>
    <x v="12"/>
    <s v="Food Service Trolly Electric operated"/>
    <n v="1"/>
    <s v="New"/>
    <s v="Room Service"/>
    <n v="68000"/>
    <n v="0"/>
    <n v="0"/>
    <n v="68000"/>
    <m/>
    <m/>
    <m/>
    <s v="June"/>
    <m/>
    <m/>
    <m/>
    <m/>
    <s v="CORNELL HEATED HOSPITAL CART Size: 550 x 710 x 1400 mm_x000a_Capacity : 30 Trays"/>
  </r>
  <r>
    <n v="57"/>
    <x v="4"/>
    <x v="2"/>
    <x v="12"/>
    <s v="Camabro Black Trolly"/>
    <n v="4"/>
    <s v="Replacement"/>
    <s v="Room Service"/>
    <n v="32000"/>
    <n v="0"/>
    <n v="0"/>
    <n v="32000"/>
    <m/>
    <m/>
    <m/>
    <s v="June"/>
    <m/>
    <m/>
    <m/>
    <m/>
    <s v="for Patient  Rooms  Tea snacks &amp; Food  service "/>
  </r>
  <r>
    <n v="58"/>
    <x v="4"/>
    <x v="2"/>
    <x v="12"/>
    <s v="Tea Kettile Cambro 20 ltr"/>
    <n v="2"/>
    <s v="Replacement"/>
    <s v="Room Service"/>
    <n v="34000"/>
    <n v="0"/>
    <n v="0"/>
    <n v="34000"/>
    <m/>
    <m/>
    <m/>
    <s v="June"/>
    <m/>
    <m/>
    <m/>
    <m/>
    <s v="for  Patient Room  Hot tea  service"/>
  </r>
  <r>
    <n v="59"/>
    <x v="4"/>
    <x v="2"/>
    <x v="12"/>
    <s v="Microwave Oven"/>
    <n v="1"/>
    <s v="Replacement"/>
    <s v="Room Service"/>
    <n v="7500"/>
    <n v="0"/>
    <n v="0"/>
    <n v="7500"/>
    <m/>
    <m/>
    <m/>
    <s v="June"/>
    <m/>
    <m/>
    <m/>
    <m/>
    <s v="for Room service food Warming Purpose"/>
  </r>
  <r>
    <n v="60"/>
    <x v="4"/>
    <x v="2"/>
    <x v="12"/>
    <s v="Glass washing Machine"/>
    <n v="1"/>
    <s v="New"/>
    <s v="Stewarding Dept"/>
    <n v="100000"/>
    <n v="0"/>
    <n v="0"/>
    <n v="100000"/>
    <m/>
    <m/>
    <m/>
    <s v="June"/>
    <m/>
    <m/>
    <m/>
    <m/>
    <s v="For  Water Glass Washing  purpose"/>
  </r>
  <r>
    <n v="61"/>
    <x v="4"/>
    <x v="2"/>
    <x v="12"/>
    <s v="Trolly Two wheel (arbana)"/>
    <n v="1"/>
    <s v="New"/>
    <s v="Stewarding Dept"/>
    <n v="20000"/>
    <n v="0"/>
    <n v="0"/>
    <n v="20000"/>
    <m/>
    <m/>
    <m/>
    <s v="June"/>
    <m/>
    <m/>
    <m/>
    <m/>
    <s v="For out side food Waste Clearance"/>
  </r>
  <r>
    <n v="62"/>
    <x v="4"/>
    <x v="2"/>
    <x v="12"/>
    <s v="Sanitizer Tub S S( cutting board )"/>
    <n v="1"/>
    <s v="New"/>
    <s v="Stewarding Dept"/>
    <n v="25000"/>
    <n v="0"/>
    <n v="0"/>
    <n v="25000"/>
    <m/>
    <m/>
    <m/>
    <s v="June"/>
    <m/>
    <m/>
    <m/>
    <m/>
    <s v="For Kitchen cutting Board Sanitizing"/>
  </r>
  <r>
    <n v="63"/>
    <x v="4"/>
    <x v="2"/>
    <x v="12"/>
    <s v="Steel Trolly Heavy"/>
    <n v="1"/>
    <s v="Replacement"/>
    <s v="Stores &amp; Purchase"/>
    <n v="25000"/>
    <n v="0"/>
    <n v="0"/>
    <n v="25000"/>
    <m/>
    <m/>
    <m/>
    <s v="July"/>
    <m/>
    <m/>
    <m/>
    <m/>
    <s v="for Heavy Grocery items pick up and shifted from receving area to stores"/>
  </r>
  <r>
    <n v="64"/>
    <x v="4"/>
    <x v="2"/>
    <x v="12"/>
    <s v="Bread Toaster 4 slice - Table Top"/>
    <n v="1"/>
    <s v="Replacement"/>
    <s v="Service Restaurant &amp; Coffee Shops"/>
    <n v="4500"/>
    <n v="0"/>
    <n v="0"/>
    <n v="4500"/>
    <m/>
    <m/>
    <m/>
    <s v="July"/>
    <m/>
    <m/>
    <m/>
    <m/>
    <s v="For Replacement for Coffee shops"/>
  </r>
  <r>
    <n v="65"/>
    <x v="4"/>
    <x v="2"/>
    <x v="12"/>
    <s v="Induction cooker VIC 200"/>
    <n v="1"/>
    <s v="Replacement"/>
    <s v="Service Restaurant &amp; Coffee Shops"/>
    <n v="6000"/>
    <n v="0"/>
    <n v="0"/>
    <n v="6000"/>
    <m/>
    <m/>
    <m/>
    <s v="July"/>
    <m/>
    <m/>
    <m/>
    <m/>
    <s v="For  Coffee shop No. 4  Banquet Purpose"/>
  </r>
  <r>
    <n v="66"/>
    <x v="4"/>
    <x v="2"/>
    <x v="11"/>
    <s v="Snacks Plates"/>
    <n v="100"/>
    <s v="Replacement"/>
    <s v="Service Restaurant &amp; Coffee Shops"/>
    <n v="10000"/>
    <n v="0"/>
    <n v="0"/>
    <n v="10000"/>
    <m/>
    <m/>
    <m/>
    <s v="July"/>
    <m/>
    <m/>
    <m/>
    <m/>
    <s v="for all coffee shops snacks service"/>
  </r>
  <r>
    <n v="67"/>
    <x v="4"/>
    <x v="2"/>
    <x v="11"/>
    <s v="Full Plate Round SS"/>
    <n v="100"/>
    <s v="Replacement"/>
    <s v="Service Restaurant &amp; Coffee Shops"/>
    <n v="11500"/>
    <n v="0"/>
    <n v="0"/>
    <n v="11500"/>
    <m/>
    <m/>
    <m/>
    <s v="July"/>
    <m/>
    <m/>
    <m/>
    <m/>
    <s v="for gourmet restaurant  Meals service"/>
  </r>
  <r>
    <n v="68"/>
    <x v="4"/>
    <x v="2"/>
    <x v="11"/>
    <s v="Ceramic Half Plate"/>
    <n v="24"/>
    <s v="Replacement"/>
    <s v="Service Restaurant &amp; Coffee Shops"/>
    <n v="2400"/>
    <n v="0"/>
    <n v="0"/>
    <n v="2400"/>
    <m/>
    <m/>
    <m/>
    <s v="July"/>
    <m/>
    <m/>
    <m/>
    <m/>
    <s v="for for Side dish food service"/>
  </r>
  <r>
    <n v="69"/>
    <x v="4"/>
    <x v="2"/>
    <x v="11"/>
    <s v="S.S Plate Round Big( Dosa )"/>
    <n v="30"/>
    <s v="Replacement"/>
    <s v="Service Restaurant &amp; Coffee Shops"/>
    <n v="3000"/>
    <n v="0"/>
    <n v="0"/>
    <n v="3000"/>
    <m/>
    <m/>
    <m/>
    <s v="July"/>
    <m/>
    <m/>
    <m/>
    <m/>
    <s v="for Restaurant dosa service"/>
  </r>
  <r>
    <n v="70"/>
    <x v="4"/>
    <x v="2"/>
    <x v="11"/>
    <s v="Steel glass for Payasam"/>
    <n v="100"/>
    <s v="Replacement"/>
    <s v="Service Restaurant &amp; Coffee Shops"/>
    <n v="2000"/>
    <n v="0"/>
    <n v="0"/>
    <n v="2000"/>
    <m/>
    <m/>
    <m/>
    <s v="July"/>
    <m/>
    <m/>
    <m/>
    <m/>
    <s v="for restaurant meals payasam service"/>
  </r>
  <r>
    <n v="71"/>
    <x v="4"/>
    <x v="2"/>
    <x v="11"/>
    <s v="Bowl for Kanji Melamine White"/>
    <n v="24"/>
    <s v="Replacement"/>
    <s v="Service Restaurant &amp; Coffee Shops"/>
    <n v="3600"/>
    <n v="0"/>
    <n v="0"/>
    <n v="3600"/>
    <m/>
    <m/>
    <m/>
    <s v="July"/>
    <m/>
    <m/>
    <m/>
    <m/>
    <s v="for gourmet Restaurant kanaji service"/>
  </r>
  <r>
    <n v="72"/>
    <x v="4"/>
    <x v="2"/>
    <x v="11"/>
    <s v="Bowl For Fried Rice /Noodles Melamine"/>
    <n v="24"/>
    <s v="Replacement"/>
    <s v="Service Restaurant &amp; Coffee Shops"/>
    <n v="3600"/>
    <n v="0"/>
    <n v="0"/>
    <n v="3600"/>
    <m/>
    <m/>
    <m/>
    <s v="July"/>
    <m/>
    <m/>
    <m/>
    <m/>
    <s v="For Restaurant chineese food Service"/>
  </r>
  <r>
    <n v="73"/>
    <x v="4"/>
    <x v="2"/>
    <x v="11"/>
    <s v="Full Plate Grey Melamine"/>
    <n v="750"/>
    <s v="Replacement"/>
    <s v="Room Service"/>
    <n v="120000"/>
    <n v="0"/>
    <n v="0"/>
    <n v="120000"/>
    <m/>
    <m/>
    <m/>
    <s v="July"/>
    <m/>
    <m/>
    <m/>
    <m/>
    <s v="for Room service Patient food service"/>
  </r>
  <r>
    <n v="74"/>
    <x v="4"/>
    <x v="2"/>
    <x v="11"/>
    <s v="Half Plate White Melamine"/>
    <n v="500"/>
    <s v="Replacement"/>
    <s v="Room Service"/>
    <n v="42500"/>
    <n v="0"/>
    <n v="0"/>
    <n v="42500"/>
    <m/>
    <m/>
    <m/>
    <s v="July"/>
    <m/>
    <m/>
    <m/>
    <m/>
    <s v="for Room service Patient food service"/>
  </r>
  <r>
    <n v="75"/>
    <x v="4"/>
    <x v="2"/>
    <x v="11"/>
    <s v="Bowl for Kanji Melamine White"/>
    <n v="12"/>
    <s v="Replacement"/>
    <s v="Room Service"/>
    <n v="1800"/>
    <n v="0"/>
    <n v="0"/>
    <n v="1800"/>
    <m/>
    <m/>
    <m/>
    <s v="July"/>
    <m/>
    <m/>
    <m/>
    <m/>
    <s v="for Room service Patient Kanji Service"/>
  </r>
  <r>
    <n v="76"/>
    <x v="4"/>
    <x v="2"/>
    <x v="11"/>
    <s v="Soup Bowl Ceramic White"/>
    <n v="24"/>
    <s v="Replacement"/>
    <s v="Room Service"/>
    <n v="4440"/>
    <n v="0"/>
    <n v="0"/>
    <n v="4440"/>
    <m/>
    <m/>
    <m/>
    <s v="July"/>
    <m/>
    <m/>
    <m/>
    <m/>
    <s v="for Room service Patient Soup service"/>
  </r>
  <r>
    <n v="77"/>
    <x v="4"/>
    <x v="2"/>
    <x v="11"/>
    <s v="Biriyani Pot with Lid  S.S"/>
    <n v="24"/>
    <s v="New"/>
    <s v="Room Service"/>
    <n v="42000"/>
    <n v="0"/>
    <n v="0"/>
    <n v="42000"/>
    <m/>
    <m/>
    <m/>
    <s v="July"/>
    <m/>
    <m/>
    <m/>
    <m/>
    <s v="for Room service Patient  Hot Biriyani service"/>
  </r>
  <r>
    <n v="78"/>
    <x v="4"/>
    <x v="2"/>
    <x v="11"/>
    <s v="Fruits Salad Bowl S.S"/>
    <n v="12"/>
    <s v="New"/>
    <s v="Room Service"/>
    <n v="10200"/>
    <n v="0"/>
    <n v="0"/>
    <n v="10200"/>
    <m/>
    <m/>
    <m/>
    <s v="July"/>
    <m/>
    <m/>
    <m/>
    <m/>
    <s v="for Room service Patient  Fruits service"/>
  </r>
  <r>
    <n v="79"/>
    <x v="4"/>
    <x v="2"/>
    <x v="11"/>
    <s v="Flask Steel 2 Ltr"/>
    <n v="6"/>
    <s v="Replacement"/>
    <s v="Room Service"/>
    <n v="15000"/>
    <n v="0"/>
    <n v="0"/>
    <n v="15000"/>
    <m/>
    <m/>
    <m/>
    <s v="July"/>
    <m/>
    <m/>
    <m/>
    <m/>
    <s v="for Patient Room  6 or More Tea service"/>
  </r>
  <r>
    <n v="80"/>
    <x v="4"/>
    <x v="2"/>
    <x v="11"/>
    <s v="Tea Cup Comfy Brown"/>
    <n v="500"/>
    <s v="Replacement"/>
    <s v="Room Service"/>
    <n v="50000"/>
    <n v="0"/>
    <n v="0"/>
    <n v="50000"/>
    <m/>
    <m/>
    <m/>
    <s v="July"/>
    <m/>
    <m/>
    <m/>
    <m/>
    <s v="for Room service Patient  Tea / coffee service"/>
  </r>
  <r>
    <n v="81"/>
    <x v="4"/>
    <x v="2"/>
    <x v="11"/>
    <s v="Dessert Spoon"/>
    <n v="500"/>
    <s v="Replacement"/>
    <s v="Room Service"/>
    <n v="10000"/>
    <n v="0"/>
    <n v="0"/>
    <n v="10000"/>
    <m/>
    <m/>
    <m/>
    <s v="July"/>
    <m/>
    <m/>
    <m/>
    <m/>
    <s v="for Room service Patient food service"/>
  </r>
  <r>
    <n v="82"/>
    <x v="4"/>
    <x v="2"/>
    <x v="11"/>
    <s v="Tea Spoon"/>
    <n v="24"/>
    <s v="Replacement"/>
    <s v="Room Service"/>
    <n v="360"/>
    <n v="0"/>
    <n v="0"/>
    <n v="360"/>
    <m/>
    <m/>
    <m/>
    <s v="July"/>
    <m/>
    <m/>
    <m/>
    <m/>
    <s v="for Room service Patient food service"/>
  </r>
  <r>
    <n v="83"/>
    <x v="4"/>
    <x v="2"/>
    <x v="11"/>
    <s v="Soup spoon"/>
    <n v="24"/>
    <s v="Replacement"/>
    <s v="Room Service"/>
    <n v="600"/>
    <n v="0"/>
    <n v="0"/>
    <n v="600"/>
    <m/>
    <m/>
    <m/>
    <s v="July"/>
    <m/>
    <m/>
    <m/>
    <m/>
    <s v="for Room service Patient food service"/>
  </r>
  <r>
    <n v="84"/>
    <x v="4"/>
    <x v="2"/>
    <x v="11"/>
    <s v="S.S Fork"/>
    <n v="48"/>
    <s v="Replacement"/>
    <s v="Room Service"/>
    <n v="960"/>
    <n v="0"/>
    <n v="0"/>
    <n v="960"/>
    <m/>
    <m/>
    <m/>
    <s v="July"/>
    <m/>
    <m/>
    <m/>
    <m/>
    <s v="for Room service Patient food service"/>
  </r>
  <r>
    <n v="85"/>
    <x v="4"/>
    <x v="2"/>
    <x v="11"/>
    <s v="S.S Knife"/>
    <n v="48"/>
    <s v="Replacement"/>
    <s v="Room Service"/>
    <n v="1200"/>
    <n v="0"/>
    <n v="0"/>
    <n v="1200"/>
    <m/>
    <m/>
    <m/>
    <s v="July"/>
    <m/>
    <m/>
    <m/>
    <m/>
    <s v="for Room service Patient food service"/>
  </r>
  <r>
    <n v="86"/>
    <x v="4"/>
    <x v="2"/>
    <x v="11"/>
    <s v="Service Laddle S.S"/>
    <n v="6"/>
    <s v="Replacement"/>
    <s v="Room Service"/>
    <n v="750"/>
    <n v="0"/>
    <n v="0"/>
    <n v="750"/>
    <m/>
    <m/>
    <m/>
    <s v="July"/>
    <m/>
    <m/>
    <m/>
    <m/>
    <s v="for Room service  Food packing purpose"/>
  </r>
  <r>
    <n v="87"/>
    <x v="4"/>
    <x v="2"/>
    <x v="11"/>
    <s v="Rice cutter S.S"/>
    <n v="2"/>
    <s v="Replacement"/>
    <s v="Room Service"/>
    <n v="400"/>
    <n v="0"/>
    <n v="0"/>
    <n v="400"/>
    <m/>
    <m/>
    <m/>
    <s v="July"/>
    <m/>
    <m/>
    <m/>
    <m/>
    <s v="for Room service  Food packing purpose"/>
  </r>
  <r>
    <n v="88"/>
    <x v="4"/>
    <x v="2"/>
    <x v="11"/>
    <s v="Hot Case 3 layer"/>
    <n v="50"/>
    <s v="Replacement"/>
    <s v="Room Service"/>
    <n v="25000"/>
    <n v="0"/>
    <n v="0"/>
    <n v="25000"/>
    <m/>
    <m/>
    <m/>
    <s v="July"/>
    <m/>
    <m/>
    <m/>
    <m/>
    <s v="for Room service Patient Hot food service"/>
  </r>
  <r>
    <n v="89"/>
    <x v="4"/>
    <x v="2"/>
    <x v="11"/>
    <s v="Casserol 500 ml S.S"/>
    <n v="50"/>
    <s v="Replacement"/>
    <s v="Room Service"/>
    <n v="18750"/>
    <n v="0"/>
    <n v="0"/>
    <n v="18750"/>
    <m/>
    <m/>
    <m/>
    <s v="July"/>
    <m/>
    <m/>
    <m/>
    <m/>
    <s v="for Room service Patient food service"/>
  </r>
  <r>
    <n v="90"/>
    <x v="4"/>
    <x v="2"/>
    <x v="12"/>
    <s v="Service Tray Red / Grey"/>
    <n v="50"/>
    <s v="Replacement"/>
    <s v="Room Service"/>
    <n v="11250"/>
    <n v="0"/>
    <n v="0"/>
    <n v="11250"/>
    <m/>
    <m/>
    <m/>
    <s v="July"/>
    <m/>
    <m/>
    <m/>
    <m/>
    <s v="for Room service Patient Food &amp; Tea / coffee service"/>
  </r>
  <r>
    <n v="91"/>
    <x v="4"/>
    <x v="2"/>
    <x v="11"/>
    <s v="Flask 500ml S.S"/>
    <n v="300"/>
    <s v="Replacement"/>
    <s v="Room Service"/>
    <n v="129000"/>
    <n v="0"/>
    <n v="0"/>
    <n v="129000"/>
    <m/>
    <m/>
    <m/>
    <s v="July"/>
    <m/>
    <m/>
    <m/>
    <m/>
    <s v="for Room service Patient food service"/>
  </r>
  <r>
    <n v="92"/>
    <x v="4"/>
    <x v="2"/>
    <x v="11"/>
    <s v="Feed Bottle S.S"/>
    <n v="100"/>
    <s v="Replacement"/>
    <s v="Room Service"/>
    <n v="16000"/>
    <n v="0"/>
    <n v="0"/>
    <n v="16000"/>
    <m/>
    <m/>
    <m/>
    <s v="July"/>
    <m/>
    <m/>
    <m/>
    <m/>
    <s v="for Room service Patient  Diet food service"/>
  </r>
  <r>
    <n v="93"/>
    <x v="4"/>
    <x v="2"/>
    <x v="11"/>
    <s v="Curry Bowl With Lid Ovel shape"/>
    <n v="200"/>
    <s v="Replacement"/>
    <s v="Room Service"/>
    <n v="25000"/>
    <n v="0"/>
    <n v="0"/>
    <n v="25000"/>
    <m/>
    <m/>
    <m/>
    <s v="July"/>
    <m/>
    <m/>
    <m/>
    <m/>
    <s v="for Room service Patient food service"/>
  </r>
  <r>
    <n v="94"/>
    <x v="4"/>
    <x v="2"/>
    <x v="12"/>
    <s v="3 compartment Tray  with Lid  "/>
    <n v="100"/>
    <s v="Replacement"/>
    <s v="Room Service"/>
    <n v="120000"/>
    <n v="0"/>
    <n v="0"/>
    <n v="120000"/>
    <m/>
    <m/>
    <m/>
    <s v="July"/>
    <m/>
    <m/>
    <m/>
    <m/>
    <s v="for Room service Patient  Brakefast food service"/>
  </r>
  <r>
    <n v="95"/>
    <x v="4"/>
    <x v="2"/>
    <x v="12"/>
    <s v="6 compartment Tray  with Lid  "/>
    <n v="100"/>
    <s v="Replacement"/>
    <s v="Room Service"/>
    <n v="150000"/>
    <n v="0"/>
    <n v="0"/>
    <n v="150000"/>
    <m/>
    <m/>
    <m/>
    <s v="July"/>
    <m/>
    <m/>
    <m/>
    <m/>
    <s v="for Room service Patient Mealas food service"/>
  </r>
  <r>
    <n v="96"/>
    <x v="4"/>
    <x v="2"/>
    <x v="12"/>
    <s v="S.S Trolly wheel Heavy"/>
    <n v="12"/>
    <s v="Replacement"/>
    <s v="Stewarding Dept "/>
    <n v="14400"/>
    <n v="0"/>
    <n v="0"/>
    <n v="14400"/>
    <m/>
    <m/>
    <m/>
    <s v="July"/>
    <m/>
    <m/>
    <m/>
    <m/>
    <s v="For Steel Trolly wheel Replacement"/>
  </r>
  <r>
    <n v="97"/>
    <x v="4"/>
    <x v="2"/>
    <x v="12"/>
    <s v="Waste bin "/>
    <n v="10"/>
    <s v="Replacement"/>
    <s v="Stewarding Dept "/>
    <n v="25000"/>
    <n v="0"/>
    <n v="0"/>
    <n v="25000"/>
    <m/>
    <m/>
    <m/>
    <s v="July"/>
    <m/>
    <m/>
    <m/>
    <m/>
    <s v="For Food Waste colleting bin coffee shop &amp; Kitchen  Area"/>
  </r>
  <r>
    <n v="98"/>
    <x v="4"/>
    <x v="2"/>
    <x v="12"/>
    <s v="S.S. Tap "/>
    <n v="10"/>
    <s v="Replacement"/>
    <s v="Stewarding Dept "/>
    <n v="20000"/>
    <n v="0"/>
    <n v="0"/>
    <n v="20000"/>
    <m/>
    <m/>
    <m/>
    <s v="July"/>
    <m/>
    <m/>
    <m/>
    <m/>
    <s v="For Kitchen &amp; Washing Area tap repalcement"/>
  </r>
  <r>
    <n v="99"/>
    <x v="4"/>
    <x v="2"/>
    <x v="12"/>
    <s v="Steel Trolly wheel"/>
    <n v="8"/>
    <s v="Replacement"/>
    <s v="Stores &amp; Purchase"/>
    <n v="25000"/>
    <n v="0"/>
    <n v="0"/>
    <n v="25000"/>
    <m/>
    <m/>
    <m/>
    <s v="July"/>
    <m/>
    <m/>
    <m/>
    <m/>
    <s v="for Heavy Grocery items pick up and shifted from receving area to stores"/>
  </r>
  <r>
    <n v="100"/>
    <x v="5"/>
    <x v="3"/>
    <x v="13"/>
    <s v="File Cabinet ( 4 Rack )"/>
    <n v="2"/>
    <s v="New"/>
    <s v="H R Department"/>
    <n v="33000"/>
    <n v="0"/>
    <n v="0"/>
    <n v="33000"/>
    <m/>
    <d v="2026-04-01T00:00:00"/>
    <d v="2026-04-30T00:00:00"/>
    <s v="April"/>
    <s v="Unsafe storage of Personnel files"/>
    <m/>
    <s v="Steel rack powder quoted with sliding trays"/>
    <m/>
    <s v="shortage of file rack"/>
  </r>
  <r>
    <n v="101"/>
    <x v="5"/>
    <x v="4"/>
    <x v="14"/>
    <s v="Mobile Phone"/>
    <n v="1"/>
    <s v="New"/>
    <s v="H R Department"/>
    <n v="15000"/>
    <n v="0"/>
    <n v="0"/>
    <n v="15000"/>
    <m/>
    <d v="2026-04-01T00:00:00"/>
    <d v="2026-04-30T00:00:00"/>
    <s v="April"/>
    <s v="Recruitment Purpose-Candidate co ordination and Official Communication "/>
    <m/>
    <m/>
    <m/>
    <m/>
  </r>
  <r>
    <n v="102"/>
    <x v="5"/>
    <x v="5"/>
    <x v="15"/>
    <s v="Compter System"/>
    <n v="3"/>
    <s v="Replacement"/>
    <s v="H R Department"/>
    <n v="120000"/>
    <n v="0"/>
    <n v="0"/>
    <n v="120000"/>
    <s v="IT Dept:"/>
    <d v="2026-04-01T00:00:00"/>
    <d v="2026-04-30T00:00:00"/>
    <s v="April"/>
    <s v="Replacement required due to frequent slowness and system hanging issues affecting day-to-day operations)"/>
    <m/>
    <m/>
    <m/>
    <m/>
  </r>
  <r>
    <n v="103"/>
    <x v="5"/>
    <x v="5"/>
    <x v="16"/>
    <s v="Printer (Double Side )"/>
    <n v="2"/>
    <s v="Replacement"/>
    <s v="H R Department"/>
    <n v="40000"/>
    <n v="0"/>
    <n v="0"/>
    <n v="40000"/>
    <s v="Purchase Dept:"/>
    <d v="2026-04-01T00:00:00"/>
    <d v="2026-04-30T00:00:00"/>
    <s v="April"/>
    <s v="Printer required as a replacement for the existing old printer, which is not functioning properly."/>
    <m/>
    <m/>
    <m/>
    <m/>
  </r>
  <r>
    <n v="104"/>
    <x v="6"/>
    <x v="5"/>
    <x v="16"/>
    <s v="Telephone connection"/>
    <n v="1"/>
    <s v="Replacement"/>
    <s v="OP Pharmacy Main block"/>
    <n v="3000"/>
    <m/>
    <m/>
    <n v="3000"/>
    <s v="purchase department"/>
    <d v="2026-05-01T00:00:00"/>
    <d v="2026-07-01T00:00:00"/>
    <s v="July"/>
    <s v="Replacement"/>
    <m/>
    <m/>
    <m/>
    <m/>
  </r>
  <r>
    <n v="105"/>
    <x v="6"/>
    <x v="2"/>
    <x v="17"/>
    <s v="Refrigerator"/>
    <n v="1"/>
    <s v="Replacement"/>
    <s v="OP Pharmacy new  block 2"/>
    <n v="40000"/>
    <m/>
    <m/>
    <n v="40000"/>
    <s v="purchase department"/>
    <d v="2026-06-01T00:00:00"/>
    <d v="2026-09-01T00:00:00"/>
    <s v="September"/>
    <s v="Replacement of old  refrigerator"/>
    <s v="low performance &amp; repairs"/>
    <s v="samsung double door "/>
    <m/>
    <s v="Replacement  to improve the efficiency"/>
  </r>
  <r>
    <n v="106"/>
    <x v="6"/>
    <x v="2"/>
    <x v="17"/>
    <s v="Refrigerator"/>
    <n v="1"/>
    <s v="Replacement"/>
    <s v="OP Pharmacy Main block"/>
    <n v="40000"/>
    <m/>
    <m/>
    <n v="40000"/>
    <s v="purchase department"/>
    <d v="2026-04-01T00:00:00"/>
    <d v="2026-05-01T00:00:00"/>
    <s v="May"/>
    <s v="Replacement of old  refrigerator"/>
    <s v="low performance &amp; repairs"/>
    <s v="samsung double door "/>
    <m/>
    <s v="Replacement  to improve the efficiency"/>
  </r>
  <r>
    <n v="107"/>
    <x v="6"/>
    <x v="3"/>
    <x v="18"/>
    <s v="Shutter Medicine storage cabinet A5-336 &amp; D74 G(36+36)"/>
    <n v="4"/>
    <s v="Replacement"/>
    <s v="OP Pharmacy Main block"/>
    <n v="480000"/>
    <m/>
    <m/>
    <n v="480000"/>
    <s v="purchase department"/>
    <d v="2026-05-01T00:00:00"/>
    <d v="2026-07-01T00:00:00"/>
    <s v="July"/>
    <s v="Replacement of damaged bin system"/>
    <s v="Lack proper storage of medicines"/>
    <s v="Lack proper storage of medicines"/>
    <m/>
    <s v="for proper storage of medicines in bins"/>
  </r>
  <r>
    <n v="108"/>
    <x v="6"/>
    <x v="3"/>
    <x v="18"/>
    <s v="Shutter Medicine storage cabinet A5-336 &amp; D74 G(36+36)"/>
    <n v="4"/>
    <s v="Replacement"/>
    <s v="IP Pharmacy"/>
    <n v="480000"/>
    <m/>
    <m/>
    <n v="480000"/>
    <s v="purchase department"/>
    <d v="2026-05-01T00:00:00"/>
    <d v="2026-07-01T00:00:00"/>
    <s v="July"/>
    <s v="Replacement of damaged bin system"/>
    <s v="Lack proper storage of medicines"/>
    <s v="Lack proper storage of medicines"/>
    <m/>
    <s v="for proper storage of medicines in bins"/>
  </r>
  <r>
    <n v="109"/>
    <x v="6"/>
    <x v="3"/>
    <x v="18"/>
    <s v="Shutter Medicine storage cabinet A5-336 &amp; D74 G(36+36)"/>
    <n v="4"/>
    <s v="Replacement"/>
    <s v="OP Pharmacy GF New Block"/>
    <n v="480000"/>
    <m/>
    <m/>
    <n v="480000"/>
    <s v="purchase department"/>
    <d v="2026-05-01T00:00:00"/>
    <d v="2026-07-01T00:00:00"/>
    <s v="July"/>
    <s v="Replacement of damaged bin system"/>
    <s v="Lack proper storage of medicines"/>
    <s v="Lack proper storage of medicines"/>
    <m/>
    <s v="for proper storage of medicines in bins"/>
  </r>
  <r>
    <n v="110"/>
    <x v="6"/>
    <x v="3"/>
    <x v="13"/>
    <s v="Medical store main door"/>
    <n v="1"/>
    <s v="Replacement"/>
    <s v="Medical store"/>
    <n v="15000"/>
    <m/>
    <m/>
    <n v="15000"/>
    <s v="purchase department"/>
    <d v="2026-05-01T00:00:00"/>
    <d v="2026-07-01T00:00:00"/>
    <s v="July"/>
    <s v="for security puropse"/>
    <s v="secuirty compromised"/>
    <s v="fabricated strong  door with steel door closure"/>
    <m/>
    <s v="for proper storage"/>
  </r>
  <r>
    <n v="111"/>
    <x v="6"/>
    <x v="1"/>
    <x v="1"/>
    <s v="Fire exit  medical store "/>
    <n v="1"/>
    <s v="New"/>
    <s v="Medical store"/>
    <n v="501000"/>
    <m/>
    <m/>
    <n v="501000"/>
    <s v="Engineering department"/>
    <d v="2026-05-01T00:00:00"/>
    <d v="2026-07-01T00:00:00"/>
    <s v="July"/>
    <s v="Fire escape route"/>
    <s v="safety will be compromised"/>
    <s v="steel stairs"/>
    <m/>
    <s v="for life saving purpose"/>
  </r>
  <r>
    <n v="112"/>
    <x v="6"/>
    <x v="3"/>
    <x v="18"/>
    <s v="slotted angle rack shelves replacement"/>
    <n v="30"/>
    <s v="Replacement"/>
    <s v="Medical store"/>
    <n v="12000"/>
    <m/>
    <m/>
    <n v="12000"/>
    <s v="purchase department"/>
    <d v="2026-05-01T00:00:00"/>
    <d v="2026-07-01T00:00:00"/>
    <s v="July"/>
    <s v="Replacement of damaged shelves"/>
    <s v="Lack proper storage of medicines"/>
    <s v="steel painted shelves"/>
    <m/>
    <s v="for proper storage of medicines "/>
  </r>
  <r>
    <n v="113"/>
    <x v="6"/>
    <x v="3"/>
    <x v="18"/>
    <s v="supply trolley medical store platform type"/>
    <n v="1"/>
    <s v="Replacement"/>
    <s v="Medical store"/>
    <n v="5000"/>
    <m/>
    <m/>
    <n v="5000"/>
    <s v="purchase department"/>
    <d v="2026-05-01T00:00:00"/>
    <d v="2026-07-01T00:00:00"/>
    <s v="July"/>
    <s v="Replacement of old trolley"/>
    <s v="proper transportation will be compromised"/>
    <s v="platform type steel"/>
    <m/>
    <s v="for proper transportation"/>
  </r>
  <r>
    <n v="114"/>
    <x v="6"/>
    <x v="3"/>
    <x v="18"/>
    <s v="steel almirah"/>
    <n v="2"/>
    <s v="Replacement"/>
    <s v="IP Pharmacy"/>
    <n v="24000"/>
    <m/>
    <m/>
    <n v="24000"/>
    <s v="purchase department"/>
    <d v="2026-05-01T00:00:00"/>
    <d v="2026-07-01T00:00:00"/>
    <s v="July"/>
    <s v="Replacemnt of old almirah"/>
    <s v="Lack proper storage "/>
    <s v="steel painted almirah with shelves"/>
    <m/>
    <s v="for proper storage of medicines "/>
  </r>
  <r>
    <n v="115"/>
    <x v="6"/>
    <x v="3"/>
    <x v="18"/>
    <s v="slotted angle rack shelves replacement"/>
    <n v="3"/>
    <s v="Replacement"/>
    <s v="IP Pharmacy"/>
    <n v="1200"/>
    <m/>
    <m/>
    <n v="1200"/>
    <s v="purchase department"/>
    <d v="2026-05-01T00:00:00"/>
    <d v="2026-07-01T00:00:00"/>
    <s v="July"/>
    <s v="Replacement of damaged shelves"/>
    <s v="Lack proper storage of medicines"/>
    <s v="steel painted shelves"/>
    <m/>
    <s v="for proper storage of medicines "/>
  </r>
  <r>
    <n v="116"/>
    <x v="6"/>
    <x v="3"/>
    <x v="18"/>
    <s v="Medicine trolley"/>
    <n v="2"/>
    <s v="Replacement"/>
    <s v="IP Pharmacy"/>
    <n v="24000"/>
    <m/>
    <m/>
    <n v="24000"/>
    <s v="purchase department"/>
    <d v="2026-04-01T00:00:00"/>
    <d v="2026-05-01T00:00:00"/>
    <s v="May"/>
    <s v="Replacement of old damaged"/>
    <s v="Not suitable for use"/>
    <s v="Stainless steel medciien trolley"/>
    <m/>
    <s v="to improve th medicine delivery in trolley"/>
  </r>
  <r>
    <n v="117"/>
    <x v="6"/>
    <x v="3"/>
    <x v="13"/>
    <s v="Computer Chairs"/>
    <n v="6"/>
    <s v="Replacement"/>
    <s v="Medical store "/>
    <n v="21000"/>
    <m/>
    <m/>
    <n v="21000"/>
    <s v="purchase department"/>
    <d v="2026-05-01T00:00:00"/>
    <d v="2026-07-01T00:00:00"/>
    <s v="July"/>
    <s v="purchase department"/>
    <s v="Chances of  staff fall"/>
    <s v="Office Chair"/>
    <m/>
    <s v="Replacemnt of very old chair"/>
  </r>
  <r>
    <n v="118"/>
    <x v="6"/>
    <x v="3"/>
    <x v="13"/>
    <s v="Computer Chairs"/>
    <n v="6"/>
    <s v="Replacement"/>
    <s v="IP Pharmacy"/>
    <n v="21000"/>
    <m/>
    <m/>
    <n v="21000"/>
    <s v="purchase department"/>
    <d v="2026-05-01T00:00:00"/>
    <d v="2026-07-01T00:00:00"/>
    <s v="July"/>
    <s v="purchase department"/>
    <s v="Chances of  staff fall"/>
    <s v="Office Chair"/>
    <m/>
    <s v="Replacement of very old chair"/>
  </r>
  <r>
    <n v="119"/>
    <x v="6"/>
    <x v="3"/>
    <x v="13"/>
    <s v="medium high back chair"/>
    <n v="1"/>
    <s v="Replacement"/>
    <s v="Medical store "/>
    <n v="4500"/>
    <m/>
    <m/>
    <n v="4500"/>
    <s v="purchase department"/>
    <d v="2026-05-01T00:00:00"/>
    <d v="2026-07-01T00:00:00"/>
    <s v="July"/>
    <s v="purchase department"/>
    <s v="Chances of  staff fall"/>
    <s v="Office Chair"/>
    <m/>
    <s v="Replacemnt of very old chair"/>
  </r>
  <r>
    <n v="120"/>
    <x v="6"/>
    <x v="3"/>
    <x v="13"/>
    <s v="Computer Chair"/>
    <n v="1"/>
    <s v="Replacement"/>
    <s v="OP Pharmacy new  block 2"/>
    <n v="3500"/>
    <m/>
    <m/>
    <n v="3500"/>
    <s v="purchase department"/>
    <d v="2026-05-01T00:00:00"/>
    <d v="2026-07-01T00:00:00"/>
    <s v="July"/>
    <s v="purchase department"/>
    <s v="Chances of  staff fall"/>
    <s v="Office Chair"/>
    <m/>
    <s v="Replacement of very old chair"/>
  </r>
  <r>
    <n v="121"/>
    <x v="6"/>
    <x v="3"/>
    <x v="13"/>
    <s v="Computer Chairs"/>
    <n v="2"/>
    <s v="Replacement"/>
    <s v="OP Pharmacy GF New Block"/>
    <n v="7000"/>
    <m/>
    <m/>
    <n v="7000"/>
    <s v="purchase department"/>
    <d v="2026-05-01T00:00:00"/>
    <d v="2026-07-01T00:00:00"/>
    <s v="July"/>
    <s v="purchase department"/>
    <s v="Chances of  staff fall"/>
    <s v="Office Chair"/>
    <m/>
    <s v="Replacemnt of very old chair"/>
  </r>
  <r>
    <e v="#REF!"/>
    <x v="7"/>
    <x v="3"/>
    <x v="19"/>
    <s v="Block Cabinets"/>
    <n v="5"/>
    <m/>
    <m/>
    <n v="1000000"/>
    <m/>
    <m/>
    <n v="1000000"/>
    <m/>
    <m/>
    <m/>
    <s v="July"/>
    <m/>
    <m/>
    <m/>
    <m/>
    <s v="Space requirement for storing blocks/avoid rodent issues."/>
  </r>
  <r>
    <e v="#REF!"/>
    <x v="7"/>
    <x v="3"/>
    <x v="19"/>
    <s v="Slide Cabinets"/>
    <n v="5"/>
    <m/>
    <m/>
    <n v="500000"/>
    <m/>
    <m/>
    <n v="500000"/>
    <m/>
    <m/>
    <m/>
    <s v="July"/>
    <m/>
    <m/>
    <m/>
    <m/>
    <s v="Space requirement for storing blocks/avoid rodent issues."/>
  </r>
  <r>
    <e v="#REF!"/>
    <x v="8"/>
    <x v="6"/>
    <x v="20"/>
    <s v="Interfacing of Microbiology and Biochemistry Instruments"/>
    <n v="5"/>
    <m/>
    <m/>
    <n v="350000"/>
    <m/>
    <m/>
    <n v="350000"/>
    <m/>
    <m/>
    <m/>
    <s v="July"/>
    <m/>
    <m/>
    <m/>
    <m/>
    <s v="New machines to be connected to middleware/HIS."/>
  </r>
  <r>
    <e v="#REF!"/>
    <x v="8"/>
    <x v="6"/>
    <x v="20"/>
    <s v="Navify software with Features Autoreporting, Integrated QC, Rerun etc."/>
    <n v="1"/>
    <m/>
    <m/>
    <n v="450000"/>
    <m/>
    <m/>
    <n v="450000"/>
    <m/>
    <m/>
    <m/>
    <s v="July"/>
    <m/>
    <m/>
    <m/>
    <m/>
    <s v="Roche provided middlware which has unique fetaures like auto reporting, rerun, qc management etc."/>
  </r>
  <r>
    <e v="#REF!"/>
    <x v="9"/>
    <x v="7"/>
    <x v="21"/>
    <s v="ACLS Ambulance"/>
    <n v="1"/>
    <s v="Replacement"/>
    <s v="transport dept"/>
    <n v="2000000"/>
    <n v="1200000"/>
    <m/>
    <n v="3200000"/>
    <s v="Vendor Quote"/>
    <m/>
    <m/>
    <s v="August"/>
    <s v="existing ICU ambulance not fit for an orgamisation of our kind"/>
    <s v="patient dissatisfaction"/>
    <s v="FORCE Ambulance with interior fabricated for ICU ambulance with required biomedical equipemnts"/>
    <s v="as required fuel and servicing"/>
    <s v="need to replace the ICU ambulance which is 13 years old"/>
  </r>
  <r>
    <e v="#REF!"/>
    <x v="9"/>
    <x v="3"/>
    <x v="10"/>
    <s v="fire curtains "/>
    <s v="3 /Floor"/>
    <s v="New requirment"/>
    <s v="throught the hospital"/>
    <n v="27300000"/>
    <m/>
    <m/>
    <n v="27300000"/>
    <s v="Vendor Quote"/>
    <m/>
    <m/>
    <s v="August"/>
    <s v="quality improvement in fire protection and several inspecting team has asked about the same"/>
    <s v="we will fall behind to the major players"/>
    <s v="fire retardant wire mesh with rolling system"/>
    <m/>
    <s v="quality improvement in fire protection and several inspecting team has asked about the same"/>
  </r>
  <r>
    <e v="#REF!"/>
    <x v="9"/>
    <x v="5"/>
    <x v="22"/>
    <s v="cctv surveillance in parking areas"/>
    <n v="30"/>
    <s v="New requirment"/>
    <s v="parking grounds"/>
    <n v="500000"/>
    <n v="25000"/>
    <m/>
    <n v="525000"/>
    <s v="existing price"/>
    <m/>
    <m/>
    <s v="August"/>
    <s v="to cover multilevel parking areas and other areas of parking"/>
    <s v="inadequate surveillance at sensitive areas"/>
    <s v="camera,dvr,cable"/>
    <s v="1.14 lakhs AMC"/>
    <s v="wehave over 300 parking slot which needs to be covered"/>
  </r>
  <r>
    <e v="#REF!"/>
    <x v="9"/>
    <x v="2"/>
    <x v="23"/>
    <s v="fire alarm system and sprinkler and other additions"/>
    <n v="2"/>
    <s v="Replacement"/>
    <s v="thoroughout the hospital"/>
    <n v="3000000"/>
    <m/>
    <m/>
    <n v="3000000"/>
    <m/>
    <m/>
    <m/>
    <s v="August"/>
    <m/>
    <m/>
    <m/>
    <m/>
    <s v="fire systems need to be kept operational always "/>
  </r>
  <r>
    <e v="#REF!"/>
    <x v="10"/>
    <x v="5"/>
    <x v="15"/>
    <s v="Comuputers/Desktop"/>
    <n v="215"/>
    <s v="Replacement"/>
    <m/>
    <n v="6300000"/>
    <m/>
    <m/>
    <n v="6300000"/>
    <m/>
    <m/>
    <m/>
    <s v="August"/>
    <m/>
    <m/>
    <m/>
    <m/>
    <m/>
  </r>
  <r>
    <e v="#REF!"/>
    <x v="10"/>
    <x v="5"/>
    <x v="24"/>
    <s v="Network Core Switches and Uplinks "/>
    <m/>
    <m/>
    <m/>
    <n v="25000000"/>
    <m/>
    <m/>
    <n v="25000000"/>
    <m/>
    <m/>
    <m/>
    <s v="August"/>
    <m/>
    <m/>
    <s v="Nexus 93180YC-EX Switchs and Uplinks "/>
    <m/>
    <m/>
  </r>
  <r>
    <e v="#REF!"/>
    <x v="10"/>
    <x v="5"/>
    <x v="16"/>
    <s v="Printers"/>
    <n v="53"/>
    <s v="Replacement"/>
    <m/>
    <n v="1200000"/>
    <m/>
    <m/>
    <n v="1200000"/>
    <m/>
    <m/>
    <m/>
    <s v="August"/>
    <m/>
    <m/>
    <m/>
    <m/>
    <s v="50  nos  replacement and 03 nos standby "/>
  </r>
  <r>
    <e v="#REF!"/>
    <x v="10"/>
    <x v="5"/>
    <x v="25"/>
    <s v="Laptop and Tablets"/>
    <n v="40"/>
    <m/>
    <m/>
    <n v="1500000"/>
    <m/>
    <m/>
    <n v="1500000"/>
    <m/>
    <m/>
    <m/>
    <s v="August"/>
    <m/>
    <m/>
    <m/>
    <m/>
    <s v="40 nos doctors &amp; nursing stations"/>
  </r>
  <r>
    <e v="#REF!"/>
    <x v="10"/>
    <x v="5"/>
    <x v="26"/>
    <s v="cadrige,key borad,mouse HDD,SMS etc"/>
    <m/>
    <m/>
    <m/>
    <n v="500000"/>
    <m/>
    <m/>
    <n v="500000"/>
    <m/>
    <m/>
    <m/>
    <s v="September"/>
    <m/>
    <m/>
    <m/>
    <m/>
    <m/>
  </r>
  <r>
    <e v="#REF!"/>
    <x v="10"/>
    <x v="5"/>
    <x v="24"/>
    <s v="Netwok Improvement, network upgrade "/>
    <m/>
    <m/>
    <m/>
    <n v="500000"/>
    <m/>
    <m/>
    <n v="500000"/>
    <m/>
    <m/>
    <m/>
    <s v="September"/>
    <m/>
    <m/>
    <m/>
    <m/>
    <m/>
  </r>
  <r>
    <e v="#REF!"/>
    <x v="10"/>
    <x v="6"/>
    <x v="20"/>
    <s v="Oracle , volume/ OS/Microsoft-/O365 , Antivirus "/>
    <n v="1"/>
    <s v="New requirment"/>
    <m/>
    <n v="5000000"/>
    <m/>
    <m/>
    <n v="5000000"/>
    <m/>
    <m/>
    <m/>
    <s v="September"/>
    <m/>
    <m/>
    <m/>
    <m/>
    <m/>
  </r>
  <r>
    <e v="#REF!"/>
    <x v="10"/>
    <x v="5"/>
    <x v="27"/>
    <s v="Digittalization /Automation /Customization /Security /DPDP"/>
    <n v="1"/>
    <m/>
    <m/>
    <n v="7500000"/>
    <m/>
    <m/>
    <n v="7500000"/>
    <m/>
    <m/>
    <m/>
    <s v="September"/>
    <m/>
    <m/>
    <m/>
    <m/>
    <m/>
  </r>
  <r>
    <e v="#REF!"/>
    <x v="11"/>
    <x v="2"/>
    <x v="17"/>
    <s v="WALKING REFERGERATOR"/>
    <n v="1"/>
    <s v="New requirment"/>
    <m/>
    <n v="500000"/>
    <n v="50000"/>
    <n v="10000"/>
    <n v="560000"/>
    <s v="Vendor Quote"/>
    <d v="2026-04-01T00:00:00"/>
    <d v="2026-05-31T00:00:00"/>
    <s v="May"/>
    <s v="TO KEEP REFERGERATOR ITEMS."/>
    <s v="NOW THE REFERGERATOR ITEMS ARE TRANSFERRED AT THE TIME OF DELIVERY"/>
    <s v="NOW WE ARE NOT STOCKING FRIDGE ITEMS SO WE HAVE NO STOCK CONTROL FOR REFERGERATING ITEMS"/>
    <m/>
    <s v="WE CAN CONTROLL THE PURCHASE OF REFERGERATION ITEMS"/>
  </r>
  <r>
    <e v="#REF!"/>
    <x v="11"/>
    <x v="5"/>
    <x v="16"/>
    <s v="DIGITAL DUPLICATOR"/>
    <n v="1"/>
    <s v="New requirment"/>
    <m/>
    <n v="250000"/>
    <n v="5000"/>
    <n v="5000"/>
    <n v="260000"/>
    <s v="Vendor Quote"/>
    <d v="2026-04-01T00:00:00"/>
    <d v="2026-05-31T00:00:00"/>
    <s v="May"/>
    <s v="THIS COPPIER WILL REDUCE ALL THE BLACK AND WHITE PRINTOUTS. THE PRINTER HAVING A SPEED OF 120 PAGES PER MINUTE. OUR PRINTING COST WILL REDUCE TO ONE FOURTH."/>
    <m/>
    <m/>
    <m/>
    <s v="PRINT COST FOR 1000 PRINTS EXCLUDING PAPER IS 160 - 200ONLY."/>
  </r>
  <r>
    <e v="#REF!"/>
    <x v="12"/>
    <x v="2"/>
    <x v="28"/>
    <s v="Automated Urine Analyzer"/>
    <n v="1"/>
    <m/>
    <m/>
    <n v="4000000"/>
    <m/>
    <m/>
    <n v="4000000"/>
    <m/>
    <m/>
    <m/>
    <s v="July"/>
    <m/>
    <m/>
    <m/>
    <m/>
    <s v="Automate the current process to improve the tat in clinical pathology, but presently there is limited space available in hematology department."/>
  </r>
  <r>
    <e v="#REF!"/>
    <x v="8"/>
    <x v="2"/>
    <x v="28"/>
    <s v="Electrophoresis Instrument"/>
    <n v="1"/>
    <m/>
    <m/>
    <n v="1800000"/>
    <m/>
    <m/>
    <n v="1800000"/>
    <m/>
    <m/>
    <m/>
    <s v="July"/>
    <m/>
    <m/>
    <m/>
    <m/>
    <s v="Electrophoresis numbers are increasing day by day and presently we are outsourcing the samples."/>
  </r>
  <r>
    <e v="#REF!"/>
    <x v="13"/>
    <x v="2"/>
    <x v="28"/>
    <s v="Body composition analyser (InBody)"/>
    <n v="1"/>
    <s v="New requirment"/>
    <s v="Clinical Nutrition"/>
    <n v="1600000"/>
    <m/>
    <m/>
    <n v="1600000"/>
    <s v="Market Survey"/>
    <d v="2026-04-01T00:00:00"/>
    <d v="2026-06-01T00:00:00"/>
    <s v="August"/>
    <s v="Biomedical equipment, for nutrition screening/ assessment and also to adapt to newer technologies leading to revenue generation"/>
    <s v="Will not be able to upgrade the services and attract patient flow and related revenue loss"/>
    <s v="Need to assess the BCA while sitting/ standing and supine positions"/>
    <s v="As per the inputs from BME"/>
    <s v="Improve clinical nutrition services for IP and OP, portable technique for quick and fast body composition analysis, to enhance departmentwise revenue generation"/>
  </r>
  <r>
    <e v="#REF!"/>
    <x v="14"/>
    <x v="2"/>
    <x v="28"/>
    <s v="Spinal decompression traction unit"/>
    <n v="1"/>
    <s v="New"/>
    <s v="Physiotherapy Unit"/>
    <n v="1200000"/>
    <m/>
    <m/>
    <n v="1200000"/>
    <s v="Vendor Quote"/>
    <m/>
    <m/>
    <s v="September"/>
    <s v="Non-surgical spinal decompression for conditions like disc herniations and nerve impingements"/>
    <s v="Fewer non-invasive treatment options for spinal issues, leading to prolonged recovery"/>
    <s v="Traction Type: Lumbar &amp; cervical                    Pulling Force:0-100  kg -     Modes:Static, intermittent, cyclic                         Features: Emergency stop, digital control"/>
    <m/>
    <s v="Effective in treating chronic spinal conditions without surgery, improving patient outcomes and reducing hospital referrals"/>
  </r>
  <r>
    <e v="#REF!"/>
    <x v="14"/>
    <x v="2"/>
    <x v="28"/>
    <s v="Shock wave therapy"/>
    <n v="1"/>
    <s v="New"/>
    <s v="Physiotherapy Unit"/>
    <n v="1000000"/>
    <m/>
    <m/>
    <n v="1000000"/>
    <s v="Vendor Quote"/>
    <m/>
    <m/>
    <s v="September"/>
    <s v=" Effective for chronic pain conditions like plantar fasciitis, tendinopathies, and calcific shoulder issues"/>
    <s v="Reduced effectiveness in treating chronic musculoskeletal conditions, leading to longer recovery times"/>
    <s v="Shockwave Type:Radial/Focused - Frequency: 1-20 Hz -           Intensity: Up to 5 bars - Features:Multiple applicator heads, low noise, portable"/>
    <m/>
    <s v="Proven non-invasive solution for chronic pain, reduces surgical referrals, and enhances patient satisfaction."/>
  </r>
  <r>
    <e v="#REF!"/>
    <x v="14"/>
    <x v="2"/>
    <x v="28"/>
    <s v="Armable Game based Physiotherapy upperlimb rehabilitation device"/>
    <n v="1"/>
    <s v="New"/>
    <s v="Physiotherapy Unit"/>
    <n v="1000000"/>
    <m/>
    <m/>
    <n v="1000000"/>
    <s v="Vendor Quote (Schnell Tech)"/>
    <m/>
    <m/>
    <s v="September"/>
    <s v="to strengthen and modernize the physiotherapy and neuro rehab services by incorporating technology driven, patient centric rehabilitaion for individuals with upperlimb weakness"/>
    <s v="Limit the department to conventional rehabilitation methods, resulting in lower patient engagement, slower recovery, reduced competitiveness and missed revenue opportunities from advanced neuro rehab services"/>
    <s v="real time performance feedback and progress monitoring with objective data recording for assessment and reporting. "/>
    <m/>
    <s v="Technology driven engaging therapy  which improves patient compliance and therapist efficiency. Requires minimal space and support revenue generation."/>
  </r>
  <r>
    <e v="#REF!"/>
    <x v="8"/>
    <x v="2"/>
    <x v="28"/>
    <s v="Tube Labeller Insturment"/>
    <n v="3"/>
    <m/>
    <m/>
    <n v="900000"/>
    <m/>
    <m/>
    <n v="900000"/>
    <m/>
    <m/>
    <m/>
    <s v="July"/>
    <m/>
    <m/>
    <m/>
    <m/>
    <s v="Already had discussed the same.  To improve the phlebotomy process and for TAT saving."/>
  </r>
  <r>
    <e v="#REF!"/>
    <x v="7"/>
    <x v="2"/>
    <x v="28"/>
    <s v="Cytospin"/>
    <n v="1"/>
    <m/>
    <m/>
    <n v="900000"/>
    <m/>
    <m/>
    <n v="900000"/>
    <m/>
    <m/>
    <m/>
    <s v="July"/>
    <m/>
    <m/>
    <m/>
    <m/>
    <s v="Instrument is too old."/>
  </r>
  <r>
    <e v="#REF!"/>
    <x v="14"/>
    <x v="2"/>
    <x v="28"/>
    <s v="Shoulder continuous passive movement machine"/>
    <n v="1"/>
    <s v="New"/>
    <s v="Physiotherapy Unit"/>
    <n v="556000"/>
    <m/>
    <m/>
    <n v="556000"/>
    <s v="Vendor Quote"/>
    <m/>
    <m/>
    <s v="September"/>
    <s v="Aids in post-surgical shoulder rehabilitation by providing controlled passive motion"/>
    <s v="Increased risk of post-surgical stiffness and delayed recovery"/>
    <s v="ROM: 0° to 180° - Speed:Variable -         Control: Handheld remote - Features:Soft padding, auto-stop sensor"/>
    <m/>
    <s v="Essential for early mobilization post-surgery, preventing joint stiffness and improving functional outcomes"/>
  </r>
  <r>
    <e v="#REF!"/>
    <x v="14"/>
    <x v="2"/>
    <x v="28"/>
    <s v="Laser Therapy (Class 4)"/>
    <n v="1"/>
    <s v="New"/>
    <s v="Physiotherapy Unit"/>
    <n v="500000"/>
    <m/>
    <m/>
    <n v="500000"/>
    <s v="Vendor Quote"/>
    <m/>
    <m/>
    <s v="September"/>
    <s v="Used for pain relief, inflammation reduction, and tissue repair in musculoskeletal conditions. "/>
    <s v="Limited options for non-invasive pain management and delayed healing for soft tissue injuries."/>
    <s v="Wavelength:980/810 nm -  Power Output:Up to 25W, adjustable -     Modes:Continuous &amp; pulsed - Features:Digital touchscreen, safety lock, eye protection"/>
    <m/>
    <s v="Investing improves patient recovery rates, reduces dependency on medications, and offers a competitive advantage in physiotherapy care"/>
  </r>
  <r>
    <e v="#REF!"/>
    <x v="14"/>
    <x v="2"/>
    <x v="28"/>
    <s v="Advanced combination therapy unit / wireless combination therapy unit - Intelect Mobile 2 "/>
    <n v="1"/>
    <s v="New"/>
    <s v="Physiotherapy Unit"/>
    <n v="390000"/>
    <m/>
    <m/>
    <n v="390000"/>
    <s v="Vendor Quote(Chattanooga)"/>
    <m/>
    <m/>
    <s v="September"/>
    <s v="Combines multiple electrotherapy modalities (IFC, TENS, Ultrasound) for pain management and tissue healing"/>
    <s v="Limited pain relief options and delayed tissue healing, impacting patient turnover"/>
    <s v="Modalities:TENS, IFT, Ultrasound, Russian Current Channels:2-4 - Frequency: 1-150 Hz (TENS), 1 MHz &amp; 3 MHz (US)                      Features: Digital display, therapy timer"/>
    <m/>
    <s v="Cost-effective multipurpose solution for pain relief and faster recovery in various conditions"/>
  </r>
  <r>
    <e v="#REF!"/>
    <x v="7"/>
    <x v="2"/>
    <x v="28"/>
    <s v="Microscope-Leica DM 750/equivalent)"/>
    <n v="1"/>
    <m/>
    <m/>
    <n v="300000"/>
    <m/>
    <m/>
    <n v="300000"/>
    <m/>
    <m/>
    <m/>
    <s v="August"/>
    <m/>
    <m/>
    <m/>
    <m/>
    <s v="For Dr.Pushpa Mahadevan"/>
  </r>
  <r>
    <e v="#REF!"/>
    <x v="14"/>
    <x v="2"/>
    <x v="28"/>
    <s v="Patient lifter and transfer chair unit (Bed to wheelchair)  "/>
    <n v="1"/>
    <s v="New"/>
    <s v="Physiotherapy Unit"/>
    <n v="200000"/>
    <m/>
    <m/>
    <n v="200000"/>
    <s v="Vendor Quote"/>
    <m/>
    <m/>
    <s v="September"/>
    <s v="Assists in safe and ergonomic patient transfers for mobility-impaired individuals"/>
    <s v="Increased risk of caregiver injury and discomfort for patients during transfers"/>
    <s v="Lifting Capacity: Up to 150 kg - Features: Lockable wheels, adjustable harness, ergonomic handles"/>
    <m/>
    <s v="Enhances patient safety, reduces caregiver strain, and ensures dignified patient handling"/>
  </r>
  <r>
    <e v="#REF!"/>
    <x v="14"/>
    <x v="2"/>
    <x v="28"/>
    <s v="Theraband wall station"/>
    <n v="1"/>
    <s v="New"/>
    <s v="Physiotherapy Unit"/>
    <n v="175000"/>
    <m/>
    <m/>
    <n v="175000"/>
    <s v="Vendor Quote"/>
    <m/>
    <m/>
    <s v="September"/>
    <s v="Resistance-based rehabilitation for strength training and functional mobility"/>
    <s v="Limited options for progressive resistance training in physiotherapy"/>
    <s v="Resistance:Multiple bands - Frame:Wall-mounted with anchors - Features:Adjustable tension, compact design"/>
    <m/>
    <s v="Cost-effective, versatile, and suitable for various rehabilitation phases, improving patient engagement"/>
  </r>
  <r>
    <e v="#REF!"/>
    <x v="14"/>
    <x v="2"/>
    <x v="28"/>
    <s v="Multi Gym Unit"/>
    <n v="1"/>
    <s v="New"/>
    <s v="Physiotherapy Unit"/>
    <n v="145000"/>
    <m/>
    <m/>
    <n v="145000"/>
    <s v="Vendor Quote"/>
    <m/>
    <m/>
    <s v="September"/>
    <s v="Facilitates full-body strengthening for rehabilitation and conditioning purposes"/>
    <s v="Limited access to multi-functional resistance exercises for strength training and injury prevention"/>
    <s v="Weight Stack:100-120 kg - Stations: Lat pulldown, chest press, leg extension and other large group muscle attachment Frame:Heavy-duty steel, coated cables - Features: Adjustable seats, lockable plates"/>
    <m/>
    <s v="Encourages complete musculoskeletal rehabilitation and conditioning, suitable for all age groups and fitness levels"/>
  </r>
  <r>
    <e v="#REF!"/>
    <x v="14"/>
    <x v="2"/>
    <x v="28"/>
    <s v="Tilt table"/>
    <n v="1"/>
    <s v="New"/>
    <s v="Physiotherapy Unit"/>
    <n v="125000"/>
    <m/>
    <m/>
    <n v="125000"/>
    <s v="Vendor Quote"/>
    <m/>
    <m/>
    <s v="September"/>
    <s v="Facilitates gradual weight-bearing and mobilization for neurologically impaired and bed-bound patients"/>
    <s v="Limited ability to assist in early-stage neuro-rehabilitation, delaying functional recovery"/>
    <s v="Tilt Range:0° to 90° (electric) - Safety: Lockable wheels, straps, handrails                                      Weight Capacity:Up to 200 kg - Features:Padded, anti-slip surface"/>
    <m/>
    <s v=" Essential for neuro-rehabilitation, improving circulation, preventing bedsores, and aiding balance retraining"/>
  </r>
  <r>
    <e v="#REF!"/>
    <x v="14"/>
    <x v="2"/>
    <x v="28"/>
    <s v="Recumbent Bike"/>
    <n v="1"/>
    <s v="New"/>
    <s v="Physiotherapy Unit"/>
    <n v="118000"/>
    <m/>
    <m/>
    <n v="118000"/>
    <s v="Vendor Quote"/>
    <m/>
    <m/>
    <s v="September"/>
    <s v="Low-impact cardiovascular exercise for patients with mobility limitations or joint issue"/>
    <s v="Reduced cardio options for patients with joint issues, limiting holistic rehabilitation programs"/>
    <s v="Resistance:20 levels (magnetic) - Seat: Adjustable, lumbar support - Display:Speed, distance, time, calories, heart rate -            Features: Step-through design, preset programs"/>
    <m/>
    <s v="Offers safe cardiovascular conditioning for seniors and those with orthopedic issues, promoting functional recovery"/>
  </r>
  <r>
    <e v="#REF!"/>
    <x v="14"/>
    <x v="2"/>
    <x v="28"/>
    <s v="Blood flow restriction therapy units"/>
    <n v="1"/>
    <s v="New"/>
    <s v="Physiotherapy Unit"/>
    <n v="60000"/>
    <m/>
    <m/>
    <n v="60000"/>
    <s v="Vendor Quote(H+ cuff)"/>
    <m/>
    <m/>
    <s v="September"/>
    <s v="Enhances muscle strength and hypertrophy using low-load exercises with restricted blood flow"/>
    <s v=" Limited options for early-stage strength rehabilitation in post-injury or post-surgery cases"/>
    <s v="Pressure Range:Adjustable Bands: Inflatable cuffs - Features:Digital pressure monitoring, safety lock"/>
    <m/>
    <s v="Effective for early-phase strengthening, especially when full-weight exercises are contraindicated, reducing muscle loss during recovery"/>
  </r>
  <r>
    <e v="#REF!"/>
    <x v="9"/>
    <x v="2"/>
    <x v="7"/>
    <s v="Guard tour system"/>
    <n v="1"/>
    <m/>
    <s v="Hospital"/>
    <n v="300000"/>
    <m/>
    <m/>
    <n v="300000"/>
    <m/>
    <s v="March"/>
    <m/>
    <s v="March"/>
    <s v="This is to electronically monitor the rounds taken by each supervisor"/>
    <m/>
    <m/>
    <m/>
    <s v="This is to electronically monitor the rounds taken by each supervisor"/>
  </r>
  <r>
    <e v="#REF!"/>
    <x v="15"/>
    <x v="7"/>
    <x v="29"/>
    <s v="Innova Hycross"/>
    <m/>
    <m/>
    <s v="Admin"/>
    <n v="3500000"/>
    <m/>
    <m/>
    <n v="3500000"/>
    <m/>
    <s v="July"/>
    <m/>
    <s v="July"/>
    <m/>
    <m/>
    <m/>
    <m/>
    <s v="New requirement"/>
  </r>
  <r>
    <n v="1"/>
    <x v="16"/>
    <x v="2"/>
    <x v="28"/>
    <s v="Electric bed"/>
    <n v="50"/>
    <m/>
    <s v="Various department"/>
    <n v="150000000"/>
    <m/>
    <m/>
    <n v="7500000"/>
    <m/>
    <s v="March"/>
    <m/>
    <s v="March"/>
    <s v="Replacement for the old  76 manual cot  for twin sharing rooms as well as executive rooms "/>
    <s v="For patient comfort and marketing tool"/>
    <m/>
    <m/>
    <s v="Replacement"/>
  </r>
  <r>
    <n v="2"/>
    <x v="16"/>
    <x v="2"/>
    <x v="28"/>
    <s v="Digital X Ray"/>
    <n v="2"/>
    <m/>
    <s v="Radiology"/>
    <n v="20000000"/>
    <m/>
    <m/>
    <n v="40000000"/>
    <m/>
    <s v="August"/>
    <m/>
    <s v="August"/>
    <s v="Replacement for old machine which was installed in 2002 and 2009 "/>
    <s v="Advanced technology and reduce the procedure time"/>
    <m/>
    <s v="After warranty CMC will come"/>
    <s v="More than 10 years of usage,achieved its life."/>
  </r>
  <r>
    <n v="3"/>
    <x v="16"/>
    <x v="2"/>
    <x v="28"/>
    <s v="Digital  Pathology"/>
    <n v="1"/>
    <m/>
    <s v="Pathology"/>
    <n v="30000000"/>
    <m/>
    <m/>
    <n v="30000000"/>
    <m/>
    <s v="November"/>
    <m/>
    <s v="November"/>
    <s v="New requirement "/>
    <s v="Generate additional income &amp;  marketing tool"/>
    <m/>
    <s v="After warranty CMC will come"/>
    <s v="New requirement"/>
  </r>
  <r>
    <n v="4"/>
    <x v="16"/>
    <x v="2"/>
    <x v="28"/>
    <s v="Heart Lung Machine "/>
    <n v="1"/>
    <m/>
    <s v="Cardiac OT"/>
    <n v="25000000"/>
    <m/>
    <m/>
    <n v="25000000"/>
    <m/>
    <s v="January"/>
    <m/>
    <s v="January"/>
    <s v="Replacement for old machine installed in 2006"/>
    <s v="Supportive for cardiac thoraic surgery"/>
    <m/>
    <s v="After warranty CMC will come"/>
    <m/>
  </r>
  <r>
    <n v="5"/>
    <x v="16"/>
    <x v="2"/>
    <x v="28"/>
    <s v="Ventilator(Pead +Adult)"/>
    <n v="10"/>
    <m/>
    <s v="MDICU"/>
    <n v="2250000"/>
    <m/>
    <m/>
    <n v="22500000"/>
    <m/>
    <s v="November"/>
    <m/>
    <s v="November"/>
    <s v="Replacement for old machine more than 15 yrs"/>
    <s v="Patient comfort "/>
    <m/>
    <s v="After warranty CMC will come"/>
    <s v="Replacement"/>
  </r>
  <r>
    <n v="6"/>
    <x v="16"/>
    <x v="2"/>
    <x v="28"/>
    <s v="Digital Slide Scaner "/>
    <n v="1"/>
    <m/>
    <s v="Histopathology"/>
    <n v="25000000"/>
    <m/>
    <m/>
    <n v="25000000"/>
    <m/>
    <s v="April"/>
    <m/>
    <s v="April"/>
    <s v="New requirement "/>
    <s v="Implement advanced technology"/>
    <m/>
    <s v="After warranty CMC will come"/>
    <s v="New requirement"/>
  </r>
  <r>
    <n v="7"/>
    <x v="16"/>
    <x v="2"/>
    <x v="28"/>
    <s v="C -Arm"/>
    <n v="1"/>
    <m/>
    <s v="Radiology"/>
    <n v="20000000"/>
    <m/>
    <m/>
    <n v="20000000"/>
    <m/>
    <s v="October"/>
    <m/>
    <s v="October"/>
    <s v="Replacement of old machine more than 10yrs old"/>
    <s v="Latest technology"/>
    <m/>
    <s v="After warranty CMC will come"/>
    <s v="Replacement"/>
  </r>
  <r>
    <n v="8"/>
    <x v="16"/>
    <x v="2"/>
    <x v="28"/>
    <s v="XI system "/>
    <n v="1"/>
    <m/>
    <s v="Gastroenterology"/>
    <n v="18000000"/>
    <m/>
    <m/>
    <n v="18000000"/>
    <m/>
    <s v="September"/>
    <m/>
    <s v="September"/>
    <s v="Replacement for old system"/>
    <s v="Generate additional income and latest technology"/>
    <m/>
    <s v="After warranty CMC will come"/>
    <s v="Replacement"/>
  </r>
  <r>
    <n v="9"/>
    <x v="16"/>
    <x v="2"/>
    <x v="28"/>
    <s v="LASER   "/>
    <n v="1"/>
    <m/>
    <s v="Dermatology OPD"/>
    <n v="15000000"/>
    <m/>
    <m/>
    <n v="15000000"/>
    <m/>
    <s v="May"/>
    <m/>
    <s v="May"/>
    <s v="New technology for laser procedures and treatments"/>
    <s v="To generate additional income"/>
    <m/>
    <s v="After warranty CMC will come"/>
    <s v=" New requirment"/>
  </r>
  <r>
    <n v="10"/>
    <x v="16"/>
    <x v="2"/>
    <x v="28"/>
    <s v="Surgical Microscope"/>
    <n v="1"/>
    <m/>
    <s v="Main OT"/>
    <n v="10000000"/>
    <m/>
    <m/>
    <n v="10000000"/>
    <m/>
    <s v="March"/>
    <m/>
    <s v="March"/>
    <s v="Replacement for old machine  installed in 2002"/>
    <s v=" Latest technology"/>
    <m/>
    <s v="After warranty CMC will come"/>
    <s v="Morethan 10 years of usage"/>
  </r>
  <r>
    <n v="11"/>
    <x v="16"/>
    <x v="2"/>
    <x v="28"/>
    <s v="Neuro monitoring system"/>
    <n v="1"/>
    <m/>
    <s v="Neuro OT"/>
    <n v="10000000"/>
    <m/>
    <m/>
    <n v="10000000"/>
    <m/>
    <s v="April"/>
    <m/>
    <s v="April"/>
    <s v="Replacement for old machine, end of life declared  No service support available"/>
    <m/>
    <m/>
    <s v="After warranty CMC will come"/>
    <s v="Replacement"/>
  </r>
  <r>
    <n v="12"/>
    <x v="16"/>
    <x v="2"/>
    <x v="28"/>
    <s v="PET scan upgradation"/>
    <n v="1"/>
    <m/>
    <s v="Nuclear medicine"/>
    <n v="10000000"/>
    <m/>
    <m/>
    <n v="10000000"/>
    <m/>
    <s v="October"/>
    <m/>
    <s v="October"/>
    <s v="Replacement of old machine end of life declared"/>
    <s v="To generate additional income and latest technology"/>
    <m/>
    <s v="After warranty CMC will come"/>
    <s v="Upgrade"/>
  </r>
  <r>
    <n v="13"/>
    <x v="16"/>
    <x v="2"/>
    <x v="28"/>
    <s v="Anesthesia machine"/>
    <n v="3"/>
    <m/>
    <s v="Main OT"/>
    <n v="3000000"/>
    <m/>
    <m/>
    <n v="9000000"/>
    <m/>
    <s v="September"/>
    <m/>
    <s v="September"/>
    <s v="Replacement of old machine more than 10yrs old"/>
    <m/>
    <m/>
    <s v="After warranty CMC will come"/>
    <s v="Morethan 10 years of usage"/>
  </r>
  <r>
    <n v="14"/>
    <x v="16"/>
    <x v="2"/>
    <x v="28"/>
    <s v="Monitor"/>
    <n v="15"/>
    <m/>
    <s v="MDICU"/>
    <n v="600000"/>
    <m/>
    <m/>
    <n v="9000000"/>
    <m/>
    <s v="November"/>
    <m/>
    <s v="November"/>
    <s v="Additional ICU bed creating"/>
    <s v="Additional income generating"/>
    <m/>
    <m/>
    <s v="New Requirement"/>
  </r>
  <r>
    <n v="15"/>
    <x v="16"/>
    <x v="2"/>
    <x v="28"/>
    <s v="Thulium Laser"/>
    <n v="1"/>
    <m/>
    <s v="Main OT"/>
    <n v="7500000"/>
    <m/>
    <m/>
    <n v="7500000"/>
    <m/>
    <s v="November"/>
    <m/>
    <s v="November"/>
    <s v="Additional requirement"/>
    <s v="Additional income generating"/>
    <m/>
    <s v="After warranty CMC will come"/>
    <s v="Additional Requirement"/>
  </r>
  <r>
    <n v="16"/>
    <x v="16"/>
    <x v="2"/>
    <x v="28"/>
    <s v="Pendent"/>
    <n v="15"/>
    <m/>
    <s v="MDICU"/>
    <n v="500000"/>
    <m/>
    <m/>
    <n v="7500000"/>
    <m/>
    <s v="March"/>
    <m/>
    <s v="March"/>
    <s v="New reqirement for new ICU"/>
    <s v="Latest technology"/>
    <m/>
    <m/>
    <s v="New requirement"/>
  </r>
  <r>
    <n v="17"/>
    <x v="16"/>
    <x v="2"/>
    <x v="28"/>
    <s v="Portable ECHO"/>
    <n v="2"/>
    <m/>
    <s v="Cardiology OP"/>
    <n v="3500000"/>
    <m/>
    <m/>
    <n v="7000000"/>
    <m/>
    <s v="April"/>
    <m/>
    <s v="April"/>
    <s v="Replacement of old system more than 10 years old"/>
    <s v="latest technology"/>
    <m/>
    <s v="After warranty CMC will come"/>
    <s v="Frequent complaint"/>
  </r>
  <r>
    <n v="18"/>
    <x v="16"/>
    <x v="2"/>
    <x v="28"/>
    <s v="Portable DR"/>
    <n v="1"/>
    <m/>
    <s v="Radiology"/>
    <n v="6000000"/>
    <m/>
    <m/>
    <n v="6000000"/>
    <m/>
    <s v="October"/>
    <m/>
    <s v="October"/>
    <s v="Replacement for old machine"/>
    <s v="To generate additional income and patient comfort"/>
    <m/>
    <s v="After warranty CMC will come"/>
    <m/>
  </r>
  <r>
    <n v="19"/>
    <x v="16"/>
    <x v="2"/>
    <x v="28"/>
    <s v="Thomsan retractor"/>
    <n v="1"/>
    <m/>
    <s v="Main OT"/>
    <n v="6000000"/>
    <m/>
    <m/>
    <n v="6000000"/>
    <m/>
    <s v="December"/>
    <m/>
    <s v="December"/>
    <s v="Replacement for old instrument"/>
    <s v="Patient saftey"/>
    <m/>
    <m/>
    <s v="Replacement"/>
  </r>
  <r>
    <n v="20"/>
    <x v="16"/>
    <x v="2"/>
    <x v="28"/>
    <s v=" Surgical Aspirator - CUSA"/>
    <n v="1"/>
    <m/>
    <s v="Neuro OT"/>
    <n v="6000000"/>
    <m/>
    <m/>
    <n v="6000000"/>
    <m/>
    <s v="September"/>
    <m/>
    <s v="September"/>
    <s v="Replacement of ols machine ore than 15 yrs old"/>
    <s v="Patient saftey"/>
    <m/>
    <s v="After warranty CMC will come"/>
    <s v="Morethan 15 years of usage"/>
  </r>
  <r>
    <n v="21"/>
    <x v="16"/>
    <x v="2"/>
    <x v="28"/>
    <s v="Total body densitometry system"/>
    <n v="1"/>
    <m/>
    <s v="Radiology"/>
    <n v="6000000"/>
    <m/>
    <m/>
    <n v="6000000"/>
    <m/>
    <s v="August"/>
    <m/>
    <s v="August"/>
    <s v="Replacement of old system"/>
    <s v="Additional income generating and latest technolgy"/>
    <m/>
    <s v="After warranty CMC will come"/>
    <s v="More than 10 years of usage,achieved its life."/>
  </r>
  <r>
    <n v="22"/>
    <x v="16"/>
    <x v="2"/>
    <x v="28"/>
    <s v="WAB for ultrasound"/>
    <n v="1"/>
    <m/>
    <s v="Radiology"/>
    <n v="6000000"/>
    <m/>
    <m/>
    <n v="6000000"/>
    <m/>
    <s v="October"/>
    <m/>
    <s v="October"/>
    <s v="New reqirement "/>
    <s v="Additional income and latest technology"/>
    <m/>
    <s v="After warranty CMC will come"/>
    <s v="New requirement"/>
  </r>
  <r>
    <n v="23"/>
    <x v="16"/>
    <x v="2"/>
    <x v="28"/>
    <s v="Dialysis machine"/>
    <n v="6"/>
    <m/>
    <s v="Nephrology"/>
    <n v="800000"/>
    <m/>
    <m/>
    <n v="480000"/>
    <m/>
    <s v="May"/>
    <m/>
    <s v="May"/>
    <s v="Replacement for old machine"/>
    <m/>
    <m/>
    <s v="After warranty CMC will come"/>
    <s v="More than 10 years of usage, needs replacement"/>
  </r>
  <r>
    <n v="24"/>
    <x v="16"/>
    <x v="2"/>
    <x v="28"/>
    <s v="Ortho Surgical instruments"/>
    <n v="1"/>
    <m/>
    <s v="Ortho OT"/>
    <n v="5000000"/>
    <m/>
    <m/>
    <n v="5000000"/>
    <m/>
    <s v="October"/>
    <m/>
    <s v="October"/>
    <s v="Replacement for old instruments"/>
    <m/>
    <m/>
    <m/>
    <s v="Replacement"/>
  </r>
  <r>
    <n v="25"/>
    <x v="16"/>
    <x v="2"/>
    <x v="28"/>
    <s v="Cardiac workstation with TMT"/>
    <n v="2"/>
    <m/>
    <s v="Cardiology OP"/>
    <n v="250000"/>
    <m/>
    <m/>
    <n v="5000000"/>
    <m/>
    <s v="September"/>
    <m/>
    <s v="September"/>
    <s v="Replacement of old system more than 10 years old"/>
    <m/>
    <m/>
    <s v="After warranty CMC will come"/>
    <s v="More than 10 years of usage,achieved its life."/>
  </r>
  <r>
    <n v="26"/>
    <x v="16"/>
    <x v="2"/>
    <x v="28"/>
    <s v="MRI compactable monitor"/>
    <n v="1"/>
    <m/>
    <s v="Radiology"/>
    <n v="5000000"/>
    <m/>
    <m/>
    <n v="5000000"/>
    <m/>
    <s v="September"/>
    <m/>
    <s v="September"/>
    <s v="Replacement for old machine more than 10 yrs"/>
    <m/>
    <m/>
    <m/>
    <s v="More than 10 years of usage,achieved its life."/>
  </r>
  <r>
    <n v="27"/>
    <x v="16"/>
    <x v="2"/>
    <x v="28"/>
    <s v="Anesthesia work station MRI"/>
    <n v="1"/>
    <m/>
    <s v="Radiology"/>
    <n v="4500000"/>
    <m/>
    <m/>
    <n v="4500000"/>
    <m/>
    <s v="September"/>
    <m/>
    <s v="September"/>
    <s v="Replacement of old machine more than 12 years"/>
    <m/>
    <m/>
    <s v="After warranty CMC will come"/>
    <s v="More than 10 years of usage,achieved its life."/>
  </r>
  <r>
    <n v="28"/>
    <x v="12"/>
    <x v="2"/>
    <x v="28"/>
    <s v="Automated Urine Analyzer"/>
    <n v="1"/>
    <m/>
    <s v="Haematology"/>
    <n v="4000000"/>
    <m/>
    <m/>
    <n v="4000000"/>
    <m/>
    <m/>
    <m/>
    <s v="July"/>
    <s v="An Automated Urine Analyzer is a diagnostic instrument used for rapid and standardized examination of urine samples. In the Hematology setting (or integrated central lab), it supports screening, monitoring, and diagnostic evaluation of various systemic and hematological conditions."/>
    <s v="Failure to invest in an Automated Urine Analyzer can significantly affect diagnostic efficiency, patient safety, and laboratory productivity in the Hematology Department. Reliance on manual urine strip reading and microscopy_x000a_Higher observer variability_x000a_Increased technician workload_x000a_Reduced productivity during peak hours"/>
    <m/>
    <s v="a) Urine Reagent Strips (Major Cost Component)_x000a_Multi-parameter strips (10–14 parameters depending on model)_x000a_Cost directly proportional to daily sample volume .     Quality Control (QC) Materials Annual Maintenance Contract (AMC)"/>
    <s v="Automate the current process to improve the tat in clinical pathology, but presently there is limited space available in hematology department."/>
  </r>
  <r>
    <n v="29"/>
    <x v="16"/>
    <x v="2"/>
    <x v="28"/>
    <s v="IABP machine"/>
    <n v="1"/>
    <m/>
    <s v="Cardiac OT"/>
    <n v="4000000"/>
    <m/>
    <m/>
    <n v="4000000"/>
    <m/>
    <s v="July"/>
    <m/>
    <s v="July"/>
    <s v="Replacement for old machine installed in 2006"/>
    <m/>
    <m/>
    <s v="After warranty CMC will come"/>
    <s v="Morethan 10 years of usage"/>
  </r>
  <r>
    <n v="30"/>
    <x v="16"/>
    <x v="2"/>
    <x v="28"/>
    <s v="Ultrasonic cleaner"/>
    <n v="1"/>
    <m/>
    <s v="CSSD"/>
    <n v="4000000"/>
    <m/>
    <m/>
    <n v="4000000"/>
    <m/>
    <s v="February"/>
    <m/>
    <s v="February"/>
    <s v="Replacement for old machine more than 10 years old"/>
    <m/>
    <m/>
    <s v="After warranty CMC will come"/>
    <s v="Replacement for old one"/>
  </r>
  <r>
    <n v="31"/>
    <x v="16"/>
    <x v="2"/>
    <x v="28"/>
    <s v="Reporting Workstation"/>
    <n v="4"/>
    <m/>
    <s v="Radiology"/>
    <n v="1000000"/>
    <m/>
    <m/>
    <n v="4000000"/>
    <m/>
    <s v="October"/>
    <m/>
    <s v="October"/>
    <s v="Replacement for old system"/>
    <m/>
    <m/>
    <m/>
    <s v="More than 10 years of usage,achieved its life."/>
  </r>
  <r>
    <n v="32"/>
    <x v="16"/>
    <x v="2"/>
    <x v="28"/>
    <s v="Incubator with portable ventilator"/>
    <n v="1"/>
    <m/>
    <s v="NICU"/>
    <n v="3500000"/>
    <m/>
    <m/>
    <n v="3500000"/>
    <m/>
    <s v="January"/>
    <m/>
    <s v="January"/>
    <s v="New requirment for neonatal icu"/>
    <s v="Additional income generative"/>
    <m/>
    <s v="After warranty CMC will come"/>
    <s v="New requirement"/>
  </r>
  <r>
    <n v="33"/>
    <x v="16"/>
    <x v="2"/>
    <x v="28"/>
    <s v="Electric drill"/>
    <n v="1"/>
    <m/>
    <s v="Neuro OT"/>
    <n v="3200000"/>
    <m/>
    <m/>
    <n v="3200000"/>
    <m/>
    <s v="February"/>
    <m/>
    <s v="February"/>
    <s v="Replacement for old machine "/>
    <m/>
    <m/>
    <m/>
    <s v="Replacement"/>
  </r>
  <r>
    <n v="34"/>
    <x v="16"/>
    <x v="2"/>
    <x v="28"/>
    <s v=" Manometry "/>
    <n v="1"/>
    <m/>
    <s v="Gastroenterology"/>
    <n v="3200000"/>
    <m/>
    <m/>
    <n v="3200000"/>
    <m/>
    <s v="October"/>
    <m/>
    <s v="October"/>
    <s v="Replacement for old machine"/>
    <s v="Additional income generative"/>
    <m/>
    <m/>
    <s v="More than 10 years of usage"/>
  </r>
  <r>
    <n v="35"/>
    <x v="16"/>
    <x v="2"/>
    <x v="28"/>
    <s v="OT Table "/>
    <n v="1"/>
    <m/>
    <s v="Main OT"/>
    <n v="1500000"/>
    <m/>
    <m/>
    <n v="1500000"/>
    <m/>
    <s v="May"/>
    <m/>
    <s v="May"/>
    <s v="Replacement for old machine more than 10 years old"/>
    <s v="Patient saftey"/>
    <m/>
    <m/>
    <s v="Morethan 10 years of usage"/>
  </r>
  <r>
    <n v="36"/>
    <x v="16"/>
    <x v="2"/>
    <x v="28"/>
    <s v="CO monitor"/>
    <n v="1"/>
    <m/>
    <s v="Main OT"/>
    <n v="3000000"/>
    <m/>
    <m/>
    <n v="3000000"/>
    <m/>
    <s v="September"/>
    <m/>
    <s v="September"/>
    <s v="Replacement for old machine more than 10 years old"/>
    <s v="Latest technology"/>
    <m/>
    <s v="After warranty CMC will come"/>
    <s v="Morethan 10 years of usage"/>
  </r>
  <r>
    <n v="37"/>
    <x v="16"/>
    <x v="2"/>
    <x v="28"/>
    <s v="Surgical instruments"/>
    <n v="1"/>
    <m/>
    <s v="Main OT"/>
    <n v="3000000"/>
    <m/>
    <m/>
    <n v="3000000"/>
    <m/>
    <s v="December"/>
    <m/>
    <s v="December"/>
    <s v="Replacement for old instruments"/>
    <s v="Supportive"/>
    <m/>
    <m/>
    <s v="New requirement"/>
  </r>
  <r>
    <n v="38"/>
    <x v="16"/>
    <x v="2"/>
    <x v="28"/>
    <s v="Multipara monitor"/>
    <n v="6"/>
    <m/>
    <s v="Neuro HDU"/>
    <n v="500000"/>
    <m/>
    <m/>
    <n v="3000000"/>
    <m/>
    <s v="November"/>
    <m/>
    <s v="November"/>
    <s v="Replacement of old machine more than 15years old"/>
    <s v="Supportive"/>
    <m/>
    <m/>
    <s v="More than 10 years of usage,achived its life"/>
  </r>
  <r>
    <n v="39"/>
    <x v="16"/>
    <x v="2"/>
    <x v="28"/>
    <s v="Nasal endoscope"/>
    <n v="1"/>
    <m/>
    <s v="ENT "/>
    <n v="3000000"/>
    <m/>
    <m/>
    <n v="3000000"/>
    <m/>
    <s v="June"/>
    <m/>
    <s v="June"/>
    <s v="Replacement of old machine more than 15 yrs old machine"/>
    <s v="Additional income generative"/>
    <m/>
    <s v="After warranty CMC will come"/>
    <s v="More than 10 years of usage, needs replacement"/>
  </r>
  <r>
    <n v="40"/>
    <x v="16"/>
    <x v="2"/>
    <x v="28"/>
    <s v="ERCP scope"/>
    <n v="1"/>
    <m/>
    <s v="Gastroenterology"/>
    <n v="3000000"/>
    <m/>
    <m/>
    <n v="3000000"/>
    <m/>
    <s v="July"/>
    <m/>
    <s v="July"/>
    <s v="Replacement for old system"/>
    <m/>
    <m/>
    <s v="After warranty CMC will come"/>
    <s v="More than 10 years of usage,achieved its life."/>
  </r>
  <r>
    <n v="41"/>
    <x v="16"/>
    <x v="2"/>
    <x v="28"/>
    <s v="Bme tools and other Assets calibrattion"/>
    <m/>
    <m/>
    <s v="Biomedical"/>
    <n v="3000000"/>
    <m/>
    <m/>
    <n v="3000000"/>
    <m/>
    <s v="December"/>
    <m/>
    <s v="December"/>
    <s v="New requirement,as per NABH standard we need calibrated tools"/>
    <s v="Patient saftey"/>
    <m/>
    <m/>
    <s v="New requirement"/>
  </r>
  <r>
    <n v="42"/>
    <x v="16"/>
    <x v="2"/>
    <x v="28"/>
    <s v="Microwave ablation system"/>
    <n v="1"/>
    <m/>
    <s v="Interventional Radiology"/>
    <n v="2800000"/>
    <m/>
    <m/>
    <n v="2800000"/>
    <m/>
    <s v="October"/>
    <m/>
    <s v="October"/>
    <s v="New requirement"/>
    <s v="additional income generative"/>
    <m/>
    <s v="After warranty CMC will come"/>
    <s v="New requirement"/>
  </r>
  <r>
    <n v="43"/>
    <x v="16"/>
    <x v="2"/>
    <x v="28"/>
    <s v="Video Duodenoscope (Adult) "/>
    <n v="1"/>
    <m/>
    <s v="Gastroenterology"/>
    <n v="2800000"/>
    <m/>
    <m/>
    <n v="2800000"/>
    <m/>
    <s v="June"/>
    <m/>
    <s v="June"/>
    <s v="Replacement for old machine"/>
    <m/>
    <m/>
    <m/>
    <s v="More than 10 years of usage,achieved its life."/>
  </r>
  <r>
    <n v="44"/>
    <x v="16"/>
    <x v="2"/>
    <x v="28"/>
    <s v="CRRT"/>
    <n v="1"/>
    <m/>
    <s v="Nephrology"/>
    <n v="2500000"/>
    <m/>
    <m/>
    <n v="2500000"/>
    <m/>
    <s v="July"/>
    <m/>
    <s v="July"/>
    <s v="Replacement of old system"/>
    <m/>
    <m/>
    <s v="After warranty CMC will come"/>
    <s v="More than 10 years of usage, needs replacement"/>
  </r>
  <r>
    <n v="45"/>
    <x v="16"/>
    <x v="2"/>
    <x v="28"/>
    <s v="Pneumatic drill"/>
    <n v="1"/>
    <m/>
    <s v="Neuro OT"/>
    <n v="2500000"/>
    <m/>
    <m/>
    <n v="2500000"/>
    <m/>
    <s v="October"/>
    <m/>
    <s v="October"/>
    <s v="Replacement"/>
    <s v="Supportive"/>
    <m/>
    <s v="After warranty CMC will come"/>
    <s v="Replacement more than 10years old"/>
  </r>
  <r>
    <n v="46"/>
    <x v="16"/>
    <x v="2"/>
    <x v="28"/>
    <s v="Ultrasound machine"/>
    <n v="1"/>
    <m/>
    <s v="Nephrology"/>
    <n v="2500000"/>
    <m/>
    <m/>
    <n v="2500000"/>
    <m/>
    <s v="July"/>
    <m/>
    <s v="July"/>
    <s v="New requirement"/>
    <s v="Additional income generative"/>
    <m/>
    <s v="After warranty CMC will come"/>
    <s v="new requirement"/>
  </r>
  <r>
    <n v="47"/>
    <x v="16"/>
    <x v="2"/>
    <x v="28"/>
    <s v="Ultrasound  Machine"/>
    <n v="1"/>
    <m/>
    <s v="LR"/>
    <n v="2500000"/>
    <m/>
    <m/>
    <n v="2500000"/>
    <m/>
    <s v="June"/>
    <m/>
    <s v="June"/>
    <s v="Replacement for old machine more than 10years old"/>
    <m/>
    <m/>
    <s v="After warranty CMC will come"/>
    <s v="More than 10 years of usage,achived its life"/>
  </r>
  <r>
    <n v="48"/>
    <x v="16"/>
    <x v="2"/>
    <x v="28"/>
    <s v="Microscope"/>
    <n v="1"/>
    <m/>
    <s v="ENT OPD"/>
    <n v="2500000"/>
    <m/>
    <m/>
    <n v="2500000"/>
    <m/>
    <s v="April"/>
    <m/>
    <s v="April"/>
    <s v="New requirement"/>
    <s v="Additional income generative"/>
    <m/>
    <m/>
    <s v=" New requirment"/>
  </r>
  <r>
    <n v="49"/>
    <x v="16"/>
    <x v="2"/>
    <x v="28"/>
    <s v="Dye Injector MRI compitable"/>
    <n v="1"/>
    <m/>
    <s v="Radiology"/>
    <n v="2500000"/>
    <m/>
    <m/>
    <n v="2500000"/>
    <m/>
    <s v="September"/>
    <m/>
    <s v="September"/>
    <s v="New Requirement for new MRI system"/>
    <s v="Additional income generative"/>
    <m/>
    <s v="After warranty CMC will come"/>
    <s v="New requirement"/>
  </r>
  <r>
    <n v="50"/>
    <x v="16"/>
    <x v="2"/>
    <x v="28"/>
    <s v="Portable Ultrasound Machine"/>
    <n v="1"/>
    <m/>
    <s v="Interventional Radiology"/>
    <n v="2500000"/>
    <n v="2500000"/>
    <n v="2500000"/>
    <n v="2500000"/>
    <m/>
    <s v="October"/>
    <m/>
    <s v="October"/>
    <s v="New requirement"/>
    <s v="Additional income generative"/>
    <m/>
    <s v="After warranty CMC will come"/>
    <s v="New requirement"/>
  </r>
  <r>
    <n v="51"/>
    <x v="16"/>
    <x v="2"/>
    <x v="28"/>
    <s v="Versajet Machine"/>
    <n v="1"/>
    <m/>
    <s v="Foot and Ankle"/>
    <n v="2500000"/>
    <m/>
    <m/>
    <n v="2500000"/>
    <m/>
    <s v="September"/>
    <m/>
    <s v="September"/>
    <s v="New requirement"/>
    <s v="Additional income generatrive"/>
    <m/>
    <m/>
    <s v="New requirement"/>
  </r>
  <r>
    <n v="52"/>
    <x v="16"/>
    <x v="2"/>
    <x v="28"/>
    <s v="EEG,EMG"/>
    <n v="1"/>
    <m/>
    <s v="Neuroscience"/>
    <n v="2500000"/>
    <m/>
    <m/>
    <n v="2500000"/>
    <m/>
    <s v="September"/>
    <m/>
    <s v="September"/>
    <s v="Replacement "/>
    <m/>
    <m/>
    <m/>
    <s v="Repalcement"/>
  </r>
  <r>
    <n v="53"/>
    <x v="16"/>
    <x v="2"/>
    <x v="28"/>
    <s v="OT Table Ortho"/>
    <n v="1"/>
    <m/>
    <s v="Ortho OT"/>
    <n v="2000000"/>
    <m/>
    <m/>
    <n v="2000000"/>
    <m/>
    <s v="December"/>
    <m/>
    <s v="December"/>
    <s v="Additional table for trauma surgery"/>
    <s v="Pateint saftey"/>
    <m/>
    <m/>
    <s v="New requirement"/>
  </r>
  <r>
    <n v="54"/>
    <x v="16"/>
    <x v="2"/>
    <x v="28"/>
    <s v="Dye Injector"/>
    <n v="1"/>
    <m/>
    <s v="Cath-Lab"/>
    <n v="2000000"/>
    <m/>
    <m/>
    <n v="2000000"/>
    <m/>
    <s v="September"/>
    <m/>
    <s v="September"/>
    <s v="Replacement for old machine more than 10 years old"/>
    <m/>
    <m/>
    <s v="After warranty CMC will come"/>
    <s v="More than 10 years of usage,achieved its life."/>
  </r>
  <r>
    <n v="55"/>
    <x v="16"/>
    <x v="2"/>
    <x v="28"/>
    <s v="Coblator"/>
    <n v="1"/>
    <m/>
    <s v="Main OT"/>
    <n v="2000000"/>
    <m/>
    <m/>
    <n v="2000000"/>
    <m/>
    <s v="June"/>
    <m/>
    <s v="June"/>
    <s v="Replacement for old machine more than 10 years old"/>
    <m/>
    <m/>
    <m/>
    <s v="Morethan 10 years of usage"/>
  </r>
  <r>
    <n v="56"/>
    <x v="16"/>
    <x v="2"/>
    <x v="28"/>
    <s v="Surgical diathermy - Ligasure"/>
    <n v="1"/>
    <m/>
    <s v="Main OT"/>
    <n v="2000000"/>
    <m/>
    <m/>
    <n v="2000000"/>
    <m/>
    <s v="October"/>
    <m/>
    <s v="October"/>
    <s v="New Requirement"/>
    <m/>
    <m/>
    <s v="After warranty CMC will come"/>
    <s v="New requirement"/>
  </r>
  <r>
    <n v="57"/>
    <x v="16"/>
    <x v="2"/>
    <x v="28"/>
    <s v="Multipara monitor"/>
    <n v="4"/>
    <m/>
    <s v="Ortho OT,Recovery"/>
    <n v="2000000"/>
    <m/>
    <m/>
    <n v="2000000"/>
    <m/>
    <s v="November"/>
    <m/>
    <s v="November"/>
    <s v="Replacement for old machine"/>
    <m/>
    <m/>
    <m/>
    <s v="Morethan 10 years of usage"/>
  </r>
  <r>
    <n v="58"/>
    <x v="16"/>
    <x v="2"/>
    <x v="28"/>
    <s v="Refrigerated Centrifuge"/>
    <n v="2"/>
    <m/>
    <s v="Blood  Bank"/>
    <n v="1000000"/>
    <m/>
    <m/>
    <n v="2000000"/>
    <m/>
    <s v="February"/>
    <m/>
    <s v="February"/>
    <s v="A Refrigerated Centrifuge is a critical component in blood bank operations, used for component separation and preservation of blood products under controlled temperature conditions. Separation of:_x000a_Packed Red Blood Cells (PRBC)_x000a_Fresh Frozen Plasma (FFP)_x000a_Platelet Concentrate_x000a_Cryoprecipitate"/>
    <s v="Inability to prepare blood components_x000a_Dependence on external blood banks_x000a_Increased cost per unit procurement_x000a_Delay in emergency transfusions_x000a_Reduced regulatory compliance"/>
    <m/>
    <s v="Maintenance_x000a__x000a_AMC/CMC: 8–12% of equipment cost annually_x000a__x000a_Rotor maintenance and balancing_x000a__x000a_Compressor and cooling system servicing"/>
    <s v="More than 10 years of usage, needs replacement"/>
  </r>
  <r>
    <n v="59"/>
    <x v="16"/>
    <x v="2"/>
    <x v="28"/>
    <s v="Multipara monitor"/>
    <n v="4"/>
    <m/>
    <s v="ONCICU"/>
    <n v="500000"/>
    <m/>
    <m/>
    <n v="2000000"/>
    <m/>
    <s v="July"/>
    <m/>
    <s v="July"/>
    <s v="Replacement for old monitors"/>
    <m/>
    <m/>
    <m/>
    <s v="Replacement"/>
  </r>
  <r>
    <n v="60"/>
    <x v="16"/>
    <x v="2"/>
    <x v="28"/>
    <s v="Multipara monitor"/>
    <n v="4"/>
    <m/>
    <s v="Gastroenterology"/>
    <n v="500000"/>
    <m/>
    <m/>
    <n v="2000000"/>
    <m/>
    <s v="July"/>
    <m/>
    <s v="July"/>
    <s v="Replacement for old machine"/>
    <m/>
    <m/>
    <m/>
    <s v="More than 10 years of usage,achieved its life."/>
  </r>
  <r>
    <n v="61"/>
    <x v="16"/>
    <x v="2"/>
    <x v="28"/>
    <s v="Dose calibrator"/>
    <n v="2"/>
    <m/>
    <s v="Nuclear medicine"/>
    <n v="100000"/>
    <m/>
    <m/>
    <n v="200000"/>
    <m/>
    <s v="November"/>
    <m/>
    <s v="November"/>
    <s v="Replacement for old machine more than 10years"/>
    <s v="Patient saftey"/>
    <m/>
    <s v="After warranty CMC will come"/>
    <s v="More than 10 years of usage,achieved its life."/>
  </r>
  <r>
    <n v="62"/>
    <x v="16"/>
    <x v="2"/>
    <x v="28"/>
    <s v="Syringe pump"/>
    <n v="50"/>
    <m/>
    <s v="MDICU , Varius Departments "/>
    <n v="40000"/>
    <m/>
    <m/>
    <n v="2000000"/>
    <m/>
    <s v="November"/>
    <m/>
    <s v="November"/>
    <s v="New requirement for new ICU"/>
    <m/>
    <m/>
    <m/>
    <s v="New requirement"/>
  </r>
  <r>
    <n v="63"/>
    <x v="8"/>
    <x v="2"/>
    <x v="28"/>
    <s v="Electrophoresis Instrument"/>
    <n v="1"/>
    <m/>
    <s v="Biochemistry"/>
    <n v="1800000"/>
    <m/>
    <m/>
    <n v="1800000"/>
    <m/>
    <m/>
    <m/>
    <s v="July"/>
    <s v="Used for separation and analysis of proteins, hemoglobin, lipoproteins, and other biomolecules .               Supports NABL/NABH compliance requirements._x000a_Enhances laboratory standards and audit readiness."/>
    <s v="Inability to perform essential tests such as Serum Protein Electrophoresis (SPEP) and Hemoglobin electrophoresis. Continuous expenditure on outsourced investigations.Loss of potential revenue from in-house specialized testing"/>
    <m/>
    <s v="Typically 8–12% of equipment cost per year after warranty period. AMC/CMC                  a) Consumables          b) Quality Control Materials"/>
    <s v="Electrophoresis numbers are increasing day by day and presently we are outsourcing the samples."/>
  </r>
  <r>
    <n v="64"/>
    <x v="13"/>
    <x v="2"/>
    <x v="28"/>
    <s v="Body composition analyser (InBody)"/>
    <n v="1"/>
    <s v="New requirment"/>
    <s v="Clinical Nutrition"/>
    <n v="1600000"/>
    <m/>
    <m/>
    <n v="1600000"/>
    <s v="Market Survey"/>
    <d v="2026-04-01T00:00:00"/>
    <d v="2026-06-01T00:00:00"/>
    <s v="August"/>
    <s v="Biomedical equipment, for nutrition screening/ assessment and also to adapt to newer technologies leading to revenue generation"/>
    <s v="Will not be able to upgrade the services and attract patient flow and related revenue loss"/>
    <s v="Need to assess the BCA while sitting/ standing and supine positions"/>
    <s v="As per the inputs from BME"/>
    <s v="Improve clinical nutrition services for IP and OP, portable technique for quick and fast body composition analysis, to enhance departmentwise revenue generation"/>
  </r>
  <r>
    <n v="65"/>
    <x v="16"/>
    <x v="2"/>
    <x v="28"/>
    <s v="Uretero reno fiber Scope"/>
    <n v="4"/>
    <m/>
    <s v="Main OT"/>
    <n v="400000"/>
    <m/>
    <m/>
    <n v="1600000"/>
    <m/>
    <s v="August"/>
    <m/>
    <s v="August"/>
    <s v="New requirement"/>
    <m/>
    <m/>
    <s v="After warranty CMC will come"/>
    <s v="New requirement"/>
  </r>
  <r>
    <n v="66"/>
    <x v="16"/>
    <x v="2"/>
    <x v="28"/>
    <s v="Deep Freezer -40 "/>
    <n v="2"/>
    <m/>
    <s v="Blood  Bank"/>
    <n v="800000"/>
    <m/>
    <m/>
    <n v="1600000"/>
    <m/>
    <s v="December"/>
    <m/>
    <s v="December"/>
    <s v="A Deep Freezer (-40°C) is a critical storage equipment in the Blood Bank for preserving plasma components and temperature-sensitive reagents under controlled conditions."/>
    <s v="Inability to Store Fresh Frozen Plasma (FFP)_x000a_Plasma requires storage at ≤ -30°C_x000a_Without proper freezing, clotting factors degrade_x000a_Reduced therapeutic efficacy of plasma transfusion"/>
    <m/>
    <s v="After warranty CMC will come"/>
    <s v="More than 10 years of usage, needs replacement"/>
  </r>
  <r>
    <n v="67"/>
    <x v="16"/>
    <x v="2"/>
    <x v="28"/>
    <s v="Dental chair"/>
    <n v="4"/>
    <m/>
    <s v="Dental OP"/>
    <n v="400000"/>
    <m/>
    <m/>
    <n v="1600000"/>
    <m/>
    <s v="November"/>
    <m/>
    <s v="November"/>
    <s v="Replacement for old machine"/>
    <m/>
    <m/>
    <s v="After warranty CMC will come"/>
    <s v="Frequent complaint"/>
  </r>
  <r>
    <n v="68"/>
    <x v="16"/>
    <x v="2"/>
    <x v="28"/>
    <s v="Neuro Navigation Surgical Instruments "/>
    <n v="1"/>
    <m/>
    <s v="Neuro OT"/>
    <n v="1500000"/>
    <m/>
    <m/>
    <n v="1500000"/>
    <m/>
    <s v="September"/>
    <m/>
    <s v="September"/>
    <s v="New requirement "/>
    <m/>
    <m/>
    <m/>
    <s v="New Requirement"/>
  </r>
  <r>
    <n v="69"/>
    <x v="16"/>
    <x v="2"/>
    <x v="28"/>
    <s v="Multipara monitor"/>
    <n v="3"/>
    <m/>
    <s v="Emergency"/>
    <n v="1500000"/>
    <m/>
    <m/>
    <n v="1500000"/>
    <m/>
    <s v="April"/>
    <m/>
    <s v="April"/>
    <s v="Replacement for old machine more than 10 years old"/>
    <m/>
    <m/>
    <m/>
    <s v="More than 10 years of usage,achived its life"/>
  </r>
  <r>
    <n v="70"/>
    <x v="16"/>
    <x v="2"/>
    <x v="28"/>
    <s v="Patient trolley"/>
    <n v="10"/>
    <m/>
    <s v="Various department"/>
    <n v="125000"/>
    <m/>
    <m/>
    <n v="1250000"/>
    <m/>
    <s v="April"/>
    <m/>
    <s v="April"/>
    <m/>
    <m/>
    <m/>
    <m/>
    <s v="New requirement"/>
  </r>
  <r>
    <n v="71"/>
    <x v="14"/>
    <x v="2"/>
    <x v="28"/>
    <s v="Spinal decompression traction unit"/>
    <n v="1"/>
    <s v="New"/>
    <s v="Physiotherapy Unit"/>
    <n v="1200000"/>
    <m/>
    <m/>
    <n v="1200000"/>
    <s v="Vendor Quote"/>
    <m/>
    <m/>
    <s v="September"/>
    <s v="Non-surgical spinal decompression for conditions like disc herniations and nerve impingements"/>
    <s v="Fewer non-invasive treatment options for spinal issues, leading to prolonged recovery"/>
    <s v="Traction Type: Lumbar &amp; cervical                    Pulling Force:0-100  kg -     Modes:Static, intermittent, cyclic                         Features: Emergency stop, digital control"/>
    <m/>
    <s v="Effective in treating chronic spinal conditions without surgery, improving patient outcomes and reducing hospital referrals"/>
  </r>
  <r>
    <n v="72"/>
    <x v="16"/>
    <x v="2"/>
    <x v="28"/>
    <s v="ENT Surgical instruments"/>
    <n v="1"/>
    <m/>
    <s v="ENT"/>
    <n v="1200000"/>
    <m/>
    <m/>
    <n v="1200000"/>
    <m/>
    <s v="September"/>
    <m/>
    <s v="September"/>
    <s v="New requirement"/>
    <m/>
    <m/>
    <m/>
    <s v="New requirement"/>
  </r>
  <r>
    <n v="73"/>
    <x v="16"/>
    <x v="2"/>
    <x v="28"/>
    <s v="Portable ventilator"/>
    <n v="1"/>
    <m/>
    <s v="LTICU"/>
    <n v="1200000"/>
    <m/>
    <m/>
    <n v="1200000"/>
    <m/>
    <s v="October"/>
    <m/>
    <s v="October"/>
    <s v="New Requirement"/>
    <s v="additional income"/>
    <m/>
    <s v="After warranty CMC will come"/>
    <s v="New requirement"/>
  </r>
  <r>
    <n v="74"/>
    <x v="16"/>
    <x v="2"/>
    <x v="28"/>
    <s v="Portable ventilator"/>
    <n v="1"/>
    <m/>
    <s v="Ambulance"/>
    <n v="1200000"/>
    <m/>
    <m/>
    <n v="1200000"/>
    <m/>
    <s v="November"/>
    <m/>
    <s v="November"/>
    <s v="New requirement for new icu ambulance"/>
    <s v="additionla income generative"/>
    <m/>
    <s v="After warranty CMC will come"/>
    <s v="New requirement"/>
  </r>
  <r>
    <n v="75"/>
    <x v="16"/>
    <x v="2"/>
    <x v="28"/>
    <s v="Portable ventilator"/>
    <n v="1"/>
    <m/>
    <s v="Emergency"/>
    <n v="1200000"/>
    <m/>
    <m/>
    <n v="1200000"/>
    <m/>
    <s v="July"/>
    <m/>
    <s v="July"/>
    <s v="Repacement for old machine more than 10 years"/>
    <m/>
    <m/>
    <s v="After warranty CMC will come"/>
    <s v="More than 10 years of usage,achived its life"/>
  </r>
  <r>
    <n v="76"/>
    <x v="16"/>
    <x v="2"/>
    <x v="28"/>
    <s v="Referal monitor"/>
    <n v="4"/>
    <m/>
    <s v="Gastroenterology"/>
    <n v="300000"/>
    <m/>
    <m/>
    <n v="1200000"/>
    <m/>
    <s v="November"/>
    <m/>
    <s v="November"/>
    <m/>
    <m/>
    <m/>
    <m/>
    <s v="More than 10 years of usage"/>
  </r>
  <r>
    <n v="77"/>
    <x v="16"/>
    <x v="2"/>
    <x v="28"/>
    <s v="ECG machine"/>
    <n v="6"/>
    <m/>
    <s v="Various floors"/>
    <n v="200000"/>
    <m/>
    <m/>
    <n v="1200000"/>
    <m/>
    <s v="April"/>
    <m/>
    <s v="April"/>
    <s v="Replacement"/>
    <m/>
    <m/>
    <m/>
    <s v="Replacement"/>
  </r>
  <r>
    <n v="78"/>
    <x v="16"/>
    <x v="2"/>
    <x v="28"/>
    <s v="Calibration and QA of various equipments"/>
    <m/>
    <m/>
    <s v="Biomedical"/>
    <n v="800000"/>
    <m/>
    <m/>
    <n v="800000"/>
    <m/>
    <s v="October"/>
    <m/>
    <s v="October"/>
    <s v="Recalibration of radiology equipments"/>
    <m/>
    <m/>
    <m/>
    <s v="New requirement"/>
  </r>
  <r>
    <n v="79"/>
    <x v="14"/>
    <x v="2"/>
    <x v="28"/>
    <s v="Shock wave therapy"/>
    <n v="1"/>
    <s v="New"/>
    <s v="Physiotherapy Unit"/>
    <n v="1000000"/>
    <s v="Nil"/>
    <s v="Nil"/>
    <n v="1000000"/>
    <s v="Vendor Quote"/>
    <m/>
    <m/>
    <s v="September"/>
    <s v=" Effective for chronic pain conditions like plantar fasciitis, tendinopathies, and calcific shoulder issues"/>
    <s v="Reduced effectiveness in treating chronic musculoskeletal conditions, leading to longer recovery times"/>
    <s v="Shockwave Type:Radial/Focused - Frequency: 1-20 Hz -           Intensity: Up to 5 bars - Features:Multiple applicator heads, low noise, portable"/>
    <m/>
    <s v="Proven non-invasive solution for chronic pain, reduces surgical referrals, and enhances patient satisfaction."/>
  </r>
  <r>
    <n v="80"/>
    <x v="14"/>
    <x v="2"/>
    <x v="28"/>
    <s v="Armable Game based Physiotherapy upperlimb rehabilitation device"/>
    <n v="1"/>
    <s v="New"/>
    <s v="Physiotherapy Unit"/>
    <n v="1000000"/>
    <m/>
    <m/>
    <n v="1000000"/>
    <s v="Vendor Quote (Schnell Tech)"/>
    <m/>
    <m/>
    <s v="September"/>
    <s v="to strengthen and modernize the physiotherapy and neuro rehab services by incorporating technology driven, patient centric rehabilitaion for individuals with upperlimb weakness"/>
    <s v="Limit the department to conventional rehabilitation methods, resulting in lower patient engagement, slower recovery, reduced competitiveness and missed revenue opportunities from advanced neuro rehab services"/>
    <s v="real time performance feedback and progress monitoring with objective data recording for assessment and reporting. "/>
    <m/>
    <s v="Technology driven engaging therapy  which improves patient compliance and therapist efficiency. Requires minimal space and support revenue generation."/>
  </r>
  <r>
    <n v="81"/>
    <x v="16"/>
    <x v="2"/>
    <x v="28"/>
    <s v="Cold Room"/>
    <n v="1"/>
    <m/>
    <s v="Biochemistry"/>
    <n v="1200000"/>
    <m/>
    <m/>
    <n v="1200000"/>
    <m/>
    <s v="November"/>
    <m/>
    <s v="November"/>
    <s v="A Cold Room (2–8°C Walk-in Refrigeration System) is a centralized temperature-controlled storage facility used in laboratories for safe preservation of reagents, kits, calibrators, controls, and patient samples."/>
    <s v="failure to store items in specific temperature "/>
    <m/>
    <s v="After warranty CMC will come"/>
    <s v="More than 10 years of usage, needs replacement"/>
  </r>
  <r>
    <n v="82"/>
    <x v="16"/>
    <x v="2"/>
    <x v="28"/>
    <s v="Multipara monitor"/>
    <n v="2"/>
    <m/>
    <s v="Ambulance"/>
    <n v="500000"/>
    <m/>
    <m/>
    <n v="1000000"/>
    <m/>
    <s v="September"/>
    <m/>
    <s v="September"/>
    <s v="Replacement for old machine "/>
    <m/>
    <m/>
    <m/>
    <s v="More than 10 years of usage,achived its life"/>
  </r>
  <r>
    <n v="83"/>
    <x v="16"/>
    <x v="2"/>
    <x v="28"/>
    <s v="Impulse oscillometry"/>
    <n v="1"/>
    <m/>
    <s v="Pulmanology"/>
    <n v="1200000"/>
    <m/>
    <m/>
    <n v="1200000"/>
    <m/>
    <s v="July"/>
    <m/>
    <s v="July"/>
    <s v="New requirement"/>
    <m/>
    <m/>
    <m/>
    <s v="New requirement"/>
  </r>
  <r>
    <n v="84"/>
    <x v="16"/>
    <x v="2"/>
    <x v="28"/>
    <s v="BIPAP"/>
    <n v="5"/>
    <m/>
    <s v="Pulmanology"/>
    <n v="200000"/>
    <m/>
    <m/>
    <n v="1000000"/>
    <m/>
    <s v="October"/>
    <m/>
    <s v="October"/>
    <m/>
    <m/>
    <m/>
    <m/>
    <s v="New requirement"/>
  </r>
  <r>
    <n v="85"/>
    <x v="8"/>
    <x v="2"/>
    <x v="28"/>
    <s v="Tube Labeller Insturment"/>
    <n v="3"/>
    <m/>
    <s v="Biochemistry"/>
    <n v="300000"/>
    <m/>
    <m/>
    <n v="900000"/>
    <m/>
    <m/>
    <m/>
    <s v="July"/>
    <s v="A Tube Labeller Instrument is an automated device used for accurate labeling of sample collection tubes in the laboratory. It plays a critical role in patient identification, sample tracking, and workflow efficiency in the Biochemistry Department.Essential for high sample volume labs._x000a_Improves TAT (Turnaround Time)._x000a_Supports NABL/NABH compliance._x000a_Enhances audit traceability."/>
    <s v="Failure to invest in a Laboratory Tube Labeler can significantly affect the pre-analytical phase of laboratory operations, leading to clinical, operational, and financial risks. Manual labeling consumes more time._x000a_Slower sample registration and processing._x000a_Increased patient waiting time."/>
    <m/>
    <s v="Operational (Recurring) Costs_x000a_a) Label Rolls (Major Recurring Cost)_x000a_Thermal labels / barcode labels_x000a_Cost depends on:_x000a_Number of samples per day_x000a_Label size and quality_x000a_Average consumption: Directly proportional to daily sample load"/>
    <s v="Already had discussed the same.  To improve the phlebotomy process and for TAT saving."/>
  </r>
  <r>
    <n v="86"/>
    <x v="7"/>
    <x v="2"/>
    <x v="28"/>
    <s v="Cytospin"/>
    <n v="1"/>
    <m/>
    <s v="Histopathology"/>
    <n v="900000"/>
    <m/>
    <m/>
    <n v="900000"/>
    <m/>
    <m/>
    <m/>
    <s v="July"/>
    <s v="A Cytospin (Cytocentrifuge) is a specialized laboratory instrument used to concentrate cells from fluid specimens onto a small, defined area of a microscope slide for cytological examination. It plays a crucial role in Histopathology and Cytopathology diagnostics."/>
    <s v="Non-investment in a Cytocentrifuge reduces diagnostic accuracy, increases repeat sampling, delays reporting, and impacts institutional reputation. For a hospital handling fluid cytology cases, it is a critical instrument to ensure high-quality and reliable histopathology services"/>
    <m/>
    <s v="spare parts replacement and amc/cmc cost after warrenty "/>
    <s v="Instrument is too old."/>
  </r>
  <r>
    <n v="87"/>
    <x v="16"/>
    <x v="2"/>
    <x v="28"/>
    <s v="Flexible Cystoscope"/>
    <n v="2"/>
    <m/>
    <s v=" Urology OPD"/>
    <n v="900000"/>
    <m/>
    <m/>
    <n v="900000"/>
    <m/>
    <s v="September"/>
    <m/>
    <s v="September"/>
    <s v="Replacement"/>
    <m/>
    <m/>
    <m/>
    <s v="Replacement"/>
  </r>
  <r>
    <n v="88"/>
    <x v="16"/>
    <x v="2"/>
    <x v="28"/>
    <s v="Surgical diathermy"/>
    <n v="1"/>
    <m/>
    <s v="Main OT"/>
    <n v="500000"/>
    <m/>
    <m/>
    <n v="500000"/>
    <m/>
    <s v="October"/>
    <m/>
    <s v="October"/>
    <s v="Replacement"/>
    <m/>
    <m/>
    <m/>
    <s v="Replacement"/>
  </r>
  <r>
    <n v="89"/>
    <x v="16"/>
    <x v="2"/>
    <x v="28"/>
    <s v="Immuno fluorescence microscope with camera"/>
    <n v="1"/>
    <m/>
    <s v="Histopathology"/>
    <n v="800000"/>
    <m/>
    <m/>
    <n v="800000"/>
    <m/>
    <s v="February"/>
    <m/>
    <s v="February"/>
    <s v="An Immunofluorescence Microscope with Camera is an advanced diagnostic instrument used for detecting antigen–antibody reactions in tissue sections using fluorescent-labeled antibodies. It is essential for specialized diagnostic services in Histopathology."/>
    <s v="Mandatory for comprehensive renal pathology reporting_x000a__x000a_Detects IgG, IgA, IgM, C3, C1q deposition patterns"/>
    <m/>
    <s v="After warranty CMC will come and bulb replacement "/>
    <s v="Immunofluorescence microscopy is a sensitive and critical technique, and aging equipment can impact image quality, reliability, and efficiency."/>
  </r>
  <r>
    <n v="90"/>
    <x v="16"/>
    <x v="2"/>
    <x v="28"/>
    <s v="Deep freezer"/>
    <n v="1"/>
    <m/>
    <s v="Microbiology"/>
    <n v="800000"/>
    <m/>
    <m/>
    <n v="800000"/>
    <m/>
    <s v="November"/>
    <m/>
    <s v="November"/>
    <s v="A Deep Freezer (-40°C) is an essential equipment in the Microbiology laboratory for long-term preservation of microbial isolates, control strains, reagents, and sensitive materials."/>
    <s v="NABL requires preservation of significant isolates_x000a__x000a_Mandatory documentation for traceability_x000a__x000a_Supports audit compliance and quality assurance"/>
    <m/>
    <s v="After warranty CMC will come and bulb replacement "/>
    <s v="More than 10 years of usage, needs replacement"/>
  </r>
  <r>
    <n v="91"/>
    <x v="16"/>
    <x v="2"/>
    <x v="28"/>
    <s v="Deep Freezer"/>
    <n v="1"/>
    <m/>
    <s v="Molecular biology"/>
    <n v="800000"/>
    <m/>
    <m/>
    <n v="800000"/>
    <m/>
    <s v="October"/>
    <m/>
    <s v="October"/>
    <s v="A Deep Freezer (-40°C) is a critical infrastructure component in a Molecular Laboratory for preserving temperature-sensitive reagents, extracted nucleic acids, and control materials required for PCR and other molecular assays."/>
    <s v="Reagent degradation_x000a_Compromised test accuracy_x000a_Increased repeat testing_x000a_Loss of expensive molecular kits_x000a_Audit non-conformities_x000a_Risk of incorrect diagnostic reports"/>
    <m/>
    <s v="After warranty CMC will come and bulb replacement "/>
    <s v="More than 10 years of usage, needs replacement"/>
  </r>
  <r>
    <n v="92"/>
    <x v="16"/>
    <x v="2"/>
    <x v="28"/>
    <s v="Deep Freezer -80 "/>
    <n v="1"/>
    <m/>
    <s v="Blood  Bank"/>
    <n v="800000"/>
    <m/>
    <m/>
    <n v="800000"/>
    <m/>
    <s v="April"/>
    <m/>
    <s v="April"/>
    <s v="A Deep Freezer (-80°C) is an advanced ultra-low temperature storage system used in specialized blood banks for long-term preservation of rare and critical blood components."/>
    <s v="Inability to store rare plasma long-term_x000a_Risk of losing rare donor units_x000a_Increased dependency on external sourcing_x000a_Delays during emergencies_x000a_Limited advancement of blood bank services"/>
    <m/>
    <s v="After warranty CMC will come and bulb replacement "/>
    <s v="More than 10 years of usage, needs replacement"/>
  </r>
  <r>
    <n v="93"/>
    <x v="16"/>
    <x v="2"/>
    <x v="28"/>
    <s v="Defibrillator"/>
    <n v="1"/>
    <m/>
    <s v="MDICU"/>
    <n v="400000"/>
    <m/>
    <m/>
    <n v="400000"/>
    <m/>
    <s v="November"/>
    <m/>
    <s v="November"/>
    <s v="New requirement"/>
    <m/>
    <m/>
    <m/>
    <s v="New requirement"/>
  </r>
  <r>
    <n v="94"/>
    <x v="16"/>
    <x v="2"/>
    <x v="28"/>
    <s v="Syringe holder Tungston"/>
    <n v="2"/>
    <m/>
    <s v="Nuclear medicine"/>
    <n v="400000"/>
    <m/>
    <m/>
    <n v="800000"/>
    <m/>
    <s v="November"/>
    <m/>
    <s v="November"/>
    <s v="Replacement for old machine"/>
    <m/>
    <m/>
    <m/>
    <s v="More than 10 years of usage,achieved its life."/>
  </r>
  <r>
    <n v="95"/>
    <x v="16"/>
    <x v="2"/>
    <x v="28"/>
    <s v="Consumables for various equipments"/>
    <m/>
    <m/>
    <s v="Biomedical"/>
    <n v="800000"/>
    <m/>
    <m/>
    <n v="800000"/>
    <m/>
    <s v="November"/>
    <m/>
    <s v="November"/>
    <m/>
    <m/>
    <m/>
    <m/>
    <s v="New requirement"/>
  </r>
  <r>
    <n v="96"/>
    <x v="16"/>
    <x v="2"/>
    <x v="28"/>
    <s v="Head light "/>
    <n v="1"/>
    <m/>
    <s v="Main OT"/>
    <n v="700000"/>
    <m/>
    <m/>
    <n v="700000"/>
    <m/>
    <s v="October"/>
    <m/>
    <s v="October"/>
    <s v="Additional requirement"/>
    <m/>
    <m/>
    <m/>
    <s v="Additional requirement"/>
  </r>
  <r>
    <n v="97"/>
    <x v="16"/>
    <x v="2"/>
    <x v="28"/>
    <s v="Cold cabinet"/>
    <n v="1"/>
    <m/>
    <s v="Medical store"/>
    <n v="700000"/>
    <m/>
    <m/>
    <n v="700000"/>
    <m/>
    <s v="November"/>
    <m/>
    <s v="November"/>
    <s v="New Requirement"/>
    <m/>
    <m/>
    <m/>
    <s v="New Requirement"/>
  </r>
  <r>
    <n v="98"/>
    <x v="16"/>
    <x v="2"/>
    <x v="28"/>
    <s v="Blood Bank Refrigerator 600L"/>
    <n v="1"/>
    <m/>
    <s v="Blood  Bank"/>
    <n v="600000"/>
    <m/>
    <m/>
    <n v="600000"/>
    <m/>
    <s v="September"/>
    <m/>
    <s v="September"/>
    <s v="Replacement for old machine"/>
    <m/>
    <m/>
    <m/>
    <s v="More than 10 years of usage, needs replacement"/>
  </r>
  <r>
    <n v="99"/>
    <x v="16"/>
    <x v="2"/>
    <x v="28"/>
    <s v="Sterile Tubing Welder"/>
    <n v="1"/>
    <m/>
    <s v="Blood  Bank"/>
    <n v="700000"/>
    <m/>
    <m/>
    <n v="700000"/>
    <m/>
    <s v="December"/>
    <m/>
    <s v="December"/>
    <m/>
    <m/>
    <m/>
    <m/>
    <s v="More than 10 years of usage, needs replacement"/>
  </r>
  <r>
    <n v="100"/>
    <x v="16"/>
    <x v="2"/>
    <x v="28"/>
    <s v="Examination couch"/>
    <n v="8"/>
    <m/>
    <s v="Radiology"/>
    <n v="680000"/>
    <m/>
    <m/>
    <n v="680000"/>
    <m/>
    <s v="October"/>
    <m/>
    <s v="October"/>
    <s v="New Requirement"/>
    <m/>
    <m/>
    <m/>
    <s v="New Requirement"/>
  </r>
  <r>
    <n v="101"/>
    <x v="16"/>
    <x v="2"/>
    <x v="28"/>
    <s v="Warm oxygen Therapy unit"/>
    <n v="1"/>
    <m/>
    <s v="Foot and Ankle"/>
    <n v="650000"/>
    <m/>
    <m/>
    <n v="650000"/>
    <m/>
    <s v="October"/>
    <m/>
    <s v="October"/>
    <s v="New Requirement"/>
    <m/>
    <m/>
    <m/>
    <s v="New requirement"/>
  </r>
  <r>
    <n v="102"/>
    <x v="16"/>
    <x v="2"/>
    <x v="28"/>
    <s v="Platelet Agitator with Incubator"/>
    <n v="1"/>
    <m/>
    <s v="Blood  Bank"/>
    <n v="400000"/>
    <m/>
    <m/>
    <n v="400000"/>
    <m/>
    <s v="January"/>
    <m/>
    <s v="January"/>
    <s v="Proper Storage of Platelet Concentrates_x000a_Maintains temperature at 20–24°C_x000a_Provides continuous gentle agitation_x000a_Prevents platelet clumping and preserves viability_x000a_ Preservation of Platelet Function_x000a_Maintains metabolic activity_x000a_Ensures optimal pH levels_x000a_Prevents bacterial proliferation due to improper storage"/>
    <s v="Inability to store platelets properly_x000a_Increased dependency on external blood centers_x000a_High risk of platelet spoilage_x000a_Delay during dengue season and emergency cases_x000a_Non-compliance during inspection_x000a_Possible license suspension for component therapy"/>
    <m/>
    <s v="AMC (8–12% annually)_x000a__x000a_Motor and agitation mechanism servicing_x000a__x000a_Alarm and temperature sensor validation"/>
    <s v="More than 10 years of usage, needs replacement"/>
  </r>
  <r>
    <n v="103"/>
    <x v="16"/>
    <x v="2"/>
    <x v="28"/>
    <s v="Contamination monitor"/>
    <n v="2"/>
    <m/>
    <s v="Nuclear medicine"/>
    <n v="300000"/>
    <m/>
    <m/>
    <n v="600000"/>
    <m/>
    <s v="November"/>
    <m/>
    <s v="November"/>
    <m/>
    <m/>
    <m/>
    <m/>
    <s v="More than 10 years of usage,achieved its life."/>
  </r>
  <r>
    <n v="104"/>
    <x v="14"/>
    <x v="2"/>
    <x v="28"/>
    <s v="Shoulder continuous passive movement machine"/>
    <n v="1"/>
    <s v="New"/>
    <s v="Physiotherapy Unit"/>
    <n v="556000"/>
    <m/>
    <m/>
    <n v="556000"/>
    <s v="Vendor Quote"/>
    <m/>
    <m/>
    <s v="September"/>
    <s v="Aids in post-surgical shoulder rehabilitation by providing controlled passive motion"/>
    <s v="Increased risk of post-surgical stiffness and delayed recovery"/>
    <s v="ROM: 0° to 180° - Speed:Variable -         Control: Handheld remote - Features:Soft padding, auto-stop sensor"/>
    <m/>
    <s v="Essential for early mobilization post-surgery, preventing joint stiffness and improving functional outcomes"/>
  </r>
  <r>
    <n v="105"/>
    <x v="14"/>
    <x v="2"/>
    <x v="28"/>
    <s v="Laser Therapy (Class 4)"/>
    <n v="1"/>
    <s v="New"/>
    <s v="Physiotherapy Unit"/>
    <n v="500000"/>
    <m/>
    <m/>
    <n v="500000"/>
    <s v="Vendor Quote"/>
    <m/>
    <m/>
    <s v="September"/>
    <s v="Used for pain relief, inflammation reduction, and tissue repair in musculoskeletal conditions. "/>
    <s v="Limited options for non-invasive pain management and delayed healing for soft tissue injuries."/>
    <s v="Wavelength:980/810 nm -  Power Output:Up to 25W, adjustable -     Modes:Continuous &amp; pulsed - Features:Digital touchscreen, safety lock, eye protection"/>
    <m/>
    <s v="Investing improves patient recovery rates, reduces dependency on medications, and offers a competitive advantage in physiotherapy care"/>
  </r>
  <r>
    <n v="106"/>
    <x v="16"/>
    <x v="2"/>
    <x v="28"/>
    <s v="Reagent Refrigerator 600L"/>
    <n v="1"/>
    <m/>
    <s v="Blood  Bank"/>
    <n v="500000"/>
    <m/>
    <m/>
    <n v="500000"/>
    <m/>
    <s v="November"/>
    <m/>
    <s v="November"/>
    <s v="to store the Blood grouping antisera (Anti-A, Anti-B, Anti-D)_x000a_Coombs reagent (AHG)_x000a_Screening and panel cells_x000a_Enzyme reagents_x000a_Gel cards (if applicable)_x000a_Quality control"/>
    <s v="Use of domestic refrigerator (temperature instability)_x000a_Reagent degradation_x000a_Incorrect blood grouping results_x000a_Risk of transfusion reactions_x000a_Audit non-conformities_x000a_Increased reagent wastage"/>
    <m/>
    <s v="AMC (8–12% annually)_x000a__x000a_Compressor servicing_x000a__x000a_Door gasket and alarm maintenance"/>
    <s v="More than 10 years of usage, needs replacement"/>
  </r>
  <r>
    <n v="107"/>
    <x v="16"/>
    <x v="2"/>
    <x v="28"/>
    <s v="Multipara monitor"/>
    <n v="1"/>
    <m/>
    <s v="TICU2"/>
    <n v="500000"/>
    <m/>
    <m/>
    <n v="500000"/>
    <m/>
    <s v="August"/>
    <m/>
    <s v="August"/>
    <s v="Replacement for old machine"/>
    <m/>
    <m/>
    <m/>
    <s v="More than 10 years of usage,achived its life"/>
  </r>
  <r>
    <n v="108"/>
    <x v="16"/>
    <x v="2"/>
    <x v="28"/>
    <s v="Multipara monitor"/>
    <n v="1"/>
    <m/>
    <s v="Ambulance"/>
    <n v="500000"/>
    <m/>
    <m/>
    <n v="500000"/>
    <m/>
    <s v="September"/>
    <m/>
    <s v="September"/>
    <s v="New requirement for new icu ambulance"/>
    <m/>
    <m/>
    <m/>
    <s v="New requirement"/>
  </r>
  <r>
    <n v="109"/>
    <x v="16"/>
    <x v="2"/>
    <x v="28"/>
    <s v="Hand held fundus camera"/>
    <n v="1"/>
    <m/>
    <s v="Opthal OPD"/>
    <n v="500000"/>
    <m/>
    <m/>
    <n v="500000"/>
    <m/>
    <s v="May"/>
    <m/>
    <s v="May"/>
    <s v="New requirement"/>
    <m/>
    <m/>
    <m/>
    <s v="New requirement"/>
  </r>
  <r>
    <n v="110"/>
    <x v="16"/>
    <x v="2"/>
    <x v="28"/>
    <s v="CPAP"/>
    <n v="5"/>
    <m/>
    <s v="Pulmanology"/>
    <n v="500000"/>
    <m/>
    <m/>
    <n v="500000"/>
    <m/>
    <s v="September"/>
    <m/>
    <s v="September"/>
    <s v="New requirement"/>
    <s v="Additional income generating"/>
    <m/>
    <m/>
    <s v="New requirement"/>
  </r>
  <r>
    <n v="111"/>
    <x v="16"/>
    <x v="2"/>
    <x v="28"/>
    <s v="Blood Collection Monitor"/>
    <n v="1"/>
    <m/>
    <s v="Blood  Bank"/>
    <n v="450000"/>
    <m/>
    <m/>
    <n v="450000"/>
    <m/>
    <s v="January"/>
    <m/>
    <s v="January"/>
    <s v="A Blood Collection Monitor (BCM) is an essential device used during donor blood collection to ensure accurate volume collection and proper mixing of blood with anticoagulant solution."/>
    <s v="Manual collection leading to volume inaccuracies_x000a_Risk of clot formation_x000a_Improper anticoagulant ratio_x000a_Increased rejection of collected units_x000a_Regulatory non-compliance_x000a_Compromised donor and patient safety"/>
    <m/>
    <s v="AMC (8–12% annually)_x000a__x000a_Sensor and weighing scale calibration_x000a__x000a_Clamp mechanism servicing"/>
    <s v="More than 10 years of usage, needs replacement"/>
  </r>
  <r>
    <n v="112"/>
    <x v="16"/>
    <x v="2"/>
    <x v="28"/>
    <s v="Diathermy"/>
    <n v="1"/>
    <m/>
    <s v="LR"/>
    <n v="450000"/>
    <m/>
    <m/>
    <n v="450000"/>
    <m/>
    <s v="August"/>
    <m/>
    <s v="August"/>
    <s v="Replacement for old machine"/>
    <m/>
    <m/>
    <m/>
    <s v="More than 10 years of usage,achived its life"/>
  </r>
  <r>
    <n v="113"/>
    <x v="16"/>
    <x v="2"/>
    <x v="28"/>
    <s v="Birthing bed"/>
    <n v="1"/>
    <m/>
    <s v="LR"/>
    <n v="150000"/>
    <m/>
    <m/>
    <n v="150000"/>
    <m/>
    <s v="June"/>
    <m/>
    <s v="June"/>
    <m/>
    <m/>
    <m/>
    <m/>
    <s v="New requirement"/>
  </r>
  <r>
    <n v="114"/>
    <x v="16"/>
    <x v="2"/>
    <x v="28"/>
    <s v="Body warmer"/>
    <n v="4"/>
    <m/>
    <s v="MDICU"/>
    <n v="100000"/>
    <m/>
    <m/>
    <n v="400000"/>
    <m/>
    <s v="November"/>
    <m/>
    <s v="November"/>
    <s v="New requirement for new ICU"/>
    <m/>
    <m/>
    <m/>
    <s v="New requirement"/>
  </r>
  <r>
    <n v="115"/>
    <x v="16"/>
    <x v="2"/>
    <x v="28"/>
    <s v="Defibrillator"/>
    <n v="1"/>
    <m/>
    <s v="Cardiac OT"/>
    <n v="400000"/>
    <m/>
    <m/>
    <n v="400000"/>
    <m/>
    <s v="October"/>
    <m/>
    <s v="October"/>
    <s v="Replacement for old machine"/>
    <m/>
    <m/>
    <m/>
    <s v="Morethan 10 years of usage"/>
  </r>
  <r>
    <n v="116"/>
    <x v="16"/>
    <x v="2"/>
    <x v="28"/>
    <s v="Blood fluid warmer"/>
    <n v="1"/>
    <m/>
    <s v="Cardiac OT"/>
    <n v="400000"/>
    <m/>
    <m/>
    <n v="400000"/>
    <m/>
    <s v="May"/>
    <m/>
    <s v="May"/>
    <s v="Replacement for old machine"/>
    <m/>
    <m/>
    <m/>
    <s v="Morethan 10 years of usage"/>
  </r>
  <r>
    <n v="117"/>
    <x v="16"/>
    <x v="2"/>
    <x v="28"/>
    <s v="Under body warmer"/>
    <n v="1"/>
    <m/>
    <s v="Main OT"/>
    <n v="400000"/>
    <m/>
    <m/>
    <n v="400000"/>
    <m/>
    <s v="January"/>
    <m/>
    <s v="January"/>
    <s v="Replacement for old machine"/>
    <m/>
    <m/>
    <m/>
    <s v="Morethan 10 years of usage"/>
  </r>
  <r>
    <n v="118"/>
    <x v="16"/>
    <x v="2"/>
    <x v="28"/>
    <s v="ACT machine"/>
    <n v="1"/>
    <m/>
    <s v="CATHLAB"/>
    <n v="400000"/>
    <m/>
    <m/>
    <n v="400000"/>
    <m/>
    <s v="October"/>
    <m/>
    <s v="October"/>
    <s v="Replacement for old machine"/>
    <m/>
    <m/>
    <m/>
    <s v="Morethan 10 years of usage"/>
  </r>
  <r>
    <n v="119"/>
    <x v="16"/>
    <x v="2"/>
    <x v="28"/>
    <s v="Autoclave"/>
    <n v="1"/>
    <m/>
    <s v="Microbiology"/>
    <n v="400000"/>
    <m/>
    <m/>
    <n v="400000"/>
    <m/>
    <s v="June"/>
    <m/>
    <s v="June"/>
    <s v="An Autoclave is a steam sterilizer used to decontaminate microbiological media, instruments, glassware, and infectious waste using saturated steam under pressure (typically 121°C at 15 psi)."/>
    <s v="Risk of contaminated media_x000a_False laboratory results_x000a_Increased infection transmission risk_x000a_Regulatory non-compliance_x000a_Unsafe disposal of infectious waste_x000a_Possible lab shutdown during audits"/>
    <m/>
    <s v="AMC (8–12% annually)_x000a__x000a_Pressure valve and sensor calibration_x000a__x000a_Chamber cleaning and inspection"/>
    <s v="More than 10 years of usage, needs replacement"/>
  </r>
  <r>
    <n v="120"/>
    <x v="16"/>
    <x v="2"/>
    <x v="28"/>
    <s v="Densitometer"/>
    <n v="1"/>
    <m/>
    <s v="Microbiology"/>
    <n v="400000"/>
    <m/>
    <m/>
    <n v="400000"/>
    <m/>
    <s v="September"/>
    <m/>
    <s v="September"/>
    <m/>
    <m/>
    <m/>
    <m/>
    <s v="More than 10 years of usage, needs replacement"/>
  </r>
  <r>
    <n v="121"/>
    <x v="16"/>
    <x v="2"/>
    <x v="28"/>
    <s v="Defibrillator"/>
    <n v="1"/>
    <m/>
    <s v="Nephrology"/>
    <n v="400000"/>
    <m/>
    <m/>
    <n v="400000"/>
    <m/>
    <s v="June"/>
    <m/>
    <s v="June"/>
    <s v="new requirement"/>
    <m/>
    <m/>
    <m/>
    <s v="new requirement"/>
  </r>
  <r>
    <n v="122"/>
    <x v="16"/>
    <x v="2"/>
    <x v="28"/>
    <s v="Defibrillator"/>
    <n v="1"/>
    <m/>
    <s v="NSICU"/>
    <n v="400000"/>
    <m/>
    <m/>
    <n v="400000"/>
    <m/>
    <s v="June"/>
    <m/>
    <s v="June"/>
    <s v="Replacement for old machine"/>
    <m/>
    <m/>
    <m/>
    <s v="More than 10 years of usage,achived its life"/>
  </r>
  <r>
    <n v="123"/>
    <x v="16"/>
    <x v="2"/>
    <x v="28"/>
    <s v="Defibrillator"/>
    <n v="1"/>
    <m/>
    <s v="ORICU"/>
    <n v="400000"/>
    <m/>
    <m/>
    <n v="400000"/>
    <m/>
    <s v="April"/>
    <m/>
    <s v="April"/>
    <s v="Replacement for old machine"/>
    <m/>
    <m/>
    <m/>
    <s v="More than 10 years of usage,achived its life"/>
  </r>
  <r>
    <n v="124"/>
    <x v="16"/>
    <x v="2"/>
    <x v="28"/>
    <s v="ECG machine"/>
    <n v="2"/>
    <m/>
    <s v="Emergency"/>
    <n v="200000"/>
    <m/>
    <m/>
    <n v="400000"/>
    <m/>
    <s v="July"/>
    <m/>
    <s v="July"/>
    <s v="Additional requirement"/>
    <m/>
    <m/>
    <m/>
    <s v="New requirement"/>
  </r>
  <r>
    <n v="125"/>
    <x v="16"/>
    <x v="2"/>
    <x v="28"/>
    <s v="Defibrillator"/>
    <n v="1"/>
    <m/>
    <s v="5TH Floor"/>
    <n v="400000"/>
    <m/>
    <m/>
    <n v="400000"/>
    <m/>
    <s v="July"/>
    <m/>
    <s v="July"/>
    <s v="Replacement for old machine"/>
    <m/>
    <m/>
    <m/>
    <s v="More than 10 years of usage, needs replacement"/>
  </r>
  <r>
    <n v="126"/>
    <x v="16"/>
    <x v="2"/>
    <x v="28"/>
    <s v="Defibrillator"/>
    <n v="1"/>
    <m/>
    <s v="10TH Floor"/>
    <n v="400000"/>
    <m/>
    <m/>
    <n v="400000"/>
    <m/>
    <s v="July"/>
    <m/>
    <s v="July"/>
    <s v="Replacement for old machine"/>
    <m/>
    <m/>
    <m/>
    <s v="More than 10 years of usage, needs replacement"/>
  </r>
  <r>
    <n v="127"/>
    <x v="16"/>
    <x v="2"/>
    <x v="28"/>
    <s v="Cardiac trigger monitor"/>
    <n v="1"/>
    <m/>
    <s v="Radiology"/>
    <n v="400000"/>
    <m/>
    <m/>
    <n v="400000"/>
    <m/>
    <s v="October"/>
    <m/>
    <s v="October"/>
    <s v="Replacement for old machine"/>
    <m/>
    <m/>
    <m/>
    <s v="More than 10 years of usage,achieved its life."/>
  </r>
  <r>
    <n v="128"/>
    <x v="16"/>
    <x v="2"/>
    <x v="28"/>
    <s v="Penumbra aspiration pump"/>
    <n v="1"/>
    <m/>
    <s v="Interventional Radiology"/>
    <n v="400000"/>
    <m/>
    <m/>
    <n v="400000"/>
    <m/>
    <s v="October"/>
    <m/>
    <s v="October"/>
    <s v="New requirement"/>
    <m/>
    <m/>
    <m/>
    <s v="New requirement"/>
  </r>
  <r>
    <n v="129"/>
    <x v="16"/>
    <x v="2"/>
    <x v="28"/>
    <s v="Infusion pump"/>
    <n v="10"/>
    <m/>
    <s v="MDICU"/>
    <n v="400000"/>
    <m/>
    <m/>
    <n v="400000"/>
    <m/>
    <m/>
    <m/>
    <m/>
    <m/>
    <m/>
    <m/>
    <m/>
    <m/>
  </r>
  <r>
    <n v="130"/>
    <x v="14"/>
    <x v="2"/>
    <x v="28"/>
    <s v="Advanced combination therapy unit / wireless combination therapy unit - Intelect Mobile 2 "/>
    <n v="1"/>
    <s v="New"/>
    <s v="Physiotherapy Unit"/>
    <n v="390000"/>
    <m/>
    <m/>
    <n v="390000"/>
    <s v="Vendor Quote(Chattanooga)"/>
    <m/>
    <m/>
    <s v="September"/>
    <s v="Combines multiple electrotherapy modalities (IFC, TENS, Ultrasound) for pain management and tissue healing"/>
    <s v="Limited pain relief options and delayed tissue healing, impacting patient turnover"/>
    <s v="Modalities:TENS, IFT, Ultrasound, Russian Current Channels:2-4 - Frequency: 1-150 Hz (TENS), 1 MHz &amp; 3 MHz (US)                      Features: Digital display, therapy timer"/>
    <m/>
    <s v="Cost-effective multipurpose solution for pain relief and faster recovery in various conditions"/>
  </r>
  <r>
    <n v="131"/>
    <x v="16"/>
    <x v="2"/>
    <x v="28"/>
    <s v="Portable monitor"/>
    <n v="1"/>
    <m/>
    <s v="ONCICU"/>
    <n v="350000"/>
    <m/>
    <m/>
    <n v="350000"/>
    <m/>
    <s v="June"/>
    <m/>
    <s v="June"/>
    <s v="New requirement"/>
    <m/>
    <m/>
    <m/>
    <s v="New requirement"/>
  </r>
  <r>
    <n v="132"/>
    <x v="16"/>
    <x v="2"/>
    <x v="28"/>
    <s v="Sealing machine"/>
    <n v="1"/>
    <m/>
    <s v="CATHLAB"/>
    <n v="300000"/>
    <m/>
    <m/>
    <n v="300000"/>
    <m/>
    <s v="October"/>
    <m/>
    <s v="October"/>
    <s v="Replacement for old machine"/>
    <m/>
    <m/>
    <m/>
    <s v="Morethan 10 years of usage"/>
  </r>
  <r>
    <n v="133"/>
    <x v="16"/>
    <x v="2"/>
    <x v="28"/>
    <s v="PH meter"/>
    <n v="1"/>
    <m/>
    <s v="Histopathology"/>
    <n v="300000"/>
    <m/>
    <m/>
    <n v="300000"/>
    <m/>
    <s v="July"/>
    <m/>
    <s v="July"/>
    <s v="Replacement for old machine"/>
    <m/>
    <m/>
    <m/>
    <s v="More than 10 years of usage, needs replacement"/>
  </r>
  <r>
    <n v="134"/>
    <x v="16"/>
    <x v="2"/>
    <x v="28"/>
    <s v="Elisa Reader"/>
    <n v="1"/>
    <m/>
    <s v="Microbiology"/>
    <n v="300000"/>
    <m/>
    <m/>
    <n v="300000"/>
    <m/>
    <s v="July"/>
    <m/>
    <s v="July"/>
    <s v="Replacement for old machine"/>
    <m/>
    <m/>
    <m/>
    <s v="More than 10 years of usage, needs replacement"/>
  </r>
  <r>
    <n v="135"/>
    <x v="16"/>
    <x v="2"/>
    <x v="28"/>
    <s v="Elisa Washer"/>
    <n v="1"/>
    <m/>
    <s v="Microbiology"/>
    <n v="300000"/>
    <m/>
    <m/>
    <n v="300000"/>
    <m/>
    <s v="August"/>
    <m/>
    <s v="August"/>
    <s v="Replacement for old machine"/>
    <m/>
    <m/>
    <m/>
    <s v="More than 10 years of usage, needs replacement"/>
  </r>
  <r>
    <n v="136"/>
    <x v="16"/>
    <x v="2"/>
    <x v="28"/>
    <s v="Component Extractor"/>
    <n v="2"/>
    <m/>
    <s v="Blood  Bank"/>
    <n v="300000"/>
    <m/>
    <m/>
    <n v="300000"/>
    <m/>
    <s v="March"/>
    <m/>
    <s v="March"/>
    <s v="Replacement for old machine"/>
    <m/>
    <m/>
    <m/>
    <s v="More than 10 years of usage, needs replacement"/>
  </r>
  <r>
    <n v="137"/>
    <x v="16"/>
    <x v="2"/>
    <x v="28"/>
    <s v="Sealing Machine"/>
    <n v="1"/>
    <m/>
    <s v="CSSD"/>
    <n v="300000"/>
    <m/>
    <m/>
    <n v="300000"/>
    <m/>
    <s v="March"/>
    <m/>
    <s v="March"/>
    <s v="Replacement for old machine"/>
    <m/>
    <m/>
    <m/>
    <s v="Replacement for old one"/>
  </r>
  <r>
    <n v="138"/>
    <x v="16"/>
    <x v="2"/>
    <x v="28"/>
    <s v="Massager"/>
    <n v="1"/>
    <m/>
    <s v="TICU"/>
    <n v="300000"/>
    <m/>
    <m/>
    <n v="300000"/>
    <m/>
    <s v="January"/>
    <m/>
    <s v="January"/>
    <s v="Replacement for old machine"/>
    <m/>
    <m/>
    <m/>
    <s v="More than 10 years of usage,achived its life"/>
  </r>
  <r>
    <n v="139"/>
    <x v="16"/>
    <x v="2"/>
    <x v="28"/>
    <s v="Mini grasping wire insruments"/>
    <m/>
    <m/>
    <s v="Pulmanology"/>
    <n v="300000"/>
    <m/>
    <m/>
    <n v="300000"/>
    <m/>
    <s v="August"/>
    <m/>
    <s v="August"/>
    <s v="New requirement"/>
    <m/>
    <m/>
    <m/>
    <s v="New requirement"/>
  </r>
  <r>
    <n v="140"/>
    <x v="16"/>
    <x v="2"/>
    <x v="28"/>
    <s v="Laminar Air Flow"/>
    <n v="1"/>
    <m/>
    <s v="Molecular biology"/>
    <n v="275000"/>
    <m/>
    <m/>
    <n v="275000"/>
    <m/>
    <s v="June"/>
    <m/>
    <s v="June"/>
    <m/>
    <m/>
    <m/>
    <m/>
    <s v="More than 10 years of usage, needs replacement"/>
  </r>
  <r>
    <n v="141"/>
    <x v="16"/>
    <x v="2"/>
    <x v="28"/>
    <s v="Centrifuge"/>
    <n v="1"/>
    <m/>
    <s v="Microbiology"/>
    <n v="250000"/>
    <m/>
    <m/>
    <n v="250000"/>
    <m/>
    <s v="February"/>
    <m/>
    <s v="February"/>
    <m/>
    <m/>
    <m/>
    <m/>
    <s v="More than 10 years of usage, needs replacement"/>
  </r>
  <r>
    <n v="142"/>
    <x v="16"/>
    <x v="2"/>
    <x v="28"/>
    <s v="Donor Couch"/>
    <n v="1"/>
    <m/>
    <s v="Blood  Bank"/>
    <n v="250000"/>
    <m/>
    <m/>
    <n v="250000"/>
    <m/>
    <s v="February"/>
    <m/>
    <s v="February"/>
    <m/>
    <m/>
    <m/>
    <m/>
    <s v="More than 10 years of usage, needs replacement"/>
  </r>
  <r>
    <n v="143"/>
    <x v="16"/>
    <x v="2"/>
    <x v="28"/>
    <s v="Infusion pump"/>
    <n v="5"/>
    <m/>
    <s v="LTICU"/>
    <n v="40000"/>
    <m/>
    <m/>
    <n v="200000"/>
    <m/>
    <s v="August"/>
    <m/>
    <s v="August"/>
    <s v="Replacement for old machine"/>
    <m/>
    <m/>
    <m/>
    <s v="More than 10 years of usage,achived its life"/>
  </r>
  <r>
    <n v="144"/>
    <x v="16"/>
    <x v="2"/>
    <x v="28"/>
    <s v="Feeding pump"/>
    <n v="3"/>
    <m/>
    <s v="MDICU"/>
    <n v="225000"/>
    <m/>
    <m/>
    <n v="225000"/>
    <m/>
    <s v="May"/>
    <m/>
    <s v="May"/>
    <s v="New requirement for new ICU"/>
    <m/>
    <m/>
    <m/>
    <s v="New requirement"/>
  </r>
  <r>
    <n v="145"/>
    <x v="14"/>
    <x v="2"/>
    <x v="28"/>
    <s v="Patient lifter and transfer chair unit (Bed to wheelchair)  "/>
    <n v="1"/>
    <s v="New"/>
    <s v="Physiotherapy Unit"/>
    <n v="200000"/>
    <m/>
    <m/>
    <n v="200000"/>
    <s v="Vendor Quote"/>
    <m/>
    <m/>
    <s v="September"/>
    <s v="Assists in safe and ergonomic patient transfers for mobility-impaired individuals"/>
    <s v="Increased risk of caregiver injury and discomfort for patients during transfers"/>
    <s v="Lifting Capacity: Up to 150 kg - Features: Lockable wheels, adjustable harness, ergonomic handles"/>
    <m/>
    <s v="Enhances patient safety, reduces caregiver strain, and ensures dignified patient handling"/>
  </r>
  <r>
    <n v="146"/>
    <x v="16"/>
    <x v="2"/>
    <x v="28"/>
    <s v="Neo puff"/>
    <n v="1"/>
    <m/>
    <s v="NICU"/>
    <n v="200000"/>
    <m/>
    <m/>
    <n v="200000"/>
    <m/>
    <s v="September"/>
    <m/>
    <s v="September"/>
    <s v="Replacement for old machine"/>
    <m/>
    <m/>
    <m/>
    <s v="Morethan 10 years of usage"/>
  </r>
  <r>
    <n v="147"/>
    <x v="16"/>
    <x v="2"/>
    <x v="28"/>
    <s v="Centrifuge"/>
    <n v="1"/>
    <m/>
    <s v="Haematology"/>
    <n v="200000"/>
    <m/>
    <m/>
    <n v="200000"/>
    <m/>
    <s v="February"/>
    <m/>
    <s v="February"/>
    <m/>
    <m/>
    <m/>
    <m/>
    <s v="More than 10 years of usage, needs replacement"/>
  </r>
  <r>
    <n v="148"/>
    <x v="16"/>
    <x v="2"/>
    <x v="28"/>
    <s v="Centrifuge "/>
    <n v="1"/>
    <m/>
    <s v="Histopathology"/>
    <n v="200000"/>
    <m/>
    <m/>
    <n v="200000"/>
    <m/>
    <s v="September"/>
    <m/>
    <s v="September"/>
    <m/>
    <m/>
    <m/>
    <m/>
    <s v="More than 10 years of usage, needs replacement"/>
  </r>
  <r>
    <n v="149"/>
    <x v="16"/>
    <x v="2"/>
    <x v="28"/>
    <s v="Laminar air flow cabinet"/>
    <n v="1"/>
    <m/>
    <s v="Microbiology"/>
    <n v="200000"/>
    <m/>
    <m/>
    <n v="200000"/>
    <m/>
    <s v="February"/>
    <m/>
    <s v="February"/>
    <m/>
    <m/>
    <m/>
    <m/>
    <s v="More than 10 years of usage, needs replacement"/>
  </r>
  <r>
    <n v="150"/>
    <x v="16"/>
    <x v="2"/>
    <x v="28"/>
    <s v="Centrifuge"/>
    <n v="1"/>
    <m/>
    <s v="Molecular biology"/>
    <n v="200000"/>
    <m/>
    <m/>
    <n v="200000"/>
    <m/>
    <s v="April"/>
    <m/>
    <s v="April"/>
    <m/>
    <m/>
    <m/>
    <m/>
    <s v="More than 10 years of usage, needs replacement"/>
  </r>
  <r>
    <n v="151"/>
    <x v="16"/>
    <x v="2"/>
    <x v="28"/>
    <s v="Body warmer"/>
    <n v="1"/>
    <m/>
    <s v="SICU"/>
    <n v="100000"/>
    <m/>
    <m/>
    <n v="100000"/>
    <m/>
    <s v="August"/>
    <m/>
    <s v="August"/>
    <s v="New requirement"/>
    <m/>
    <m/>
    <m/>
    <s v="New requirement"/>
  </r>
  <r>
    <n v="152"/>
    <x v="16"/>
    <x v="2"/>
    <x v="28"/>
    <s v="Body warmer"/>
    <n v="1"/>
    <m/>
    <s v="CSICU"/>
    <n v="100000"/>
    <m/>
    <m/>
    <n v="100000"/>
    <m/>
    <s v="October"/>
    <m/>
    <s v="October"/>
    <s v="Replacement for old machine"/>
    <m/>
    <m/>
    <m/>
    <s v="More than 10 years of usage,achived its life"/>
  </r>
  <r>
    <n v="153"/>
    <x v="16"/>
    <x v="2"/>
    <x v="28"/>
    <s v="Infusion pump"/>
    <n v="4"/>
    <m/>
    <s v="MDICU"/>
    <n v="40000"/>
    <m/>
    <m/>
    <n v="160000"/>
    <m/>
    <s v="November"/>
    <m/>
    <s v="November"/>
    <s v="Replacement for old machine"/>
    <m/>
    <m/>
    <m/>
    <s v="More than 10 years of usage,achived its life"/>
  </r>
  <r>
    <n v="154"/>
    <x v="16"/>
    <x v="2"/>
    <x v="28"/>
    <s v="Body warmer"/>
    <n v="1"/>
    <m/>
    <s v="TICU2"/>
    <n v="100000"/>
    <m/>
    <m/>
    <n v="100000"/>
    <m/>
    <s v="March"/>
    <m/>
    <s v="March"/>
    <s v="New requirement"/>
    <m/>
    <m/>
    <m/>
    <s v="New Requirement"/>
  </r>
  <r>
    <n v="155"/>
    <x v="16"/>
    <x v="2"/>
    <x v="28"/>
    <s v="Infusion Pump"/>
    <n v="2"/>
    <m/>
    <s v="Ambulance"/>
    <n v="40000"/>
    <m/>
    <m/>
    <n v="80000"/>
    <m/>
    <s v="November"/>
    <m/>
    <s v="November"/>
    <s v="Replacement for old machine"/>
    <m/>
    <m/>
    <m/>
    <s v="More than 10 years of usage,achived its life"/>
  </r>
  <r>
    <n v="156"/>
    <x v="16"/>
    <x v="2"/>
    <x v="28"/>
    <s v="Printer and AMBAL software"/>
    <n v="1"/>
    <m/>
    <s v="Urology OPD"/>
    <n v="200000"/>
    <m/>
    <m/>
    <n v="200000"/>
    <m/>
    <s v="November"/>
    <m/>
    <s v="November"/>
    <s v="New requirement"/>
    <m/>
    <m/>
    <m/>
    <s v="New requirement"/>
  </r>
  <r>
    <n v="157"/>
    <x v="16"/>
    <x v="2"/>
    <x v="28"/>
    <s v=" Lens meter"/>
    <n v="1"/>
    <m/>
    <s v="Opthal OPD"/>
    <n v="200000"/>
    <m/>
    <m/>
    <n v="200000"/>
    <m/>
    <s v="September"/>
    <m/>
    <s v="September"/>
    <m/>
    <m/>
    <m/>
    <m/>
    <s v="New requirement"/>
  </r>
  <r>
    <n v="158"/>
    <x v="16"/>
    <x v="2"/>
    <x v="28"/>
    <s v="Implant micro motor"/>
    <n v="1"/>
    <m/>
    <s v="Dental OP"/>
    <n v="200000"/>
    <m/>
    <m/>
    <n v="200000"/>
    <m/>
    <s v="October"/>
    <m/>
    <s v="October"/>
    <m/>
    <m/>
    <m/>
    <m/>
    <s v="More than 10 years of usage"/>
  </r>
  <r>
    <n v="159"/>
    <x v="16"/>
    <x v="2"/>
    <x v="28"/>
    <s v="Full body phototherapy"/>
    <n v="1"/>
    <m/>
    <s v="NICU"/>
    <n v="200000"/>
    <m/>
    <m/>
    <n v="200000"/>
    <m/>
    <s v="August"/>
    <m/>
    <s v="August"/>
    <m/>
    <m/>
    <m/>
    <m/>
    <s v="New requirement"/>
  </r>
  <r>
    <n v="160"/>
    <x v="16"/>
    <x v="2"/>
    <x v="28"/>
    <s v="Barbyl suction"/>
    <n v="1"/>
    <m/>
    <s v="LR"/>
    <n v="180000"/>
    <m/>
    <m/>
    <n v="180000"/>
    <m/>
    <s v="July"/>
    <m/>
    <s v="July"/>
    <s v="New requirement"/>
    <m/>
    <m/>
    <m/>
    <s v="New requirement"/>
  </r>
  <r>
    <n v="161"/>
    <x v="14"/>
    <x v="2"/>
    <x v="28"/>
    <s v="Theraband wall station"/>
    <n v="1"/>
    <s v="New"/>
    <s v="Physiotherapy Unit"/>
    <n v="175000"/>
    <m/>
    <m/>
    <n v="175000"/>
    <s v="Vendor Quote"/>
    <m/>
    <m/>
    <s v="September"/>
    <s v="Resistance-based rehabilitation for strength training and functional mobility"/>
    <s v="Limited options for progressive resistance training in physiotherapy"/>
    <s v="Resistance:Multiple bands - Frame:Wall-mounted with anchors - Features:Adjustable tension, compact design"/>
    <m/>
    <s v="Cost-effective, versatile, and suitable for various rehabilitation phases, improving patient engagement"/>
  </r>
  <r>
    <n v="162"/>
    <x v="16"/>
    <x v="2"/>
    <x v="28"/>
    <s v="Fetal dopler"/>
    <n v="1"/>
    <m/>
    <s v="Gynac OPD"/>
    <n v="150000"/>
    <m/>
    <m/>
    <n v="150000"/>
    <m/>
    <s v="November"/>
    <m/>
    <s v="November"/>
    <s v="Replacement for old machine"/>
    <m/>
    <m/>
    <m/>
    <s v="More than 10 years of usage, needs replacement"/>
  </r>
  <r>
    <n v="163"/>
    <x v="16"/>
    <x v="2"/>
    <x v="28"/>
    <s v="Examination light"/>
    <n v="3"/>
    <m/>
    <s v="Gynac OPD"/>
    <n v="150000"/>
    <m/>
    <m/>
    <n v="150000"/>
    <m/>
    <s v="October"/>
    <m/>
    <s v="October"/>
    <s v="Replacement for old machine"/>
    <m/>
    <m/>
    <m/>
    <s v="More than 10 years of usage, needs replacement"/>
  </r>
  <r>
    <n v="164"/>
    <x v="14"/>
    <x v="2"/>
    <x v="28"/>
    <s v="Multi Gym Unit"/>
    <n v="1"/>
    <s v="New"/>
    <s v="Physiotherapy Unit"/>
    <n v="145000"/>
    <m/>
    <m/>
    <n v="145000"/>
    <s v="Vendor Quote"/>
    <m/>
    <m/>
    <s v="September"/>
    <s v="Facilitates full-body strengthening for rehabilitation and conditioning purposes"/>
    <s v="Limited access to multi-functional resistance exercises for strength training and injury prevention"/>
    <s v="Weight Stack:100-120 kg - Stations: Lat pulldown, chest press, leg extension and other large group muscle attachment Frame:Heavy-duty steel, coated cables - Features: Adjustable seats, lockable plates"/>
    <m/>
    <s v="Encourages complete musculoskeletal rehabilitation and conditioning, suitable for all age groups and fitness levels"/>
  </r>
  <r>
    <n v="165"/>
    <x v="16"/>
    <x v="2"/>
    <x v="28"/>
    <s v="Radio surgery  unit"/>
    <n v="1"/>
    <m/>
    <s v="Dermatology OPD"/>
    <n v="130000"/>
    <m/>
    <m/>
    <n v="130000"/>
    <m/>
    <s v="April"/>
    <m/>
    <s v="April"/>
    <s v="Replacement for old machine"/>
    <m/>
    <m/>
    <m/>
    <s v="More than 10 years of usage, needs replacement"/>
  </r>
  <r>
    <n v="166"/>
    <x v="14"/>
    <x v="2"/>
    <x v="28"/>
    <s v="Tilt table"/>
    <n v="1"/>
    <s v="New"/>
    <s v="Physiotherapy Unit"/>
    <n v="125000"/>
    <m/>
    <m/>
    <n v="125000"/>
    <s v="Vendor Quote"/>
    <m/>
    <m/>
    <s v="September"/>
    <s v="Facilitates gradual weight-bearing and mobilization for neurologically impaired and bed-bound patients"/>
    <s v="Limited ability to assist in early-stage neuro-rehabilitation, delaying functional recovery"/>
    <s v="Tilt Range:0° to 90° (electric) - Safety: Lockable wheels, straps, handrails                                      Weight Capacity:Up to 200 kg - Features:Padded, anti-slip surface"/>
    <m/>
    <s v=" Essential for neuro-rehabilitation, improving circulation, preventing bedsores, and aiding balance retraining"/>
  </r>
  <r>
    <n v="167"/>
    <x v="16"/>
    <x v="2"/>
    <x v="28"/>
    <s v="Suction"/>
    <n v="2"/>
    <m/>
    <s v="Ambulance"/>
    <n v="60000"/>
    <m/>
    <m/>
    <n v="120000"/>
    <m/>
    <s v="January"/>
    <m/>
    <s v="January"/>
    <s v="Replacement for old machine"/>
    <m/>
    <m/>
    <m/>
    <s v="More than 10 years of usage,achived its life"/>
  </r>
  <r>
    <n v="168"/>
    <x v="16"/>
    <x v="2"/>
    <x v="28"/>
    <s v="Vascular doppler"/>
    <n v="2"/>
    <m/>
    <s v="Emergency"/>
    <n v="120000"/>
    <m/>
    <m/>
    <n v="120000"/>
    <m/>
    <s v="March"/>
    <m/>
    <s v="March"/>
    <s v="Replacement for old machine"/>
    <m/>
    <m/>
    <m/>
    <s v="More than 10 years of usage,achived its life"/>
  </r>
  <r>
    <n v="169"/>
    <x v="14"/>
    <x v="2"/>
    <x v="28"/>
    <s v="Recumbent Bike"/>
    <n v="1"/>
    <s v="New"/>
    <s v="Physiotherapy Unit"/>
    <n v="118000"/>
    <m/>
    <m/>
    <n v="118000"/>
    <s v="Vendor Quote"/>
    <m/>
    <m/>
    <s v="September"/>
    <s v="Low-impact cardiovascular exercise for patients with mobility limitations or joint issue"/>
    <s v="Reduced cardio options for patients with joint issues, limiting holistic rehabilitation programs"/>
    <s v="Resistance:20 levels (magnetic) - Seat: Adjustable, lumbar support - Display:Speed, distance, time, calories, heart rate -            Features: Step-through design, preset programs"/>
    <m/>
    <s v="Offers safe cardiovascular conditioning for seniors and those with orthopedic issues, promoting functional recovery"/>
  </r>
  <r>
    <n v="170"/>
    <x v="16"/>
    <x v="2"/>
    <x v="28"/>
    <s v="Body warmer"/>
    <n v="1"/>
    <m/>
    <s v="Cardiac OT"/>
    <n v="100000"/>
    <m/>
    <m/>
    <n v="100000"/>
    <m/>
    <s v="November"/>
    <m/>
    <s v="November"/>
    <s v="Replacement for old machine"/>
    <m/>
    <m/>
    <m/>
    <s v="Morethan 10 years of usage"/>
  </r>
  <r>
    <n v="171"/>
    <x v="16"/>
    <x v="2"/>
    <x v="28"/>
    <s v="Hot air oven"/>
    <n v="1"/>
    <m/>
    <s v="Hematology/Clinical pathology"/>
    <n v="100000"/>
    <m/>
    <m/>
    <n v="100000"/>
    <m/>
    <s v="May"/>
    <m/>
    <s v="May"/>
    <m/>
    <m/>
    <m/>
    <m/>
    <s v="More than 10 years of usage, needs replacement"/>
  </r>
  <r>
    <n v="172"/>
    <x v="16"/>
    <x v="2"/>
    <x v="28"/>
    <s v="Hot Air Oven"/>
    <n v="1"/>
    <m/>
    <s v="Microbiology"/>
    <n v="100000"/>
    <m/>
    <m/>
    <n v="100000"/>
    <m/>
    <s v="March"/>
    <m/>
    <s v="March"/>
    <m/>
    <m/>
    <m/>
    <m/>
    <s v="More than 10 years of usage, needs replacement"/>
  </r>
  <r>
    <n v="173"/>
    <x v="16"/>
    <x v="2"/>
    <x v="28"/>
    <s v="Cyclomixer"/>
    <n v="1"/>
    <m/>
    <s v="Molecular biology"/>
    <n v="100000"/>
    <m/>
    <m/>
    <n v="100000"/>
    <m/>
    <s v="May"/>
    <m/>
    <s v="May"/>
    <m/>
    <m/>
    <m/>
    <m/>
    <s v="More than 10 years of usage, needs replacement"/>
  </r>
  <r>
    <n v="174"/>
    <x v="16"/>
    <x v="2"/>
    <x v="28"/>
    <s v="Incubator"/>
    <n v="1"/>
    <m/>
    <s v="CSSD"/>
    <n v="100000"/>
    <m/>
    <m/>
    <n v="100000"/>
    <m/>
    <s v="May"/>
    <m/>
    <s v="May"/>
    <s v="Replacement for old machine"/>
    <m/>
    <m/>
    <m/>
    <s v="Replacement for old one"/>
  </r>
  <r>
    <n v="175"/>
    <x v="16"/>
    <x v="2"/>
    <x v="28"/>
    <s v="Infusion pump"/>
    <n v="2"/>
    <m/>
    <s v="Emergency"/>
    <n v="40000"/>
    <m/>
    <m/>
    <n v="80000"/>
    <m/>
    <s v="January"/>
    <m/>
    <s v="January"/>
    <s v="Replacement for old machine"/>
    <m/>
    <m/>
    <m/>
    <s v="More than 10 years of usage,achived its life"/>
  </r>
  <r>
    <n v="176"/>
    <x v="16"/>
    <x v="2"/>
    <x v="28"/>
    <s v="Head light"/>
    <n v="1"/>
    <m/>
    <s v="ENT OPD"/>
    <n v="100000"/>
    <m/>
    <m/>
    <n v="100000"/>
    <m/>
    <s v="November"/>
    <m/>
    <s v="November"/>
    <s v="Replacement for old machine"/>
    <m/>
    <m/>
    <m/>
    <s v="More than 10 years of usage, needs replacement"/>
  </r>
  <r>
    <n v="177"/>
    <x v="16"/>
    <x v="2"/>
    <x v="28"/>
    <s v="Electro surge 600SE"/>
    <n v="1"/>
    <m/>
    <s v="Dental OP"/>
    <n v="100000"/>
    <m/>
    <m/>
    <n v="100000"/>
    <m/>
    <s v="May"/>
    <m/>
    <s v="May"/>
    <s v="Replacement for old machine"/>
    <m/>
    <m/>
    <m/>
    <s v="More than 10 years of usage"/>
  </r>
  <r>
    <n v="178"/>
    <x v="16"/>
    <x v="2"/>
    <x v="28"/>
    <s v="Syringe sheild- Tungston"/>
    <n v="1"/>
    <m/>
    <s v="Nuclear medicine"/>
    <n v="100000"/>
    <m/>
    <m/>
    <n v="100000"/>
    <m/>
    <s v="November"/>
    <m/>
    <s v="November"/>
    <m/>
    <m/>
    <m/>
    <m/>
    <s v="More than 10 years of usage,achieved its life."/>
  </r>
  <r>
    <n v="179"/>
    <x v="16"/>
    <x v="2"/>
    <x v="28"/>
    <s v="Pocket dosimetry"/>
    <n v="2"/>
    <m/>
    <s v="Nuclear medicine"/>
    <n v="100000"/>
    <m/>
    <m/>
    <n v="100000"/>
    <m/>
    <s v="April"/>
    <m/>
    <s v="April"/>
    <m/>
    <m/>
    <m/>
    <m/>
    <s v="More than 10 years of usage,achieved its life."/>
  </r>
  <r>
    <n v="180"/>
    <x v="16"/>
    <x v="2"/>
    <x v="28"/>
    <s v="Pulse oximeter"/>
    <n v="1"/>
    <m/>
    <s v="2ND FLOOR"/>
    <n v="85000"/>
    <m/>
    <m/>
    <n v="85000"/>
    <m/>
    <s v="September"/>
    <m/>
    <s v="September"/>
    <s v="Replacement for old machine"/>
    <m/>
    <m/>
    <m/>
    <s v="More than 10 years of usage, needs replacement"/>
  </r>
  <r>
    <n v="181"/>
    <x v="16"/>
    <x v="2"/>
    <x v="28"/>
    <s v="Feeding pump"/>
    <n v="1"/>
    <m/>
    <s v="LTICU"/>
    <n v="80000"/>
    <m/>
    <m/>
    <n v="80000"/>
    <m/>
    <s v="December"/>
    <m/>
    <s v="December"/>
    <s v="Replacement for old machine"/>
    <m/>
    <m/>
    <m/>
    <s v="Replacement"/>
  </r>
  <r>
    <n v="182"/>
    <x v="14"/>
    <x v="2"/>
    <x v="28"/>
    <s v="Blood flow restriction therapy units"/>
    <n v="1"/>
    <s v="New"/>
    <s v="Physiotherapy Unit"/>
    <n v="60000"/>
    <m/>
    <m/>
    <n v="60000"/>
    <s v="Vendor Quote(H+ cuff)"/>
    <m/>
    <m/>
    <s v="September"/>
    <s v="Enhances muscle strength and hypertrophy using low-load exercises with restricted blood flow"/>
    <s v=" Limited options for early-stage strength rehabilitation in post-injury or post-surgery cases"/>
    <s v="Pressure Range:Adjustable Bands: Inflatable cuffs - Features:Digital pressure monitoring, safety lock"/>
    <m/>
    <s v="Effective for early-phase strengthening, especially when full-weight exercises are contraindicated, reducing muscle loss during recovery"/>
  </r>
  <r>
    <n v="183"/>
    <x v="16"/>
    <x v="2"/>
    <x v="28"/>
    <s v="Suction"/>
    <n v="1"/>
    <m/>
    <s v="Ambulance"/>
    <n v="60000"/>
    <m/>
    <m/>
    <n v="60000"/>
    <m/>
    <s v="November"/>
    <m/>
    <s v="November"/>
    <s v="new requirement for new icu ambulance"/>
    <s v="Additiional income generating"/>
    <m/>
    <m/>
    <s v="New requirement"/>
  </r>
  <r>
    <n v="184"/>
    <x v="16"/>
    <x v="2"/>
    <x v="28"/>
    <s v="Breast Board for Patient Positioning"/>
    <n v="1"/>
    <m/>
    <s v="Radiotherapy"/>
    <n v="60000"/>
    <m/>
    <m/>
    <n v="60000"/>
    <m/>
    <s v="July"/>
    <m/>
    <s v="July"/>
    <s v="New Requirement "/>
    <m/>
    <m/>
    <m/>
    <s v="New requirement"/>
  </r>
  <r>
    <n v="185"/>
    <x v="16"/>
    <x v="2"/>
    <x v="28"/>
    <s v="Infusion pump"/>
    <n v="1"/>
    <m/>
    <s v="ORICU"/>
    <n v="40000"/>
    <m/>
    <m/>
    <n v="40000"/>
    <m/>
    <s v="May"/>
    <m/>
    <s v="May"/>
    <s v="Replacement for old machine"/>
    <m/>
    <m/>
    <m/>
    <s v="More than 10 years of usage,achived its life"/>
  </r>
  <r>
    <n v="186"/>
    <x v="16"/>
    <x v="2"/>
    <x v="28"/>
    <s v="Infusion pump"/>
    <n v="1"/>
    <m/>
    <s v="SDICU"/>
    <n v="40000"/>
    <m/>
    <m/>
    <n v="40000"/>
    <m/>
    <s v="September"/>
    <m/>
    <s v="September"/>
    <s v="Replacement for old machine"/>
    <m/>
    <m/>
    <m/>
    <s v="More than 10 years of usage,achived its life"/>
  </r>
  <r>
    <n v="187"/>
    <x v="16"/>
    <x v="2"/>
    <x v="28"/>
    <s v="P-5 booster "/>
    <n v="1"/>
    <m/>
    <s v="Dental OP"/>
    <n v="50000"/>
    <m/>
    <m/>
    <n v="50000"/>
    <m/>
    <s v="October"/>
    <m/>
    <s v="October"/>
    <m/>
    <m/>
    <m/>
    <m/>
    <s v="More than 10 years of usage"/>
  </r>
  <r>
    <n v="188"/>
    <x v="16"/>
    <x v="2"/>
    <x v="28"/>
    <s v="Infusion Pump"/>
    <n v="1"/>
    <m/>
    <s v="BMT"/>
    <n v="40000"/>
    <m/>
    <m/>
    <n v="40000"/>
    <m/>
    <s v="May"/>
    <m/>
    <s v="May"/>
    <s v="New Requirement"/>
    <m/>
    <m/>
    <m/>
    <s v="New Requirement"/>
  </r>
  <r>
    <n v="189"/>
    <x v="16"/>
    <x v="2"/>
    <x v="28"/>
    <s v="Syringe holder Lead"/>
    <n v="1"/>
    <m/>
    <s v="Nuclear medicine"/>
    <n v="20000"/>
    <m/>
    <m/>
    <n v="20000"/>
    <m/>
    <s v="November"/>
    <m/>
    <s v="November"/>
    <s v="Replacement for old machine more than 10 years old"/>
    <m/>
    <m/>
    <m/>
    <s v="More than 10 years of usage,achieved its lif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47483-325E-4FA0-A60F-B9DF6DA6535A}"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6:D38" firstHeaderRow="1" firstDataRow="1" firstDataCol="2"/>
  <pivotFields count="21">
    <pivotField compact="0" outline="0" showAll="0" defaultSubtotal="0"/>
    <pivotField compact="0" outline="0" showAll="0" defaultSubtotal="0"/>
    <pivotField axis="axisRow" compact="0" outline="0" showAll="0" defaultSubtotal="0">
      <items count="8">
        <item x="1"/>
        <item x="5"/>
        <item x="3"/>
        <item x="6"/>
        <item x="4"/>
        <item x="2"/>
        <item x="7"/>
        <item x="0"/>
      </items>
    </pivotField>
    <pivotField axis="axisRow" compact="0" outline="0" showAll="0" defaultSubtotal="0">
      <items count="30">
        <item x="21"/>
        <item x="28"/>
        <item x="22"/>
        <item x="9"/>
        <item x="20"/>
        <item x="10"/>
        <item x="5"/>
        <item x="15"/>
        <item x="3"/>
        <item x="27"/>
        <item x="6"/>
        <item x="7"/>
        <item x="23"/>
        <item x="1"/>
        <item x="2"/>
        <item x="12"/>
        <item x="11"/>
        <item x="25"/>
        <item x="24"/>
        <item x="13"/>
        <item x="26"/>
        <item x="4"/>
        <item x="29"/>
        <item x="16"/>
        <item x="17"/>
        <item x="8"/>
        <item x="18"/>
        <item x="14"/>
        <item x="0"/>
        <item x="1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2"/>
    <field x="3"/>
  </rowFields>
  <rowItems count="32">
    <i>
      <x/>
      <x v="6"/>
    </i>
    <i r="1">
      <x v="8"/>
    </i>
    <i r="1">
      <x v="10"/>
    </i>
    <i r="1">
      <x v="13"/>
    </i>
    <i r="1">
      <x v="14"/>
    </i>
    <i r="1">
      <x v="25"/>
    </i>
    <i>
      <x v="1"/>
      <x v="2"/>
    </i>
    <i r="1">
      <x v="7"/>
    </i>
    <i r="1">
      <x v="9"/>
    </i>
    <i r="1">
      <x v="17"/>
    </i>
    <i r="1">
      <x v="18"/>
    </i>
    <i r="1">
      <x v="20"/>
    </i>
    <i r="1">
      <x v="23"/>
    </i>
    <i>
      <x v="2"/>
      <x v="3"/>
    </i>
    <i r="1">
      <x v="5"/>
    </i>
    <i r="1">
      <x v="19"/>
    </i>
    <i r="1">
      <x v="26"/>
    </i>
    <i r="1">
      <x v="29"/>
    </i>
    <i>
      <x v="3"/>
      <x v="4"/>
    </i>
    <i>
      <x v="4"/>
      <x v="27"/>
    </i>
    <i>
      <x v="5"/>
      <x v="1"/>
    </i>
    <i r="1">
      <x v="10"/>
    </i>
    <i r="1">
      <x v="11"/>
    </i>
    <i r="1">
      <x v="12"/>
    </i>
    <i r="1">
      <x v="15"/>
    </i>
    <i r="1">
      <x v="16"/>
    </i>
    <i r="1">
      <x v="21"/>
    </i>
    <i r="1">
      <x v="24"/>
    </i>
    <i>
      <x v="6"/>
      <x/>
    </i>
    <i r="1">
      <x v="22"/>
    </i>
    <i>
      <x v="7"/>
      <x v="28"/>
    </i>
    <i t="grand">
      <x/>
    </i>
  </rowItems>
  <colItems count="1">
    <i/>
  </colItems>
  <dataFields count="1">
    <dataField name="Sum of Total Cost" fld="11" baseField="1" baseItem="7"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F37722-4A2A-46AE-8544-79B7A24689F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L15" firstHeaderRow="1" firstDataRow="1" firstDataCol="1"/>
  <pivotFields count="21">
    <pivotField showAll="0"/>
    <pivotField showAll="0"/>
    <pivotField axis="axisRow" showAll="0">
      <items count="9">
        <item x="1"/>
        <item x="5"/>
        <item x="3"/>
        <item x="6"/>
        <item x="4"/>
        <item x="2"/>
        <item x="7"/>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Sum of Total Cost" fld="11" baseField="1" baseItem="7"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5417B-94B4-4B10-9DDB-128CD3827B6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24" firstHeaderRow="1" firstDataRow="1" firstDataCol="1"/>
  <pivotFields count="21">
    <pivotField showAll="0"/>
    <pivotField axis="axisRow" showAll="0">
      <items count="18">
        <item x="15"/>
        <item x="8"/>
        <item x="16"/>
        <item x="13"/>
        <item x="2"/>
        <item x="9"/>
        <item x="4"/>
        <item x="11"/>
        <item x="12"/>
        <item x="7"/>
        <item x="3"/>
        <item x="5"/>
        <item x="10"/>
        <item x="6"/>
        <item x="14"/>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Total Cost" fld="11" baseField="1" baseItem="7"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75" dT="2026-03-14T06:53:38.50" personId="{338FD473-3EDF-E942-A2CF-B158A94A9608}" id="{9D875304-7FC8-EC4B-9EA4-9F235AFEC161}">
    <text>⚠ Department is blank — this item (Rota flow) is excluded from Capex_Summary department breakdown. Please assign a department.</text>
  </threadedComment>
  <threadedComment ref="C175" dT="2026-03-14T06:53:38.51" personId="{338FD473-3EDF-E942-A2CF-B158A94A9608}" id="{20E6540D-C8D1-9246-8538-89F98AB9CAD7}">
    <text>⚠ Asset Category is blank — this item (Rota flow) is excluded from Capex_Summary asset category breakdown. Please assign a category.</text>
  </threadedComment>
  <threadedComment ref="B176" dT="2026-03-14T06:53:38.51" personId="{338FD473-3EDF-E942-A2CF-B158A94A9608}" id="{E02B4671-CA30-4349-ABA5-A61FE8B18561}">
    <text>⚠ Department is blank — this item (Vital Sign monitor) is excluded from Capex_Summary department breakdown. Please assign a department.</text>
  </threadedComment>
  <threadedComment ref="C176" dT="2026-03-14T06:53:38.51" personId="{338FD473-3EDF-E942-A2CF-B158A94A9608}" id="{D7F378F8-8978-5946-BB88-7A73FE364E86}">
    <text>⚠ Asset Category is blank — this item (Vital Sign monitor) is excluded from Capex_Summary asset category breakdown. Please assign a category.</text>
  </threadedComment>
  <threadedComment ref="B177" dT="2026-03-14T06:53:38.51" personId="{338FD473-3EDF-E942-A2CF-B158A94A9608}" id="{2A44A4F2-11A0-3941-83B7-45DA8DD5A008}">
    <text>⚠ Department is blank — this item (Vital Sign monitor) is excluded from Capex_Summary department breakdown. Please assign a department.</text>
  </threadedComment>
  <threadedComment ref="B178" dT="2026-03-14T06:53:38.51" personId="{338FD473-3EDF-E942-A2CF-B158A94A9608}" id="{F69E756F-A9B9-1D40-B4E0-DEF7551CEBFF}">
    <text>⚠ Department is blank — this item (Vital Sign monitor) is excluded from Capex_Summary department breakdown. Please assign a department.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5DCDC3-A3CD-2F4C-9423-09AEFFC59866}">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28FA4-F064-43D7-B301-0BCA94A90009}">
  <dimension ref="B1:M100"/>
  <sheetViews>
    <sheetView showGridLines="0" tabSelected="1" zoomScaleNormal="100" workbookViewId="0">
      <selection activeCell="G28" sqref="G28"/>
    </sheetView>
  </sheetViews>
  <sheetFormatPr baseColWidth="10" defaultColWidth="8.83203125" defaultRowHeight="15" x14ac:dyDescent="0.2"/>
  <cols>
    <col min="1" max="1" width="2.6640625" customWidth="1"/>
    <col min="2" max="2" width="7.5" customWidth="1"/>
    <col min="3" max="3" width="16.6640625" customWidth="1"/>
    <col min="4" max="4" width="36.6640625" customWidth="1"/>
    <col min="5" max="5" width="15" customWidth="1"/>
    <col min="6" max="6" width="20" customWidth="1"/>
    <col min="7" max="8" width="18.33203125" customWidth="1"/>
    <col min="9" max="9" width="14.1640625" customWidth="1"/>
    <col min="10" max="10" width="30" customWidth="1"/>
    <col min="11" max="11" width="23.1640625" bestFit="1" customWidth="1"/>
    <col min="12" max="12" width="15.83203125" bestFit="1" customWidth="1"/>
    <col min="13" max="13" width="18.33203125" customWidth="1"/>
  </cols>
  <sheetData>
    <row r="1" spans="2:13" ht="24" x14ac:dyDescent="0.3">
      <c r="B1" s="18" t="s">
        <v>0</v>
      </c>
      <c r="C1" s="18"/>
      <c r="D1" s="18"/>
      <c r="E1" s="18"/>
      <c r="F1" s="18"/>
      <c r="G1" s="18"/>
      <c r="H1" s="18"/>
      <c r="I1" s="18"/>
      <c r="J1" s="18"/>
      <c r="K1" s="18"/>
      <c r="L1" s="18"/>
      <c r="M1" s="18"/>
    </row>
    <row r="2" spans="2:13" ht="19" x14ac:dyDescent="0.25">
      <c r="B2" s="19" t="s">
        <v>106</v>
      </c>
      <c r="C2" s="12"/>
      <c r="D2" s="26" t="s">
        <v>307</v>
      </c>
      <c r="E2" s="26"/>
      <c r="F2" s="12"/>
    </row>
    <row r="3" spans="2:13" ht="5.25" customHeight="1" thickBot="1" x14ac:dyDescent="0.25">
      <c r="B3" s="21"/>
      <c r="C3" s="21"/>
      <c r="D3" s="21"/>
      <c r="E3" s="21"/>
      <c r="F3" s="21"/>
      <c r="G3" s="21"/>
      <c r="H3" s="21"/>
      <c r="I3" s="21"/>
      <c r="J3" s="21"/>
      <c r="K3" s="21"/>
      <c r="L3" s="21"/>
      <c r="M3" s="81"/>
    </row>
    <row r="4" spans="2:13" ht="16" x14ac:dyDescent="0.2">
      <c r="B4" s="33"/>
      <c r="C4" s="33"/>
      <c r="D4" s="14"/>
      <c r="E4" s="14"/>
      <c r="H4" s="14"/>
      <c r="I4" s="14"/>
      <c r="K4" s="33"/>
      <c r="L4" s="33"/>
      <c r="M4" s="14"/>
    </row>
    <row r="5" spans="2:13" ht="16" x14ac:dyDescent="0.2">
      <c r="B5" s="20" t="s">
        <v>39</v>
      </c>
      <c r="C5" s="20" t="s">
        <v>185</v>
      </c>
      <c r="D5" s="22" t="s">
        <v>296</v>
      </c>
      <c r="E5" s="82" t="s">
        <v>1043</v>
      </c>
      <c r="G5" s="20" t="s">
        <v>22</v>
      </c>
      <c r="H5" s="22" t="s">
        <v>296</v>
      </c>
      <c r="I5" s="82" t="s">
        <v>1043</v>
      </c>
      <c r="K5" s="20" t="s">
        <v>39</v>
      </c>
      <c r="L5" s="22" t="s">
        <v>296</v>
      </c>
      <c r="M5" s="82" t="s">
        <v>1043</v>
      </c>
    </row>
    <row r="6" spans="2:13" x14ac:dyDescent="0.2">
      <c r="B6" s="27" t="s">
        <v>39</v>
      </c>
      <c r="C6" s="27" t="s">
        <v>185</v>
      </c>
      <c r="D6" t="s">
        <v>746</v>
      </c>
      <c r="E6" s="83" t="s">
        <v>1044</v>
      </c>
      <c r="G6" s="27" t="s">
        <v>742</v>
      </c>
      <c r="H6" t="s">
        <v>746</v>
      </c>
      <c r="I6" s="83" t="s">
        <v>1044</v>
      </c>
      <c r="K6" s="27" t="s">
        <v>742</v>
      </c>
      <c r="L6" t="s">
        <v>746</v>
      </c>
      <c r="M6" s="83" t="s">
        <v>1044</v>
      </c>
    </row>
    <row r="7" spans="2:13" x14ac:dyDescent="0.2">
      <c r="B7" t="s">
        <v>288</v>
      </c>
      <c r="C7" t="s">
        <v>291</v>
      </c>
      <c r="D7" s="13">
        <v>5200000</v>
      </c>
      <c r="E7" s="73">
        <f>SUMIF(MIXED_new!D3:D178,"Cutout Strcture",MIXED_new!L3:L178)-SUMIF(MIXED_new!D3:D178,"Cutout Strcture",MIXED_new!AB3:AB178)</f>
        <v>0</v>
      </c>
      <c r="G7" s="28" t="s">
        <v>740</v>
      </c>
      <c r="H7" s="13">
        <v>3500000</v>
      </c>
      <c r="I7" s="73">
        <f>SUMIF(MIXED_new!B3:B178,"Admin CEO",MIXED_new!L3:L178)-SUMIF(MIXED_new!B3:B178,"Admin CEO",MIXED_new!AB3:AB178)</f>
        <v>0</v>
      </c>
      <c r="K7" s="28" t="s">
        <v>288</v>
      </c>
      <c r="L7" s="13">
        <v>183051000</v>
      </c>
      <c r="M7" s="73">
        <f>SUMIF(MIXED_new!C3:C178,"Buildings",MIXED_new!L3:L178)-SUMIF(MIXED_new!C3:C178,"Buildings",MIXED_new!AB3:AB178)</f>
        <v>0</v>
      </c>
    </row>
    <row r="8" spans="2:13" x14ac:dyDescent="0.2">
      <c r="C8" t="s">
        <v>290</v>
      </c>
      <c r="D8" s="13">
        <v>9000000</v>
      </c>
      <c r="E8" s="73">
        <f>SUMIF(MIXED_new!D3:D178,"DG Platform",MIXED_new!L3:L178)-SUMIF(MIXED_new!D3:D178,"DG Platform",MIXED_new!AB3:AB178)</f>
        <v>0</v>
      </c>
      <c r="G8" s="28" t="s">
        <v>461</v>
      </c>
      <c r="H8" s="13">
        <v>6200000</v>
      </c>
      <c r="I8" s="73">
        <f>SUMIF(MIXED_new!B3:B178,"Biochemistry",MIXED_new!L3:L178)-SUMIF(MIXED_new!B3:B178,"Biochemistry",MIXED_new!AB3:AB178)</f>
        <v>900000</v>
      </c>
      <c r="K8" s="28" t="s">
        <v>314</v>
      </c>
      <c r="L8" s="13">
        <v>43448000</v>
      </c>
      <c r="M8" s="73">
        <f>SUMIF(MIXED_new!C3:C178,"Computers &amp; IT Equipment",MIXED_new!L3:L178)-SUMIF(MIXED_new!C3:C178,"Computers &amp; IT Equipment",MIXED_new!AB3:AB178)</f>
        <v>0</v>
      </c>
    </row>
    <row r="9" spans="2:13" x14ac:dyDescent="0.2">
      <c r="C9" t="s">
        <v>295</v>
      </c>
      <c r="D9" s="13">
        <v>4600000</v>
      </c>
      <c r="E9" s="73">
        <f>SUMIF(MIXED_new!D3:D178,"Electrical / Mechanical Equipments",MIXED_new!L3:L178)-SUMIF(MIXED_new!D3:D178,"Electrical / Mechanical Equipments",MIXED_new!AB3:AB178)</f>
        <v>0</v>
      </c>
      <c r="G9" s="28" t="s">
        <v>36</v>
      </c>
      <c r="H9" s="13">
        <v>462305000</v>
      </c>
      <c r="I9" s="73">
        <f>SUMIF(MIXED_new!B3:B178,"Biomedical",MIXED_new!L3:L178)-SUMIF(MIXED_new!B3:B178,"Biomedical",MIXED_new!AB3:AB178)</f>
        <v>138385000</v>
      </c>
      <c r="K9" s="28" t="s">
        <v>171</v>
      </c>
      <c r="L9" s="13">
        <v>31935200</v>
      </c>
      <c r="M9" s="73">
        <f>SUMIF(MIXED_new!C3:C178,"Furniture &amp; Fixtures",MIXED_new!L3:L178)-SUMIF(MIXED_new!C3:C178,"Furniture &amp; Fixtures",MIXED_new!AB3:AB178)</f>
        <v>0</v>
      </c>
    </row>
    <row r="10" spans="2:13" x14ac:dyDescent="0.2">
      <c r="C10" t="s">
        <v>289</v>
      </c>
      <c r="D10" s="13">
        <v>142251000</v>
      </c>
      <c r="E10" s="73">
        <f>SUMIF(MIXED_new!D3:D178,"Hospital Building",MIXED_new!L3:L178)-SUMIF(MIXED_new!D3:D178,"Hospital Building",MIXED_new!AB3:AB178)</f>
        <v>0</v>
      </c>
      <c r="G10" s="28" t="s">
        <v>21</v>
      </c>
      <c r="H10" s="13">
        <v>3200000</v>
      </c>
      <c r="I10" s="73">
        <f>SUMIF(MIXED_new!B3:B178,"Clinical Nutrition",MIXED_new!L3:L178)-SUMIF(MIXED_new!B3:B178,"Clinical Nutrition",MIXED_new!AB3:AB178)</f>
        <v>0</v>
      </c>
      <c r="K10" s="28" t="s">
        <v>521</v>
      </c>
      <c r="L10" s="13">
        <v>5800000</v>
      </c>
      <c r="M10" s="73">
        <f>SUMIF(MIXED_new!C3:C178,"Intangible Assets",MIXED_new!L3:L178)-SUMIF(MIXED_new!C3:C178,"Intangible Assets",MIXED_new!AB3:AB178)</f>
        <v>0</v>
      </c>
    </row>
    <row r="11" spans="2:13" x14ac:dyDescent="0.2">
      <c r="C11" t="s">
        <v>292</v>
      </c>
      <c r="D11" s="13">
        <v>21500000</v>
      </c>
      <c r="E11" s="73">
        <f>SUMIF(MIXED_new!D3:D178,"Internal Infrastructure",MIXED_new!L3:L178)-SUMIF(MIXED_new!D3:D178,"Internal Infrastructure",MIXED_new!AB3:AB178)</f>
        <v>0</v>
      </c>
      <c r="G11" s="28" t="s">
        <v>145</v>
      </c>
      <c r="H11" s="13">
        <v>62450000</v>
      </c>
      <c r="I11" s="73">
        <f>SUMIF(MIXED_new!B3:B178,"Engeering",MIXED_new!L3:L178)-SUMIF(MIXED_new!B3:B178,"Engeering",MIXED_new!AB3:AB178)</f>
        <v>0</v>
      </c>
      <c r="K11" s="28" t="s">
        <v>315</v>
      </c>
      <c r="L11" s="13">
        <v>15000</v>
      </c>
      <c r="M11" s="73">
        <f>SUMIF(MIXED_new!C3:C178,"Office Equipment",MIXED_new!L3:L178)-SUMIF(MIXED_new!C3:C178,"Office Equipment",MIXED_new!AB3:AB178)</f>
        <v>0</v>
      </c>
    </row>
    <row r="12" spans="2:13" x14ac:dyDescent="0.2">
      <c r="C12" t="s">
        <v>294</v>
      </c>
      <c r="D12" s="13">
        <v>500000</v>
      </c>
      <c r="E12" s="73">
        <f>SUMIF(MIXED_new!D3:D178,"Sanitary &amp; Plumbing Fixtures",MIXED_new!L3:L178)-SUMIF(MIXED_new!D3:D178,"Sanitary &amp; Plumbing Fixtures",MIXED_new!AB3:AB178)</f>
        <v>0</v>
      </c>
      <c r="G12" s="28" t="s">
        <v>474</v>
      </c>
      <c r="H12" s="13">
        <v>34325000</v>
      </c>
      <c r="I12" s="73">
        <f>SUMIF(MIXED_new!B3:B178,"Fire &amp; Safety",MIXED_new!L3:L178)-SUMIF(MIXED_new!B3:B178,"Fire &amp; Safety",MIXED_new!AB3:AB178)</f>
        <v>0</v>
      </c>
      <c r="K12" s="28" t="s">
        <v>188</v>
      </c>
      <c r="L12" s="13">
        <v>551115460</v>
      </c>
      <c r="M12" s="73">
        <f>SUMIF(MIXED_new!C3:C178,"Plant &amp; Machinery",MIXED_new!L3:L178)-SUMIF(MIXED_new!C3:C178,"Plant &amp; Machinery",MIXED_new!AB3:AB178)</f>
        <v>144754000</v>
      </c>
    </row>
    <row r="13" spans="2:13" x14ac:dyDescent="0.2">
      <c r="B13" t="s">
        <v>314</v>
      </c>
      <c r="C13" t="s">
        <v>480</v>
      </c>
      <c r="D13" s="13">
        <v>525000</v>
      </c>
      <c r="E13" s="73">
        <f>SUMIF(MIXED_new!D3:D178,"CCTV",MIXED_new!L3:L178)-SUMIF(MIXED_new!D3:D178,"CCTV",MIXED_new!AB3:AB178)</f>
        <v>0</v>
      </c>
      <c r="G13" s="28" t="s">
        <v>26</v>
      </c>
      <c r="H13" s="13">
        <v>3382460</v>
      </c>
      <c r="I13" s="73">
        <f>SUMIF(MIXED_new!B3:B178,"Food &amp; Beverage",MIXED_new!L3:L178)-SUMIF(MIXED_new!B3:B178,"Food &amp; Beverage",MIXED_new!AB3:AB178)</f>
        <v>0</v>
      </c>
      <c r="K13" s="28" t="s">
        <v>41</v>
      </c>
      <c r="L13" s="13">
        <v>6700000</v>
      </c>
      <c r="M13" s="73">
        <f>SUMIF(MIXED_new!C3:C178,"Vehicles",MIXED_new!L3:L178)-SUMIF(MIXED_new!C3:C178,"Vehicles",MIXED_new!AB3:AB178)</f>
        <v>0</v>
      </c>
    </row>
    <row r="14" spans="2:13" x14ac:dyDescent="0.2">
      <c r="C14" t="s">
        <v>317</v>
      </c>
      <c r="D14" s="13">
        <v>6420000</v>
      </c>
      <c r="E14" s="73">
        <f>SUMIF(MIXED_new!D3:D178,"Desktop computers",MIXED_new!L3:L178)-SUMIF(MIXED_new!D3:D178,"Desktop computers",MIXED_new!AB3:AB178)</f>
        <v>0</v>
      </c>
      <c r="G14" s="28" t="s">
        <v>527</v>
      </c>
      <c r="H14" s="13">
        <v>820000</v>
      </c>
      <c r="I14" s="73">
        <f>SUMIF(MIXED_new!B3:B178,"General Store",MIXED_new!L3:L178)-SUMIF(MIXED_new!B3:B178,"General Store",MIXED_new!AB3:AB178)</f>
        <v>0</v>
      </c>
      <c r="K14" s="28" t="s">
        <v>743</v>
      </c>
      <c r="L14" s="13">
        <v>0</v>
      </c>
      <c r="M14" s="85">
        <f>(MIXED_new!L179-MIXED_new!AB179)-SUM(M7:M13)</f>
        <v>0</v>
      </c>
    </row>
    <row r="15" spans="2:13" x14ac:dyDescent="0.2">
      <c r="C15" t="s">
        <v>525</v>
      </c>
      <c r="D15" s="13">
        <v>7500000</v>
      </c>
      <c r="E15" s="73">
        <f>SUMIF(MIXED_new!D3:D178,"Digittalization /Automation",MIXED_new!L3:L178)-SUMIF(MIXED_new!D3:D178,"Digittalization /Automation",MIXED_new!AB3:AB178)</f>
        <v>0</v>
      </c>
      <c r="G15" s="28" t="s">
        <v>465</v>
      </c>
      <c r="H15" s="13">
        <v>8000000</v>
      </c>
      <c r="I15" s="73">
        <f>SUMIF(MIXED_new!B3:B178,"Hematology",MIXED_new!L3:L178)-SUMIF(MIXED_new!B3:B178,"Hematology",MIXED_new!AB3:AB178)</f>
        <v>0</v>
      </c>
      <c r="K15" s="28" t="s">
        <v>744</v>
      </c>
      <c r="L15" s="13">
        <v>822064660</v>
      </c>
      <c r="M15" s="74">
        <f>MIXED_new!L179-MIXED_new!AB179</f>
        <v>144754000</v>
      </c>
    </row>
    <row r="16" spans="2:13" ht="28" customHeight="1" x14ac:dyDescent="0.2">
      <c r="C16" t="s">
        <v>518</v>
      </c>
      <c r="D16" s="13">
        <v>1500000</v>
      </c>
      <c r="E16" s="73">
        <f>SUMIF(MIXED_new!D3:D178,"Laptops",MIXED_new!L3:L178)-SUMIF(MIXED_new!D3:D178,"Laptops",MIXED_new!AB3:AB178)</f>
        <v>0</v>
      </c>
      <c r="G16" s="28" t="s">
        <v>463</v>
      </c>
      <c r="H16" s="13">
        <v>3600000</v>
      </c>
      <c r="I16" s="73">
        <f>SUMIF(MIXED_new!B3:B178,"Histopathology",MIXED_new!L3:L178)-SUMIF(MIXED_new!B3:B178,"Histopathology",MIXED_new!AB3:AB178)</f>
        <v>0</v>
      </c>
    </row>
    <row r="17" spans="2:9" x14ac:dyDescent="0.2">
      <c r="C17" t="s">
        <v>511</v>
      </c>
      <c r="D17" s="13">
        <v>25500000</v>
      </c>
      <c r="E17" s="73">
        <f>SUMIF(MIXED_new!D3:D178,"Networking equipment",MIXED_new!L3:L178)-SUMIF(MIXED_new!D3:D178,"Networking equipment",MIXED_new!AB3:AB178)</f>
        <v>0</v>
      </c>
      <c r="G17" s="28" t="s">
        <v>169</v>
      </c>
      <c r="H17" s="13">
        <v>1524000</v>
      </c>
      <c r="I17" s="73">
        <f>SUMIF(MIXED_new!B3:B178,"House Keeping",MIXED_new!L3:L178)-SUMIF(MIXED_new!B3:B178,"House Keeping",MIXED_new!AB3:AB178)</f>
        <v>0</v>
      </c>
    </row>
    <row r="18" spans="2:9" x14ac:dyDescent="0.2">
      <c r="C18" t="s">
        <v>519</v>
      </c>
      <c r="D18" s="13">
        <v>500000</v>
      </c>
      <c r="E18" s="73">
        <f>SUMIF(MIXED_new!D3:D178,"Other Items",MIXED_new!L3:L178)-SUMIF(MIXED_new!D3:D178,"Other Items",MIXED_new!AB3:AB178)</f>
        <v>0</v>
      </c>
      <c r="G18" s="28" t="s">
        <v>35</v>
      </c>
      <c r="H18" s="13">
        <v>208000</v>
      </c>
      <c r="I18" s="73">
        <f>SUMIF(MIXED_new!B3:B178,"HRD",MIXED_new!L3:L178)-SUMIF(MIXED_new!B3:B178,"HRD",MIXED_new!AB3:AB178)</f>
        <v>0</v>
      </c>
    </row>
    <row r="19" spans="2:9" x14ac:dyDescent="0.2">
      <c r="C19" t="s">
        <v>318</v>
      </c>
      <c r="D19" s="13">
        <v>1503000</v>
      </c>
      <c r="E19" s="73">
        <f>SUMIF(MIXED_new!D3:D178,"Printers, scanners",MIXED_new!L3:L178)-SUMIF(MIXED_new!D3:D178,"Printers, scanners",MIXED_new!AB3:AB178)</f>
        <v>0</v>
      </c>
      <c r="G19" s="28" t="s">
        <v>24</v>
      </c>
      <c r="H19" s="13">
        <v>47500000</v>
      </c>
      <c r="I19" s="73">
        <f>SUMIF(MIXED_new!B3:B178,"IT",MIXED_new!L3:L178)-SUMIF(MIXED_new!B3:B178,"IT",MIXED_new!AB3:AB178)</f>
        <v>0</v>
      </c>
    </row>
    <row r="20" spans="2:9" x14ac:dyDescent="0.2">
      <c r="B20" t="s">
        <v>171</v>
      </c>
      <c r="C20" t="s">
        <v>186</v>
      </c>
      <c r="D20" s="13">
        <v>1020000</v>
      </c>
      <c r="E20" s="73">
        <f>SUMIF(MIXED_new!D3:D178,"Chairs, tables, cupboards",MIXED_new!L3:L178)-SUMIF(MIXED_new!D3:D178,"Chairs, tables, cupboards",MIXED_new!AB3:AB178)</f>
        <v>0</v>
      </c>
      <c r="G20" s="28" t="s">
        <v>25</v>
      </c>
      <c r="H20" s="13">
        <v>2162200</v>
      </c>
      <c r="I20" s="73">
        <f>SUMIF(MIXED_new!B3:B178,"Pharmacy",MIXED_new!L3:L178)-SUMIF(MIXED_new!B3:B178,"Pharmacy",MIXED_new!AB3:AB178)</f>
        <v>0</v>
      </c>
    </row>
    <row r="21" spans="2:9" x14ac:dyDescent="0.2">
      <c r="C21" t="s">
        <v>187</v>
      </c>
      <c r="D21" s="13">
        <v>27804000</v>
      </c>
      <c r="E21" s="73">
        <f>SUMIF(MIXED_new!D3:D178,"Curtains, blinds",MIXED_new!L3:L178)-SUMIF(MIXED_new!D3:D178,"Curtains, blinds",MIXED_new!AB3:AB178)</f>
        <v>0</v>
      </c>
      <c r="G21" s="28" t="s">
        <v>385</v>
      </c>
      <c r="H21" s="13">
        <v>10938000</v>
      </c>
      <c r="I21" s="73">
        <f>SUMIF(MIXED_new!B3:B178,"*physiotherapy*",MIXED_new!L3:L178)-SUMIF(MIXED_new!B3:B178,"*physiotherapy*",MIXED_new!AB3:AB178)</f>
        <v>5469000</v>
      </c>
    </row>
    <row r="22" spans="2:9" x14ac:dyDescent="0.2">
      <c r="C22" t="s">
        <v>313</v>
      </c>
      <c r="D22" s="13">
        <v>105000</v>
      </c>
      <c r="E22" s="73">
        <f>SUMIF(MIXED_new!D3:D178,"Office furniture",MIXED_new!L3:L178)-SUMIF(MIXED_new!D3:D178,"Office furniture",MIXED_new!AB3:AB178)</f>
        <v>0</v>
      </c>
      <c r="G22" s="28" t="s">
        <v>103</v>
      </c>
      <c r="H22" s="13">
        <v>171950000</v>
      </c>
      <c r="I22" s="73">
        <f>SUMIF(MIXED_new!B3:B178,"Project",MIXED_new!L3:L178)-SUMIF(MIXED_new!B3:B178,"Project",MIXED_new!AB3:AB178)</f>
        <v>0</v>
      </c>
    </row>
    <row r="23" spans="2:9" x14ac:dyDescent="0.2">
      <c r="C23" t="s">
        <v>370</v>
      </c>
      <c r="D23" s="13">
        <v>1506200</v>
      </c>
      <c r="E23" s="73">
        <f>SUMIF(MIXED_new!D3:D178,"Storage Cabinet / Pharmacy Furniture",MIXED_new!L3:L178)-SUMIF(MIXED_new!D3:D178,"Storage Cabinet / Pharmacy Furniture",MIXED_new!AB3:AB178)</f>
        <v>0</v>
      </c>
      <c r="G23" s="28" t="s">
        <v>743</v>
      </c>
      <c r="H23" s="13">
        <v>0</v>
      </c>
      <c r="I23" s="85">
        <f>(MIXED_new!L179-MIXED_new!AB179)-SUM(I7:I22)</f>
        <v>0</v>
      </c>
    </row>
    <row r="24" spans="2:9" x14ac:dyDescent="0.2">
      <c r="C24" t="s">
        <v>748</v>
      </c>
      <c r="D24" s="13">
        <v>1500000</v>
      </c>
      <c r="E24" s="73">
        <f>SUMIF(MIXED_new!D3:D178,"Lab Furniutre",MIXED_new!L3:L178)-SUMIF(MIXED_new!D3:D178,"Lab Furniutre",MIXED_new!AB3:AB178)</f>
        <v>0</v>
      </c>
      <c r="G24" s="28" t="s">
        <v>744</v>
      </c>
      <c r="H24" s="13">
        <v>822064660</v>
      </c>
      <c r="I24" s="74">
        <f>MIXED_new!L179-MIXED_new!AB179</f>
        <v>144754000</v>
      </c>
    </row>
    <row r="25" spans="2:9" ht="28" customHeight="1" x14ac:dyDescent="0.2">
      <c r="B25" t="s">
        <v>521</v>
      </c>
      <c r="C25" t="s">
        <v>522</v>
      </c>
      <c r="D25" s="13">
        <v>5800000</v>
      </c>
      <c r="E25" s="73">
        <f>SUMIF(MIXED_new!D3:D178,"Computer software",MIXED_new!L3:L178)-SUMIF(MIXED_new!D3:D178,"Computer software",MIXED_new!AB3:AB178)</f>
        <v>0</v>
      </c>
    </row>
    <row r="26" spans="2:9" x14ac:dyDescent="0.2">
      <c r="B26" t="s">
        <v>315</v>
      </c>
      <c r="C26" t="s">
        <v>316</v>
      </c>
      <c r="D26" s="13">
        <v>15000</v>
      </c>
      <c r="E26" s="73">
        <f>SUMIF(MIXED_new!D3:D178,"Telephones &amp; EPABX systems",MIXED_new!L3:L178)-SUMIF(MIXED_new!D3:D178,"Telephones &amp; EPABX systems",MIXED_new!AB3:AB178)</f>
        <v>0</v>
      </c>
    </row>
    <row r="27" spans="2:9" x14ac:dyDescent="0.2">
      <c r="B27" t="s">
        <v>188</v>
      </c>
      <c r="C27" t="s">
        <v>398</v>
      </c>
      <c r="D27" s="13">
        <v>491943000</v>
      </c>
      <c r="E27" s="73">
        <f>SUMIF(MIXED_new!D3:D178,"Biomedical Equipment",MIXED_new!L3:L178)-SUMIF(MIXED_new!D3:D178,"Biomedical Equipment",MIXED_new!AB3:AB178)</f>
        <v>144754000</v>
      </c>
    </row>
    <row r="28" spans="2:9" x14ac:dyDescent="0.2">
      <c r="C28" t="s">
        <v>295</v>
      </c>
      <c r="D28" s="13">
        <v>46050000</v>
      </c>
      <c r="E28" s="73">
        <f>SUMIF(MIXED_new!D3:D178,"Electrical / Mechanical Equipments",MIXED_new!L3:L178)-SUMIF(MIXED_new!D3:D178,"Electrical / Mechanical Equipments",MIXED_new!AB3:AB178)</f>
        <v>0</v>
      </c>
    </row>
    <row r="29" spans="2:9" x14ac:dyDescent="0.2">
      <c r="C29" t="s">
        <v>45</v>
      </c>
      <c r="D29" s="13">
        <v>700000</v>
      </c>
      <c r="E29" s="73">
        <f>SUMIF(MIXED_new!D3:D178,"Electrical Equipments",MIXED_new!L3:L178)-SUMIF(MIXED_new!D3:D178,"Electrical Equipments",MIXED_new!AB3:AB178)</f>
        <v>0</v>
      </c>
    </row>
    <row r="30" spans="2:9" x14ac:dyDescent="0.2">
      <c r="C30" t="s">
        <v>481</v>
      </c>
      <c r="D30" s="13">
        <v>3000000</v>
      </c>
      <c r="E30" s="73">
        <f>SUMIF(MIXED_new!D3:D178,"Electrical installations",MIXED_new!L3:L178)-SUMIF(MIXED_new!D3:D178,"Electrical installations",MIXED_new!AB3:AB178)</f>
        <v>0</v>
      </c>
    </row>
    <row r="31" spans="2:9" x14ac:dyDescent="0.2">
      <c r="C31" t="s">
        <v>202</v>
      </c>
      <c r="D31" s="13">
        <v>2786400</v>
      </c>
      <c r="E31" s="73">
        <f>SUMIF(MIXED_new!D3:D178,"Kitchen / Service Equipment",MIXED_new!L3:L178)-SUMIF(MIXED_new!D3:D178,"Kitchen / Service Equipment",MIXED_new!AB3:AB178)</f>
        <v>0</v>
      </c>
    </row>
    <row r="32" spans="2:9" x14ac:dyDescent="0.2">
      <c r="C32" t="s">
        <v>189</v>
      </c>
      <c r="D32" s="13">
        <v>596060</v>
      </c>
      <c r="E32" s="73">
        <f>SUMIF(MIXED_new!D3:D178,"Kitchen utensils",MIXED_new!L3:L178)-SUMIF(MIXED_new!D3:D178,"Kitchen utensils",MIXED_new!AB3:AB178)</f>
        <v>0</v>
      </c>
    </row>
    <row r="33" spans="2:10" x14ac:dyDescent="0.2">
      <c r="C33" t="s">
        <v>293</v>
      </c>
      <c r="D33" s="13">
        <v>5400000</v>
      </c>
      <c r="E33" s="73">
        <f>SUMIF(MIXED_new!D3:D178,"Palnt",MIXED_new!L3:L178)-SUMIF(MIXED_new!D3:D178,"Palnt",MIXED_new!AB3:AB178)</f>
        <v>0</v>
      </c>
    </row>
    <row r="34" spans="2:10" x14ac:dyDescent="0.2">
      <c r="C34" t="s">
        <v>369</v>
      </c>
      <c r="D34" s="13">
        <v>640000</v>
      </c>
      <c r="E34" s="73">
        <f>SUMIF(MIXED_new!D3:D178,"Refrigeration Equipment",MIXED_new!L3:L178)-SUMIF(MIXED_new!D3:D178,"Refrigeration Equipment",MIXED_new!AB3:AB178)</f>
        <v>0</v>
      </c>
    </row>
    <row r="35" spans="2:10" x14ac:dyDescent="0.2">
      <c r="B35" t="s">
        <v>41</v>
      </c>
      <c r="C35" t="s">
        <v>479</v>
      </c>
      <c r="D35" s="13">
        <v>3200000</v>
      </c>
      <c r="E35" s="73">
        <f>SUMIF(MIXED_new!D3:D178,"Ambulances",MIXED_new!L3:L178)-SUMIF(MIXED_new!D3:D178,"Ambulances",MIXED_new!AB3:AB178)</f>
        <v>0</v>
      </c>
    </row>
    <row r="36" spans="2:10" x14ac:dyDescent="0.2">
      <c r="C36" t="s">
        <v>735</v>
      </c>
      <c r="D36" s="13">
        <v>3500000</v>
      </c>
      <c r="E36" s="73">
        <f>SUMIF(MIXED_new!D3:D178,"Passenger",MIXED_new!L3:L178)-SUMIF(MIXED_new!D3:D178,"Passenger",MIXED_new!AB3:AB178)</f>
        <v>0</v>
      </c>
    </row>
    <row r="37" spans="2:10" x14ac:dyDescent="0.2">
      <c r="B37" t="s">
        <v>743</v>
      </c>
      <c r="C37" t="s">
        <v>743</v>
      </c>
      <c r="D37" s="13">
        <v>0</v>
      </c>
      <c r="E37" s="85">
        <f>(MIXED_new!L179-MIXED_new!AB179)-SUM(E7:E36)</f>
        <v>0</v>
      </c>
    </row>
    <row r="38" spans="2:10" x14ac:dyDescent="0.2">
      <c r="B38" t="s">
        <v>744</v>
      </c>
      <c r="D38" s="13">
        <v>822064660</v>
      </c>
      <c r="E38" s="74">
        <f>MIXED_new!L179-MIXED_new!AB179</f>
        <v>144754000</v>
      </c>
    </row>
    <row r="39" spans="2:10" ht="28" customHeight="1" x14ac:dyDescent="0.2"/>
    <row r="40" spans="2:10" ht="16" thickBot="1" x14ac:dyDescent="0.25"/>
    <row r="41" spans="2:10" ht="24" customHeight="1" x14ac:dyDescent="0.2">
      <c r="B41" s="94" t="s">
        <v>1046</v>
      </c>
      <c r="C41" s="86"/>
      <c r="D41" s="86"/>
      <c r="E41" s="86"/>
      <c r="F41" s="86"/>
      <c r="G41" s="86"/>
      <c r="H41" s="86"/>
      <c r="I41" s="86"/>
      <c r="J41" s="89"/>
    </row>
    <row r="42" spans="2:10" x14ac:dyDescent="0.2">
      <c r="B42" s="78"/>
      <c r="C42" s="75"/>
      <c r="D42" s="75"/>
      <c r="E42" s="75"/>
      <c r="F42" s="75"/>
      <c r="G42" s="75"/>
      <c r="H42" s="75"/>
      <c r="I42" s="75"/>
      <c r="J42" s="79"/>
    </row>
    <row r="43" spans="2:10" ht="20" customHeight="1" x14ac:dyDescent="0.2">
      <c r="B43" s="112" t="s">
        <v>1041</v>
      </c>
      <c r="C43" s="100" t="s">
        <v>22</v>
      </c>
      <c r="D43" s="100" t="s">
        <v>1045</v>
      </c>
      <c r="E43" s="100" t="s">
        <v>1042</v>
      </c>
      <c r="F43" s="100" t="s">
        <v>1038</v>
      </c>
      <c r="G43" s="100" t="s">
        <v>1040</v>
      </c>
      <c r="H43" s="100" t="s">
        <v>1047</v>
      </c>
      <c r="I43" s="100" t="s">
        <v>1067</v>
      </c>
      <c r="J43" s="117" t="s">
        <v>1066</v>
      </c>
    </row>
    <row r="44" spans="2:10" ht="17" customHeight="1" x14ac:dyDescent="0.2">
      <c r="B44" s="113">
        <v>61</v>
      </c>
      <c r="C44" s="101" t="s">
        <v>36</v>
      </c>
      <c r="D44" s="101" t="s">
        <v>563</v>
      </c>
      <c r="E44" s="102" t="s">
        <v>1048</v>
      </c>
      <c r="F44" s="103">
        <v>1600000</v>
      </c>
      <c r="G44" s="103">
        <v>400000</v>
      </c>
      <c r="H44" s="104">
        <v>1200000</v>
      </c>
      <c r="I44" s="102" t="s">
        <v>1068</v>
      </c>
      <c r="J44" s="118" t="s">
        <v>1049</v>
      </c>
    </row>
    <row r="45" spans="2:10" ht="17" customHeight="1" x14ac:dyDescent="0.2">
      <c r="B45" s="113">
        <v>63</v>
      </c>
      <c r="C45" s="101" t="s">
        <v>36</v>
      </c>
      <c r="D45" s="101" t="s">
        <v>641</v>
      </c>
      <c r="E45" s="102" t="s">
        <v>1050</v>
      </c>
      <c r="F45" s="103">
        <v>1600000</v>
      </c>
      <c r="G45" s="103">
        <v>800000</v>
      </c>
      <c r="H45" s="104">
        <v>800000</v>
      </c>
      <c r="I45" s="102" t="s">
        <v>1068</v>
      </c>
      <c r="J45" s="118" t="s">
        <v>1049</v>
      </c>
    </row>
    <row r="46" spans="2:10" ht="17" customHeight="1" x14ac:dyDescent="0.2">
      <c r="B46" s="113">
        <v>71</v>
      </c>
      <c r="C46" s="101" t="s">
        <v>36</v>
      </c>
      <c r="D46" s="101" t="s">
        <v>628</v>
      </c>
      <c r="E46" s="102" t="s">
        <v>1050</v>
      </c>
      <c r="F46" s="103">
        <v>1200000</v>
      </c>
      <c r="G46" s="103">
        <v>600000</v>
      </c>
      <c r="H46" s="104">
        <v>600000</v>
      </c>
      <c r="I46" s="102" t="s">
        <v>1068</v>
      </c>
      <c r="J46" s="118" t="s">
        <v>1049</v>
      </c>
    </row>
    <row r="47" spans="2:10" ht="17" customHeight="1" x14ac:dyDescent="0.2">
      <c r="B47" s="113">
        <v>157</v>
      </c>
      <c r="C47" s="101" t="s">
        <v>36</v>
      </c>
      <c r="D47" s="101" t="s">
        <v>612</v>
      </c>
      <c r="E47" s="102" t="s">
        <v>1051</v>
      </c>
      <c r="F47" s="103">
        <v>120000</v>
      </c>
      <c r="G47" s="103">
        <v>60000</v>
      </c>
      <c r="H47" s="104">
        <v>60000</v>
      </c>
      <c r="I47" s="102" t="s">
        <v>1068</v>
      </c>
      <c r="J47" s="118" t="s">
        <v>1049</v>
      </c>
    </row>
    <row r="48" spans="2:10" ht="17" customHeight="1" x14ac:dyDescent="0.2">
      <c r="B48" s="114">
        <v>3</v>
      </c>
      <c r="C48" s="90" t="s">
        <v>36</v>
      </c>
      <c r="D48" s="90" t="s">
        <v>1052</v>
      </c>
      <c r="E48" s="105">
        <v>1</v>
      </c>
      <c r="F48" s="91">
        <v>30000000</v>
      </c>
      <c r="G48" s="90" t="s">
        <v>1039</v>
      </c>
      <c r="H48" s="106">
        <v>30000000</v>
      </c>
      <c r="I48" s="105" t="s">
        <v>1069</v>
      </c>
      <c r="J48" s="95" t="s">
        <v>1055</v>
      </c>
    </row>
    <row r="49" spans="2:10" ht="17" customHeight="1" x14ac:dyDescent="0.2">
      <c r="B49" s="114">
        <v>6</v>
      </c>
      <c r="C49" s="90" t="s">
        <v>36</v>
      </c>
      <c r="D49" s="90" t="s">
        <v>1054</v>
      </c>
      <c r="E49" s="105">
        <v>1</v>
      </c>
      <c r="F49" s="91">
        <v>25000000</v>
      </c>
      <c r="G49" s="90" t="s">
        <v>1039</v>
      </c>
      <c r="H49" s="106">
        <v>25000000</v>
      </c>
      <c r="I49" s="105" t="s">
        <v>1069</v>
      </c>
      <c r="J49" s="95" t="s">
        <v>1055</v>
      </c>
    </row>
    <row r="50" spans="2:10" ht="17" customHeight="1" x14ac:dyDescent="0.2">
      <c r="B50" s="114">
        <v>9</v>
      </c>
      <c r="C50" s="90" t="s">
        <v>36</v>
      </c>
      <c r="D50" s="90" t="s">
        <v>1056</v>
      </c>
      <c r="E50" s="105">
        <v>1</v>
      </c>
      <c r="F50" s="91">
        <v>15000000</v>
      </c>
      <c r="G50" s="90" t="s">
        <v>1039</v>
      </c>
      <c r="H50" s="106">
        <v>15000000</v>
      </c>
      <c r="I50" s="105" t="s">
        <v>1069</v>
      </c>
      <c r="J50" s="95" t="s">
        <v>1055</v>
      </c>
    </row>
    <row r="51" spans="2:10" ht="17" customHeight="1" x14ac:dyDescent="0.2">
      <c r="B51" s="114">
        <v>1</v>
      </c>
      <c r="C51" s="90" t="s">
        <v>36</v>
      </c>
      <c r="D51" s="90" t="s">
        <v>566</v>
      </c>
      <c r="E51" s="105">
        <v>50</v>
      </c>
      <c r="F51" s="91">
        <v>7500000</v>
      </c>
      <c r="G51" s="90" t="s">
        <v>1039</v>
      </c>
      <c r="H51" s="106">
        <v>7500000</v>
      </c>
      <c r="I51" s="105" t="s">
        <v>1069</v>
      </c>
      <c r="J51" s="95" t="s">
        <v>1070</v>
      </c>
    </row>
    <row r="52" spans="2:10" ht="17" customHeight="1" x14ac:dyDescent="0.2">
      <c r="B52" s="114">
        <v>18</v>
      </c>
      <c r="C52" s="90" t="s">
        <v>36</v>
      </c>
      <c r="D52" s="90" t="s">
        <v>637</v>
      </c>
      <c r="E52" s="105">
        <v>1</v>
      </c>
      <c r="F52" s="91">
        <v>6000000</v>
      </c>
      <c r="G52" s="90" t="s">
        <v>1039</v>
      </c>
      <c r="H52" s="106">
        <v>6000000</v>
      </c>
      <c r="I52" s="105" t="s">
        <v>1069</v>
      </c>
      <c r="J52" s="95" t="s">
        <v>1055</v>
      </c>
    </row>
    <row r="53" spans="2:10" ht="17" customHeight="1" x14ac:dyDescent="0.2">
      <c r="B53" s="114">
        <v>22</v>
      </c>
      <c r="C53" s="90" t="s">
        <v>36</v>
      </c>
      <c r="D53" s="90" t="s">
        <v>638</v>
      </c>
      <c r="E53" s="105">
        <v>1</v>
      </c>
      <c r="F53" s="91">
        <v>6000000</v>
      </c>
      <c r="G53" s="90" t="s">
        <v>1039</v>
      </c>
      <c r="H53" s="106">
        <v>6000000</v>
      </c>
      <c r="I53" s="105" t="s">
        <v>1069</v>
      </c>
      <c r="J53" s="95" t="s">
        <v>1055</v>
      </c>
    </row>
    <row r="54" spans="2:10" ht="17" customHeight="1" x14ac:dyDescent="0.2">
      <c r="B54" s="114">
        <v>24</v>
      </c>
      <c r="C54" s="90" t="s">
        <v>36</v>
      </c>
      <c r="D54" s="90" t="s">
        <v>564</v>
      </c>
      <c r="E54" s="105">
        <v>1</v>
      </c>
      <c r="F54" s="91">
        <v>5000000</v>
      </c>
      <c r="G54" s="90" t="s">
        <v>1039</v>
      </c>
      <c r="H54" s="106">
        <v>5000000</v>
      </c>
      <c r="I54" s="105" t="s">
        <v>1069</v>
      </c>
      <c r="J54" s="95" t="s">
        <v>1071</v>
      </c>
    </row>
    <row r="55" spans="2:10" ht="17" customHeight="1" x14ac:dyDescent="0.2">
      <c r="B55" s="115">
        <v>175</v>
      </c>
      <c r="C55" s="97" t="s">
        <v>36</v>
      </c>
      <c r="D55" s="97" t="s">
        <v>1033</v>
      </c>
      <c r="E55" s="107">
        <v>1</v>
      </c>
      <c r="F55" s="98">
        <v>4500000</v>
      </c>
      <c r="G55" s="97" t="s">
        <v>1039</v>
      </c>
      <c r="H55" s="108">
        <v>4500000</v>
      </c>
      <c r="I55" s="107" t="s">
        <v>1069</v>
      </c>
      <c r="J55" s="99" t="s">
        <v>1072</v>
      </c>
    </row>
    <row r="56" spans="2:10" ht="17" customHeight="1" x14ac:dyDescent="0.2">
      <c r="B56" s="116">
        <v>27</v>
      </c>
      <c r="C56" s="92" t="s">
        <v>36</v>
      </c>
      <c r="D56" s="92" t="s">
        <v>635</v>
      </c>
      <c r="E56" s="109">
        <v>1</v>
      </c>
      <c r="F56" s="93">
        <v>4500000</v>
      </c>
      <c r="G56" s="92" t="s">
        <v>1039</v>
      </c>
      <c r="H56" s="110">
        <v>4500000</v>
      </c>
      <c r="I56" s="109" t="s">
        <v>1069</v>
      </c>
      <c r="J56" s="96" t="s">
        <v>947</v>
      </c>
    </row>
    <row r="57" spans="2:10" ht="17" customHeight="1" x14ac:dyDescent="0.2">
      <c r="B57" s="114">
        <v>32</v>
      </c>
      <c r="C57" s="90" t="s">
        <v>36</v>
      </c>
      <c r="D57" s="90" t="s">
        <v>557</v>
      </c>
      <c r="E57" s="105">
        <v>1</v>
      </c>
      <c r="F57" s="91">
        <v>3500000</v>
      </c>
      <c r="G57" s="90" t="s">
        <v>1039</v>
      </c>
      <c r="H57" s="106">
        <v>3500000</v>
      </c>
      <c r="I57" s="105" t="s">
        <v>1069</v>
      </c>
      <c r="J57" s="95" t="s">
        <v>1053</v>
      </c>
    </row>
    <row r="58" spans="2:10" ht="17" customHeight="1" x14ac:dyDescent="0.2">
      <c r="B58" s="114">
        <v>37</v>
      </c>
      <c r="C58" s="90" t="s">
        <v>36</v>
      </c>
      <c r="D58" s="90" t="s">
        <v>547</v>
      </c>
      <c r="E58" s="105">
        <v>1</v>
      </c>
      <c r="F58" s="91">
        <v>3000000</v>
      </c>
      <c r="G58" s="90" t="s">
        <v>1039</v>
      </c>
      <c r="H58" s="106">
        <v>3000000</v>
      </c>
      <c r="I58" s="105" t="s">
        <v>1069</v>
      </c>
      <c r="J58" s="95" t="s">
        <v>1071</v>
      </c>
    </row>
    <row r="59" spans="2:10" ht="17" customHeight="1" x14ac:dyDescent="0.2">
      <c r="B59" s="115">
        <v>55</v>
      </c>
      <c r="C59" s="97" t="s">
        <v>36</v>
      </c>
      <c r="D59" s="97" t="s">
        <v>826</v>
      </c>
      <c r="E59" s="107">
        <v>1</v>
      </c>
      <c r="F59" s="98">
        <v>2000000</v>
      </c>
      <c r="G59" s="97" t="s">
        <v>1039</v>
      </c>
      <c r="H59" s="108">
        <v>2000000</v>
      </c>
      <c r="I59" s="107" t="s">
        <v>1069</v>
      </c>
      <c r="J59" s="99" t="s">
        <v>1073</v>
      </c>
    </row>
    <row r="60" spans="2:10" ht="17" customHeight="1" x14ac:dyDescent="0.2">
      <c r="B60" s="115">
        <v>56</v>
      </c>
      <c r="C60" s="97" t="s">
        <v>36</v>
      </c>
      <c r="D60" s="97" t="s">
        <v>596</v>
      </c>
      <c r="E60" s="107">
        <v>2</v>
      </c>
      <c r="F60" s="98">
        <v>2000000</v>
      </c>
      <c r="G60" s="97" t="s">
        <v>1039</v>
      </c>
      <c r="H60" s="108">
        <v>2000000</v>
      </c>
      <c r="I60" s="107" t="s">
        <v>1069</v>
      </c>
      <c r="J60" s="99" t="s">
        <v>1074</v>
      </c>
    </row>
    <row r="61" spans="2:10" ht="17" customHeight="1" x14ac:dyDescent="0.2">
      <c r="B61" s="116">
        <v>43</v>
      </c>
      <c r="C61" s="92" t="s">
        <v>36</v>
      </c>
      <c r="D61" s="92" t="s">
        <v>585</v>
      </c>
      <c r="E61" s="109">
        <v>1</v>
      </c>
      <c r="F61" s="93">
        <v>2500000</v>
      </c>
      <c r="G61" s="92" t="s">
        <v>1039</v>
      </c>
      <c r="H61" s="110">
        <v>2500000</v>
      </c>
      <c r="I61" s="109" t="s">
        <v>1069</v>
      </c>
      <c r="J61" s="96" t="s">
        <v>947</v>
      </c>
    </row>
    <row r="62" spans="2:10" ht="17" customHeight="1" x14ac:dyDescent="0.2">
      <c r="B62" s="116">
        <v>45</v>
      </c>
      <c r="C62" s="92" t="s">
        <v>36</v>
      </c>
      <c r="D62" s="92" t="s">
        <v>1057</v>
      </c>
      <c r="E62" s="109">
        <v>1</v>
      </c>
      <c r="F62" s="93">
        <v>2500000</v>
      </c>
      <c r="G62" s="92" t="s">
        <v>1039</v>
      </c>
      <c r="H62" s="110">
        <v>2500000</v>
      </c>
      <c r="I62" s="109" t="s">
        <v>1069</v>
      </c>
      <c r="J62" s="96" t="s">
        <v>947</v>
      </c>
    </row>
    <row r="63" spans="2:10" ht="17" customHeight="1" x14ac:dyDescent="0.2">
      <c r="B63" s="116">
        <v>46</v>
      </c>
      <c r="C63" s="92" t="s">
        <v>36</v>
      </c>
      <c r="D63" s="92" t="s">
        <v>1058</v>
      </c>
      <c r="E63" s="109">
        <v>1</v>
      </c>
      <c r="F63" s="93">
        <v>2500000</v>
      </c>
      <c r="G63" s="92" t="s">
        <v>1039</v>
      </c>
      <c r="H63" s="110">
        <v>2500000</v>
      </c>
      <c r="I63" s="109" t="s">
        <v>1069</v>
      </c>
      <c r="J63" s="96" t="s">
        <v>947</v>
      </c>
    </row>
    <row r="64" spans="2:10" ht="17" customHeight="1" x14ac:dyDescent="0.2">
      <c r="B64" s="114">
        <v>47</v>
      </c>
      <c r="C64" s="90" t="s">
        <v>36</v>
      </c>
      <c r="D64" s="90" t="s">
        <v>1059</v>
      </c>
      <c r="E64" s="105">
        <v>1</v>
      </c>
      <c r="F64" s="91">
        <v>2500000</v>
      </c>
      <c r="G64" s="90" t="s">
        <v>1039</v>
      </c>
      <c r="H64" s="106">
        <v>2500000</v>
      </c>
      <c r="I64" s="105" t="s">
        <v>1069</v>
      </c>
      <c r="J64" s="95" t="s">
        <v>1053</v>
      </c>
    </row>
    <row r="65" spans="2:10" ht="17" customHeight="1" x14ac:dyDescent="0.2">
      <c r="B65" s="116">
        <v>49</v>
      </c>
      <c r="C65" s="92" t="s">
        <v>36</v>
      </c>
      <c r="D65" s="92" t="s">
        <v>817</v>
      </c>
      <c r="E65" s="109">
        <v>1</v>
      </c>
      <c r="F65" s="93">
        <v>2500000</v>
      </c>
      <c r="G65" s="92" t="s">
        <v>1039</v>
      </c>
      <c r="H65" s="110">
        <v>2500000</v>
      </c>
      <c r="I65" s="109" t="s">
        <v>1069</v>
      </c>
      <c r="J65" s="96" t="s">
        <v>947</v>
      </c>
    </row>
    <row r="66" spans="2:10" ht="17" customHeight="1" x14ac:dyDescent="0.2">
      <c r="B66" s="114">
        <v>50</v>
      </c>
      <c r="C66" s="90" t="s">
        <v>36</v>
      </c>
      <c r="D66" s="90" t="s">
        <v>818</v>
      </c>
      <c r="E66" s="105">
        <v>1</v>
      </c>
      <c r="F66" s="91">
        <v>2500000</v>
      </c>
      <c r="G66" s="90" t="s">
        <v>1039</v>
      </c>
      <c r="H66" s="106">
        <v>2500000</v>
      </c>
      <c r="I66" s="105" t="s">
        <v>1069</v>
      </c>
      <c r="J66" s="95" t="s">
        <v>1075</v>
      </c>
    </row>
    <row r="67" spans="2:10" ht="17" customHeight="1" x14ac:dyDescent="0.2">
      <c r="B67" s="114">
        <v>64</v>
      </c>
      <c r="C67" s="90" t="s">
        <v>36</v>
      </c>
      <c r="D67" s="90" t="s">
        <v>1060</v>
      </c>
      <c r="E67" s="105">
        <v>1</v>
      </c>
      <c r="F67" s="91">
        <v>1500000</v>
      </c>
      <c r="G67" s="90" t="s">
        <v>1039</v>
      </c>
      <c r="H67" s="106">
        <v>1500000</v>
      </c>
      <c r="I67" s="105" t="s">
        <v>1069</v>
      </c>
      <c r="J67" s="95" t="s">
        <v>1071</v>
      </c>
    </row>
    <row r="68" spans="2:10" ht="17" customHeight="1" x14ac:dyDescent="0.2">
      <c r="B68" s="114">
        <v>76</v>
      </c>
      <c r="C68" s="90" t="s">
        <v>36</v>
      </c>
      <c r="D68" s="90" t="s">
        <v>571</v>
      </c>
      <c r="E68" s="105">
        <v>1</v>
      </c>
      <c r="F68" s="91">
        <v>1200000</v>
      </c>
      <c r="G68" s="90" t="s">
        <v>1039</v>
      </c>
      <c r="H68" s="106">
        <v>1200000</v>
      </c>
      <c r="I68" s="105" t="s">
        <v>1069</v>
      </c>
      <c r="J68" s="95" t="s">
        <v>1055</v>
      </c>
    </row>
    <row r="69" spans="2:10" ht="17" customHeight="1" x14ac:dyDescent="0.2">
      <c r="B69" s="114">
        <v>66</v>
      </c>
      <c r="C69" s="90" t="s">
        <v>29</v>
      </c>
      <c r="D69" s="90" t="s">
        <v>392</v>
      </c>
      <c r="E69" s="105">
        <v>1</v>
      </c>
      <c r="F69" s="91">
        <v>1200000</v>
      </c>
      <c r="G69" s="90" t="s">
        <v>1039</v>
      </c>
      <c r="H69" s="106">
        <v>1200000</v>
      </c>
      <c r="I69" s="105" t="s">
        <v>1069</v>
      </c>
      <c r="J69" s="95" t="s">
        <v>1055</v>
      </c>
    </row>
    <row r="70" spans="2:10" ht="17" customHeight="1" x14ac:dyDescent="0.2">
      <c r="B70" s="114">
        <v>74</v>
      </c>
      <c r="C70" s="90" t="s">
        <v>29</v>
      </c>
      <c r="D70" s="90" t="s">
        <v>387</v>
      </c>
      <c r="E70" s="105">
        <v>1</v>
      </c>
      <c r="F70" s="91">
        <v>1000000</v>
      </c>
      <c r="G70" s="90" t="s">
        <v>1039</v>
      </c>
      <c r="H70" s="106">
        <v>1000000</v>
      </c>
      <c r="I70" s="105" t="s">
        <v>1069</v>
      </c>
      <c r="J70" s="95" t="s">
        <v>1055</v>
      </c>
    </row>
    <row r="71" spans="2:10" ht="17" customHeight="1" x14ac:dyDescent="0.2">
      <c r="B71" s="114">
        <v>75</v>
      </c>
      <c r="C71" s="90" t="s">
        <v>29</v>
      </c>
      <c r="D71" s="90" t="s">
        <v>1061</v>
      </c>
      <c r="E71" s="105">
        <v>1</v>
      </c>
      <c r="F71" s="91">
        <v>1000000</v>
      </c>
      <c r="G71" s="90" t="s">
        <v>1039</v>
      </c>
      <c r="H71" s="106">
        <v>1000000</v>
      </c>
      <c r="I71" s="105" t="s">
        <v>1069</v>
      </c>
      <c r="J71" s="95" t="s">
        <v>1055</v>
      </c>
    </row>
    <row r="72" spans="2:10" ht="17" customHeight="1" x14ac:dyDescent="0.2">
      <c r="B72" s="116">
        <v>79</v>
      </c>
      <c r="C72" s="92" t="s">
        <v>461</v>
      </c>
      <c r="D72" s="92" t="s">
        <v>1062</v>
      </c>
      <c r="E72" s="109">
        <v>3</v>
      </c>
      <c r="F72" s="93">
        <v>900000</v>
      </c>
      <c r="G72" s="92" t="s">
        <v>1039</v>
      </c>
      <c r="H72" s="110">
        <v>900000</v>
      </c>
      <c r="I72" s="109" t="s">
        <v>1069</v>
      </c>
      <c r="J72" s="96" t="s">
        <v>947</v>
      </c>
    </row>
    <row r="73" spans="2:10" ht="17" customHeight="1" x14ac:dyDescent="0.2">
      <c r="B73" s="115">
        <v>73</v>
      </c>
      <c r="C73" s="97" t="s">
        <v>36</v>
      </c>
      <c r="D73" s="97" t="s">
        <v>651</v>
      </c>
      <c r="E73" s="107">
        <v>1</v>
      </c>
      <c r="F73" s="98">
        <v>800000</v>
      </c>
      <c r="G73" s="97" t="s">
        <v>1039</v>
      </c>
      <c r="H73" s="108">
        <v>800000</v>
      </c>
      <c r="I73" s="107" t="s">
        <v>1069</v>
      </c>
      <c r="J73" s="99" t="s">
        <v>1074</v>
      </c>
    </row>
    <row r="74" spans="2:10" ht="17" customHeight="1" x14ac:dyDescent="0.2">
      <c r="B74" s="114">
        <v>91</v>
      </c>
      <c r="C74" s="90" t="s">
        <v>36</v>
      </c>
      <c r="D74" s="90" t="s">
        <v>558</v>
      </c>
      <c r="E74" s="105">
        <v>1</v>
      </c>
      <c r="F74" s="91">
        <v>700000</v>
      </c>
      <c r="G74" s="90" t="s">
        <v>1039</v>
      </c>
      <c r="H74" s="106">
        <v>700000</v>
      </c>
      <c r="I74" s="105" t="s">
        <v>1069</v>
      </c>
      <c r="J74" s="95" t="s">
        <v>1055</v>
      </c>
    </row>
    <row r="75" spans="2:10" ht="17" customHeight="1" x14ac:dyDescent="0.2">
      <c r="B75" s="114">
        <v>98</v>
      </c>
      <c r="C75" s="90" t="s">
        <v>29</v>
      </c>
      <c r="D75" s="90" t="s">
        <v>393</v>
      </c>
      <c r="E75" s="105">
        <v>1</v>
      </c>
      <c r="F75" s="91">
        <v>556000</v>
      </c>
      <c r="G75" s="90" t="s">
        <v>1039</v>
      </c>
      <c r="H75" s="106">
        <v>556000</v>
      </c>
      <c r="I75" s="105" t="s">
        <v>1069</v>
      </c>
      <c r="J75" s="95" t="s">
        <v>1055</v>
      </c>
    </row>
    <row r="76" spans="2:10" ht="17" customHeight="1" x14ac:dyDescent="0.2">
      <c r="B76" s="114">
        <v>99</v>
      </c>
      <c r="C76" s="90" t="s">
        <v>29</v>
      </c>
      <c r="D76" s="90" t="s">
        <v>386</v>
      </c>
      <c r="E76" s="105">
        <v>1</v>
      </c>
      <c r="F76" s="91">
        <v>500000</v>
      </c>
      <c r="G76" s="90" t="s">
        <v>1039</v>
      </c>
      <c r="H76" s="106">
        <v>500000</v>
      </c>
      <c r="I76" s="105" t="s">
        <v>1069</v>
      </c>
      <c r="J76" s="95" t="s">
        <v>1055</v>
      </c>
    </row>
    <row r="77" spans="2:10" ht="17" customHeight="1" x14ac:dyDescent="0.2">
      <c r="B77" s="115">
        <v>176</v>
      </c>
      <c r="C77" s="97" t="s">
        <v>36</v>
      </c>
      <c r="D77" s="97" t="s">
        <v>1035</v>
      </c>
      <c r="E77" s="107">
        <v>3</v>
      </c>
      <c r="F77" s="98">
        <v>450000</v>
      </c>
      <c r="G77" s="97" t="s">
        <v>1039</v>
      </c>
      <c r="H77" s="108">
        <v>450000</v>
      </c>
      <c r="I77" s="107" t="s">
        <v>1069</v>
      </c>
      <c r="J77" s="99" t="s">
        <v>1072</v>
      </c>
    </row>
    <row r="78" spans="2:10" ht="17" customHeight="1" x14ac:dyDescent="0.2">
      <c r="B78" s="114">
        <v>112</v>
      </c>
      <c r="C78" s="90" t="s">
        <v>36</v>
      </c>
      <c r="D78" s="90" t="s">
        <v>581</v>
      </c>
      <c r="E78" s="105">
        <v>1</v>
      </c>
      <c r="F78" s="91">
        <v>400000</v>
      </c>
      <c r="G78" s="90" t="s">
        <v>1039</v>
      </c>
      <c r="H78" s="106">
        <v>400000</v>
      </c>
      <c r="I78" s="105" t="s">
        <v>1069</v>
      </c>
      <c r="J78" s="95" t="s">
        <v>1055</v>
      </c>
    </row>
    <row r="79" spans="2:10" ht="17" customHeight="1" x14ac:dyDescent="0.2">
      <c r="B79" s="114">
        <v>122</v>
      </c>
      <c r="C79" s="90" t="s">
        <v>385</v>
      </c>
      <c r="D79" s="90" t="s">
        <v>1063</v>
      </c>
      <c r="E79" s="105">
        <v>1</v>
      </c>
      <c r="F79" s="91">
        <v>390000</v>
      </c>
      <c r="G79" s="90" t="s">
        <v>1039</v>
      </c>
      <c r="H79" s="106">
        <v>390000</v>
      </c>
      <c r="I79" s="105" t="s">
        <v>1069</v>
      </c>
      <c r="J79" s="95" t="s">
        <v>1055</v>
      </c>
    </row>
    <row r="80" spans="2:10" ht="17" customHeight="1" x14ac:dyDescent="0.2">
      <c r="B80" s="114">
        <v>125</v>
      </c>
      <c r="C80" s="90" t="s">
        <v>36</v>
      </c>
      <c r="D80" s="90" t="s">
        <v>573</v>
      </c>
      <c r="E80" s="105">
        <v>1</v>
      </c>
      <c r="F80" s="91">
        <v>300000</v>
      </c>
      <c r="G80" s="90" t="s">
        <v>1039</v>
      </c>
      <c r="H80" s="106">
        <v>300000</v>
      </c>
      <c r="I80" s="105" t="s">
        <v>1069</v>
      </c>
      <c r="J80" s="95" t="s">
        <v>1055</v>
      </c>
    </row>
    <row r="81" spans="2:10" ht="17" customHeight="1" x14ac:dyDescent="0.2">
      <c r="B81" s="116">
        <v>132</v>
      </c>
      <c r="C81" s="92" t="s">
        <v>36</v>
      </c>
      <c r="D81" s="92" t="s">
        <v>584</v>
      </c>
      <c r="E81" s="109">
        <v>1</v>
      </c>
      <c r="F81" s="93">
        <v>275000</v>
      </c>
      <c r="G81" s="92" t="s">
        <v>1039</v>
      </c>
      <c r="H81" s="110">
        <v>275000</v>
      </c>
      <c r="I81" s="109" t="s">
        <v>1069</v>
      </c>
      <c r="J81" s="96" t="s">
        <v>947</v>
      </c>
    </row>
    <row r="82" spans="2:10" ht="17" customHeight="1" x14ac:dyDescent="0.2">
      <c r="B82" s="114">
        <v>133</v>
      </c>
      <c r="C82" s="90" t="s">
        <v>36</v>
      </c>
      <c r="D82" s="90" t="s">
        <v>1064</v>
      </c>
      <c r="E82" s="105">
        <v>1</v>
      </c>
      <c r="F82" s="91">
        <v>250000</v>
      </c>
      <c r="G82" s="90" t="s">
        <v>1039</v>
      </c>
      <c r="H82" s="106">
        <v>250000</v>
      </c>
      <c r="I82" s="105" t="s">
        <v>1069</v>
      </c>
      <c r="J82" s="95" t="s">
        <v>1055</v>
      </c>
    </row>
    <row r="83" spans="2:10" ht="17" customHeight="1" x14ac:dyDescent="0.2">
      <c r="B83" s="114">
        <v>136</v>
      </c>
      <c r="C83" s="90" t="s">
        <v>385</v>
      </c>
      <c r="D83" s="90" t="s">
        <v>1065</v>
      </c>
      <c r="E83" s="105">
        <v>1</v>
      </c>
      <c r="F83" s="91">
        <v>200000</v>
      </c>
      <c r="G83" s="90" t="s">
        <v>1039</v>
      </c>
      <c r="H83" s="106">
        <v>200000</v>
      </c>
      <c r="I83" s="105" t="s">
        <v>1069</v>
      </c>
      <c r="J83" s="95" t="s">
        <v>1055</v>
      </c>
    </row>
    <row r="84" spans="2:10" ht="17" customHeight="1" x14ac:dyDescent="0.2">
      <c r="B84" s="115">
        <v>137</v>
      </c>
      <c r="C84" s="97" t="s">
        <v>36</v>
      </c>
      <c r="D84" s="97" t="s">
        <v>556</v>
      </c>
      <c r="E84" s="107">
        <v>1</v>
      </c>
      <c r="F84" s="98">
        <v>200000</v>
      </c>
      <c r="G84" s="97" t="s">
        <v>1039</v>
      </c>
      <c r="H84" s="108">
        <v>200000</v>
      </c>
      <c r="I84" s="107" t="s">
        <v>1069</v>
      </c>
      <c r="J84" s="99" t="s">
        <v>1074</v>
      </c>
    </row>
    <row r="85" spans="2:10" ht="17" customHeight="1" x14ac:dyDescent="0.2">
      <c r="B85" s="114">
        <v>138</v>
      </c>
      <c r="C85" s="90" t="s">
        <v>385</v>
      </c>
      <c r="D85" s="90" t="s">
        <v>1076</v>
      </c>
      <c r="E85" s="105">
        <v>1</v>
      </c>
      <c r="F85" s="91">
        <v>200000</v>
      </c>
      <c r="G85" s="90" t="s">
        <v>1039</v>
      </c>
      <c r="H85" s="106">
        <v>200000</v>
      </c>
      <c r="I85" s="105" t="s">
        <v>1069</v>
      </c>
      <c r="J85" s="95" t="s">
        <v>1055</v>
      </c>
    </row>
    <row r="86" spans="2:10" ht="17" customHeight="1" x14ac:dyDescent="0.2">
      <c r="B86" s="116">
        <v>147</v>
      </c>
      <c r="C86" s="92" t="s">
        <v>36</v>
      </c>
      <c r="D86" s="92" t="s">
        <v>625</v>
      </c>
      <c r="E86" s="109">
        <v>1</v>
      </c>
      <c r="F86" s="93">
        <v>200000</v>
      </c>
      <c r="G86" s="92" t="s">
        <v>1039</v>
      </c>
      <c r="H86" s="110">
        <v>200000</v>
      </c>
      <c r="I86" s="109" t="s">
        <v>1069</v>
      </c>
      <c r="J86" s="96" t="s">
        <v>947</v>
      </c>
    </row>
    <row r="87" spans="2:10" ht="17" customHeight="1" x14ac:dyDescent="0.2">
      <c r="B87" s="114">
        <v>150</v>
      </c>
      <c r="C87" s="90" t="s">
        <v>385</v>
      </c>
      <c r="D87" s="90" t="s">
        <v>395</v>
      </c>
      <c r="E87" s="105">
        <v>1</v>
      </c>
      <c r="F87" s="91">
        <v>175000</v>
      </c>
      <c r="G87" s="90" t="s">
        <v>1039</v>
      </c>
      <c r="H87" s="106">
        <v>175000</v>
      </c>
      <c r="I87" s="105" t="s">
        <v>1069</v>
      </c>
      <c r="J87" s="95" t="s">
        <v>1055</v>
      </c>
    </row>
    <row r="88" spans="2:10" ht="17" customHeight="1" x14ac:dyDescent="0.2">
      <c r="B88" s="116">
        <v>105</v>
      </c>
      <c r="C88" s="92" t="s">
        <v>36</v>
      </c>
      <c r="D88" s="92" t="s">
        <v>605</v>
      </c>
      <c r="E88" s="109">
        <v>1</v>
      </c>
      <c r="F88" s="93">
        <v>150000</v>
      </c>
      <c r="G88" s="92" t="s">
        <v>1039</v>
      </c>
      <c r="H88" s="110">
        <v>150000</v>
      </c>
      <c r="I88" s="109" t="s">
        <v>1069</v>
      </c>
      <c r="J88" s="96" t="s">
        <v>947</v>
      </c>
    </row>
    <row r="89" spans="2:10" ht="17" customHeight="1" x14ac:dyDescent="0.2">
      <c r="B89" s="114">
        <v>153</v>
      </c>
      <c r="C89" s="90" t="s">
        <v>385</v>
      </c>
      <c r="D89" s="90" t="s">
        <v>390</v>
      </c>
      <c r="E89" s="105">
        <v>1</v>
      </c>
      <c r="F89" s="91">
        <v>145000</v>
      </c>
      <c r="G89" s="90" t="s">
        <v>1039</v>
      </c>
      <c r="H89" s="106">
        <v>145000</v>
      </c>
      <c r="I89" s="105" t="s">
        <v>1069</v>
      </c>
      <c r="J89" s="95" t="s">
        <v>1055</v>
      </c>
    </row>
    <row r="90" spans="2:10" ht="17" customHeight="1" x14ac:dyDescent="0.2">
      <c r="B90" s="114">
        <v>155</v>
      </c>
      <c r="C90" s="90" t="s">
        <v>385</v>
      </c>
      <c r="D90" s="90" t="s">
        <v>388</v>
      </c>
      <c r="E90" s="105">
        <v>1</v>
      </c>
      <c r="F90" s="91">
        <v>125000</v>
      </c>
      <c r="G90" s="90" t="s">
        <v>1039</v>
      </c>
      <c r="H90" s="106">
        <v>125000</v>
      </c>
      <c r="I90" s="105" t="s">
        <v>1069</v>
      </c>
      <c r="J90" s="95" t="s">
        <v>1055</v>
      </c>
    </row>
    <row r="91" spans="2:10" ht="17" customHeight="1" x14ac:dyDescent="0.2">
      <c r="B91" s="114">
        <v>158</v>
      </c>
      <c r="C91" s="90" t="s">
        <v>385</v>
      </c>
      <c r="D91" s="90" t="s">
        <v>389</v>
      </c>
      <c r="E91" s="105">
        <v>1</v>
      </c>
      <c r="F91" s="91">
        <v>118000</v>
      </c>
      <c r="G91" s="90" t="s">
        <v>1039</v>
      </c>
      <c r="H91" s="106">
        <v>118000</v>
      </c>
      <c r="I91" s="105" t="s">
        <v>1069</v>
      </c>
      <c r="J91" s="95" t="s">
        <v>1055</v>
      </c>
    </row>
    <row r="92" spans="2:10" ht="17" customHeight="1" x14ac:dyDescent="0.2">
      <c r="B92" s="114">
        <v>165</v>
      </c>
      <c r="C92" s="90" t="s">
        <v>36</v>
      </c>
      <c r="D92" s="90" t="s">
        <v>624</v>
      </c>
      <c r="E92" s="105">
        <v>1</v>
      </c>
      <c r="F92" s="91">
        <v>100000</v>
      </c>
      <c r="G92" s="90" t="s">
        <v>1039</v>
      </c>
      <c r="H92" s="106">
        <v>100000</v>
      </c>
      <c r="I92" s="105" t="s">
        <v>1069</v>
      </c>
      <c r="J92" s="95" t="s">
        <v>1055</v>
      </c>
    </row>
    <row r="93" spans="2:10" ht="17" customHeight="1" x14ac:dyDescent="0.2">
      <c r="B93" s="114">
        <v>170</v>
      </c>
      <c r="C93" s="90" t="s">
        <v>385</v>
      </c>
      <c r="D93" s="90" t="s">
        <v>397</v>
      </c>
      <c r="E93" s="105">
        <v>1</v>
      </c>
      <c r="F93" s="91">
        <v>60000</v>
      </c>
      <c r="G93" s="90" t="s">
        <v>1039</v>
      </c>
      <c r="H93" s="106">
        <v>60000</v>
      </c>
      <c r="I93" s="105" t="s">
        <v>1069</v>
      </c>
      <c r="J93" s="95" t="s">
        <v>1055</v>
      </c>
    </row>
    <row r="94" spans="2:10" ht="22" customHeight="1" x14ac:dyDescent="0.2">
      <c r="B94" s="78"/>
      <c r="C94" s="75"/>
      <c r="D94" s="75"/>
      <c r="E94" s="75"/>
      <c r="F94" s="75"/>
      <c r="G94" s="75"/>
      <c r="H94" s="75"/>
      <c r="I94" s="75"/>
      <c r="J94" s="79"/>
    </row>
    <row r="95" spans="2:10" ht="22" customHeight="1" thickBot="1" x14ac:dyDescent="0.25">
      <c r="B95" s="88" t="s">
        <v>1077</v>
      </c>
      <c r="C95" s="87"/>
      <c r="D95" s="87"/>
      <c r="E95" s="87"/>
      <c r="F95" s="76">
        <v>146614000</v>
      </c>
      <c r="G95" s="76">
        <v>1860000</v>
      </c>
      <c r="H95" s="111">
        <v>144754000</v>
      </c>
      <c r="I95" s="77"/>
      <c r="J95" s="80"/>
    </row>
    <row r="100" ht="22" customHeight="1" x14ac:dyDescent="0.2"/>
  </sheetData>
  <mergeCells count="4">
    <mergeCell ref="B95:E95"/>
    <mergeCell ref="B41:I41"/>
    <mergeCell ref="B4:C4"/>
    <mergeCell ref="K4:L4"/>
  </mergeCell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1:W353"/>
  <sheetViews>
    <sheetView showGridLines="0" zoomScale="110" zoomScaleNormal="110" workbookViewId="0">
      <pane xSplit="1" ySplit="4" topLeftCell="B164" activePane="bottomRight" state="frozen"/>
      <selection pane="topRight" activeCell="B1" sqref="B1"/>
      <selection pane="bottomLeft" activeCell="A6" sqref="A6"/>
      <selection pane="bottomRight" activeCell="J164" sqref="J164:J352"/>
    </sheetView>
  </sheetViews>
  <sheetFormatPr baseColWidth="10" defaultColWidth="8.83203125" defaultRowHeight="15" x14ac:dyDescent="0.2"/>
  <cols>
    <col min="1" max="1" width="1.5" customWidth="1"/>
    <col min="2" max="2" width="6" bestFit="1" customWidth="1"/>
    <col min="3" max="5" width="24.83203125" customWidth="1"/>
    <col min="6" max="6" width="24.83203125" bestFit="1" customWidth="1"/>
    <col min="7" max="7" width="18.33203125" customWidth="1"/>
    <col min="8" max="8" width="21.1640625" bestFit="1" customWidth="1"/>
    <col min="9" max="9" width="19.33203125" customWidth="1"/>
    <col min="10" max="10" width="19.5" bestFit="1" customWidth="1"/>
    <col min="11" max="11" width="15.5" bestFit="1" customWidth="1"/>
    <col min="12" max="12" width="19.83203125" bestFit="1" customWidth="1"/>
    <col min="13" max="13" width="17.1640625" bestFit="1" customWidth="1"/>
    <col min="14" max="14" width="13.6640625" bestFit="1" customWidth="1"/>
    <col min="15" max="15" width="10.5" customWidth="1"/>
    <col min="16" max="16" width="11.6640625" bestFit="1" customWidth="1"/>
    <col min="17" max="17" width="11" customWidth="1"/>
    <col min="18" max="18" width="40.5" customWidth="1"/>
    <col min="19" max="19" width="15.1640625" customWidth="1"/>
    <col min="20" max="20" width="31.1640625" bestFit="1" customWidth="1"/>
    <col min="21" max="21" width="16.33203125" bestFit="1" customWidth="1"/>
    <col min="22" max="22" width="27.5" customWidth="1"/>
  </cols>
  <sheetData>
    <row r="1" spans="2:22" ht="24" x14ac:dyDescent="0.3">
      <c r="B1" s="18" t="s">
        <v>0</v>
      </c>
    </row>
    <row r="2" spans="2:22" ht="19" x14ac:dyDescent="0.25">
      <c r="B2" s="19" t="s">
        <v>107</v>
      </c>
    </row>
    <row r="3" spans="2:22" ht="45" customHeight="1" x14ac:dyDescent="0.2">
      <c r="B3" s="20" t="s">
        <v>19</v>
      </c>
      <c r="C3" s="20" t="s">
        <v>22</v>
      </c>
      <c r="D3" s="20" t="s">
        <v>39</v>
      </c>
      <c r="E3" s="20" t="s">
        <v>185</v>
      </c>
      <c r="F3" s="20" t="s">
        <v>1</v>
      </c>
      <c r="G3" s="20" t="s">
        <v>18</v>
      </c>
      <c r="H3" s="20" t="s">
        <v>2</v>
      </c>
      <c r="I3" s="20" t="s">
        <v>3</v>
      </c>
      <c r="J3" s="20" t="s">
        <v>4</v>
      </c>
      <c r="K3" s="20" t="s">
        <v>741</v>
      </c>
      <c r="L3" s="20" t="s">
        <v>741</v>
      </c>
      <c r="M3" s="20" t="s">
        <v>745</v>
      </c>
      <c r="N3" s="20" t="s">
        <v>9</v>
      </c>
      <c r="O3" s="20" t="s">
        <v>10</v>
      </c>
      <c r="P3" s="20" t="s">
        <v>741</v>
      </c>
      <c r="Q3" s="20" t="s">
        <v>732</v>
      </c>
      <c r="R3" s="20" t="s">
        <v>13</v>
      </c>
      <c r="S3" s="20" t="s">
        <v>14</v>
      </c>
      <c r="T3" s="20" t="s">
        <v>15</v>
      </c>
      <c r="U3" s="20" t="s">
        <v>17</v>
      </c>
      <c r="V3" s="20" t="s">
        <v>16</v>
      </c>
    </row>
    <row r="4" spans="2:22" ht="16" x14ac:dyDescent="0.2">
      <c r="B4" s="2"/>
      <c r="C4" s="2"/>
      <c r="D4" s="2"/>
      <c r="E4" s="2"/>
      <c r="F4" s="2"/>
      <c r="G4" s="2"/>
      <c r="H4" s="2"/>
      <c r="I4" s="2"/>
      <c r="J4" s="2" t="s">
        <v>5</v>
      </c>
      <c r="K4" s="2" t="s">
        <v>6</v>
      </c>
      <c r="L4" s="2" t="s">
        <v>7</v>
      </c>
      <c r="M4" s="2" t="s">
        <v>8</v>
      </c>
      <c r="N4" s="2"/>
      <c r="O4" s="4" t="s">
        <v>11</v>
      </c>
      <c r="P4" s="2" t="s">
        <v>12</v>
      </c>
      <c r="Q4" s="2"/>
      <c r="R4" s="2"/>
      <c r="S4" s="2"/>
      <c r="T4" s="2"/>
      <c r="U4" s="2"/>
      <c r="V4" s="2"/>
    </row>
    <row r="5" spans="2:22" ht="32" hidden="1" x14ac:dyDescent="0.2">
      <c r="B5" s="1">
        <f>B4+1</f>
        <v>1</v>
      </c>
      <c r="C5" s="1" t="s">
        <v>103</v>
      </c>
      <c r="D5" s="1" t="s">
        <v>288</v>
      </c>
      <c r="E5" s="1" t="s">
        <v>289</v>
      </c>
      <c r="F5" s="3" t="s">
        <v>113</v>
      </c>
      <c r="G5" s="1">
        <v>1</v>
      </c>
      <c r="H5" s="1" t="s">
        <v>48</v>
      </c>
      <c r="I5" s="1" t="s">
        <v>59</v>
      </c>
      <c r="J5" s="5">
        <v>38000000</v>
      </c>
      <c r="K5" s="5">
        <v>0</v>
      </c>
      <c r="L5" s="5">
        <v>0</v>
      </c>
      <c r="M5" s="5">
        <f t="shared" ref="M5:M42" si="0">SUM(J5:L5)</f>
        <v>38000000</v>
      </c>
      <c r="N5" s="1" t="s">
        <v>50</v>
      </c>
      <c r="O5" s="6">
        <v>46204</v>
      </c>
      <c r="P5" s="6">
        <v>46356</v>
      </c>
      <c r="Q5" s="6" t="s">
        <v>723</v>
      </c>
      <c r="R5" s="3" t="s">
        <v>148</v>
      </c>
      <c r="S5" s="3" t="s">
        <v>163</v>
      </c>
      <c r="T5" s="3"/>
      <c r="U5" s="1"/>
      <c r="V5" s="3"/>
    </row>
    <row r="6" spans="2:22" ht="48" hidden="1" x14ac:dyDescent="0.2">
      <c r="B6" s="1">
        <f t="shared" ref="B6:B69" si="1">B5+1</f>
        <v>2</v>
      </c>
      <c r="C6" s="1" t="s">
        <v>103</v>
      </c>
      <c r="D6" s="1" t="s">
        <v>288</v>
      </c>
      <c r="E6" s="1" t="s">
        <v>289</v>
      </c>
      <c r="F6" s="3" t="s">
        <v>47</v>
      </c>
      <c r="G6" s="1">
        <v>1</v>
      </c>
      <c r="H6" s="1" t="s">
        <v>48</v>
      </c>
      <c r="I6" s="1" t="s">
        <v>49</v>
      </c>
      <c r="J6" s="5">
        <v>22500000</v>
      </c>
      <c r="K6" s="5">
        <v>0</v>
      </c>
      <c r="L6" s="5">
        <v>0</v>
      </c>
      <c r="M6" s="5">
        <f t="shared" si="0"/>
        <v>22500000</v>
      </c>
      <c r="N6" s="1" t="s">
        <v>143</v>
      </c>
      <c r="O6" s="6">
        <v>45981</v>
      </c>
      <c r="P6" s="6">
        <v>46132</v>
      </c>
      <c r="Q6" s="6" t="s">
        <v>731</v>
      </c>
      <c r="R6" s="3" t="s">
        <v>51</v>
      </c>
      <c r="S6" s="3" t="s">
        <v>52</v>
      </c>
      <c r="T6" s="3"/>
      <c r="U6" s="1">
        <v>200000</v>
      </c>
      <c r="V6" s="3" t="s">
        <v>53</v>
      </c>
    </row>
    <row r="7" spans="2:22" ht="16" hidden="1" x14ac:dyDescent="0.2">
      <c r="B7" s="1">
        <f t="shared" si="1"/>
        <v>3</v>
      </c>
      <c r="C7" s="1" t="s">
        <v>103</v>
      </c>
      <c r="D7" s="1" t="s">
        <v>288</v>
      </c>
      <c r="E7" s="1" t="s">
        <v>289</v>
      </c>
      <c r="F7" s="3" t="s">
        <v>115</v>
      </c>
      <c r="G7" s="1">
        <v>1</v>
      </c>
      <c r="H7" s="1" t="s">
        <v>167</v>
      </c>
      <c r="I7" s="1" t="s">
        <v>60</v>
      </c>
      <c r="J7" s="5">
        <v>16400000</v>
      </c>
      <c r="K7" s="5">
        <v>0</v>
      </c>
      <c r="L7" s="5">
        <v>0</v>
      </c>
      <c r="M7" s="5">
        <f t="shared" si="0"/>
        <v>16400000</v>
      </c>
      <c r="N7" s="1" t="s">
        <v>144</v>
      </c>
      <c r="O7" s="6">
        <v>46183</v>
      </c>
      <c r="P7" s="6">
        <v>46203</v>
      </c>
      <c r="Q7" s="6" t="s">
        <v>726</v>
      </c>
      <c r="R7" s="3" t="s">
        <v>150</v>
      </c>
      <c r="S7" s="3"/>
      <c r="T7" s="3"/>
      <c r="U7" s="1"/>
      <c r="V7" s="3" t="s">
        <v>164</v>
      </c>
    </row>
    <row r="8" spans="2:22" ht="32" hidden="1" x14ac:dyDescent="0.2">
      <c r="B8" s="1">
        <f t="shared" si="1"/>
        <v>4</v>
      </c>
      <c r="C8" s="1" t="s">
        <v>103</v>
      </c>
      <c r="D8" s="1" t="s">
        <v>288</v>
      </c>
      <c r="E8" s="1" t="s">
        <v>289</v>
      </c>
      <c r="F8" s="3" t="s">
        <v>110</v>
      </c>
      <c r="G8" s="1">
        <v>1</v>
      </c>
      <c r="H8" s="1" t="s">
        <v>48</v>
      </c>
      <c r="I8" s="1" t="s">
        <v>59</v>
      </c>
      <c r="J8" s="5">
        <v>16000000</v>
      </c>
      <c r="K8" s="5">
        <v>0</v>
      </c>
      <c r="L8" s="5">
        <v>0</v>
      </c>
      <c r="M8" s="5">
        <f t="shared" si="0"/>
        <v>16000000</v>
      </c>
      <c r="N8" s="1" t="s">
        <v>50</v>
      </c>
      <c r="O8" s="6">
        <v>46042</v>
      </c>
      <c r="P8" s="6">
        <v>46162</v>
      </c>
      <c r="Q8" s="6" t="s">
        <v>37</v>
      </c>
      <c r="R8" s="3" t="s">
        <v>63</v>
      </c>
      <c r="S8" s="3" t="s">
        <v>64</v>
      </c>
      <c r="T8" s="3"/>
      <c r="U8" s="1"/>
      <c r="V8" s="3"/>
    </row>
    <row r="9" spans="2:22" ht="64" hidden="1" x14ac:dyDescent="0.2">
      <c r="B9" s="1">
        <f t="shared" si="1"/>
        <v>5</v>
      </c>
      <c r="C9" s="1" t="s">
        <v>103</v>
      </c>
      <c r="D9" s="1" t="s">
        <v>288</v>
      </c>
      <c r="E9" s="1" t="s">
        <v>289</v>
      </c>
      <c r="F9" s="3" t="s">
        <v>111</v>
      </c>
      <c r="G9" s="1">
        <v>1</v>
      </c>
      <c r="H9" s="1" t="s">
        <v>48</v>
      </c>
      <c r="I9" s="1" t="s">
        <v>137</v>
      </c>
      <c r="J9" s="5">
        <v>15000000</v>
      </c>
      <c r="K9" s="5">
        <v>0</v>
      </c>
      <c r="L9" s="5">
        <v>0</v>
      </c>
      <c r="M9" s="5">
        <f t="shared" si="0"/>
        <v>15000000</v>
      </c>
      <c r="N9" s="1" t="s">
        <v>50</v>
      </c>
      <c r="O9" s="6">
        <v>46208</v>
      </c>
      <c r="P9" s="6">
        <v>46314</v>
      </c>
      <c r="Q9" s="6" t="s">
        <v>722</v>
      </c>
      <c r="R9" s="3" t="s">
        <v>146</v>
      </c>
      <c r="S9" s="3" t="s">
        <v>161</v>
      </c>
      <c r="T9" s="3"/>
      <c r="U9" s="1"/>
      <c r="V9" s="3"/>
    </row>
    <row r="10" spans="2:22" ht="32" hidden="1" x14ac:dyDescent="0.2">
      <c r="B10" s="1">
        <f t="shared" si="1"/>
        <v>6</v>
      </c>
      <c r="C10" s="1" t="s">
        <v>103</v>
      </c>
      <c r="D10" s="1" t="s">
        <v>288</v>
      </c>
      <c r="E10" s="1" t="s">
        <v>289</v>
      </c>
      <c r="F10" s="3" t="s">
        <v>119</v>
      </c>
      <c r="G10" s="1">
        <v>1</v>
      </c>
      <c r="H10" s="1" t="s">
        <v>48</v>
      </c>
      <c r="I10" s="1" t="s">
        <v>140</v>
      </c>
      <c r="J10" s="5">
        <v>15000000</v>
      </c>
      <c r="K10" s="5">
        <v>0</v>
      </c>
      <c r="L10" s="5">
        <v>0</v>
      </c>
      <c r="M10" s="5">
        <f t="shared" si="0"/>
        <v>15000000</v>
      </c>
      <c r="N10" s="1" t="s">
        <v>50</v>
      </c>
      <c r="O10" s="6">
        <v>46157</v>
      </c>
      <c r="P10" s="6">
        <v>46275</v>
      </c>
      <c r="Q10" s="6" t="s">
        <v>724</v>
      </c>
      <c r="R10" s="3" t="s">
        <v>151</v>
      </c>
      <c r="S10" s="3"/>
      <c r="T10" s="3"/>
      <c r="U10" s="1"/>
      <c r="V10" s="3"/>
    </row>
    <row r="11" spans="2:22" ht="16" hidden="1" x14ac:dyDescent="0.2">
      <c r="B11" s="1">
        <f t="shared" si="1"/>
        <v>7</v>
      </c>
      <c r="C11" s="1" t="s">
        <v>103</v>
      </c>
      <c r="D11" s="1" t="s">
        <v>288</v>
      </c>
      <c r="E11" s="1" t="s">
        <v>292</v>
      </c>
      <c r="F11" s="3" t="s">
        <v>68</v>
      </c>
      <c r="G11" s="1">
        <v>1</v>
      </c>
      <c r="H11" s="1" t="s">
        <v>48</v>
      </c>
      <c r="I11" s="1" t="s">
        <v>60</v>
      </c>
      <c r="J11" s="5">
        <v>14000000</v>
      </c>
      <c r="K11" s="5">
        <v>0</v>
      </c>
      <c r="L11" s="5">
        <v>0</v>
      </c>
      <c r="M11" s="5">
        <f t="shared" si="0"/>
        <v>14000000</v>
      </c>
      <c r="N11" s="1" t="s">
        <v>50</v>
      </c>
      <c r="O11" s="6">
        <v>46091</v>
      </c>
      <c r="P11" s="6">
        <v>46152</v>
      </c>
      <c r="Q11" s="6" t="s">
        <v>37</v>
      </c>
      <c r="R11" s="3" t="s">
        <v>69</v>
      </c>
      <c r="S11" s="3" t="s">
        <v>70</v>
      </c>
      <c r="T11" s="3"/>
      <c r="U11" s="1">
        <v>50000</v>
      </c>
      <c r="V11" s="3"/>
    </row>
    <row r="12" spans="2:22" ht="48" hidden="1" x14ac:dyDescent="0.2">
      <c r="B12" s="1">
        <f t="shared" si="1"/>
        <v>8</v>
      </c>
      <c r="C12" s="1" t="s">
        <v>103</v>
      </c>
      <c r="D12" s="1" t="s">
        <v>288</v>
      </c>
      <c r="E12" s="1" t="s">
        <v>290</v>
      </c>
      <c r="F12" s="3" t="s">
        <v>54</v>
      </c>
      <c r="G12" s="1">
        <v>3</v>
      </c>
      <c r="H12" s="1" t="s">
        <v>165</v>
      </c>
      <c r="I12" s="1" t="s">
        <v>55</v>
      </c>
      <c r="J12" s="5">
        <v>9000000</v>
      </c>
      <c r="K12" s="5">
        <v>0</v>
      </c>
      <c r="L12" s="5">
        <v>0</v>
      </c>
      <c r="M12" s="5">
        <f t="shared" si="0"/>
        <v>9000000</v>
      </c>
      <c r="N12" s="1" t="s">
        <v>50</v>
      </c>
      <c r="O12" s="6">
        <v>46111</v>
      </c>
      <c r="P12" s="6">
        <v>46157</v>
      </c>
      <c r="Q12" s="6" t="s">
        <v>37</v>
      </c>
      <c r="R12" s="3" t="s">
        <v>56</v>
      </c>
      <c r="S12" s="3" t="s">
        <v>57</v>
      </c>
      <c r="T12" s="3"/>
      <c r="U12" s="1">
        <v>50000</v>
      </c>
      <c r="V12" s="3" t="s">
        <v>58</v>
      </c>
    </row>
    <row r="13" spans="2:22" ht="32" hidden="1" x14ac:dyDescent="0.2">
      <c r="B13" s="1">
        <f t="shared" si="1"/>
        <v>9</v>
      </c>
      <c r="C13" s="1" t="s">
        <v>145</v>
      </c>
      <c r="D13" s="1" t="s">
        <v>188</v>
      </c>
      <c r="E13" s="1" t="s">
        <v>293</v>
      </c>
      <c r="F13" s="3" t="s">
        <v>71</v>
      </c>
      <c r="G13" s="1">
        <v>1</v>
      </c>
      <c r="H13" s="1" t="s">
        <v>48</v>
      </c>
      <c r="I13" s="1" t="s">
        <v>60</v>
      </c>
      <c r="J13" s="5">
        <v>3700000</v>
      </c>
      <c r="K13" s="5">
        <v>0</v>
      </c>
      <c r="L13" s="5">
        <v>0</v>
      </c>
      <c r="M13" s="5">
        <f t="shared" si="0"/>
        <v>3700000</v>
      </c>
      <c r="N13" s="1" t="s">
        <v>50</v>
      </c>
      <c r="O13" s="6">
        <v>46042</v>
      </c>
      <c r="P13" s="6">
        <v>46091</v>
      </c>
      <c r="Q13" s="6" t="s">
        <v>731</v>
      </c>
      <c r="R13" s="3" t="s">
        <v>72</v>
      </c>
      <c r="S13" s="3" t="s">
        <v>73</v>
      </c>
      <c r="T13" s="3"/>
      <c r="U13" s="1"/>
      <c r="V13" s="3"/>
    </row>
    <row r="14" spans="2:22" ht="48" hidden="1" x14ac:dyDescent="0.2">
      <c r="B14" s="1">
        <f t="shared" si="1"/>
        <v>10</v>
      </c>
      <c r="C14" s="1" t="s">
        <v>145</v>
      </c>
      <c r="D14" s="1" t="s">
        <v>188</v>
      </c>
      <c r="E14" s="1" t="s">
        <v>293</v>
      </c>
      <c r="F14" s="3" t="s">
        <v>74</v>
      </c>
      <c r="G14" s="1">
        <v>1</v>
      </c>
      <c r="H14" s="1" t="s">
        <v>20</v>
      </c>
      <c r="I14" s="1" t="s">
        <v>60</v>
      </c>
      <c r="J14" s="5">
        <v>800000</v>
      </c>
      <c r="K14" s="5">
        <v>0</v>
      </c>
      <c r="L14" s="5">
        <v>0</v>
      </c>
      <c r="M14" s="5">
        <f t="shared" si="0"/>
        <v>800000</v>
      </c>
      <c r="N14" s="1" t="s">
        <v>50</v>
      </c>
      <c r="O14" s="6">
        <v>46063</v>
      </c>
      <c r="P14" s="6">
        <v>46101</v>
      </c>
      <c r="Q14" s="6" t="s">
        <v>731</v>
      </c>
      <c r="R14" s="3" t="s">
        <v>75</v>
      </c>
      <c r="S14" s="3" t="s">
        <v>76</v>
      </c>
      <c r="T14" s="3"/>
      <c r="U14" s="1"/>
      <c r="V14" s="3"/>
    </row>
    <row r="15" spans="2:22" ht="32" hidden="1" x14ac:dyDescent="0.2">
      <c r="B15" s="1">
        <f t="shared" si="1"/>
        <v>11</v>
      </c>
      <c r="C15" s="1" t="s">
        <v>145</v>
      </c>
      <c r="D15" s="1" t="s">
        <v>188</v>
      </c>
      <c r="E15" s="1" t="s">
        <v>293</v>
      </c>
      <c r="F15" s="3" t="s">
        <v>77</v>
      </c>
      <c r="G15" s="1">
        <v>1</v>
      </c>
      <c r="H15" s="1" t="s">
        <v>20</v>
      </c>
      <c r="I15" s="1" t="s">
        <v>60</v>
      </c>
      <c r="J15" s="5">
        <v>900000</v>
      </c>
      <c r="K15" s="5">
        <v>0</v>
      </c>
      <c r="L15" s="5">
        <v>0</v>
      </c>
      <c r="M15" s="5">
        <f t="shared" si="0"/>
        <v>900000</v>
      </c>
      <c r="N15" s="1" t="s">
        <v>50</v>
      </c>
      <c r="O15" s="6">
        <v>46126</v>
      </c>
      <c r="P15" s="6">
        <v>46252</v>
      </c>
      <c r="Q15" s="6" t="s">
        <v>725</v>
      </c>
      <c r="R15" s="3" t="s">
        <v>78</v>
      </c>
      <c r="S15" s="3" t="s">
        <v>79</v>
      </c>
      <c r="T15" s="3"/>
      <c r="U15" s="1"/>
      <c r="V15" s="3"/>
    </row>
    <row r="16" spans="2:22" ht="16" hidden="1" x14ac:dyDescent="0.2">
      <c r="B16" s="1">
        <f t="shared" si="1"/>
        <v>12</v>
      </c>
      <c r="C16" s="1" t="s">
        <v>103</v>
      </c>
      <c r="D16" s="1" t="s">
        <v>288</v>
      </c>
      <c r="E16" t="s">
        <v>289</v>
      </c>
      <c r="F16" s="3" t="s">
        <v>120</v>
      </c>
      <c r="G16" s="1"/>
      <c r="H16" s="1"/>
      <c r="I16" s="1"/>
      <c r="J16" s="5">
        <v>7000000</v>
      </c>
      <c r="K16" s="5">
        <v>0</v>
      </c>
      <c r="L16" s="5">
        <v>0</v>
      </c>
      <c r="M16" s="5">
        <f t="shared" si="0"/>
        <v>7000000</v>
      </c>
      <c r="N16" s="1" t="s">
        <v>50</v>
      </c>
      <c r="O16" s="6"/>
      <c r="P16" s="6"/>
      <c r="Q16" s="6" t="s">
        <v>724</v>
      </c>
      <c r="R16" s="3" t="s">
        <v>152</v>
      </c>
      <c r="S16" s="3"/>
      <c r="T16" s="3"/>
      <c r="U16" s="1"/>
      <c r="V16" s="3"/>
    </row>
    <row r="17" spans="2:22" ht="32" hidden="1" x14ac:dyDescent="0.2">
      <c r="B17" s="1">
        <f t="shared" si="1"/>
        <v>13</v>
      </c>
      <c r="C17" s="1" t="s">
        <v>103</v>
      </c>
      <c r="D17" s="1" t="s">
        <v>288</v>
      </c>
      <c r="E17" s="1" t="s">
        <v>289</v>
      </c>
      <c r="F17" s="3" t="s">
        <v>136</v>
      </c>
      <c r="G17" s="1">
        <v>104</v>
      </c>
      <c r="H17" s="1" t="s">
        <v>48</v>
      </c>
      <c r="I17" s="1" t="s">
        <v>60</v>
      </c>
      <c r="J17" s="5">
        <v>5000000</v>
      </c>
      <c r="K17" s="5">
        <v>0</v>
      </c>
      <c r="L17" s="5">
        <v>0</v>
      </c>
      <c r="M17" s="5">
        <f t="shared" si="0"/>
        <v>5000000</v>
      </c>
      <c r="N17" s="1" t="s">
        <v>50</v>
      </c>
      <c r="O17" s="6">
        <v>46023</v>
      </c>
      <c r="P17" s="6">
        <v>46387</v>
      </c>
      <c r="Q17" s="6" t="s">
        <v>729</v>
      </c>
      <c r="R17" s="3" t="s">
        <v>61</v>
      </c>
      <c r="S17" s="3"/>
      <c r="T17" s="3"/>
      <c r="U17" s="1"/>
      <c r="V17" s="3"/>
    </row>
    <row r="18" spans="2:22" ht="32" hidden="1" x14ac:dyDescent="0.2">
      <c r="B18" s="1">
        <f t="shared" si="1"/>
        <v>14</v>
      </c>
      <c r="C18" s="1" t="s">
        <v>103</v>
      </c>
      <c r="D18" s="1" t="s">
        <v>288</v>
      </c>
      <c r="E18" t="s">
        <v>292</v>
      </c>
      <c r="F18" s="3" t="s">
        <v>65</v>
      </c>
      <c r="G18" s="1">
        <v>1</v>
      </c>
      <c r="H18" s="1" t="s">
        <v>48</v>
      </c>
      <c r="I18" s="3" t="s">
        <v>66</v>
      </c>
      <c r="J18" s="5">
        <v>4000000</v>
      </c>
      <c r="K18" s="5">
        <v>0</v>
      </c>
      <c r="L18" s="5">
        <v>0</v>
      </c>
      <c r="M18" s="5">
        <f t="shared" si="0"/>
        <v>4000000</v>
      </c>
      <c r="N18" s="1" t="s">
        <v>50</v>
      </c>
      <c r="O18" s="6">
        <v>46058</v>
      </c>
      <c r="P18" s="6">
        <v>46122</v>
      </c>
      <c r="Q18" s="6" t="s">
        <v>731</v>
      </c>
      <c r="R18" s="3" t="s">
        <v>61</v>
      </c>
      <c r="S18" s="3" t="s">
        <v>67</v>
      </c>
      <c r="T18" s="3"/>
      <c r="U18" s="1">
        <v>50000</v>
      </c>
      <c r="V18" s="3"/>
    </row>
    <row r="19" spans="2:22" ht="32" hidden="1" x14ac:dyDescent="0.2">
      <c r="B19" s="1">
        <f t="shared" si="1"/>
        <v>15</v>
      </c>
      <c r="C19" s="1" t="s">
        <v>103</v>
      </c>
      <c r="D19" s="1" t="s">
        <v>288</v>
      </c>
      <c r="E19" s="1" t="s">
        <v>291</v>
      </c>
      <c r="F19" s="3" t="s">
        <v>109</v>
      </c>
      <c r="G19" s="1">
        <v>1</v>
      </c>
      <c r="H19" s="1" t="s">
        <v>48</v>
      </c>
      <c r="I19" s="1" t="s">
        <v>59</v>
      </c>
      <c r="J19" s="5">
        <v>3400000</v>
      </c>
      <c r="K19" s="5">
        <v>0</v>
      </c>
      <c r="L19" s="5">
        <v>0</v>
      </c>
      <c r="M19" s="5">
        <f t="shared" si="0"/>
        <v>3400000</v>
      </c>
      <c r="N19" s="1" t="s">
        <v>50</v>
      </c>
      <c r="O19" s="6">
        <v>45698</v>
      </c>
      <c r="P19" s="6">
        <v>45805</v>
      </c>
      <c r="Q19" s="6" t="s">
        <v>37</v>
      </c>
      <c r="R19" s="3" t="s">
        <v>62</v>
      </c>
      <c r="S19" s="3" t="s">
        <v>61</v>
      </c>
      <c r="T19" s="3"/>
      <c r="U19" s="1">
        <v>50000</v>
      </c>
      <c r="V19" s="3"/>
    </row>
    <row r="20" spans="2:22" ht="16" hidden="1" x14ac:dyDescent="0.2">
      <c r="B20" s="1">
        <f t="shared" si="1"/>
        <v>16</v>
      </c>
      <c r="C20" s="1" t="s">
        <v>103</v>
      </c>
      <c r="D20" s="1" t="s">
        <v>288</v>
      </c>
      <c r="E20" s="1" t="s">
        <v>291</v>
      </c>
      <c r="F20" s="3" t="s">
        <v>108</v>
      </c>
      <c r="G20" s="1">
        <v>1</v>
      </c>
      <c r="H20" s="1" t="s">
        <v>166</v>
      </c>
      <c r="I20" s="1" t="s">
        <v>60</v>
      </c>
      <c r="J20" s="5">
        <v>1800000</v>
      </c>
      <c r="K20" s="5">
        <v>0</v>
      </c>
      <c r="L20" s="5">
        <v>0</v>
      </c>
      <c r="M20" s="5">
        <f t="shared" si="0"/>
        <v>1800000</v>
      </c>
      <c r="N20" s="1" t="s">
        <v>50</v>
      </c>
      <c r="O20" s="6">
        <v>46122</v>
      </c>
      <c r="P20" s="6">
        <v>46157</v>
      </c>
      <c r="Q20" s="6" t="s">
        <v>37</v>
      </c>
      <c r="R20" s="3" t="s">
        <v>61</v>
      </c>
      <c r="S20" s="3" t="s">
        <v>160</v>
      </c>
      <c r="T20" s="3"/>
      <c r="U20" s="1"/>
      <c r="V20" s="3"/>
    </row>
    <row r="21" spans="2:22" ht="16" hidden="1" x14ac:dyDescent="0.2">
      <c r="B21" s="1">
        <f t="shared" si="1"/>
        <v>17</v>
      </c>
      <c r="C21" s="1" t="s">
        <v>103</v>
      </c>
      <c r="D21" s="1" t="s">
        <v>288</v>
      </c>
      <c r="E21" s="1" t="s">
        <v>289</v>
      </c>
      <c r="F21" s="3" t="s">
        <v>134</v>
      </c>
      <c r="G21" s="1">
        <v>1</v>
      </c>
      <c r="H21" s="1" t="s">
        <v>20</v>
      </c>
      <c r="I21" s="1" t="s">
        <v>140</v>
      </c>
      <c r="J21" s="5">
        <v>1500000</v>
      </c>
      <c r="K21" s="5">
        <v>0</v>
      </c>
      <c r="L21" s="5">
        <v>0</v>
      </c>
      <c r="M21" s="5">
        <f t="shared" si="0"/>
        <v>1500000</v>
      </c>
      <c r="N21" s="1" t="s">
        <v>50</v>
      </c>
      <c r="O21" s="6">
        <v>46085</v>
      </c>
      <c r="P21" s="6">
        <v>46110</v>
      </c>
      <c r="Q21" s="6" t="s">
        <v>731</v>
      </c>
      <c r="R21" s="3" t="s">
        <v>159</v>
      </c>
      <c r="S21" s="3"/>
      <c r="T21" s="3"/>
      <c r="U21" s="1"/>
      <c r="V21" s="3"/>
    </row>
    <row r="22" spans="2:22" ht="16" hidden="1" x14ac:dyDescent="0.2">
      <c r="B22" s="1">
        <f t="shared" si="1"/>
        <v>18</v>
      </c>
      <c r="C22" s="1" t="s">
        <v>145</v>
      </c>
      <c r="D22" s="1" t="s">
        <v>188</v>
      </c>
      <c r="E22" s="1" t="s">
        <v>295</v>
      </c>
      <c r="F22" s="3" t="s">
        <v>116</v>
      </c>
      <c r="G22" s="1">
        <v>1</v>
      </c>
      <c r="H22" s="1" t="s">
        <v>165</v>
      </c>
      <c r="I22" s="1" t="s">
        <v>139</v>
      </c>
      <c r="J22" s="5">
        <v>44100000</v>
      </c>
      <c r="K22" s="5">
        <v>0</v>
      </c>
      <c r="L22" s="5">
        <v>0</v>
      </c>
      <c r="M22" s="5">
        <f t="shared" si="0"/>
        <v>44100000</v>
      </c>
      <c r="N22" s="1" t="s">
        <v>50</v>
      </c>
      <c r="O22" s="6">
        <v>46023</v>
      </c>
      <c r="P22" s="6">
        <v>46188</v>
      </c>
      <c r="Q22" s="6" t="s">
        <v>726</v>
      </c>
      <c r="R22" s="3" t="s">
        <v>148</v>
      </c>
      <c r="S22" s="3"/>
      <c r="T22" s="3"/>
      <c r="U22" s="1"/>
      <c r="V22" s="3"/>
    </row>
    <row r="23" spans="2:22" ht="32" hidden="1" x14ac:dyDescent="0.2">
      <c r="B23" s="1">
        <f t="shared" si="1"/>
        <v>19</v>
      </c>
      <c r="C23" s="1" t="s">
        <v>145</v>
      </c>
      <c r="D23" s="1" t="s">
        <v>188</v>
      </c>
      <c r="E23" t="s">
        <v>295</v>
      </c>
      <c r="F23" s="3" t="s">
        <v>117</v>
      </c>
      <c r="G23" s="1">
        <v>1</v>
      </c>
      <c r="H23" s="1" t="s">
        <v>165</v>
      </c>
      <c r="I23" s="1" t="s">
        <v>139</v>
      </c>
      <c r="J23" s="5">
        <v>750000</v>
      </c>
      <c r="K23" s="5">
        <v>0</v>
      </c>
      <c r="L23" s="5">
        <v>0</v>
      </c>
      <c r="M23" s="5">
        <f t="shared" si="0"/>
        <v>750000</v>
      </c>
      <c r="N23" s="1" t="s">
        <v>50</v>
      </c>
      <c r="O23" s="6">
        <v>46023</v>
      </c>
      <c r="P23" s="6">
        <v>46042</v>
      </c>
      <c r="Q23" s="6" t="s">
        <v>731</v>
      </c>
      <c r="R23" s="3" t="s">
        <v>148</v>
      </c>
      <c r="S23" s="3"/>
      <c r="T23" s="3"/>
      <c r="U23" s="1"/>
      <c r="V23" s="3"/>
    </row>
    <row r="24" spans="2:22" ht="32" hidden="1" x14ac:dyDescent="0.2">
      <c r="B24" s="1">
        <f t="shared" si="1"/>
        <v>20</v>
      </c>
      <c r="C24" s="1" t="s">
        <v>145</v>
      </c>
      <c r="D24" s="1" t="s">
        <v>288</v>
      </c>
      <c r="E24" s="1" t="s">
        <v>292</v>
      </c>
      <c r="F24" s="3" t="s">
        <v>118</v>
      </c>
      <c r="G24" s="1">
        <v>1</v>
      </c>
      <c r="H24" s="1" t="s">
        <v>165</v>
      </c>
      <c r="I24" s="1" t="s">
        <v>139</v>
      </c>
      <c r="J24" s="5">
        <v>3500000</v>
      </c>
      <c r="K24" s="5">
        <v>0</v>
      </c>
      <c r="L24" s="5">
        <v>0</v>
      </c>
      <c r="M24" s="5">
        <f t="shared" si="0"/>
        <v>3500000</v>
      </c>
      <c r="N24" s="1" t="s">
        <v>50</v>
      </c>
      <c r="O24" s="6">
        <v>46183</v>
      </c>
      <c r="P24" s="6">
        <v>46223</v>
      </c>
      <c r="Q24" s="6" t="s">
        <v>731</v>
      </c>
      <c r="R24" s="3" t="s">
        <v>148</v>
      </c>
      <c r="S24" s="3"/>
      <c r="T24" s="3"/>
      <c r="U24" s="1"/>
      <c r="V24" s="3"/>
    </row>
    <row r="25" spans="2:22" ht="32" hidden="1" x14ac:dyDescent="0.2">
      <c r="B25" s="1">
        <f t="shared" si="1"/>
        <v>21</v>
      </c>
      <c r="C25" s="1" t="s">
        <v>103</v>
      </c>
      <c r="D25" s="1" t="s">
        <v>288</v>
      </c>
      <c r="E25" s="1" t="s">
        <v>289</v>
      </c>
      <c r="F25" s="3" t="s">
        <v>135</v>
      </c>
      <c r="G25" s="1">
        <v>1</v>
      </c>
      <c r="H25" s="1" t="s">
        <v>48</v>
      </c>
      <c r="I25" s="1" t="s">
        <v>60</v>
      </c>
      <c r="J25" s="5">
        <v>1200000</v>
      </c>
      <c r="K25" s="5">
        <v>0</v>
      </c>
      <c r="L25" s="5">
        <v>0</v>
      </c>
      <c r="M25" s="5">
        <f t="shared" si="0"/>
        <v>1200000</v>
      </c>
      <c r="N25" s="1" t="s">
        <v>50</v>
      </c>
      <c r="O25" s="6">
        <v>46019</v>
      </c>
      <c r="P25" s="6">
        <v>46050</v>
      </c>
      <c r="Q25" s="6" t="s">
        <v>731</v>
      </c>
      <c r="R25" s="3" t="s">
        <v>61</v>
      </c>
      <c r="S25" s="3"/>
      <c r="T25" s="3"/>
      <c r="U25" s="1"/>
      <c r="V25" s="3"/>
    </row>
    <row r="26" spans="2:22" ht="16" hidden="1" x14ac:dyDescent="0.2">
      <c r="B26" s="1">
        <f t="shared" si="1"/>
        <v>22</v>
      </c>
      <c r="C26" s="1" t="s">
        <v>103</v>
      </c>
      <c r="D26" s="1" t="s">
        <v>288</v>
      </c>
      <c r="E26" s="1" t="s">
        <v>289</v>
      </c>
      <c r="F26" s="3" t="s">
        <v>112</v>
      </c>
      <c r="G26" s="1">
        <v>1</v>
      </c>
      <c r="H26" s="1" t="s">
        <v>166</v>
      </c>
      <c r="I26" s="1" t="s">
        <v>60</v>
      </c>
      <c r="J26" s="5">
        <v>900000</v>
      </c>
      <c r="K26" s="5">
        <v>0</v>
      </c>
      <c r="L26" s="5">
        <v>0</v>
      </c>
      <c r="M26" s="5">
        <f t="shared" si="0"/>
        <v>900000</v>
      </c>
      <c r="N26" s="1" t="s">
        <v>50</v>
      </c>
      <c r="O26" s="6">
        <v>46037</v>
      </c>
      <c r="P26" s="6">
        <v>46122</v>
      </c>
      <c r="Q26" s="6" t="s">
        <v>731</v>
      </c>
      <c r="R26" s="3" t="s">
        <v>147</v>
      </c>
      <c r="S26" s="3" t="s">
        <v>162</v>
      </c>
      <c r="T26" s="3"/>
      <c r="U26" s="1"/>
      <c r="V26" s="3"/>
    </row>
    <row r="27" spans="2:22" ht="32" hidden="1" x14ac:dyDescent="0.2">
      <c r="B27" s="1">
        <f t="shared" si="1"/>
        <v>23</v>
      </c>
      <c r="C27" s="1" t="s">
        <v>145</v>
      </c>
      <c r="D27" s="1" t="s">
        <v>288</v>
      </c>
      <c r="E27" s="1" t="s">
        <v>295</v>
      </c>
      <c r="F27" s="3" t="s">
        <v>121</v>
      </c>
      <c r="G27" s="1">
        <v>1</v>
      </c>
      <c r="H27" s="1" t="s">
        <v>166</v>
      </c>
      <c r="I27" s="1" t="s">
        <v>138</v>
      </c>
      <c r="J27" s="5">
        <v>2000000</v>
      </c>
      <c r="K27" s="5">
        <v>0</v>
      </c>
      <c r="L27" s="5">
        <v>0</v>
      </c>
      <c r="M27" s="5">
        <f t="shared" si="0"/>
        <v>2000000</v>
      </c>
      <c r="N27" s="1" t="s">
        <v>50</v>
      </c>
      <c r="O27" s="6">
        <v>46117</v>
      </c>
      <c r="P27" s="6">
        <v>46171</v>
      </c>
      <c r="Q27" s="6" t="s">
        <v>37</v>
      </c>
      <c r="R27" s="3" t="s">
        <v>153</v>
      </c>
      <c r="S27" s="3"/>
      <c r="T27" s="3"/>
      <c r="U27" s="1"/>
      <c r="V27" s="3"/>
    </row>
    <row r="28" spans="2:22" ht="16" hidden="1" x14ac:dyDescent="0.2">
      <c r="B28" s="1">
        <f t="shared" si="1"/>
        <v>24</v>
      </c>
      <c r="C28" s="1" t="s">
        <v>145</v>
      </c>
      <c r="D28" s="1" t="s">
        <v>288</v>
      </c>
      <c r="E28" s="1" t="s">
        <v>295</v>
      </c>
      <c r="F28" s="3" t="s">
        <v>122</v>
      </c>
      <c r="G28" s="1">
        <v>4</v>
      </c>
      <c r="H28" s="1" t="s">
        <v>166</v>
      </c>
      <c r="I28" s="1" t="s">
        <v>141</v>
      </c>
      <c r="J28" s="5">
        <v>1000000</v>
      </c>
      <c r="K28" s="5">
        <v>0</v>
      </c>
      <c r="L28" s="5">
        <v>0</v>
      </c>
      <c r="M28" s="5">
        <f t="shared" si="0"/>
        <v>1000000</v>
      </c>
      <c r="N28" s="1" t="s">
        <v>50</v>
      </c>
      <c r="O28" s="6">
        <v>46055</v>
      </c>
      <c r="P28" s="6">
        <v>46127</v>
      </c>
      <c r="Q28" s="6" t="s">
        <v>731</v>
      </c>
      <c r="R28" s="3" t="s">
        <v>154</v>
      </c>
      <c r="S28" s="3"/>
      <c r="T28" s="3"/>
      <c r="U28" s="1"/>
      <c r="V28" s="3"/>
    </row>
    <row r="29" spans="2:22" ht="16" hidden="1" x14ac:dyDescent="0.2">
      <c r="B29" s="1">
        <f t="shared" si="1"/>
        <v>25</v>
      </c>
      <c r="C29" s="1" t="s">
        <v>145</v>
      </c>
      <c r="D29" s="1" t="s">
        <v>288</v>
      </c>
      <c r="E29" s="1" t="s">
        <v>295</v>
      </c>
      <c r="F29" s="3" t="s">
        <v>123</v>
      </c>
      <c r="G29" s="1">
        <v>5</v>
      </c>
      <c r="H29" s="1" t="s">
        <v>166</v>
      </c>
      <c r="I29" s="1" t="s">
        <v>141</v>
      </c>
      <c r="J29" s="5">
        <v>1000000</v>
      </c>
      <c r="K29" s="5">
        <v>0</v>
      </c>
      <c r="L29" s="5">
        <v>0</v>
      </c>
      <c r="M29" s="5">
        <f t="shared" si="0"/>
        <v>1000000</v>
      </c>
      <c r="N29" s="1" t="s">
        <v>50</v>
      </c>
      <c r="O29" s="6">
        <v>46055</v>
      </c>
      <c r="P29" s="6">
        <v>46127</v>
      </c>
      <c r="Q29" s="6" t="s">
        <v>731</v>
      </c>
      <c r="R29" s="3" t="s">
        <v>154</v>
      </c>
      <c r="S29" s="3"/>
      <c r="T29" s="3"/>
      <c r="U29" s="1"/>
      <c r="V29" s="3"/>
    </row>
    <row r="30" spans="2:22" ht="48" hidden="1" x14ac:dyDescent="0.2">
      <c r="B30" s="1">
        <f t="shared" si="1"/>
        <v>26</v>
      </c>
      <c r="C30" s="1" t="s">
        <v>145</v>
      </c>
      <c r="D30" s="1" t="s">
        <v>288</v>
      </c>
      <c r="E30" s="1" t="s">
        <v>289</v>
      </c>
      <c r="F30" s="3" t="s">
        <v>124</v>
      </c>
      <c r="G30" s="1">
        <v>1</v>
      </c>
      <c r="H30" s="1" t="s">
        <v>20</v>
      </c>
      <c r="I30" s="1" t="s">
        <v>141</v>
      </c>
      <c r="J30" s="5">
        <v>2000000</v>
      </c>
      <c r="K30" s="5">
        <v>0</v>
      </c>
      <c r="L30" s="5">
        <v>0</v>
      </c>
      <c r="M30" s="5">
        <f t="shared" si="0"/>
        <v>2000000</v>
      </c>
      <c r="N30" s="1" t="s">
        <v>50</v>
      </c>
      <c r="O30" s="6">
        <v>46054</v>
      </c>
      <c r="P30" s="6">
        <v>46080</v>
      </c>
      <c r="Q30" s="6" t="s">
        <v>731</v>
      </c>
      <c r="R30" s="3" t="s">
        <v>155</v>
      </c>
      <c r="S30" s="3"/>
      <c r="T30" s="3"/>
      <c r="U30" s="1"/>
      <c r="V30" s="3"/>
    </row>
    <row r="31" spans="2:22" ht="32" hidden="1" x14ac:dyDescent="0.2">
      <c r="B31" s="1">
        <f t="shared" si="1"/>
        <v>27</v>
      </c>
      <c r="C31" s="1" t="s">
        <v>145</v>
      </c>
      <c r="D31" s="1" t="s">
        <v>288</v>
      </c>
      <c r="E31" s="1" t="s">
        <v>289</v>
      </c>
      <c r="F31" s="3" t="s">
        <v>125</v>
      </c>
      <c r="G31" s="1">
        <v>1</v>
      </c>
      <c r="H31" s="1" t="s">
        <v>20</v>
      </c>
      <c r="I31" s="1" t="s">
        <v>141</v>
      </c>
      <c r="J31" s="5">
        <v>500000</v>
      </c>
      <c r="K31" s="5">
        <v>0</v>
      </c>
      <c r="L31" s="5">
        <v>0</v>
      </c>
      <c r="M31" s="5">
        <f t="shared" si="0"/>
        <v>500000</v>
      </c>
      <c r="N31" s="1" t="s">
        <v>50</v>
      </c>
      <c r="O31" s="6">
        <v>46082</v>
      </c>
      <c r="P31" s="6">
        <v>46111</v>
      </c>
      <c r="Q31" s="6" t="s">
        <v>731</v>
      </c>
      <c r="R31" s="3" t="s">
        <v>155</v>
      </c>
      <c r="S31" s="3"/>
      <c r="T31" s="3"/>
      <c r="U31" s="1"/>
      <c r="V31" s="3"/>
    </row>
    <row r="32" spans="2:22" ht="32" hidden="1" x14ac:dyDescent="0.2">
      <c r="B32" s="1">
        <f t="shared" si="1"/>
        <v>28</v>
      </c>
      <c r="C32" s="1" t="s">
        <v>145</v>
      </c>
      <c r="D32" s="1" t="s">
        <v>288</v>
      </c>
      <c r="E32" s="1" t="s">
        <v>295</v>
      </c>
      <c r="F32" s="3" t="s">
        <v>126</v>
      </c>
      <c r="G32" s="1">
        <v>1</v>
      </c>
      <c r="H32" s="1" t="s">
        <v>20</v>
      </c>
      <c r="I32" s="1" t="s">
        <v>141</v>
      </c>
      <c r="J32" s="5">
        <v>200000</v>
      </c>
      <c r="K32" s="5">
        <v>0</v>
      </c>
      <c r="L32" s="5">
        <v>0</v>
      </c>
      <c r="M32" s="5">
        <f t="shared" si="0"/>
        <v>200000</v>
      </c>
      <c r="N32" s="1" t="s">
        <v>50</v>
      </c>
      <c r="O32" s="6">
        <v>46023</v>
      </c>
      <c r="P32" s="6">
        <v>46052</v>
      </c>
      <c r="Q32" s="6" t="s">
        <v>731</v>
      </c>
      <c r="R32" s="3" t="s">
        <v>155</v>
      </c>
      <c r="S32" s="3"/>
      <c r="T32" s="3"/>
      <c r="U32" s="1"/>
      <c r="V32" s="3"/>
    </row>
    <row r="33" spans="2:22" ht="64" hidden="1" x14ac:dyDescent="0.2">
      <c r="B33" s="1">
        <f t="shared" si="1"/>
        <v>29</v>
      </c>
      <c r="C33" s="1" t="s">
        <v>145</v>
      </c>
      <c r="D33" s="1" t="s">
        <v>188</v>
      </c>
      <c r="E33" s="1" t="s">
        <v>295</v>
      </c>
      <c r="F33" s="3" t="s">
        <v>127</v>
      </c>
      <c r="G33" s="1">
        <v>1</v>
      </c>
      <c r="H33" s="1" t="s">
        <v>20</v>
      </c>
      <c r="I33" s="1" t="s">
        <v>142</v>
      </c>
      <c r="J33" s="5">
        <v>300000</v>
      </c>
      <c r="K33" s="5">
        <v>0</v>
      </c>
      <c r="L33" s="5">
        <v>0</v>
      </c>
      <c r="M33" s="5">
        <f t="shared" si="0"/>
        <v>300000</v>
      </c>
      <c r="N33" s="1" t="s">
        <v>50</v>
      </c>
      <c r="O33" s="6">
        <v>46023</v>
      </c>
      <c r="P33" s="6">
        <v>46052</v>
      </c>
      <c r="Q33" s="6" t="s">
        <v>731</v>
      </c>
      <c r="R33" s="3" t="s">
        <v>155</v>
      </c>
      <c r="S33" s="3"/>
      <c r="T33" s="3"/>
      <c r="U33" s="1"/>
      <c r="V33" s="3"/>
    </row>
    <row r="34" spans="2:22" ht="16" hidden="1" x14ac:dyDescent="0.2">
      <c r="B34" s="1">
        <f t="shared" si="1"/>
        <v>30</v>
      </c>
      <c r="C34" s="1" t="s">
        <v>145</v>
      </c>
      <c r="D34" s="1" t="s">
        <v>188</v>
      </c>
      <c r="E34" s="1" t="s">
        <v>295</v>
      </c>
      <c r="F34" s="3" t="s">
        <v>128</v>
      </c>
      <c r="G34" s="1">
        <v>2</v>
      </c>
      <c r="H34" s="1" t="s">
        <v>168</v>
      </c>
      <c r="I34" s="1" t="s">
        <v>141</v>
      </c>
      <c r="J34" s="5">
        <v>400000</v>
      </c>
      <c r="K34" s="5">
        <v>0</v>
      </c>
      <c r="L34" s="5">
        <v>0</v>
      </c>
      <c r="M34" s="5">
        <f t="shared" si="0"/>
        <v>400000</v>
      </c>
      <c r="N34" s="1" t="s">
        <v>50</v>
      </c>
      <c r="O34" s="6">
        <v>46082</v>
      </c>
      <c r="P34" s="6">
        <v>45746</v>
      </c>
      <c r="Q34" s="6" t="s">
        <v>731</v>
      </c>
      <c r="R34" s="3" t="s">
        <v>155</v>
      </c>
      <c r="S34" s="3"/>
      <c r="T34" s="3"/>
      <c r="U34" s="1"/>
      <c r="V34" s="3"/>
    </row>
    <row r="35" spans="2:22" ht="16" hidden="1" x14ac:dyDescent="0.2">
      <c r="B35" s="1">
        <f t="shared" si="1"/>
        <v>31</v>
      </c>
      <c r="C35" s="1" t="s">
        <v>145</v>
      </c>
      <c r="D35" s="1" t="s">
        <v>288</v>
      </c>
      <c r="E35" s="1" t="s">
        <v>289</v>
      </c>
      <c r="F35" s="3" t="s">
        <v>129</v>
      </c>
      <c r="G35" s="1">
        <v>1</v>
      </c>
      <c r="H35" s="1" t="s">
        <v>166</v>
      </c>
      <c r="I35" s="1" t="s">
        <v>60</v>
      </c>
      <c r="J35" s="5">
        <v>400000</v>
      </c>
      <c r="K35" s="5">
        <v>0</v>
      </c>
      <c r="L35" s="5">
        <v>0</v>
      </c>
      <c r="M35" s="5">
        <f t="shared" si="0"/>
        <v>400000</v>
      </c>
      <c r="N35" s="1" t="s">
        <v>50</v>
      </c>
      <c r="O35" s="6">
        <v>46082</v>
      </c>
      <c r="P35" s="6">
        <v>46111</v>
      </c>
      <c r="Q35" s="6" t="s">
        <v>731</v>
      </c>
      <c r="R35" s="3" t="s">
        <v>156</v>
      </c>
      <c r="S35" s="3"/>
      <c r="T35" s="3"/>
      <c r="U35" s="1"/>
      <c r="V35" s="3"/>
    </row>
    <row r="36" spans="2:22" ht="32" hidden="1" x14ac:dyDescent="0.2">
      <c r="B36" s="1">
        <f t="shared" si="1"/>
        <v>32</v>
      </c>
      <c r="C36" s="1" t="s">
        <v>145</v>
      </c>
      <c r="D36" s="1" t="s">
        <v>188</v>
      </c>
      <c r="E36" s="1" t="s">
        <v>295</v>
      </c>
      <c r="F36" s="3" t="s">
        <v>130</v>
      </c>
      <c r="G36" s="1">
        <v>1</v>
      </c>
      <c r="H36" s="1" t="s">
        <v>166</v>
      </c>
      <c r="I36" s="1" t="s">
        <v>60</v>
      </c>
      <c r="J36" s="5">
        <v>400000</v>
      </c>
      <c r="K36" s="5">
        <v>0</v>
      </c>
      <c r="L36" s="5">
        <v>0</v>
      </c>
      <c r="M36" s="5">
        <f t="shared" si="0"/>
        <v>400000</v>
      </c>
      <c r="N36" s="1" t="s">
        <v>50</v>
      </c>
      <c r="O36" s="6">
        <v>46058</v>
      </c>
      <c r="P36" s="6">
        <v>46080</v>
      </c>
      <c r="Q36" s="6" t="s">
        <v>731</v>
      </c>
      <c r="R36" s="3" t="s">
        <v>157</v>
      </c>
      <c r="S36" s="3"/>
      <c r="T36" s="3"/>
      <c r="U36" s="1"/>
      <c r="V36" s="3"/>
    </row>
    <row r="37" spans="2:22" ht="32" hidden="1" x14ac:dyDescent="0.2">
      <c r="B37" s="1">
        <f t="shared" si="1"/>
        <v>33</v>
      </c>
      <c r="C37" s="1" t="s">
        <v>145</v>
      </c>
      <c r="D37" s="1" t="s">
        <v>188</v>
      </c>
      <c r="E37" s="1" t="s">
        <v>295</v>
      </c>
      <c r="F37" s="3" t="s">
        <v>131</v>
      </c>
      <c r="G37" s="1">
        <v>1</v>
      </c>
      <c r="H37" s="1" t="s">
        <v>166</v>
      </c>
      <c r="I37" s="1" t="s">
        <v>60</v>
      </c>
      <c r="J37" s="5">
        <v>100000</v>
      </c>
      <c r="K37" s="5">
        <v>0</v>
      </c>
      <c r="L37" s="5">
        <v>0</v>
      </c>
      <c r="M37" s="5">
        <f t="shared" si="0"/>
        <v>100000</v>
      </c>
      <c r="N37" s="1" t="s">
        <v>50</v>
      </c>
      <c r="O37" s="6">
        <v>46026</v>
      </c>
      <c r="P37" s="6">
        <v>46050</v>
      </c>
      <c r="Q37" s="6" t="s">
        <v>731</v>
      </c>
      <c r="R37" s="3" t="s">
        <v>158</v>
      </c>
      <c r="S37" s="3"/>
      <c r="T37" s="3"/>
      <c r="U37" s="1"/>
      <c r="V37" s="3"/>
    </row>
    <row r="38" spans="2:22" ht="32" hidden="1" x14ac:dyDescent="0.2">
      <c r="B38" s="1">
        <f t="shared" si="1"/>
        <v>34</v>
      </c>
      <c r="C38" s="1" t="s">
        <v>145</v>
      </c>
      <c r="D38" s="1" t="s">
        <v>188</v>
      </c>
      <c r="E38" s="1" t="s">
        <v>45</v>
      </c>
      <c r="F38" s="3" t="s">
        <v>132</v>
      </c>
      <c r="G38" s="1">
        <v>1</v>
      </c>
      <c r="H38" s="1" t="s">
        <v>20</v>
      </c>
      <c r="I38" s="1" t="s">
        <v>141</v>
      </c>
      <c r="J38" s="5">
        <v>200000</v>
      </c>
      <c r="K38" s="5">
        <v>0</v>
      </c>
      <c r="L38" s="5">
        <v>0</v>
      </c>
      <c r="M38" s="5">
        <f t="shared" si="0"/>
        <v>200000</v>
      </c>
      <c r="N38" s="1" t="s">
        <v>50</v>
      </c>
      <c r="O38" s="6">
        <v>46085</v>
      </c>
      <c r="P38" s="6">
        <v>46110</v>
      </c>
      <c r="Q38" s="6" t="s">
        <v>731</v>
      </c>
      <c r="R38" s="3" t="s">
        <v>159</v>
      </c>
      <c r="S38" s="3"/>
      <c r="T38" s="3"/>
      <c r="U38" s="1"/>
      <c r="V38" s="3"/>
    </row>
    <row r="39" spans="2:22" ht="32" hidden="1" x14ac:dyDescent="0.2">
      <c r="B39" s="1">
        <f t="shared" si="1"/>
        <v>35</v>
      </c>
      <c r="C39" s="1" t="s">
        <v>145</v>
      </c>
      <c r="D39" s="1" t="s">
        <v>188</v>
      </c>
      <c r="E39" s="1" t="s">
        <v>45</v>
      </c>
      <c r="F39" s="3" t="s">
        <v>133</v>
      </c>
      <c r="G39" s="1">
        <v>2</v>
      </c>
      <c r="H39" s="1" t="s">
        <v>20</v>
      </c>
      <c r="I39" s="1" t="s">
        <v>141</v>
      </c>
      <c r="J39" s="5">
        <v>200000</v>
      </c>
      <c r="K39" s="5">
        <v>0</v>
      </c>
      <c r="L39" s="5">
        <v>0</v>
      </c>
      <c r="M39" s="5">
        <f t="shared" si="0"/>
        <v>200000</v>
      </c>
      <c r="N39" s="1" t="s">
        <v>50</v>
      </c>
      <c r="O39" s="6">
        <v>46085</v>
      </c>
      <c r="P39" s="6">
        <v>46110</v>
      </c>
      <c r="Q39" s="6" t="s">
        <v>731</v>
      </c>
      <c r="R39" s="3" t="s">
        <v>159</v>
      </c>
      <c r="S39" s="3"/>
      <c r="T39" s="3"/>
      <c r="U39" s="1"/>
      <c r="V39" s="3"/>
    </row>
    <row r="40" spans="2:22" ht="32" hidden="1" x14ac:dyDescent="0.2">
      <c r="B40" s="1">
        <f t="shared" si="1"/>
        <v>36</v>
      </c>
      <c r="C40" s="1" t="s">
        <v>103</v>
      </c>
      <c r="D40" s="1" t="s">
        <v>288</v>
      </c>
      <c r="E40" s="1" t="s">
        <v>294</v>
      </c>
      <c r="F40" s="3" t="s">
        <v>84</v>
      </c>
      <c r="G40" s="1">
        <v>40</v>
      </c>
      <c r="H40" s="1" t="s">
        <v>166</v>
      </c>
      <c r="I40" s="3" t="s">
        <v>85</v>
      </c>
      <c r="J40" s="5">
        <v>500000</v>
      </c>
      <c r="K40" s="5">
        <v>0</v>
      </c>
      <c r="L40" s="5">
        <v>0</v>
      </c>
      <c r="M40" s="5">
        <f t="shared" si="0"/>
        <v>500000</v>
      </c>
      <c r="N40" s="1" t="s">
        <v>86</v>
      </c>
      <c r="O40" s="6">
        <v>46047</v>
      </c>
      <c r="P40" s="6">
        <v>46096</v>
      </c>
      <c r="Q40" s="6" t="s">
        <v>731</v>
      </c>
      <c r="R40" s="3" t="s">
        <v>87</v>
      </c>
      <c r="S40" s="3" t="s">
        <v>88</v>
      </c>
      <c r="T40" s="3"/>
      <c r="U40" s="1"/>
      <c r="V40" s="3"/>
    </row>
    <row r="41" spans="2:22" ht="48" hidden="1" x14ac:dyDescent="0.2">
      <c r="B41" s="1">
        <f t="shared" si="1"/>
        <v>37</v>
      </c>
      <c r="C41" s="1" t="s">
        <v>103</v>
      </c>
      <c r="D41" s="1" t="s">
        <v>288</v>
      </c>
      <c r="E41" s="1" t="s">
        <v>295</v>
      </c>
      <c r="F41" s="3" t="s">
        <v>80</v>
      </c>
      <c r="G41" s="1">
        <v>1</v>
      </c>
      <c r="H41" s="1" t="s">
        <v>166</v>
      </c>
      <c r="I41" s="1" t="s">
        <v>81</v>
      </c>
      <c r="J41" s="5">
        <v>400000</v>
      </c>
      <c r="K41" s="5">
        <v>0</v>
      </c>
      <c r="L41" s="5">
        <v>0</v>
      </c>
      <c r="M41" s="5">
        <f t="shared" si="0"/>
        <v>400000</v>
      </c>
      <c r="N41" s="1" t="s">
        <v>50</v>
      </c>
      <c r="O41" s="6">
        <v>46091</v>
      </c>
      <c r="P41" s="6">
        <v>46109</v>
      </c>
      <c r="Q41" s="6" t="s">
        <v>731</v>
      </c>
      <c r="R41" s="3" t="s">
        <v>82</v>
      </c>
      <c r="S41" s="3" t="s">
        <v>83</v>
      </c>
      <c r="T41" s="3"/>
      <c r="U41" s="1"/>
      <c r="V41" s="3"/>
    </row>
    <row r="42" spans="2:22" ht="32" hidden="1" x14ac:dyDescent="0.2">
      <c r="B42" s="1">
        <f t="shared" si="1"/>
        <v>38</v>
      </c>
      <c r="C42" s="1" t="s">
        <v>103</v>
      </c>
      <c r="D42" s="1" t="s">
        <v>288</v>
      </c>
      <c r="E42" s="1" t="s">
        <v>289</v>
      </c>
      <c r="F42" s="3" t="s">
        <v>114</v>
      </c>
      <c r="G42" s="1">
        <v>1</v>
      </c>
      <c r="H42" s="1" t="s">
        <v>166</v>
      </c>
      <c r="I42" s="1" t="s">
        <v>138</v>
      </c>
      <c r="J42" s="5">
        <v>350000</v>
      </c>
      <c r="K42" s="5">
        <v>0</v>
      </c>
      <c r="L42" s="5">
        <v>0</v>
      </c>
      <c r="M42" s="5">
        <f t="shared" si="0"/>
        <v>350000</v>
      </c>
      <c r="N42" s="1" t="s">
        <v>50</v>
      </c>
      <c r="O42" s="6">
        <v>46160</v>
      </c>
      <c r="P42" s="6">
        <v>46183</v>
      </c>
      <c r="Q42" s="6" t="s">
        <v>726</v>
      </c>
      <c r="R42" s="3" t="s">
        <v>149</v>
      </c>
      <c r="S42" s="3" t="s">
        <v>64</v>
      </c>
      <c r="T42" s="3"/>
      <c r="U42" s="1"/>
      <c r="V42" s="3"/>
    </row>
    <row r="43" spans="2:22" ht="16" hidden="1" x14ac:dyDescent="0.2">
      <c r="B43" s="1">
        <f t="shared" si="1"/>
        <v>39</v>
      </c>
      <c r="C43" s="1" t="s">
        <v>169</v>
      </c>
      <c r="D43" s="1" t="s">
        <v>171</v>
      </c>
      <c r="E43" s="1" t="s">
        <v>186</v>
      </c>
      <c r="F43" s="1" t="s">
        <v>28</v>
      </c>
      <c r="G43" s="1">
        <v>30</v>
      </c>
      <c r="H43" s="1" t="s">
        <v>20</v>
      </c>
      <c r="I43" s="1" t="s">
        <v>60</v>
      </c>
      <c r="J43" s="5">
        <v>270000</v>
      </c>
      <c r="K43" s="5">
        <v>0</v>
      </c>
      <c r="L43" s="5">
        <v>0</v>
      </c>
      <c r="M43" s="5">
        <f t="shared" ref="M43:M68" si="2">SUM(J43:L43)</f>
        <v>270000</v>
      </c>
      <c r="N43" s="1"/>
      <c r="O43" s="6">
        <v>46113</v>
      </c>
      <c r="P43" s="6">
        <v>46203</v>
      </c>
      <c r="Q43" s="6" t="s">
        <v>726</v>
      </c>
      <c r="R43" s="3"/>
      <c r="S43" s="3"/>
      <c r="T43" s="3"/>
      <c r="U43" s="1"/>
      <c r="V43" s="3" t="s">
        <v>170</v>
      </c>
    </row>
    <row r="44" spans="2:22" ht="48" hidden="1" x14ac:dyDescent="0.2">
      <c r="B44" s="1">
        <f t="shared" si="1"/>
        <v>40</v>
      </c>
      <c r="C44" s="1" t="s">
        <v>169</v>
      </c>
      <c r="D44" s="1" t="s">
        <v>171</v>
      </c>
      <c r="E44" s="1" t="s">
        <v>186</v>
      </c>
      <c r="F44" s="1" t="s">
        <v>172</v>
      </c>
      <c r="G44" s="1">
        <v>50</v>
      </c>
      <c r="H44" s="1" t="s">
        <v>20</v>
      </c>
      <c r="I44" s="1" t="s">
        <v>60</v>
      </c>
      <c r="J44" s="5">
        <v>150000</v>
      </c>
      <c r="K44" s="5">
        <v>0</v>
      </c>
      <c r="L44" s="5">
        <v>0</v>
      </c>
      <c r="M44" s="5">
        <f t="shared" si="2"/>
        <v>150000</v>
      </c>
      <c r="N44" s="1"/>
      <c r="O44" s="6">
        <v>46113</v>
      </c>
      <c r="P44" s="6">
        <v>46203</v>
      </c>
      <c r="Q44" s="6" t="s">
        <v>726</v>
      </c>
      <c r="R44" s="3"/>
      <c r="S44" s="3"/>
      <c r="T44" s="3"/>
      <c r="U44" s="1"/>
      <c r="V44" s="3" t="s">
        <v>173</v>
      </c>
    </row>
    <row r="45" spans="2:22" ht="64" hidden="1" x14ac:dyDescent="0.2">
      <c r="B45" s="1">
        <f t="shared" si="1"/>
        <v>41</v>
      </c>
      <c r="C45" s="1" t="s">
        <v>169</v>
      </c>
      <c r="D45" s="1" t="s">
        <v>171</v>
      </c>
      <c r="E45" s="1" t="s">
        <v>186</v>
      </c>
      <c r="F45" s="1" t="s">
        <v>175</v>
      </c>
      <c r="G45" s="1">
        <v>50</v>
      </c>
      <c r="H45" s="1" t="s">
        <v>20</v>
      </c>
      <c r="I45" s="3" t="s">
        <v>176</v>
      </c>
      <c r="J45" s="5">
        <v>600000</v>
      </c>
      <c r="K45" s="5">
        <v>0</v>
      </c>
      <c r="L45" s="5">
        <v>0</v>
      </c>
      <c r="M45" s="5">
        <f t="shared" si="2"/>
        <v>600000</v>
      </c>
      <c r="N45" s="1"/>
      <c r="O45" s="6">
        <v>46143</v>
      </c>
      <c r="P45" s="6">
        <v>46233</v>
      </c>
      <c r="Q45" s="6" t="s">
        <v>721</v>
      </c>
      <c r="R45" s="3" t="s">
        <v>174</v>
      </c>
      <c r="S45" s="3"/>
      <c r="T45" s="3"/>
      <c r="U45" s="1"/>
      <c r="V45" s="3" t="s">
        <v>174</v>
      </c>
    </row>
    <row r="46" spans="2:22" ht="32" hidden="1" x14ac:dyDescent="0.2">
      <c r="B46" s="1">
        <f t="shared" si="1"/>
        <v>42</v>
      </c>
      <c r="C46" s="1" t="s">
        <v>169</v>
      </c>
      <c r="D46" s="1" t="s">
        <v>171</v>
      </c>
      <c r="E46" s="1" t="s">
        <v>187</v>
      </c>
      <c r="F46" s="1" t="s">
        <v>177</v>
      </c>
      <c r="G46" s="1">
        <v>56</v>
      </c>
      <c r="H46" s="1" t="s">
        <v>165</v>
      </c>
      <c r="I46" s="1" t="s">
        <v>81</v>
      </c>
      <c r="J46" s="5">
        <v>504000</v>
      </c>
      <c r="K46" s="5">
        <v>0</v>
      </c>
      <c r="L46" s="5">
        <v>0</v>
      </c>
      <c r="M46" s="5">
        <f t="shared" si="2"/>
        <v>504000</v>
      </c>
      <c r="N46" s="1"/>
      <c r="O46" s="6">
        <v>46113</v>
      </c>
      <c r="P46" s="6">
        <v>46233</v>
      </c>
      <c r="Q46" s="6" t="s">
        <v>721</v>
      </c>
      <c r="R46" s="3" t="s">
        <v>178</v>
      </c>
      <c r="S46" s="3"/>
      <c r="T46" s="3"/>
      <c r="U46" s="1"/>
      <c r="V46" s="3" t="s">
        <v>178</v>
      </c>
    </row>
    <row r="47" spans="2:22" ht="32" hidden="1" x14ac:dyDescent="0.2">
      <c r="B47" s="1">
        <f t="shared" si="1"/>
        <v>43</v>
      </c>
      <c r="C47" s="1" t="s">
        <v>26</v>
      </c>
      <c r="D47" s="1" t="s">
        <v>188</v>
      </c>
      <c r="E47" s="1" t="s">
        <v>189</v>
      </c>
      <c r="F47" s="1" t="s">
        <v>179</v>
      </c>
      <c r="G47" s="1">
        <v>2</v>
      </c>
      <c r="H47" s="1" t="s">
        <v>20</v>
      </c>
      <c r="I47" s="1" t="s">
        <v>190</v>
      </c>
      <c r="J47" s="5">
        <v>46000</v>
      </c>
      <c r="K47" s="5">
        <v>0</v>
      </c>
      <c r="L47" s="5">
        <v>0</v>
      </c>
      <c r="M47" s="5">
        <f t="shared" si="2"/>
        <v>46000</v>
      </c>
      <c r="N47" s="1"/>
      <c r="O47" s="6"/>
      <c r="P47" s="6"/>
      <c r="Q47" s="6" t="s">
        <v>731</v>
      </c>
      <c r="R47" s="3"/>
      <c r="S47" s="3"/>
      <c r="T47" s="3"/>
      <c r="U47" s="1"/>
      <c r="V47" s="3" t="s">
        <v>191</v>
      </c>
    </row>
    <row r="48" spans="2:22" ht="32" hidden="1" x14ac:dyDescent="0.2">
      <c r="B48" s="1">
        <f t="shared" si="1"/>
        <v>44</v>
      </c>
      <c r="C48" s="1" t="s">
        <v>26</v>
      </c>
      <c r="D48" s="1" t="s">
        <v>188</v>
      </c>
      <c r="E48" s="1" t="s">
        <v>202</v>
      </c>
      <c r="F48" s="1" t="s">
        <v>180</v>
      </c>
      <c r="G48" s="1">
        <v>1</v>
      </c>
      <c r="H48" s="1" t="s">
        <v>20</v>
      </c>
      <c r="I48" s="1" t="s">
        <v>190</v>
      </c>
      <c r="J48" s="5">
        <v>46000</v>
      </c>
      <c r="K48" s="5">
        <v>0</v>
      </c>
      <c r="L48" s="5">
        <v>0</v>
      </c>
      <c r="M48" s="5">
        <f t="shared" si="2"/>
        <v>46000</v>
      </c>
      <c r="N48" s="1"/>
      <c r="O48" s="6"/>
      <c r="P48" s="6"/>
      <c r="Q48" s="6" t="s">
        <v>731</v>
      </c>
      <c r="R48" s="3"/>
      <c r="S48" s="3"/>
      <c r="T48" s="3"/>
      <c r="U48" s="1"/>
      <c r="V48" s="3" t="s">
        <v>192</v>
      </c>
    </row>
    <row r="49" spans="2:22" ht="48" hidden="1" x14ac:dyDescent="0.2">
      <c r="B49" s="1">
        <f t="shared" si="1"/>
        <v>45</v>
      </c>
      <c r="C49" s="1" t="s">
        <v>26</v>
      </c>
      <c r="D49" s="1" t="s">
        <v>188</v>
      </c>
      <c r="E49" s="1" t="s">
        <v>202</v>
      </c>
      <c r="F49" s="1" t="s">
        <v>181</v>
      </c>
      <c r="G49" s="1">
        <v>2</v>
      </c>
      <c r="H49" s="1" t="s">
        <v>20</v>
      </c>
      <c r="I49" s="1" t="s">
        <v>190</v>
      </c>
      <c r="J49" s="5">
        <v>12000</v>
      </c>
      <c r="K49" s="5">
        <v>0</v>
      </c>
      <c r="L49" s="5">
        <v>0</v>
      </c>
      <c r="M49" s="5">
        <f t="shared" si="2"/>
        <v>12000</v>
      </c>
      <c r="N49" s="1"/>
      <c r="O49" s="6"/>
      <c r="P49" s="6"/>
      <c r="Q49" s="6" t="s">
        <v>731</v>
      </c>
      <c r="R49" s="3"/>
      <c r="S49" s="3"/>
      <c r="T49" s="3"/>
      <c r="U49" s="1"/>
      <c r="V49" s="3" t="s">
        <v>193</v>
      </c>
    </row>
    <row r="50" spans="2:22" ht="48" hidden="1" x14ac:dyDescent="0.2">
      <c r="B50" s="1">
        <f t="shared" si="1"/>
        <v>46</v>
      </c>
      <c r="C50" s="1" t="s">
        <v>26</v>
      </c>
      <c r="D50" s="1" t="s">
        <v>188</v>
      </c>
      <c r="E50" s="1" t="s">
        <v>202</v>
      </c>
      <c r="F50" s="1" t="s">
        <v>182</v>
      </c>
      <c r="G50" s="1">
        <v>2</v>
      </c>
      <c r="H50" s="1" t="s">
        <v>20</v>
      </c>
      <c r="I50" s="1" t="s">
        <v>190</v>
      </c>
      <c r="J50" s="5">
        <v>13000</v>
      </c>
      <c r="K50" s="5">
        <v>0</v>
      </c>
      <c r="L50" s="5">
        <v>0</v>
      </c>
      <c r="M50" s="5">
        <f t="shared" si="2"/>
        <v>13000</v>
      </c>
      <c r="N50" s="1"/>
      <c r="O50" s="6"/>
      <c r="P50" s="6"/>
      <c r="Q50" s="6" t="s">
        <v>731</v>
      </c>
      <c r="R50" s="3"/>
      <c r="S50" s="3"/>
      <c r="T50" s="3"/>
      <c r="U50" s="1"/>
      <c r="V50" s="3" t="s">
        <v>194</v>
      </c>
    </row>
    <row r="51" spans="2:22" ht="32" hidden="1" x14ac:dyDescent="0.2">
      <c r="B51" s="1">
        <f t="shared" si="1"/>
        <v>47</v>
      </c>
      <c r="C51" s="1" t="s">
        <v>26</v>
      </c>
      <c r="D51" s="1" t="s">
        <v>188</v>
      </c>
      <c r="E51" s="1" t="s">
        <v>202</v>
      </c>
      <c r="F51" s="1" t="s">
        <v>183</v>
      </c>
      <c r="G51" s="1">
        <v>1</v>
      </c>
      <c r="H51" s="1" t="s">
        <v>20</v>
      </c>
      <c r="I51" s="1" t="s">
        <v>190</v>
      </c>
      <c r="J51" s="5">
        <v>175000</v>
      </c>
      <c r="K51" s="5">
        <v>0</v>
      </c>
      <c r="L51" s="5">
        <v>0</v>
      </c>
      <c r="M51" s="5">
        <f t="shared" si="2"/>
        <v>175000</v>
      </c>
      <c r="N51" s="1"/>
      <c r="O51" s="6"/>
      <c r="P51" s="6"/>
      <c r="Q51" s="6" t="s">
        <v>37</v>
      </c>
      <c r="R51" s="3"/>
      <c r="S51" s="3"/>
      <c r="T51" s="3"/>
      <c r="U51" s="1"/>
      <c r="V51" s="3" t="s">
        <v>195</v>
      </c>
    </row>
    <row r="52" spans="2:22" ht="32" hidden="1" x14ac:dyDescent="0.2">
      <c r="B52" s="1">
        <f t="shared" si="1"/>
        <v>48</v>
      </c>
      <c r="C52" s="1" t="s">
        <v>26</v>
      </c>
      <c r="D52" s="1" t="s">
        <v>188</v>
      </c>
      <c r="E52" s="1" t="s">
        <v>202</v>
      </c>
      <c r="F52" s="1" t="s">
        <v>184</v>
      </c>
      <c r="G52" s="1">
        <v>1</v>
      </c>
      <c r="H52" s="1" t="s">
        <v>20</v>
      </c>
      <c r="I52" s="1" t="s">
        <v>190</v>
      </c>
      <c r="J52" s="5">
        <v>300000</v>
      </c>
      <c r="K52" s="5">
        <v>0</v>
      </c>
      <c r="L52" s="5">
        <v>0</v>
      </c>
      <c r="M52" s="5">
        <f t="shared" si="2"/>
        <v>300000</v>
      </c>
      <c r="N52" s="1"/>
      <c r="O52" s="6"/>
      <c r="P52" s="6"/>
      <c r="Q52" s="6" t="s">
        <v>37</v>
      </c>
      <c r="R52" s="3"/>
      <c r="S52" s="3"/>
      <c r="T52" s="3"/>
      <c r="U52" s="1"/>
      <c r="V52" s="3" t="s">
        <v>195</v>
      </c>
    </row>
    <row r="53" spans="2:22" ht="32" hidden="1" x14ac:dyDescent="0.2">
      <c r="B53" s="1">
        <f t="shared" si="1"/>
        <v>49</v>
      </c>
      <c r="C53" s="1" t="s">
        <v>26</v>
      </c>
      <c r="D53" s="1" t="s">
        <v>188</v>
      </c>
      <c r="E53" s="1" t="s">
        <v>202</v>
      </c>
      <c r="F53" s="1" t="s">
        <v>196</v>
      </c>
      <c r="G53" s="1">
        <v>2</v>
      </c>
      <c r="H53" s="1" t="s">
        <v>20</v>
      </c>
      <c r="I53" s="3" t="s">
        <v>204</v>
      </c>
      <c r="J53" s="5">
        <v>15000</v>
      </c>
      <c r="K53" s="5">
        <v>0</v>
      </c>
      <c r="L53" s="5">
        <v>0</v>
      </c>
      <c r="M53" s="5">
        <f t="shared" si="2"/>
        <v>15000</v>
      </c>
      <c r="N53" s="1"/>
      <c r="O53" s="6"/>
      <c r="P53" s="6"/>
      <c r="Q53" s="6" t="s">
        <v>37</v>
      </c>
      <c r="R53" s="3"/>
      <c r="S53" s="3"/>
      <c r="T53" s="3"/>
      <c r="U53" s="1"/>
      <c r="V53" s="3" t="s">
        <v>205</v>
      </c>
    </row>
    <row r="54" spans="2:22" ht="32" hidden="1" x14ac:dyDescent="0.2">
      <c r="B54" s="1">
        <f t="shared" si="1"/>
        <v>50</v>
      </c>
      <c r="C54" s="1" t="s">
        <v>26</v>
      </c>
      <c r="D54" s="1" t="s">
        <v>188</v>
      </c>
      <c r="E54" s="1" t="s">
        <v>202</v>
      </c>
      <c r="F54" s="1" t="s">
        <v>197</v>
      </c>
      <c r="G54" s="1">
        <v>4</v>
      </c>
      <c r="H54" s="1" t="s">
        <v>203</v>
      </c>
      <c r="I54" s="3" t="s">
        <v>204</v>
      </c>
      <c r="J54" s="5">
        <v>60000</v>
      </c>
      <c r="K54" s="5">
        <v>0</v>
      </c>
      <c r="L54" s="5">
        <v>0</v>
      </c>
      <c r="M54" s="5">
        <f t="shared" si="2"/>
        <v>60000</v>
      </c>
      <c r="N54" s="1"/>
      <c r="O54" s="6"/>
      <c r="P54" s="6"/>
      <c r="Q54" s="6" t="s">
        <v>37</v>
      </c>
      <c r="R54" s="3"/>
      <c r="S54" s="3"/>
      <c r="T54" s="3"/>
      <c r="U54" s="1"/>
      <c r="V54" s="3" t="s">
        <v>206</v>
      </c>
    </row>
    <row r="55" spans="2:22" ht="32" hidden="1" x14ac:dyDescent="0.2">
      <c r="B55" s="1">
        <f t="shared" si="1"/>
        <v>51</v>
      </c>
      <c r="C55" s="1" t="s">
        <v>26</v>
      </c>
      <c r="D55" s="1" t="s">
        <v>188</v>
      </c>
      <c r="E55" s="1" t="s">
        <v>202</v>
      </c>
      <c r="F55" s="1" t="s">
        <v>198</v>
      </c>
      <c r="G55" s="1">
        <v>1</v>
      </c>
      <c r="H55" s="1" t="s">
        <v>203</v>
      </c>
      <c r="I55" s="3" t="s">
        <v>204</v>
      </c>
      <c r="J55" s="5">
        <v>6250</v>
      </c>
      <c r="K55" s="5">
        <v>0</v>
      </c>
      <c r="L55" s="5">
        <v>0</v>
      </c>
      <c r="M55" s="5">
        <f t="shared" si="2"/>
        <v>6250</v>
      </c>
      <c r="N55" s="1"/>
      <c r="O55" s="6"/>
      <c r="P55" s="6"/>
      <c r="Q55" s="6" t="s">
        <v>37</v>
      </c>
      <c r="R55" s="3"/>
      <c r="S55" s="3"/>
      <c r="T55" s="3"/>
      <c r="U55" s="1"/>
      <c r="V55" s="3" t="s">
        <v>207</v>
      </c>
    </row>
    <row r="56" spans="2:22" ht="32" hidden="1" x14ac:dyDescent="0.2">
      <c r="B56" s="1">
        <f t="shared" si="1"/>
        <v>52</v>
      </c>
      <c r="C56" s="1" t="s">
        <v>26</v>
      </c>
      <c r="D56" s="1" t="s">
        <v>188</v>
      </c>
      <c r="E56" s="1" t="s">
        <v>202</v>
      </c>
      <c r="F56" s="1" t="s">
        <v>199</v>
      </c>
      <c r="G56" s="1">
        <v>1</v>
      </c>
      <c r="H56" s="1" t="s">
        <v>203</v>
      </c>
      <c r="I56" s="3" t="s">
        <v>204</v>
      </c>
      <c r="J56" s="5">
        <v>6500</v>
      </c>
      <c r="K56" s="5">
        <v>0</v>
      </c>
      <c r="L56" s="5">
        <v>0</v>
      </c>
      <c r="M56" s="5">
        <f t="shared" si="2"/>
        <v>6500</v>
      </c>
      <c r="N56" s="1"/>
      <c r="O56" s="6"/>
      <c r="P56" s="6"/>
      <c r="Q56" s="6" t="s">
        <v>37</v>
      </c>
      <c r="R56" s="3"/>
      <c r="S56" s="3"/>
      <c r="T56" s="3"/>
      <c r="U56" s="1"/>
      <c r="V56" s="3" t="s">
        <v>207</v>
      </c>
    </row>
    <row r="57" spans="2:22" ht="32" hidden="1" x14ac:dyDescent="0.2">
      <c r="B57" s="1">
        <f t="shared" si="1"/>
        <v>53</v>
      </c>
      <c r="C57" s="1" t="s">
        <v>26</v>
      </c>
      <c r="D57" s="1" t="s">
        <v>188</v>
      </c>
      <c r="E57" s="1" t="s">
        <v>202</v>
      </c>
      <c r="F57" s="1" t="s">
        <v>200</v>
      </c>
      <c r="G57" s="1">
        <v>2</v>
      </c>
      <c r="H57" s="1" t="s">
        <v>203</v>
      </c>
      <c r="I57" s="3" t="s">
        <v>204</v>
      </c>
      <c r="J57" s="5">
        <v>30000</v>
      </c>
      <c r="K57" s="5">
        <v>0</v>
      </c>
      <c r="L57" s="5">
        <v>0</v>
      </c>
      <c r="M57" s="5">
        <f t="shared" si="2"/>
        <v>30000</v>
      </c>
      <c r="N57" s="1"/>
      <c r="O57" s="6"/>
      <c r="P57" s="6"/>
      <c r="Q57" s="6" t="s">
        <v>37</v>
      </c>
      <c r="R57" s="3"/>
      <c r="S57" s="3"/>
      <c r="T57" s="3"/>
      <c r="U57" s="1"/>
      <c r="V57" s="3" t="s">
        <v>208</v>
      </c>
    </row>
    <row r="58" spans="2:22" ht="32" hidden="1" x14ac:dyDescent="0.2">
      <c r="B58" s="1">
        <f t="shared" si="1"/>
        <v>54</v>
      </c>
      <c r="C58" s="1" t="s">
        <v>26</v>
      </c>
      <c r="D58" s="1" t="s">
        <v>188</v>
      </c>
      <c r="E58" s="1" t="s">
        <v>202</v>
      </c>
      <c r="F58" s="1" t="s">
        <v>201</v>
      </c>
      <c r="G58" s="1">
        <v>1</v>
      </c>
      <c r="H58" s="1" t="s">
        <v>203</v>
      </c>
      <c r="I58" s="3" t="s">
        <v>204</v>
      </c>
      <c r="J58" s="5">
        <v>70000</v>
      </c>
      <c r="K58" s="5">
        <v>0</v>
      </c>
      <c r="L58" s="5">
        <v>0</v>
      </c>
      <c r="M58" s="5">
        <f t="shared" si="2"/>
        <v>70000</v>
      </c>
      <c r="N58" s="1"/>
      <c r="O58" s="6"/>
      <c r="P58" s="6"/>
      <c r="Q58" s="6" t="s">
        <v>37</v>
      </c>
      <c r="R58" s="3"/>
      <c r="S58" s="3"/>
      <c r="T58" s="3"/>
      <c r="U58" s="1"/>
      <c r="V58" s="3" t="s">
        <v>209</v>
      </c>
    </row>
    <row r="59" spans="2:22" ht="48" hidden="1" x14ac:dyDescent="0.2">
      <c r="B59" s="1">
        <f t="shared" si="1"/>
        <v>55</v>
      </c>
      <c r="C59" s="1" t="s">
        <v>26</v>
      </c>
      <c r="D59" s="1" t="s">
        <v>188</v>
      </c>
      <c r="E59" s="1" t="s">
        <v>202</v>
      </c>
      <c r="F59" s="1" t="s">
        <v>210</v>
      </c>
      <c r="G59" s="1">
        <v>7</v>
      </c>
      <c r="H59" s="1" t="s">
        <v>203</v>
      </c>
      <c r="I59" s="1" t="s">
        <v>212</v>
      </c>
      <c r="J59" s="5">
        <v>1365000</v>
      </c>
      <c r="K59" s="5">
        <v>0</v>
      </c>
      <c r="L59" s="5">
        <v>0</v>
      </c>
      <c r="M59" s="5">
        <f t="shared" si="2"/>
        <v>1365000</v>
      </c>
      <c r="N59" s="1"/>
      <c r="O59" s="6"/>
      <c r="P59" s="6"/>
      <c r="Q59" s="6" t="s">
        <v>726</v>
      </c>
      <c r="R59" s="3"/>
      <c r="S59" s="3"/>
      <c r="T59" s="3"/>
      <c r="U59" s="1"/>
      <c r="V59" s="3" t="s">
        <v>213</v>
      </c>
    </row>
    <row r="60" spans="2:22" ht="48" hidden="1" x14ac:dyDescent="0.2">
      <c r="B60" s="1">
        <f t="shared" si="1"/>
        <v>56</v>
      </c>
      <c r="C60" s="1" t="s">
        <v>26</v>
      </c>
      <c r="D60" s="1" t="s">
        <v>188</v>
      </c>
      <c r="E60" s="1" t="s">
        <v>202</v>
      </c>
      <c r="F60" s="1" t="s">
        <v>210</v>
      </c>
      <c r="G60" s="1">
        <v>1</v>
      </c>
      <c r="H60" s="1" t="s">
        <v>203</v>
      </c>
      <c r="I60" s="1" t="s">
        <v>212</v>
      </c>
      <c r="J60" s="5">
        <v>68000</v>
      </c>
      <c r="K60" s="5">
        <v>0</v>
      </c>
      <c r="L60" s="5">
        <v>0</v>
      </c>
      <c r="M60" s="5">
        <f t="shared" si="2"/>
        <v>68000</v>
      </c>
      <c r="N60" s="1"/>
      <c r="O60" s="6"/>
      <c r="P60" s="6"/>
      <c r="Q60" s="6" t="s">
        <v>726</v>
      </c>
      <c r="R60" s="3"/>
      <c r="S60" s="3"/>
      <c r="T60" s="3"/>
      <c r="U60" s="1"/>
      <c r="V60" s="3" t="s">
        <v>214</v>
      </c>
    </row>
    <row r="61" spans="2:22" ht="32" hidden="1" x14ac:dyDescent="0.2">
      <c r="B61" s="1">
        <f t="shared" si="1"/>
        <v>57</v>
      </c>
      <c r="C61" s="1" t="s">
        <v>26</v>
      </c>
      <c r="D61" s="1" t="s">
        <v>188</v>
      </c>
      <c r="E61" s="1" t="s">
        <v>202</v>
      </c>
      <c r="F61" s="1" t="s">
        <v>197</v>
      </c>
      <c r="G61" s="1">
        <v>4</v>
      </c>
      <c r="H61" s="1" t="s">
        <v>20</v>
      </c>
      <c r="I61" s="1" t="s">
        <v>212</v>
      </c>
      <c r="J61" s="5">
        <v>32000</v>
      </c>
      <c r="K61" s="5">
        <v>0</v>
      </c>
      <c r="L61" s="5">
        <v>0</v>
      </c>
      <c r="M61" s="5">
        <f t="shared" si="2"/>
        <v>32000</v>
      </c>
      <c r="N61" s="1"/>
      <c r="O61" s="6"/>
      <c r="P61" s="6"/>
      <c r="Q61" s="6" t="s">
        <v>726</v>
      </c>
      <c r="R61" s="3"/>
      <c r="S61" s="3"/>
      <c r="T61" s="3"/>
      <c r="U61" s="1"/>
      <c r="V61" s="3" t="s">
        <v>215</v>
      </c>
    </row>
    <row r="62" spans="2:22" ht="16" hidden="1" x14ac:dyDescent="0.2">
      <c r="B62" s="1">
        <f t="shared" si="1"/>
        <v>58</v>
      </c>
      <c r="C62" s="1" t="s">
        <v>26</v>
      </c>
      <c r="D62" s="1" t="s">
        <v>188</v>
      </c>
      <c r="E62" s="1" t="s">
        <v>202</v>
      </c>
      <c r="F62" s="1" t="s">
        <v>211</v>
      </c>
      <c r="G62" s="1">
        <v>2</v>
      </c>
      <c r="H62" s="1" t="s">
        <v>20</v>
      </c>
      <c r="I62" s="1" t="s">
        <v>212</v>
      </c>
      <c r="J62" s="5">
        <v>34000</v>
      </c>
      <c r="K62" s="5">
        <v>0</v>
      </c>
      <c r="L62" s="5">
        <v>0</v>
      </c>
      <c r="M62" s="5">
        <f t="shared" si="2"/>
        <v>34000</v>
      </c>
      <c r="N62" s="1"/>
      <c r="O62" s="6"/>
      <c r="P62" s="6"/>
      <c r="Q62" s="6" t="s">
        <v>726</v>
      </c>
      <c r="R62" s="3"/>
      <c r="S62" s="3"/>
      <c r="T62" s="3"/>
      <c r="U62" s="1"/>
      <c r="V62" s="3" t="s">
        <v>216</v>
      </c>
    </row>
    <row r="63" spans="2:22" ht="32" hidden="1" x14ac:dyDescent="0.2">
      <c r="B63" s="1">
        <f t="shared" si="1"/>
        <v>59</v>
      </c>
      <c r="C63" s="1" t="s">
        <v>26</v>
      </c>
      <c r="D63" s="1" t="s">
        <v>188</v>
      </c>
      <c r="E63" s="1" t="s">
        <v>202</v>
      </c>
      <c r="F63" s="1" t="s">
        <v>196</v>
      </c>
      <c r="G63" s="1">
        <v>1</v>
      </c>
      <c r="H63" s="1" t="s">
        <v>20</v>
      </c>
      <c r="I63" s="1" t="s">
        <v>212</v>
      </c>
      <c r="J63" s="5">
        <v>7500</v>
      </c>
      <c r="K63" s="5">
        <v>0</v>
      </c>
      <c r="L63" s="5">
        <v>0</v>
      </c>
      <c r="M63" s="5">
        <f t="shared" si="2"/>
        <v>7500</v>
      </c>
      <c r="N63" s="1"/>
      <c r="O63" s="6"/>
      <c r="P63" s="6"/>
      <c r="Q63" s="6" t="s">
        <v>726</v>
      </c>
      <c r="R63" s="3"/>
      <c r="S63" s="3"/>
      <c r="T63" s="3"/>
      <c r="U63" s="1"/>
      <c r="V63" s="3" t="s">
        <v>217</v>
      </c>
    </row>
    <row r="64" spans="2:22" ht="16" hidden="1" x14ac:dyDescent="0.2">
      <c r="B64" s="1">
        <f t="shared" si="1"/>
        <v>60</v>
      </c>
      <c r="C64" s="1" t="s">
        <v>26</v>
      </c>
      <c r="D64" s="1" t="s">
        <v>188</v>
      </c>
      <c r="E64" s="1" t="s">
        <v>202</v>
      </c>
      <c r="F64" s="1" t="s">
        <v>218</v>
      </c>
      <c r="G64" s="1">
        <v>1</v>
      </c>
      <c r="H64" s="1" t="s">
        <v>203</v>
      </c>
      <c r="I64" s="1" t="s">
        <v>221</v>
      </c>
      <c r="J64" s="5">
        <v>100000</v>
      </c>
      <c r="K64" s="5">
        <v>0</v>
      </c>
      <c r="L64" s="5">
        <v>0</v>
      </c>
      <c r="M64" s="5">
        <f t="shared" si="2"/>
        <v>100000</v>
      </c>
      <c r="N64" s="1"/>
      <c r="O64" s="6"/>
      <c r="P64" s="6"/>
      <c r="Q64" s="6" t="s">
        <v>726</v>
      </c>
      <c r="R64" s="3"/>
      <c r="S64" s="3"/>
      <c r="T64" s="3"/>
      <c r="U64" s="1"/>
      <c r="V64" s="3" t="s">
        <v>222</v>
      </c>
    </row>
    <row r="65" spans="2:23" ht="16" hidden="1" x14ac:dyDescent="0.2">
      <c r="B65" s="1">
        <f t="shared" si="1"/>
        <v>61</v>
      </c>
      <c r="C65" s="1" t="s">
        <v>26</v>
      </c>
      <c r="D65" s="1" t="s">
        <v>188</v>
      </c>
      <c r="E65" s="1" t="s">
        <v>202</v>
      </c>
      <c r="F65" s="1" t="s">
        <v>219</v>
      </c>
      <c r="G65" s="1">
        <v>1</v>
      </c>
      <c r="H65" s="1" t="s">
        <v>203</v>
      </c>
      <c r="I65" s="1" t="s">
        <v>221</v>
      </c>
      <c r="J65" s="5">
        <v>20000</v>
      </c>
      <c r="K65" s="5">
        <v>0</v>
      </c>
      <c r="L65" s="5">
        <v>0</v>
      </c>
      <c r="M65" s="5">
        <f t="shared" si="2"/>
        <v>20000</v>
      </c>
      <c r="N65" s="1"/>
      <c r="O65" s="6"/>
      <c r="P65" s="6"/>
      <c r="Q65" s="6" t="s">
        <v>726</v>
      </c>
      <c r="R65" s="3"/>
      <c r="S65" s="3"/>
      <c r="T65" s="3"/>
      <c r="U65" s="1"/>
      <c r="V65" s="3" t="s">
        <v>223</v>
      </c>
    </row>
    <row r="66" spans="2:23" ht="32" hidden="1" x14ac:dyDescent="0.2">
      <c r="B66" s="1">
        <f t="shared" si="1"/>
        <v>62</v>
      </c>
      <c r="C66" s="1" t="s">
        <v>26</v>
      </c>
      <c r="D66" s="1" t="s">
        <v>188</v>
      </c>
      <c r="E66" s="1" t="s">
        <v>202</v>
      </c>
      <c r="F66" s="1" t="s">
        <v>220</v>
      </c>
      <c r="G66" s="1">
        <v>1</v>
      </c>
      <c r="H66" s="1" t="s">
        <v>203</v>
      </c>
      <c r="I66" s="1" t="s">
        <v>221</v>
      </c>
      <c r="J66" s="5">
        <v>25000</v>
      </c>
      <c r="K66" s="5">
        <v>0</v>
      </c>
      <c r="L66" s="5">
        <v>0</v>
      </c>
      <c r="M66" s="5">
        <f t="shared" si="2"/>
        <v>25000</v>
      </c>
      <c r="N66" s="1"/>
      <c r="O66" s="6"/>
      <c r="P66" s="6"/>
      <c r="Q66" s="6" t="s">
        <v>726</v>
      </c>
      <c r="R66" s="3"/>
      <c r="S66" s="3"/>
      <c r="T66" s="3"/>
      <c r="U66" s="1"/>
      <c r="V66" s="3" t="s">
        <v>224</v>
      </c>
    </row>
    <row r="67" spans="2:23" ht="48" hidden="1" x14ac:dyDescent="0.2">
      <c r="B67" s="1">
        <f t="shared" si="1"/>
        <v>63</v>
      </c>
      <c r="C67" s="1" t="s">
        <v>26</v>
      </c>
      <c r="D67" s="1" t="s">
        <v>188</v>
      </c>
      <c r="E67" s="1" t="s">
        <v>202</v>
      </c>
      <c r="F67" s="1" t="s">
        <v>225</v>
      </c>
      <c r="G67" s="1">
        <v>1</v>
      </c>
      <c r="H67" s="1" t="s">
        <v>20</v>
      </c>
      <c r="I67" s="1" t="s">
        <v>226</v>
      </c>
      <c r="J67" s="5">
        <v>25000</v>
      </c>
      <c r="K67" s="5">
        <v>0</v>
      </c>
      <c r="L67" s="5">
        <v>0</v>
      </c>
      <c r="M67" s="5">
        <f t="shared" si="2"/>
        <v>25000</v>
      </c>
      <c r="N67" s="1"/>
      <c r="O67" s="6"/>
      <c r="P67" s="6"/>
      <c r="Q67" s="6" t="s">
        <v>721</v>
      </c>
      <c r="R67" s="3"/>
      <c r="S67" s="3"/>
      <c r="T67" s="3"/>
      <c r="U67" s="1"/>
      <c r="V67" s="3" t="s">
        <v>227</v>
      </c>
    </row>
    <row r="68" spans="2:23" ht="32" hidden="1" x14ac:dyDescent="0.2">
      <c r="B68" s="1">
        <f t="shared" si="1"/>
        <v>64</v>
      </c>
      <c r="C68" s="1" t="s">
        <v>26</v>
      </c>
      <c r="D68" s="1" t="s">
        <v>188</v>
      </c>
      <c r="E68" s="1" t="s">
        <v>202</v>
      </c>
      <c r="F68" s="1" t="s">
        <v>228</v>
      </c>
      <c r="G68" s="1">
        <v>1</v>
      </c>
      <c r="H68" s="1" t="s">
        <v>20</v>
      </c>
      <c r="I68" s="3" t="s">
        <v>204</v>
      </c>
      <c r="J68" s="5">
        <v>4500</v>
      </c>
      <c r="K68" s="5">
        <v>0</v>
      </c>
      <c r="L68" s="5">
        <v>0</v>
      </c>
      <c r="M68" s="5">
        <f t="shared" si="2"/>
        <v>4500</v>
      </c>
      <c r="N68" s="1"/>
      <c r="O68" s="6"/>
      <c r="P68" s="6"/>
      <c r="Q68" s="6" t="s">
        <v>721</v>
      </c>
      <c r="R68" s="3"/>
      <c r="S68" s="3"/>
      <c r="T68" s="3"/>
      <c r="U68" s="1"/>
      <c r="V68" s="3" t="s">
        <v>205</v>
      </c>
    </row>
    <row r="69" spans="2:23" ht="32" hidden="1" x14ac:dyDescent="0.2">
      <c r="B69" s="1">
        <f t="shared" si="1"/>
        <v>65</v>
      </c>
      <c r="C69" s="1" t="s">
        <v>26</v>
      </c>
      <c r="D69" s="1" t="s">
        <v>188</v>
      </c>
      <c r="E69" s="1" t="s">
        <v>202</v>
      </c>
      <c r="F69" s="1" t="s">
        <v>229</v>
      </c>
      <c r="G69" s="1">
        <v>1</v>
      </c>
      <c r="H69" s="1" t="s">
        <v>20</v>
      </c>
      <c r="I69" s="3" t="s">
        <v>204</v>
      </c>
      <c r="J69" s="5">
        <v>6000</v>
      </c>
      <c r="K69" s="5">
        <v>0</v>
      </c>
      <c r="L69" s="5">
        <v>0</v>
      </c>
      <c r="M69" s="5">
        <f t="shared" ref="M69:M118" si="3">SUM(J69:L69)</f>
        <v>6000</v>
      </c>
      <c r="N69" s="1"/>
      <c r="O69" s="6"/>
      <c r="P69" s="6"/>
      <c r="Q69" s="6" t="s">
        <v>721</v>
      </c>
      <c r="R69" s="3"/>
      <c r="S69" s="3"/>
      <c r="T69" s="3"/>
      <c r="U69" s="1"/>
      <c r="V69" s="3" t="s">
        <v>237</v>
      </c>
    </row>
    <row r="70" spans="2:23" ht="32" hidden="1" x14ac:dyDescent="0.2">
      <c r="B70" s="1">
        <f t="shared" ref="B70:B125" si="4">B69+1</f>
        <v>66</v>
      </c>
      <c r="C70" s="1" t="s">
        <v>26</v>
      </c>
      <c r="D70" s="1" t="s">
        <v>188</v>
      </c>
      <c r="E70" s="1" t="s">
        <v>189</v>
      </c>
      <c r="F70" s="1" t="s">
        <v>230</v>
      </c>
      <c r="G70" s="1">
        <v>100</v>
      </c>
      <c r="H70" s="1" t="s">
        <v>20</v>
      </c>
      <c r="I70" s="3" t="s">
        <v>204</v>
      </c>
      <c r="J70" s="5">
        <v>10000</v>
      </c>
      <c r="K70" s="5">
        <v>0</v>
      </c>
      <c r="L70" s="5">
        <v>0</v>
      </c>
      <c r="M70" s="5">
        <f t="shared" si="3"/>
        <v>10000</v>
      </c>
      <c r="N70" s="1"/>
      <c r="O70" s="6"/>
      <c r="P70" s="6"/>
      <c r="Q70" s="6" t="s">
        <v>721</v>
      </c>
      <c r="R70" s="3"/>
      <c r="S70" s="3"/>
      <c r="T70" s="3"/>
      <c r="U70" s="1"/>
      <c r="V70" s="3" t="s">
        <v>238</v>
      </c>
    </row>
    <row r="71" spans="2:23" ht="32" hidden="1" x14ac:dyDescent="0.2">
      <c r="B71" s="1">
        <f t="shared" si="4"/>
        <v>67</v>
      </c>
      <c r="C71" s="1" t="s">
        <v>26</v>
      </c>
      <c r="D71" s="1" t="s">
        <v>188</v>
      </c>
      <c r="E71" s="1" t="s">
        <v>189</v>
      </c>
      <c r="F71" s="1" t="s">
        <v>231</v>
      </c>
      <c r="G71" s="1">
        <v>100</v>
      </c>
      <c r="H71" s="1" t="s">
        <v>20</v>
      </c>
      <c r="I71" s="3" t="s">
        <v>204</v>
      </c>
      <c r="J71" s="5">
        <v>11500</v>
      </c>
      <c r="K71" s="5">
        <v>0</v>
      </c>
      <c r="L71" s="5">
        <v>0</v>
      </c>
      <c r="M71" s="5">
        <f t="shared" si="3"/>
        <v>11500</v>
      </c>
      <c r="N71" s="1"/>
      <c r="O71" s="6"/>
      <c r="P71" s="6"/>
      <c r="Q71" s="6" t="s">
        <v>721</v>
      </c>
      <c r="R71" s="3"/>
      <c r="S71" s="3"/>
      <c r="T71" s="3"/>
      <c r="U71" s="1"/>
      <c r="V71" s="3" t="s">
        <v>239</v>
      </c>
    </row>
    <row r="72" spans="2:23" ht="32" hidden="1" x14ac:dyDescent="0.2">
      <c r="B72" s="1">
        <f t="shared" si="4"/>
        <v>68</v>
      </c>
      <c r="C72" s="1" t="s">
        <v>26</v>
      </c>
      <c r="D72" s="1" t="s">
        <v>188</v>
      </c>
      <c r="E72" s="1" t="s">
        <v>189</v>
      </c>
      <c r="F72" s="1" t="s">
        <v>232</v>
      </c>
      <c r="G72" s="1">
        <v>24</v>
      </c>
      <c r="H72" s="1" t="s">
        <v>20</v>
      </c>
      <c r="I72" s="3" t="s">
        <v>204</v>
      </c>
      <c r="J72" s="5">
        <v>2400</v>
      </c>
      <c r="K72" s="5">
        <v>0</v>
      </c>
      <c r="L72" s="5">
        <v>0</v>
      </c>
      <c r="M72" s="5">
        <f t="shared" si="3"/>
        <v>2400</v>
      </c>
      <c r="N72" s="1"/>
      <c r="O72" s="6"/>
      <c r="P72" s="6"/>
      <c r="Q72" s="6" t="s">
        <v>721</v>
      </c>
      <c r="R72" s="3"/>
      <c r="S72" s="3"/>
      <c r="T72" s="3"/>
      <c r="U72" s="1"/>
      <c r="V72" s="3" t="s">
        <v>240</v>
      </c>
      <c r="W72" s="15"/>
    </row>
    <row r="73" spans="2:23" ht="32" hidden="1" x14ac:dyDescent="0.2">
      <c r="B73" s="1">
        <f t="shared" si="4"/>
        <v>69</v>
      </c>
      <c r="C73" s="1" t="s">
        <v>26</v>
      </c>
      <c r="D73" s="1" t="s">
        <v>188</v>
      </c>
      <c r="E73" s="1" t="s">
        <v>189</v>
      </c>
      <c r="F73" s="1" t="s">
        <v>233</v>
      </c>
      <c r="G73" s="1">
        <v>30</v>
      </c>
      <c r="H73" s="1" t="s">
        <v>20</v>
      </c>
      <c r="I73" s="3" t="s">
        <v>204</v>
      </c>
      <c r="J73" s="5">
        <v>3000</v>
      </c>
      <c r="K73" s="5">
        <v>0</v>
      </c>
      <c r="L73" s="5">
        <v>0</v>
      </c>
      <c r="M73" s="5">
        <f t="shared" si="3"/>
        <v>3000</v>
      </c>
      <c r="N73" s="1"/>
      <c r="O73" s="6"/>
      <c r="P73" s="6"/>
      <c r="Q73" s="6" t="s">
        <v>721</v>
      </c>
      <c r="R73" s="3"/>
      <c r="S73" s="3"/>
      <c r="T73" s="3"/>
      <c r="U73" s="1"/>
      <c r="V73" s="3" t="s">
        <v>241</v>
      </c>
    </row>
    <row r="74" spans="2:23" ht="32" hidden="1" x14ac:dyDescent="0.2">
      <c r="B74" s="1">
        <f t="shared" si="4"/>
        <v>70</v>
      </c>
      <c r="C74" s="1" t="s">
        <v>26</v>
      </c>
      <c r="D74" s="1" t="s">
        <v>188</v>
      </c>
      <c r="E74" s="1" t="s">
        <v>189</v>
      </c>
      <c r="F74" s="1" t="s">
        <v>234</v>
      </c>
      <c r="G74" s="1">
        <v>100</v>
      </c>
      <c r="H74" s="1" t="s">
        <v>20</v>
      </c>
      <c r="I74" s="3" t="s">
        <v>204</v>
      </c>
      <c r="J74" s="5">
        <v>2000</v>
      </c>
      <c r="K74" s="5">
        <v>0</v>
      </c>
      <c r="L74" s="5">
        <v>0</v>
      </c>
      <c r="M74" s="5">
        <f t="shared" si="3"/>
        <v>2000</v>
      </c>
      <c r="N74" s="1"/>
      <c r="O74" s="6"/>
      <c r="P74" s="6"/>
      <c r="Q74" s="6" t="s">
        <v>721</v>
      </c>
      <c r="R74" s="3"/>
      <c r="S74" s="3"/>
      <c r="T74" s="3"/>
      <c r="U74" s="1"/>
      <c r="V74" s="3" t="s">
        <v>242</v>
      </c>
    </row>
    <row r="75" spans="2:23" ht="32" hidden="1" x14ac:dyDescent="0.2">
      <c r="B75" s="1">
        <f t="shared" si="4"/>
        <v>71</v>
      </c>
      <c r="C75" s="1" t="s">
        <v>26</v>
      </c>
      <c r="D75" s="1" t="s">
        <v>188</v>
      </c>
      <c r="E75" s="1" t="s">
        <v>189</v>
      </c>
      <c r="F75" s="1" t="s">
        <v>235</v>
      </c>
      <c r="G75" s="1">
        <v>24</v>
      </c>
      <c r="H75" s="1" t="s">
        <v>20</v>
      </c>
      <c r="I75" s="3" t="s">
        <v>204</v>
      </c>
      <c r="J75" s="5">
        <v>3600</v>
      </c>
      <c r="K75" s="5">
        <v>0</v>
      </c>
      <c r="L75" s="5">
        <v>0</v>
      </c>
      <c r="M75" s="5">
        <f t="shared" si="3"/>
        <v>3600</v>
      </c>
      <c r="N75" s="1"/>
      <c r="O75" s="6"/>
      <c r="P75" s="6"/>
      <c r="Q75" s="6" t="s">
        <v>721</v>
      </c>
      <c r="R75" s="3"/>
      <c r="S75" s="3"/>
      <c r="T75" s="3"/>
      <c r="U75" s="1"/>
      <c r="V75" s="3" t="s">
        <v>243</v>
      </c>
    </row>
    <row r="76" spans="2:23" ht="32" hidden="1" x14ac:dyDescent="0.2">
      <c r="B76" s="1">
        <f t="shared" si="4"/>
        <v>72</v>
      </c>
      <c r="C76" s="1" t="s">
        <v>26</v>
      </c>
      <c r="D76" s="1" t="s">
        <v>188</v>
      </c>
      <c r="E76" s="1" t="s">
        <v>189</v>
      </c>
      <c r="F76" s="1" t="s">
        <v>236</v>
      </c>
      <c r="G76" s="1">
        <v>24</v>
      </c>
      <c r="H76" s="1" t="s">
        <v>20</v>
      </c>
      <c r="I76" s="3" t="s">
        <v>204</v>
      </c>
      <c r="J76" s="5">
        <v>3600</v>
      </c>
      <c r="K76" s="5">
        <v>0</v>
      </c>
      <c r="L76" s="5">
        <v>0</v>
      </c>
      <c r="M76" s="5">
        <f t="shared" si="3"/>
        <v>3600</v>
      </c>
      <c r="N76" s="1"/>
      <c r="O76" s="6"/>
      <c r="P76" s="6"/>
      <c r="Q76" s="6" t="s">
        <v>721</v>
      </c>
      <c r="R76" s="3"/>
      <c r="S76" s="3"/>
      <c r="T76" s="3"/>
      <c r="U76" s="1"/>
      <c r="V76" s="3" t="s">
        <v>244</v>
      </c>
    </row>
    <row r="77" spans="2:23" ht="32" hidden="1" x14ac:dyDescent="0.2">
      <c r="B77" s="1">
        <f t="shared" si="4"/>
        <v>73</v>
      </c>
      <c r="C77" s="1" t="s">
        <v>26</v>
      </c>
      <c r="D77" s="1" t="s">
        <v>188</v>
      </c>
      <c r="E77" s="1" t="s">
        <v>189</v>
      </c>
      <c r="F77" s="1" t="s">
        <v>245</v>
      </c>
      <c r="G77" s="1">
        <v>750</v>
      </c>
      <c r="H77" s="1" t="s">
        <v>20</v>
      </c>
      <c r="I77" s="1" t="s">
        <v>212</v>
      </c>
      <c r="J77" s="5">
        <v>120000</v>
      </c>
      <c r="K77" s="5">
        <v>0</v>
      </c>
      <c r="L77" s="5">
        <v>0</v>
      </c>
      <c r="M77" s="5">
        <f t="shared" si="3"/>
        <v>120000</v>
      </c>
      <c r="N77" s="1"/>
      <c r="O77" s="6"/>
      <c r="P77" s="6"/>
      <c r="Q77" s="6" t="s">
        <v>721</v>
      </c>
      <c r="R77" s="3"/>
      <c r="S77" s="3"/>
      <c r="T77" s="3"/>
      <c r="U77" s="1"/>
      <c r="V77" s="3" t="s">
        <v>267</v>
      </c>
    </row>
    <row r="78" spans="2:23" ht="32" hidden="1" x14ac:dyDescent="0.2">
      <c r="B78" s="1">
        <f t="shared" si="4"/>
        <v>74</v>
      </c>
      <c r="C78" s="1" t="s">
        <v>26</v>
      </c>
      <c r="D78" s="1" t="s">
        <v>188</v>
      </c>
      <c r="E78" s="1" t="s">
        <v>189</v>
      </c>
      <c r="F78" s="1" t="s">
        <v>246</v>
      </c>
      <c r="G78" s="1">
        <v>500</v>
      </c>
      <c r="H78" s="1" t="s">
        <v>20</v>
      </c>
      <c r="I78" s="1" t="s">
        <v>212</v>
      </c>
      <c r="J78" s="5">
        <v>42500</v>
      </c>
      <c r="K78" s="5">
        <v>0</v>
      </c>
      <c r="L78" s="5">
        <v>0</v>
      </c>
      <c r="M78" s="5">
        <f t="shared" si="3"/>
        <v>42500</v>
      </c>
      <c r="N78" s="1"/>
      <c r="O78" s="6"/>
      <c r="P78" s="6"/>
      <c r="Q78" s="6" t="s">
        <v>721</v>
      </c>
      <c r="R78" s="3"/>
      <c r="S78" s="3"/>
      <c r="T78" s="3"/>
      <c r="U78" s="1"/>
      <c r="V78" s="3" t="s">
        <v>267</v>
      </c>
    </row>
    <row r="79" spans="2:23" ht="32" hidden="1" x14ac:dyDescent="0.2">
      <c r="B79" s="1">
        <f t="shared" si="4"/>
        <v>75</v>
      </c>
      <c r="C79" s="1" t="s">
        <v>26</v>
      </c>
      <c r="D79" s="1" t="s">
        <v>188</v>
      </c>
      <c r="E79" s="1" t="s">
        <v>189</v>
      </c>
      <c r="F79" s="1" t="s">
        <v>235</v>
      </c>
      <c r="G79" s="1">
        <v>12</v>
      </c>
      <c r="H79" s="1" t="s">
        <v>20</v>
      </c>
      <c r="I79" s="1" t="s">
        <v>212</v>
      </c>
      <c r="J79" s="5">
        <v>1800</v>
      </c>
      <c r="K79" s="5">
        <v>0</v>
      </c>
      <c r="L79" s="5">
        <v>0</v>
      </c>
      <c r="M79" s="5">
        <f t="shared" si="3"/>
        <v>1800</v>
      </c>
      <c r="N79" s="1"/>
      <c r="O79" s="6"/>
      <c r="P79" s="6"/>
      <c r="Q79" s="6" t="s">
        <v>721</v>
      </c>
      <c r="R79" s="3"/>
      <c r="S79" s="3"/>
      <c r="T79" s="3"/>
      <c r="U79" s="1"/>
      <c r="V79" s="3" t="s">
        <v>268</v>
      </c>
    </row>
    <row r="80" spans="2:23" ht="32" hidden="1" x14ac:dyDescent="0.2">
      <c r="B80" s="1">
        <f t="shared" si="4"/>
        <v>76</v>
      </c>
      <c r="C80" s="1" t="s">
        <v>26</v>
      </c>
      <c r="D80" s="1" t="s">
        <v>188</v>
      </c>
      <c r="E80" s="1" t="s">
        <v>189</v>
      </c>
      <c r="F80" s="1" t="s">
        <v>247</v>
      </c>
      <c r="G80" s="1">
        <v>24</v>
      </c>
      <c r="H80" s="1" t="s">
        <v>20</v>
      </c>
      <c r="I80" s="1" t="s">
        <v>212</v>
      </c>
      <c r="J80" s="5">
        <v>4440</v>
      </c>
      <c r="K80" s="5">
        <v>0</v>
      </c>
      <c r="L80" s="5">
        <v>0</v>
      </c>
      <c r="M80" s="5">
        <f t="shared" si="3"/>
        <v>4440</v>
      </c>
      <c r="N80" s="1"/>
      <c r="O80" s="6"/>
      <c r="P80" s="6"/>
      <c r="Q80" s="6" t="s">
        <v>721</v>
      </c>
      <c r="R80" s="3"/>
      <c r="S80" s="3"/>
      <c r="T80" s="3"/>
      <c r="U80" s="1"/>
      <c r="V80" s="3" t="s">
        <v>269</v>
      </c>
    </row>
    <row r="81" spans="2:22" ht="32" hidden="1" x14ac:dyDescent="0.2">
      <c r="B81" s="1">
        <f t="shared" si="4"/>
        <v>77</v>
      </c>
      <c r="C81" s="1" t="s">
        <v>26</v>
      </c>
      <c r="D81" s="1" t="s">
        <v>188</v>
      </c>
      <c r="E81" s="1" t="s">
        <v>189</v>
      </c>
      <c r="F81" s="1" t="s">
        <v>248</v>
      </c>
      <c r="G81" s="1">
        <v>24</v>
      </c>
      <c r="H81" s="1" t="s">
        <v>203</v>
      </c>
      <c r="I81" s="1" t="s">
        <v>212</v>
      </c>
      <c r="J81" s="5">
        <v>42000</v>
      </c>
      <c r="K81" s="5">
        <v>0</v>
      </c>
      <c r="L81" s="5">
        <v>0</v>
      </c>
      <c r="M81" s="5">
        <f t="shared" si="3"/>
        <v>42000</v>
      </c>
      <c r="N81" s="1"/>
      <c r="O81" s="6"/>
      <c r="P81" s="6"/>
      <c r="Q81" s="6" t="s">
        <v>721</v>
      </c>
      <c r="R81" s="3"/>
      <c r="S81" s="3"/>
      <c r="T81" s="3"/>
      <c r="U81" s="1"/>
      <c r="V81" s="3" t="s">
        <v>270</v>
      </c>
    </row>
    <row r="82" spans="2:22" ht="32" hidden="1" x14ac:dyDescent="0.2">
      <c r="B82" s="1">
        <f t="shared" si="4"/>
        <v>78</v>
      </c>
      <c r="C82" s="1" t="s">
        <v>26</v>
      </c>
      <c r="D82" s="1" t="s">
        <v>188</v>
      </c>
      <c r="E82" s="1" t="s">
        <v>189</v>
      </c>
      <c r="F82" s="1" t="s">
        <v>249</v>
      </c>
      <c r="G82" s="1">
        <v>12</v>
      </c>
      <c r="H82" s="1" t="s">
        <v>203</v>
      </c>
      <c r="I82" s="1" t="s">
        <v>212</v>
      </c>
      <c r="J82" s="5">
        <v>10200</v>
      </c>
      <c r="K82" s="5">
        <v>0</v>
      </c>
      <c r="L82" s="5">
        <v>0</v>
      </c>
      <c r="M82" s="5">
        <f t="shared" si="3"/>
        <v>10200</v>
      </c>
      <c r="N82" s="1"/>
      <c r="O82" s="6"/>
      <c r="P82" s="6"/>
      <c r="Q82" s="6" t="s">
        <v>721</v>
      </c>
      <c r="R82" s="3"/>
      <c r="S82" s="3"/>
      <c r="T82" s="3"/>
      <c r="U82" s="1"/>
      <c r="V82" s="3" t="s">
        <v>271</v>
      </c>
    </row>
    <row r="83" spans="2:22" ht="32" hidden="1" x14ac:dyDescent="0.2">
      <c r="B83" s="1">
        <f t="shared" si="4"/>
        <v>79</v>
      </c>
      <c r="C83" s="1" t="s">
        <v>26</v>
      </c>
      <c r="D83" s="1" t="s">
        <v>188</v>
      </c>
      <c r="E83" s="1" t="s">
        <v>189</v>
      </c>
      <c r="F83" s="1" t="s">
        <v>250</v>
      </c>
      <c r="G83" s="1">
        <v>6</v>
      </c>
      <c r="H83" s="1" t="s">
        <v>20</v>
      </c>
      <c r="I83" s="1" t="s">
        <v>212</v>
      </c>
      <c r="J83" s="5">
        <v>15000</v>
      </c>
      <c r="K83" s="5">
        <v>0</v>
      </c>
      <c r="L83" s="5">
        <v>0</v>
      </c>
      <c r="M83" s="5">
        <f t="shared" si="3"/>
        <v>15000</v>
      </c>
      <c r="N83" s="1"/>
      <c r="O83" s="6"/>
      <c r="P83" s="6"/>
      <c r="Q83" s="6" t="s">
        <v>721</v>
      </c>
      <c r="R83" s="3"/>
      <c r="S83" s="3"/>
      <c r="T83" s="3"/>
      <c r="U83" s="1"/>
      <c r="V83" s="3" t="s">
        <v>272</v>
      </c>
    </row>
    <row r="84" spans="2:22" ht="32" hidden="1" x14ac:dyDescent="0.2">
      <c r="B84" s="1">
        <f t="shared" si="4"/>
        <v>80</v>
      </c>
      <c r="C84" s="1" t="s">
        <v>26</v>
      </c>
      <c r="D84" s="1" t="s">
        <v>188</v>
      </c>
      <c r="E84" s="1" t="s">
        <v>189</v>
      </c>
      <c r="F84" s="1" t="s">
        <v>251</v>
      </c>
      <c r="G84" s="1">
        <v>500</v>
      </c>
      <c r="H84" s="1" t="s">
        <v>20</v>
      </c>
      <c r="I84" s="1" t="s">
        <v>212</v>
      </c>
      <c r="J84" s="5">
        <v>50000</v>
      </c>
      <c r="K84" s="5">
        <v>0</v>
      </c>
      <c r="L84" s="5">
        <v>0</v>
      </c>
      <c r="M84" s="5">
        <f t="shared" si="3"/>
        <v>50000</v>
      </c>
      <c r="N84" s="1"/>
      <c r="O84" s="6"/>
      <c r="P84" s="6"/>
      <c r="Q84" s="6" t="s">
        <v>721</v>
      </c>
      <c r="R84" s="3"/>
      <c r="S84" s="3"/>
      <c r="T84" s="3"/>
      <c r="U84" s="1"/>
      <c r="V84" s="3" t="s">
        <v>273</v>
      </c>
    </row>
    <row r="85" spans="2:22" ht="32" hidden="1" x14ac:dyDescent="0.2">
      <c r="B85" s="1">
        <f t="shared" si="4"/>
        <v>81</v>
      </c>
      <c r="C85" s="1" t="s">
        <v>26</v>
      </c>
      <c r="D85" s="1" t="s">
        <v>188</v>
      </c>
      <c r="E85" s="1" t="s">
        <v>189</v>
      </c>
      <c r="F85" s="1" t="s">
        <v>252</v>
      </c>
      <c r="G85" s="1">
        <v>500</v>
      </c>
      <c r="H85" s="1" t="s">
        <v>20</v>
      </c>
      <c r="I85" s="1" t="s">
        <v>212</v>
      </c>
      <c r="J85" s="5">
        <v>10000</v>
      </c>
      <c r="K85" s="5">
        <v>0</v>
      </c>
      <c r="L85" s="5">
        <v>0</v>
      </c>
      <c r="M85" s="5">
        <f t="shared" si="3"/>
        <v>10000</v>
      </c>
      <c r="N85" s="1"/>
      <c r="O85" s="6"/>
      <c r="P85" s="6"/>
      <c r="Q85" s="6" t="s">
        <v>721</v>
      </c>
      <c r="R85" s="3"/>
      <c r="S85" s="3"/>
      <c r="T85" s="3"/>
      <c r="U85" s="1"/>
      <c r="V85" s="3" t="s">
        <v>267</v>
      </c>
    </row>
    <row r="86" spans="2:22" ht="32" hidden="1" x14ac:dyDescent="0.2">
      <c r="B86" s="1">
        <f t="shared" si="4"/>
        <v>82</v>
      </c>
      <c r="C86" s="1" t="s">
        <v>26</v>
      </c>
      <c r="D86" s="1" t="s">
        <v>188</v>
      </c>
      <c r="E86" s="1" t="s">
        <v>189</v>
      </c>
      <c r="F86" s="1" t="s">
        <v>253</v>
      </c>
      <c r="G86" s="1">
        <v>24</v>
      </c>
      <c r="H86" s="1" t="s">
        <v>20</v>
      </c>
      <c r="I86" s="1" t="s">
        <v>212</v>
      </c>
      <c r="J86" s="5">
        <v>360</v>
      </c>
      <c r="K86" s="5">
        <v>0</v>
      </c>
      <c r="L86" s="5">
        <v>0</v>
      </c>
      <c r="M86" s="5">
        <f t="shared" si="3"/>
        <v>360</v>
      </c>
      <c r="N86" s="1"/>
      <c r="O86" s="6"/>
      <c r="P86" s="6"/>
      <c r="Q86" s="6" t="s">
        <v>721</v>
      </c>
      <c r="R86" s="3"/>
      <c r="S86" s="3"/>
      <c r="T86" s="3"/>
      <c r="U86" s="1"/>
      <c r="V86" s="3" t="s">
        <v>267</v>
      </c>
    </row>
    <row r="87" spans="2:22" ht="32" hidden="1" x14ac:dyDescent="0.2">
      <c r="B87" s="1">
        <f t="shared" si="4"/>
        <v>83</v>
      </c>
      <c r="C87" s="1" t="s">
        <v>26</v>
      </c>
      <c r="D87" s="1" t="s">
        <v>188</v>
      </c>
      <c r="E87" s="1" t="s">
        <v>189</v>
      </c>
      <c r="F87" s="1" t="s">
        <v>254</v>
      </c>
      <c r="G87" s="1">
        <v>24</v>
      </c>
      <c r="H87" s="1" t="s">
        <v>20</v>
      </c>
      <c r="I87" s="1" t="s">
        <v>212</v>
      </c>
      <c r="J87" s="5">
        <v>600</v>
      </c>
      <c r="K87" s="5">
        <v>0</v>
      </c>
      <c r="L87" s="5">
        <v>0</v>
      </c>
      <c r="M87" s="5">
        <f t="shared" si="3"/>
        <v>600</v>
      </c>
      <c r="N87" s="1"/>
      <c r="O87" s="6"/>
      <c r="P87" s="6"/>
      <c r="Q87" s="6" t="s">
        <v>721</v>
      </c>
      <c r="R87" s="3"/>
      <c r="S87" s="3"/>
      <c r="T87" s="3"/>
      <c r="U87" s="1"/>
      <c r="V87" s="3" t="s">
        <v>267</v>
      </c>
    </row>
    <row r="88" spans="2:22" ht="32" hidden="1" x14ac:dyDescent="0.2">
      <c r="B88" s="1">
        <f t="shared" si="4"/>
        <v>84</v>
      </c>
      <c r="C88" s="1" t="s">
        <v>26</v>
      </c>
      <c r="D88" s="1" t="s">
        <v>188</v>
      </c>
      <c r="E88" s="1" t="s">
        <v>189</v>
      </c>
      <c r="F88" s="1" t="s">
        <v>255</v>
      </c>
      <c r="G88" s="1">
        <v>48</v>
      </c>
      <c r="H88" s="1" t="s">
        <v>20</v>
      </c>
      <c r="I88" s="1" t="s">
        <v>212</v>
      </c>
      <c r="J88" s="5">
        <v>960</v>
      </c>
      <c r="K88" s="5">
        <v>0</v>
      </c>
      <c r="L88" s="5">
        <v>0</v>
      </c>
      <c r="M88" s="5">
        <f t="shared" si="3"/>
        <v>960</v>
      </c>
      <c r="N88" s="1"/>
      <c r="O88" s="6"/>
      <c r="P88" s="6"/>
      <c r="Q88" s="6" t="s">
        <v>721</v>
      </c>
      <c r="R88" s="3"/>
      <c r="S88" s="3"/>
      <c r="T88" s="3"/>
      <c r="U88" s="1"/>
      <c r="V88" s="3" t="s">
        <v>267</v>
      </c>
    </row>
    <row r="89" spans="2:22" ht="32" hidden="1" x14ac:dyDescent="0.2">
      <c r="B89" s="1">
        <f t="shared" si="4"/>
        <v>85</v>
      </c>
      <c r="C89" s="1" t="s">
        <v>26</v>
      </c>
      <c r="D89" s="1" t="s">
        <v>188</v>
      </c>
      <c r="E89" s="1" t="s">
        <v>189</v>
      </c>
      <c r="F89" s="1" t="s">
        <v>256</v>
      </c>
      <c r="G89" s="1">
        <v>48</v>
      </c>
      <c r="H89" s="1" t="s">
        <v>20</v>
      </c>
      <c r="I89" s="1" t="s">
        <v>212</v>
      </c>
      <c r="J89" s="5">
        <v>1200</v>
      </c>
      <c r="K89" s="5">
        <v>0</v>
      </c>
      <c r="L89" s="5">
        <v>0</v>
      </c>
      <c r="M89" s="5">
        <f t="shared" si="3"/>
        <v>1200</v>
      </c>
      <c r="N89" s="1"/>
      <c r="O89" s="6"/>
      <c r="P89" s="6"/>
      <c r="Q89" s="6" t="s">
        <v>721</v>
      </c>
      <c r="R89" s="3"/>
      <c r="S89" s="3"/>
      <c r="T89" s="3"/>
      <c r="U89" s="1"/>
      <c r="V89" s="3" t="s">
        <v>267</v>
      </c>
    </row>
    <row r="90" spans="2:22" ht="32" hidden="1" x14ac:dyDescent="0.2">
      <c r="B90" s="1">
        <f t="shared" si="4"/>
        <v>86</v>
      </c>
      <c r="C90" s="1" t="s">
        <v>26</v>
      </c>
      <c r="D90" s="1" t="s">
        <v>188</v>
      </c>
      <c r="E90" s="1" t="s">
        <v>189</v>
      </c>
      <c r="F90" s="1" t="s">
        <v>257</v>
      </c>
      <c r="G90" s="1">
        <v>6</v>
      </c>
      <c r="H90" s="1" t="s">
        <v>20</v>
      </c>
      <c r="I90" s="1" t="s">
        <v>212</v>
      </c>
      <c r="J90" s="5">
        <v>750</v>
      </c>
      <c r="K90" s="5">
        <v>0</v>
      </c>
      <c r="L90" s="5">
        <v>0</v>
      </c>
      <c r="M90" s="5">
        <f t="shared" si="3"/>
        <v>750</v>
      </c>
      <c r="N90" s="1"/>
      <c r="O90" s="6"/>
      <c r="P90" s="6"/>
      <c r="Q90" s="6" t="s">
        <v>721</v>
      </c>
      <c r="R90" s="3"/>
      <c r="S90" s="3"/>
      <c r="T90" s="3"/>
      <c r="U90" s="1"/>
      <c r="V90" s="3" t="s">
        <v>274</v>
      </c>
    </row>
    <row r="91" spans="2:22" ht="32" hidden="1" x14ac:dyDescent="0.2">
      <c r="B91" s="1">
        <f t="shared" si="4"/>
        <v>87</v>
      </c>
      <c r="C91" s="1" t="s">
        <v>26</v>
      </c>
      <c r="D91" s="1" t="s">
        <v>188</v>
      </c>
      <c r="E91" s="1" t="s">
        <v>189</v>
      </c>
      <c r="F91" s="1" t="s">
        <v>258</v>
      </c>
      <c r="G91" s="1">
        <v>2</v>
      </c>
      <c r="H91" s="1" t="s">
        <v>20</v>
      </c>
      <c r="I91" s="1" t="s">
        <v>212</v>
      </c>
      <c r="J91" s="5">
        <v>400</v>
      </c>
      <c r="K91" s="5">
        <v>0</v>
      </c>
      <c r="L91" s="5">
        <v>0</v>
      </c>
      <c r="M91" s="5">
        <f t="shared" si="3"/>
        <v>400</v>
      </c>
      <c r="N91" s="1"/>
      <c r="O91" s="6"/>
      <c r="P91" s="6"/>
      <c r="Q91" s="6" t="s">
        <v>721</v>
      </c>
      <c r="R91" s="3"/>
      <c r="S91" s="3"/>
      <c r="T91" s="3"/>
      <c r="U91" s="1"/>
      <c r="V91" s="3" t="s">
        <v>274</v>
      </c>
    </row>
    <row r="92" spans="2:22" ht="32" hidden="1" x14ac:dyDescent="0.2">
      <c r="B92" s="1">
        <f t="shared" si="4"/>
        <v>88</v>
      </c>
      <c r="C92" s="1" t="s">
        <v>26</v>
      </c>
      <c r="D92" s="1" t="s">
        <v>188</v>
      </c>
      <c r="E92" s="1" t="s">
        <v>189</v>
      </c>
      <c r="F92" s="1" t="s">
        <v>259</v>
      </c>
      <c r="G92" s="1">
        <v>50</v>
      </c>
      <c r="H92" s="1" t="s">
        <v>20</v>
      </c>
      <c r="I92" s="1" t="s">
        <v>212</v>
      </c>
      <c r="J92" s="5">
        <v>25000</v>
      </c>
      <c r="K92" s="5">
        <v>0</v>
      </c>
      <c r="L92" s="5">
        <v>0</v>
      </c>
      <c r="M92" s="5">
        <f t="shared" si="3"/>
        <v>25000</v>
      </c>
      <c r="N92" s="1"/>
      <c r="O92" s="6"/>
      <c r="P92" s="6"/>
      <c r="Q92" s="6" t="s">
        <v>721</v>
      </c>
      <c r="R92" s="3"/>
      <c r="S92" s="3"/>
      <c r="T92" s="3"/>
      <c r="U92" s="1"/>
      <c r="V92" s="3" t="s">
        <v>275</v>
      </c>
    </row>
    <row r="93" spans="2:22" ht="32" hidden="1" x14ac:dyDescent="0.2">
      <c r="B93" s="1">
        <f t="shared" si="4"/>
        <v>89</v>
      </c>
      <c r="C93" s="1" t="s">
        <v>26</v>
      </c>
      <c r="D93" s="1" t="s">
        <v>188</v>
      </c>
      <c r="E93" s="1" t="s">
        <v>189</v>
      </c>
      <c r="F93" s="1" t="s">
        <v>260</v>
      </c>
      <c r="G93" s="1">
        <v>50</v>
      </c>
      <c r="H93" s="1" t="s">
        <v>20</v>
      </c>
      <c r="I93" s="1" t="s">
        <v>212</v>
      </c>
      <c r="J93" s="5">
        <v>18750</v>
      </c>
      <c r="K93" s="5">
        <v>0</v>
      </c>
      <c r="L93" s="5">
        <v>0</v>
      </c>
      <c r="M93" s="5">
        <f t="shared" si="3"/>
        <v>18750</v>
      </c>
      <c r="N93" s="1"/>
      <c r="O93" s="6"/>
      <c r="P93" s="6"/>
      <c r="Q93" s="6" t="s">
        <v>721</v>
      </c>
      <c r="R93" s="3"/>
      <c r="S93" s="3"/>
      <c r="T93" s="3"/>
      <c r="U93" s="1"/>
      <c r="V93" s="3" t="s">
        <v>267</v>
      </c>
    </row>
    <row r="94" spans="2:22" ht="32" hidden="1" x14ac:dyDescent="0.2">
      <c r="B94" s="1">
        <f t="shared" si="4"/>
        <v>90</v>
      </c>
      <c r="C94" s="1" t="s">
        <v>26</v>
      </c>
      <c r="D94" s="1" t="s">
        <v>188</v>
      </c>
      <c r="E94" s="1" t="s">
        <v>202</v>
      </c>
      <c r="F94" s="1" t="s">
        <v>261</v>
      </c>
      <c r="G94" s="1">
        <v>50</v>
      </c>
      <c r="H94" s="1" t="s">
        <v>20</v>
      </c>
      <c r="I94" s="1" t="s">
        <v>212</v>
      </c>
      <c r="J94" s="5">
        <v>11250</v>
      </c>
      <c r="K94" s="5">
        <v>0</v>
      </c>
      <c r="L94" s="5">
        <v>0</v>
      </c>
      <c r="M94" s="5">
        <f t="shared" si="3"/>
        <v>11250</v>
      </c>
      <c r="N94" s="1"/>
      <c r="O94" s="6"/>
      <c r="P94" s="6"/>
      <c r="Q94" s="6" t="s">
        <v>721</v>
      </c>
      <c r="R94" s="3"/>
      <c r="S94" s="3"/>
      <c r="T94" s="3"/>
      <c r="U94" s="1"/>
      <c r="V94" s="3" t="s">
        <v>276</v>
      </c>
    </row>
    <row r="95" spans="2:22" ht="32" hidden="1" x14ac:dyDescent="0.2">
      <c r="B95" s="1">
        <f t="shared" si="4"/>
        <v>91</v>
      </c>
      <c r="C95" s="1" t="s">
        <v>26</v>
      </c>
      <c r="D95" s="1" t="s">
        <v>188</v>
      </c>
      <c r="E95" s="1" t="s">
        <v>189</v>
      </c>
      <c r="F95" s="1" t="s">
        <v>262</v>
      </c>
      <c r="G95" s="1">
        <v>300</v>
      </c>
      <c r="H95" s="1" t="s">
        <v>20</v>
      </c>
      <c r="I95" s="1" t="s">
        <v>212</v>
      </c>
      <c r="J95" s="5">
        <v>129000</v>
      </c>
      <c r="K95" s="5">
        <v>0</v>
      </c>
      <c r="L95" s="5">
        <v>0</v>
      </c>
      <c r="M95" s="5">
        <f t="shared" si="3"/>
        <v>129000</v>
      </c>
      <c r="N95" s="1"/>
      <c r="O95" s="6"/>
      <c r="P95" s="6"/>
      <c r="Q95" s="6" t="s">
        <v>721</v>
      </c>
      <c r="R95" s="3"/>
      <c r="S95" s="3"/>
      <c r="T95" s="3"/>
      <c r="U95" s="1"/>
      <c r="V95" s="3" t="s">
        <v>267</v>
      </c>
    </row>
    <row r="96" spans="2:22" ht="32" hidden="1" x14ac:dyDescent="0.2">
      <c r="B96" s="1">
        <f t="shared" si="4"/>
        <v>92</v>
      </c>
      <c r="C96" s="1" t="s">
        <v>26</v>
      </c>
      <c r="D96" s="1" t="s">
        <v>188</v>
      </c>
      <c r="E96" s="1" t="s">
        <v>189</v>
      </c>
      <c r="F96" s="1" t="s">
        <v>263</v>
      </c>
      <c r="G96" s="1">
        <v>100</v>
      </c>
      <c r="H96" s="1" t="s">
        <v>20</v>
      </c>
      <c r="I96" s="1" t="s">
        <v>212</v>
      </c>
      <c r="J96" s="5">
        <v>16000</v>
      </c>
      <c r="K96" s="5">
        <v>0</v>
      </c>
      <c r="L96" s="5">
        <v>0</v>
      </c>
      <c r="M96" s="5">
        <f t="shared" si="3"/>
        <v>16000</v>
      </c>
      <c r="N96" s="1"/>
      <c r="O96" s="6"/>
      <c r="P96" s="6"/>
      <c r="Q96" s="6" t="s">
        <v>721</v>
      </c>
      <c r="R96" s="3"/>
      <c r="S96" s="3"/>
      <c r="T96" s="3"/>
      <c r="U96" s="1"/>
      <c r="V96" s="3" t="s">
        <v>277</v>
      </c>
    </row>
    <row r="97" spans="2:22" ht="32" hidden="1" x14ac:dyDescent="0.2">
      <c r="B97" s="1">
        <f t="shared" si="4"/>
        <v>93</v>
      </c>
      <c r="C97" s="1" t="s">
        <v>26</v>
      </c>
      <c r="D97" s="1" t="s">
        <v>188</v>
      </c>
      <c r="E97" s="1" t="s">
        <v>189</v>
      </c>
      <c r="F97" s="1" t="s">
        <v>264</v>
      </c>
      <c r="G97" s="1">
        <v>200</v>
      </c>
      <c r="H97" s="1" t="s">
        <v>20</v>
      </c>
      <c r="I97" s="1" t="s">
        <v>212</v>
      </c>
      <c r="J97" s="5">
        <v>25000</v>
      </c>
      <c r="K97" s="5">
        <v>0</v>
      </c>
      <c r="L97" s="5">
        <v>0</v>
      </c>
      <c r="M97" s="5">
        <f t="shared" si="3"/>
        <v>25000</v>
      </c>
      <c r="N97" s="1"/>
      <c r="O97" s="6"/>
      <c r="P97" s="6"/>
      <c r="Q97" s="6" t="s">
        <v>721</v>
      </c>
      <c r="R97" s="3"/>
      <c r="S97" s="3"/>
      <c r="T97" s="3"/>
      <c r="U97" s="1"/>
      <c r="V97" s="3" t="s">
        <v>267</v>
      </c>
    </row>
    <row r="98" spans="2:22" ht="32" hidden="1" x14ac:dyDescent="0.2">
      <c r="B98" s="1">
        <f t="shared" si="4"/>
        <v>94</v>
      </c>
      <c r="C98" s="1" t="s">
        <v>26</v>
      </c>
      <c r="D98" s="1" t="s">
        <v>188</v>
      </c>
      <c r="E98" s="1" t="s">
        <v>202</v>
      </c>
      <c r="F98" s="1" t="s">
        <v>265</v>
      </c>
      <c r="G98" s="1">
        <v>100</v>
      </c>
      <c r="H98" s="1" t="s">
        <v>20</v>
      </c>
      <c r="I98" s="1" t="s">
        <v>212</v>
      </c>
      <c r="J98" s="5">
        <v>120000</v>
      </c>
      <c r="K98" s="5">
        <v>0</v>
      </c>
      <c r="L98" s="5">
        <v>0</v>
      </c>
      <c r="M98" s="5">
        <f t="shared" si="3"/>
        <v>120000</v>
      </c>
      <c r="N98" s="1"/>
      <c r="O98" s="6"/>
      <c r="P98" s="6"/>
      <c r="Q98" s="6" t="s">
        <v>721</v>
      </c>
      <c r="R98" s="3"/>
      <c r="S98" s="3"/>
      <c r="T98" s="3"/>
      <c r="U98" s="1"/>
      <c r="V98" s="3" t="s">
        <v>278</v>
      </c>
    </row>
    <row r="99" spans="2:22" ht="32" hidden="1" x14ac:dyDescent="0.2">
      <c r="B99" s="1">
        <f t="shared" si="4"/>
        <v>95</v>
      </c>
      <c r="C99" s="1" t="s">
        <v>26</v>
      </c>
      <c r="D99" s="1" t="s">
        <v>188</v>
      </c>
      <c r="E99" s="1" t="s">
        <v>202</v>
      </c>
      <c r="F99" s="1" t="s">
        <v>266</v>
      </c>
      <c r="G99" s="1">
        <v>100</v>
      </c>
      <c r="H99" s="1" t="s">
        <v>20</v>
      </c>
      <c r="I99" s="1" t="s">
        <v>212</v>
      </c>
      <c r="J99" s="5">
        <v>150000</v>
      </c>
      <c r="K99" s="5">
        <v>0</v>
      </c>
      <c r="L99" s="5">
        <v>0</v>
      </c>
      <c r="M99" s="5">
        <f t="shared" si="3"/>
        <v>150000</v>
      </c>
      <c r="N99" s="1"/>
      <c r="O99" s="6"/>
      <c r="P99" s="6"/>
      <c r="Q99" s="6" t="s">
        <v>721</v>
      </c>
      <c r="R99" s="3"/>
      <c r="S99" s="3"/>
      <c r="T99" s="3"/>
      <c r="U99" s="1"/>
      <c r="V99" s="3" t="s">
        <v>279</v>
      </c>
    </row>
    <row r="100" spans="2:22" ht="32" hidden="1" x14ac:dyDescent="0.2">
      <c r="B100" s="1">
        <f t="shared" si="4"/>
        <v>96</v>
      </c>
      <c r="C100" s="1" t="s">
        <v>26</v>
      </c>
      <c r="D100" s="1" t="s">
        <v>188</v>
      </c>
      <c r="E100" s="1" t="s">
        <v>202</v>
      </c>
      <c r="F100" s="1" t="s">
        <v>280</v>
      </c>
      <c r="G100" s="1">
        <v>12</v>
      </c>
      <c r="H100" s="1" t="s">
        <v>20</v>
      </c>
      <c r="I100" s="1" t="s">
        <v>283</v>
      </c>
      <c r="J100" s="5">
        <v>14400</v>
      </c>
      <c r="K100" s="5">
        <v>0</v>
      </c>
      <c r="L100" s="5">
        <v>0</v>
      </c>
      <c r="M100" s="5">
        <f t="shared" si="3"/>
        <v>14400</v>
      </c>
      <c r="N100" s="1"/>
      <c r="O100" s="6"/>
      <c r="P100" s="6"/>
      <c r="Q100" s="6" t="s">
        <v>721</v>
      </c>
      <c r="R100" s="3"/>
      <c r="S100" s="3"/>
      <c r="T100" s="3"/>
      <c r="U100" s="1"/>
      <c r="V100" s="3" t="s">
        <v>284</v>
      </c>
    </row>
    <row r="101" spans="2:22" ht="32" hidden="1" x14ac:dyDescent="0.2">
      <c r="B101" s="1">
        <f t="shared" si="4"/>
        <v>97</v>
      </c>
      <c r="C101" s="1" t="s">
        <v>26</v>
      </c>
      <c r="D101" s="1" t="s">
        <v>188</v>
      </c>
      <c r="E101" s="1" t="s">
        <v>202</v>
      </c>
      <c r="F101" s="1" t="s">
        <v>281</v>
      </c>
      <c r="G101" s="1">
        <v>10</v>
      </c>
      <c r="H101" s="1" t="s">
        <v>20</v>
      </c>
      <c r="I101" s="1" t="s">
        <v>283</v>
      </c>
      <c r="J101" s="5">
        <v>25000</v>
      </c>
      <c r="K101" s="5">
        <v>0</v>
      </c>
      <c r="L101" s="5">
        <v>0</v>
      </c>
      <c r="M101" s="5">
        <f t="shared" si="3"/>
        <v>25000</v>
      </c>
      <c r="N101" s="1"/>
      <c r="O101" s="6"/>
      <c r="P101" s="6"/>
      <c r="Q101" s="6" t="s">
        <v>721</v>
      </c>
      <c r="R101" s="3"/>
      <c r="S101" s="3"/>
      <c r="T101" s="3"/>
      <c r="U101" s="1"/>
      <c r="V101" s="3" t="s">
        <v>285</v>
      </c>
    </row>
    <row r="102" spans="2:22" ht="32" hidden="1" x14ac:dyDescent="0.2">
      <c r="B102" s="1">
        <f t="shared" si="4"/>
        <v>98</v>
      </c>
      <c r="C102" s="1" t="s">
        <v>26</v>
      </c>
      <c r="D102" s="1" t="s">
        <v>188</v>
      </c>
      <c r="E102" s="1" t="s">
        <v>202</v>
      </c>
      <c r="F102" s="1" t="s">
        <v>282</v>
      </c>
      <c r="G102" s="1">
        <v>10</v>
      </c>
      <c r="H102" s="1" t="s">
        <v>20</v>
      </c>
      <c r="I102" s="1" t="s">
        <v>283</v>
      </c>
      <c r="J102" s="5">
        <v>20000</v>
      </c>
      <c r="K102" s="5">
        <v>0</v>
      </c>
      <c r="L102" s="5">
        <v>0</v>
      </c>
      <c r="M102" s="5">
        <f t="shared" si="3"/>
        <v>20000</v>
      </c>
      <c r="N102" s="1"/>
      <c r="O102" s="6"/>
      <c r="P102" s="6"/>
      <c r="Q102" s="6" t="s">
        <v>721</v>
      </c>
      <c r="R102" s="3"/>
      <c r="S102" s="3"/>
      <c r="T102" s="3"/>
      <c r="U102" s="1"/>
      <c r="V102" s="3" t="s">
        <v>286</v>
      </c>
    </row>
    <row r="103" spans="2:22" ht="48" hidden="1" x14ac:dyDescent="0.2">
      <c r="B103" s="1">
        <f t="shared" si="4"/>
        <v>99</v>
      </c>
      <c r="C103" s="1" t="s">
        <v>26</v>
      </c>
      <c r="D103" s="1" t="s">
        <v>188</v>
      </c>
      <c r="E103" s="1" t="s">
        <v>202</v>
      </c>
      <c r="F103" s="1" t="s">
        <v>287</v>
      </c>
      <c r="G103" s="1">
        <v>8</v>
      </c>
      <c r="H103" s="1" t="s">
        <v>20</v>
      </c>
      <c r="I103" s="1" t="s">
        <v>226</v>
      </c>
      <c r="J103" s="5">
        <v>25000</v>
      </c>
      <c r="K103" s="5">
        <v>0</v>
      </c>
      <c r="L103" s="5">
        <v>0</v>
      </c>
      <c r="M103" s="5">
        <f t="shared" si="3"/>
        <v>25000</v>
      </c>
      <c r="N103" s="1"/>
      <c r="O103" s="6"/>
      <c r="P103" s="6"/>
      <c r="Q103" s="6" t="s">
        <v>721</v>
      </c>
      <c r="R103" s="3"/>
      <c r="S103" s="3"/>
      <c r="T103" s="3"/>
      <c r="U103" s="1"/>
      <c r="V103" s="3" t="s">
        <v>227</v>
      </c>
    </row>
    <row r="104" spans="2:22" ht="32" hidden="1" x14ac:dyDescent="0.2">
      <c r="B104" s="1">
        <f t="shared" si="4"/>
        <v>100</v>
      </c>
      <c r="C104" s="1" t="s">
        <v>35</v>
      </c>
      <c r="D104" s="1" t="s">
        <v>171</v>
      </c>
      <c r="E104" s="1" t="s">
        <v>313</v>
      </c>
      <c r="F104" s="1" t="s">
        <v>308</v>
      </c>
      <c r="G104" s="1">
        <v>2</v>
      </c>
      <c r="H104" s="1" t="s">
        <v>203</v>
      </c>
      <c r="I104" s="1" t="s">
        <v>312</v>
      </c>
      <c r="J104" s="5">
        <v>33000</v>
      </c>
      <c r="K104" s="5">
        <v>0</v>
      </c>
      <c r="L104" s="5">
        <v>0</v>
      </c>
      <c r="M104" s="5">
        <f t="shared" si="3"/>
        <v>33000</v>
      </c>
      <c r="N104" s="1"/>
      <c r="O104" s="6">
        <v>46113</v>
      </c>
      <c r="P104" s="6">
        <v>46142</v>
      </c>
      <c r="Q104" s="6" t="s">
        <v>731</v>
      </c>
      <c r="R104" s="3" t="s">
        <v>321</v>
      </c>
      <c r="S104" s="3"/>
      <c r="T104" s="3" t="s">
        <v>325</v>
      </c>
      <c r="U104" s="1"/>
      <c r="V104" s="3" t="s">
        <v>326</v>
      </c>
    </row>
    <row r="105" spans="2:22" ht="32" hidden="1" x14ac:dyDescent="0.2">
      <c r="B105" s="1">
        <f t="shared" si="4"/>
        <v>101</v>
      </c>
      <c r="C105" s="1" t="s">
        <v>35</v>
      </c>
      <c r="D105" s="1" t="s">
        <v>315</v>
      </c>
      <c r="E105" s="1" t="s">
        <v>316</v>
      </c>
      <c r="F105" s="1" t="s">
        <v>309</v>
      </c>
      <c r="G105" s="1">
        <v>1</v>
      </c>
      <c r="H105" s="1" t="s">
        <v>203</v>
      </c>
      <c r="I105" s="1" t="s">
        <v>312</v>
      </c>
      <c r="J105" s="5">
        <v>15000</v>
      </c>
      <c r="K105" s="5">
        <v>0</v>
      </c>
      <c r="L105" s="5">
        <v>0</v>
      </c>
      <c r="M105" s="5">
        <f t="shared" si="3"/>
        <v>15000</v>
      </c>
      <c r="N105" s="1"/>
      <c r="O105" s="6">
        <v>46113</v>
      </c>
      <c r="P105" s="6">
        <v>46142</v>
      </c>
      <c r="Q105" s="6" t="s">
        <v>731</v>
      </c>
      <c r="R105" s="3" t="s">
        <v>322</v>
      </c>
      <c r="S105" s="3"/>
      <c r="T105" s="3"/>
      <c r="U105" s="1"/>
      <c r="V105" s="3"/>
    </row>
    <row r="106" spans="2:22" ht="48" hidden="1" x14ac:dyDescent="0.2">
      <c r="B106" s="1">
        <f t="shared" si="4"/>
        <v>102</v>
      </c>
      <c r="C106" s="1" t="s">
        <v>35</v>
      </c>
      <c r="D106" s="1" t="s">
        <v>314</v>
      </c>
      <c r="E106" s="1" t="s">
        <v>317</v>
      </c>
      <c r="F106" s="1" t="s">
        <v>310</v>
      </c>
      <c r="G106" s="1">
        <v>3</v>
      </c>
      <c r="H106" s="1" t="s">
        <v>20</v>
      </c>
      <c r="I106" s="1" t="s">
        <v>312</v>
      </c>
      <c r="J106" s="5">
        <v>120000</v>
      </c>
      <c r="K106" s="5">
        <v>0</v>
      </c>
      <c r="L106" s="5">
        <v>0</v>
      </c>
      <c r="M106" s="5">
        <f t="shared" si="3"/>
        <v>120000</v>
      </c>
      <c r="N106" s="1" t="s">
        <v>319</v>
      </c>
      <c r="O106" s="6">
        <v>46113</v>
      </c>
      <c r="P106" s="6">
        <v>46142</v>
      </c>
      <c r="Q106" s="6" t="s">
        <v>731</v>
      </c>
      <c r="R106" s="3" t="s">
        <v>323</v>
      </c>
      <c r="S106" s="3"/>
      <c r="T106" s="3"/>
      <c r="U106" s="1"/>
      <c r="V106" s="3"/>
    </row>
    <row r="107" spans="2:22" ht="32" hidden="1" x14ac:dyDescent="0.2">
      <c r="B107" s="1">
        <f t="shared" si="4"/>
        <v>103</v>
      </c>
      <c r="C107" s="1" t="s">
        <v>35</v>
      </c>
      <c r="D107" s="1" t="s">
        <v>314</v>
      </c>
      <c r="E107" s="1" t="s">
        <v>318</v>
      </c>
      <c r="F107" s="1" t="s">
        <v>311</v>
      </c>
      <c r="G107" s="1">
        <v>2</v>
      </c>
      <c r="H107" s="1" t="s">
        <v>20</v>
      </c>
      <c r="I107" s="1" t="s">
        <v>312</v>
      </c>
      <c r="J107" s="5">
        <v>40000</v>
      </c>
      <c r="K107" s="5">
        <v>0</v>
      </c>
      <c r="L107" s="5">
        <v>0</v>
      </c>
      <c r="M107" s="5">
        <f t="shared" si="3"/>
        <v>40000</v>
      </c>
      <c r="N107" s="1" t="s">
        <v>320</v>
      </c>
      <c r="O107" s="6">
        <v>46113</v>
      </c>
      <c r="P107" s="6">
        <v>46142</v>
      </c>
      <c r="Q107" s="6" t="s">
        <v>731</v>
      </c>
      <c r="R107" s="3" t="s">
        <v>324</v>
      </c>
      <c r="S107" s="3"/>
      <c r="T107" s="3"/>
      <c r="U107" s="1"/>
      <c r="V107" s="3"/>
    </row>
    <row r="108" spans="2:22" ht="16" hidden="1" x14ac:dyDescent="0.2">
      <c r="B108" s="1">
        <f t="shared" si="4"/>
        <v>104</v>
      </c>
      <c r="C108" s="1" t="s">
        <v>25</v>
      </c>
      <c r="D108" s="1" t="s">
        <v>314</v>
      </c>
      <c r="E108" s="1" t="s">
        <v>318</v>
      </c>
      <c r="F108" s="1" t="s">
        <v>327</v>
      </c>
      <c r="G108" s="1">
        <v>1</v>
      </c>
      <c r="H108" s="1" t="s">
        <v>20</v>
      </c>
      <c r="I108" s="1" t="s">
        <v>332</v>
      </c>
      <c r="J108" s="5">
        <v>3000</v>
      </c>
      <c r="K108" s="5"/>
      <c r="L108" s="5"/>
      <c r="M108" s="5">
        <f t="shared" si="3"/>
        <v>3000</v>
      </c>
      <c r="N108" s="1" t="s">
        <v>333</v>
      </c>
      <c r="O108" s="6">
        <v>46143</v>
      </c>
      <c r="P108" s="6">
        <v>46204</v>
      </c>
      <c r="Q108" s="6" t="s">
        <v>721</v>
      </c>
      <c r="R108" s="3" t="s">
        <v>20</v>
      </c>
      <c r="S108" s="3"/>
      <c r="T108" s="3"/>
      <c r="U108" s="1"/>
      <c r="V108" s="3"/>
    </row>
    <row r="109" spans="2:22" ht="32" hidden="1" x14ac:dyDescent="0.2">
      <c r="B109" s="1">
        <f t="shared" si="4"/>
        <v>105</v>
      </c>
      <c r="C109" s="1" t="s">
        <v>25</v>
      </c>
      <c r="D109" s="1" t="s">
        <v>188</v>
      </c>
      <c r="E109" s="1" t="s">
        <v>369</v>
      </c>
      <c r="F109" s="1" t="s">
        <v>335</v>
      </c>
      <c r="G109" s="1">
        <v>1</v>
      </c>
      <c r="H109" s="1" t="s">
        <v>20</v>
      </c>
      <c r="I109" s="1" t="s">
        <v>343</v>
      </c>
      <c r="J109" s="5">
        <v>40000</v>
      </c>
      <c r="K109" s="5"/>
      <c r="L109" s="5"/>
      <c r="M109" s="5">
        <f t="shared" si="3"/>
        <v>40000</v>
      </c>
      <c r="N109" s="1" t="s">
        <v>333</v>
      </c>
      <c r="O109" s="6">
        <v>46174</v>
      </c>
      <c r="P109" s="6">
        <v>46266</v>
      </c>
      <c r="Q109" s="6" t="s">
        <v>724</v>
      </c>
      <c r="R109" s="3" t="s">
        <v>345</v>
      </c>
      <c r="S109" s="1" t="s">
        <v>352</v>
      </c>
      <c r="T109" s="3" t="s">
        <v>358</v>
      </c>
      <c r="U109" s="1"/>
      <c r="V109" s="3" t="s">
        <v>334</v>
      </c>
    </row>
    <row r="110" spans="2:22" ht="32" hidden="1" x14ac:dyDescent="0.2">
      <c r="B110" s="1">
        <f t="shared" si="4"/>
        <v>106</v>
      </c>
      <c r="C110" s="1" t="s">
        <v>25</v>
      </c>
      <c r="D110" s="1" t="s">
        <v>188</v>
      </c>
      <c r="E110" s="1" t="s">
        <v>369</v>
      </c>
      <c r="F110" s="1" t="s">
        <v>335</v>
      </c>
      <c r="G110" s="1">
        <v>1</v>
      </c>
      <c r="H110" s="1" t="s">
        <v>20</v>
      </c>
      <c r="I110" s="1" t="s">
        <v>332</v>
      </c>
      <c r="J110" s="5">
        <v>40000</v>
      </c>
      <c r="K110" s="5"/>
      <c r="L110" s="5"/>
      <c r="M110" s="5">
        <f t="shared" si="3"/>
        <v>40000</v>
      </c>
      <c r="N110" s="1" t="s">
        <v>333</v>
      </c>
      <c r="O110" s="6">
        <v>46113</v>
      </c>
      <c r="P110" s="6">
        <v>46143</v>
      </c>
      <c r="Q110" s="6" t="s">
        <v>37</v>
      </c>
      <c r="R110" s="3" t="s">
        <v>345</v>
      </c>
      <c r="S110" s="1" t="s">
        <v>352</v>
      </c>
      <c r="T110" s="3" t="s">
        <v>358</v>
      </c>
      <c r="U110" s="1"/>
      <c r="V110" s="3" t="s">
        <v>334</v>
      </c>
    </row>
    <row r="111" spans="2:22" ht="32" hidden="1" x14ac:dyDescent="0.2">
      <c r="B111" s="1">
        <f t="shared" si="4"/>
        <v>107</v>
      </c>
      <c r="C111" s="1" t="s">
        <v>25</v>
      </c>
      <c r="D111" s="1" t="s">
        <v>171</v>
      </c>
      <c r="E111" s="1" t="s">
        <v>370</v>
      </c>
      <c r="F111" s="1" t="s">
        <v>336</v>
      </c>
      <c r="G111" s="1">
        <v>4</v>
      </c>
      <c r="H111" s="1" t="s">
        <v>20</v>
      </c>
      <c r="I111" s="1" t="s">
        <v>329</v>
      </c>
      <c r="J111" s="5">
        <v>480000</v>
      </c>
      <c r="K111" s="5"/>
      <c r="L111" s="5"/>
      <c r="M111" s="5">
        <f t="shared" si="3"/>
        <v>480000</v>
      </c>
      <c r="N111" s="1" t="s">
        <v>333</v>
      </c>
      <c r="O111" s="6">
        <v>46143</v>
      </c>
      <c r="P111" s="6">
        <v>46204</v>
      </c>
      <c r="Q111" s="6" t="s">
        <v>721</v>
      </c>
      <c r="R111" s="3" t="s">
        <v>346</v>
      </c>
      <c r="S111" s="1" t="s">
        <v>353</v>
      </c>
      <c r="T111" s="3" t="s">
        <v>353</v>
      </c>
      <c r="U111" s="1"/>
      <c r="V111" s="3" t="s">
        <v>364</v>
      </c>
    </row>
    <row r="112" spans="2:22" ht="32" hidden="1" x14ac:dyDescent="0.2">
      <c r="B112" s="1">
        <f t="shared" si="4"/>
        <v>108</v>
      </c>
      <c r="C112" s="1" t="s">
        <v>25</v>
      </c>
      <c r="D112" s="1" t="s">
        <v>171</v>
      </c>
      <c r="E112" s="1" t="s">
        <v>370</v>
      </c>
      <c r="F112" s="1" t="s">
        <v>336</v>
      </c>
      <c r="G112" s="1">
        <v>4</v>
      </c>
      <c r="H112" s="1" t="s">
        <v>20</v>
      </c>
      <c r="I112" s="1" t="s">
        <v>328</v>
      </c>
      <c r="J112" s="5">
        <v>480000</v>
      </c>
      <c r="K112" s="5"/>
      <c r="L112" s="5"/>
      <c r="M112" s="5">
        <f t="shared" si="3"/>
        <v>480000</v>
      </c>
      <c r="N112" s="1" t="s">
        <v>333</v>
      </c>
      <c r="O112" s="6">
        <v>46143</v>
      </c>
      <c r="P112" s="6">
        <v>46204</v>
      </c>
      <c r="Q112" s="6" t="s">
        <v>721</v>
      </c>
      <c r="R112" s="3" t="s">
        <v>346</v>
      </c>
      <c r="S112" s="1" t="s">
        <v>353</v>
      </c>
      <c r="T112" s="3" t="s">
        <v>353</v>
      </c>
      <c r="U112" s="1"/>
      <c r="V112" s="3" t="s">
        <v>364</v>
      </c>
    </row>
    <row r="113" spans="2:22" ht="32" hidden="1" x14ac:dyDescent="0.2">
      <c r="B113" s="1">
        <f t="shared" si="4"/>
        <v>109</v>
      </c>
      <c r="C113" s="1" t="s">
        <v>25</v>
      </c>
      <c r="D113" s="1" t="s">
        <v>171</v>
      </c>
      <c r="E113" s="1" t="s">
        <v>370</v>
      </c>
      <c r="F113" s="1" t="s">
        <v>336</v>
      </c>
      <c r="G113" s="1">
        <v>4</v>
      </c>
      <c r="H113" s="1" t="s">
        <v>20</v>
      </c>
      <c r="I113" s="1" t="s">
        <v>331</v>
      </c>
      <c r="J113" s="5">
        <v>480000</v>
      </c>
      <c r="K113" s="5"/>
      <c r="L113" s="5"/>
      <c r="M113" s="5">
        <f t="shared" si="3"/>
        <v>480000</v>
      </c>
      <c r="N113" s="1" t="s">
        <v>333</v>
      </c>
      <c r="O113" s="6">
        <v>46143</v>
      </c>
      <c r="P113" s="6">
        <v>46204</v>
      </c>
      <c r="Q113" s="6" t="s">
        <v>721</v>
      </c>
      <c r="R113" s="3" t="s">
        <v>346</v>
      </c>
      <c r="S113" s="1" t="s">
        <v>353</v>
      </c>
      <c r="T113" s="3" t="s">
        <v>353</v>
      </c>
      <c r="U113" s="1"/>
      <c r="V113" s="3" t="s">
        <v>364</v>
      </c>
    </row>
    <row r="114" spans="2:22" ht="32" hidden="1" x14ac:dyDescent="0.2">
      <c r="B114" s="1">
        <f t="shared" si="4"/>
        <v>110</v>
      </c>
      <c r="C114" s="1" t="s">
        <v>25</v>
      </c>
      <c r="D114" s="1" t="s">
        <v>171</v>
      </c>
      <c r="E114" s="1" t="s">
        <v>313</v>
      </c>
      <c r="F114" s="1" t="s">
        <v>337</v>
      </c>
      <c r="G114" s="1">
        <v>1</v>
      </c>
      <c r="H114" s="1" t="s">
        <v>20</v>
      </c>
      <c r="I114" s="1" t="s">
        <v>330</v>
      </c>
      <c r="J114" s="5">
        <v>15000</v>
      </c>
      <c r="K114" s="5"/>
      <c r="L114" s="5"/>
      <c r="M114" s="5">
        <f t="shared" si="3"/>
        <v>15000</v>
      </c>
      <c r="N114" s="1" t="s">
        <v>333</v>
      </c>
      <c r="O114" s="6">
        <v>46143</v>
      </c>
      <c r="P114" s="6">
        <v>46204</v>
      </c>
      <c r="Q114" s="6" t="s">
        <v>721</v>
      </c>
      <c r="R114" s="3" t="s">
        <v>347</v>
      </c>
      <c r="S114" s="1" t="s">
        <v>354</v>
      </c>
      <c r="T114" s="3" t="s">
        <v>359</v>
      </c>
      <c r="U114" s="1"/>
      <c r="V114" s="3" t="s">
        <v>365</v>
      </c>
    </row>
    <row r="115" spans="2:22" ht="16" hidden="1" x14ac:dyDescent="0.2">
      <c r="B115" s="1">
        <f t="shared" si="4"/>
        <v>111</v>
      </c>
      <c r="C115" s="1" t="s">
        <v>25</v>
      </c>
      <c r="D115" s="1" t="s">
        <v>288</v>
      </c>
      <c r="E115" s="1" t="s">
        <v>289</v>
      </c>
      <c r="F115" s="1" t="s">
        <v>338</v>
      </c>
      <c r="G115" s="1">
        <v>1</v>
      </c>
      <c r="H115" s="1" t="s">
        <v>342</v>
      </c>
      <c r="I115" s="1" t="s">
        <v>330</v>
      </c>
      <c r="J115" s="5">
        <v>501000</v>
      </c>
      <c r="K115" s="5"/>
      <c r="L115" s="5"/>
      <c r="M115" s="5">
        <f t="shared" si="3"/>
        <v>501000</v>
      </c>
      <c r="N115" s="1" t="s">
        <v>344</v>
      </c>
      <c r="O115" s="6">
        <v>46143</v>
      </c>
      <c r="P115" s="6">
        <v>46204</v>
      </c>
      <c r="Q115" s="6" t="s">
        <v>721</v>
      </c>
      <c r="R115" s="3" t="s">
        <v>348</v>
      </c>
      <c r="S115" s="1" t="s">
        <v>355</v>
      </c>
      <c r="T115" s="3" t="s">
        <v>360</v>
      </c>
      <c r="U115" s="1"/>
      <c r="V115" s="3" t="s">
        <v>366</v>
      </c>
    </row>
    <row r="116" spans="2:22" ht="16" hidden="1" x14ac:dyDescent="0.2">
      <c r="B116" s="1">
        <f t="shared" si="4"/>
        <v>112</v>
      </c>
      <c r="C116" s="1" t="s">
        <v>25</v>
      </c>
      <c r="D116" s="1" t="s">
        <v>171</v>
      </c>
      <c r="E116" s="1" t="s">
        <v>370</v>
      </c>
      <c r="F116" s="1" t="s">
        <v>339</v>
      </c>
      <c r="G116" s="1">
        <v>30</v>
      </c>
      <c r="H116" s="1" t="s">
        <v>20</v>
      </c>
      <c r="I116" s="1" t="s">
        <v>330</v>
      </c>
      <c r="J116" s="5">
        <v>12000</v>
      </c>
      <c r="K116" s="5"/>
      <c r="L116" s="5"/>
      <c r="M116" s="5">
        <f t="shared" si="3"/>
        <v>12000</v>
      </c>
      <c r="N116" s="1" t="s">
        <v>333</v>
      </c>
      <c r="O116" s="6">
        <v>46143</v>
      </c>
      <c r="P116" s="6">
        <v>46204</v>
      </c>
      <c r="Q116" s="6" t="s">
        <v>721</v>
      </c>
      <c r="R116" s="3" t="s">
        <v>349</v>
      </c>
      <c r="S116" s="1" t="s">
        <v>353</v>
      </c>
      <c r="T116" s="3" t="s">
        <v>361</v>
      </c>
      <c r="U116" s="1"/>
      <c r="V116" s="3" t="s">
        <v>367</v>
      </c>
    </row>
    <row r="117" spans="2:22" ht="16" hidden="1" x14ac:dyDescent="0.2">
      <c r="B117" s="1">
        <f t="shared" si="4"/>
        <v>113</v>
      </c>
      <c r="C117" s="1" t="s">
        <v>25</v>
      </c>
      <c r="D117" s="1" t="s">
        <v>171</v>
      </c>
      <c r="E117" s="1" t="s">
        <v>370</v>
      </c>
      <c r="F117" s="1" t="s">
        <v>340</v>
      </c>
      <c r="G117" s="1">
        <v>1</v>
      </c>
      <c r="H117" s="1" t="s">
        <v>20</v>
      </c>
      <c r="I117" s="1" t="s">
        <v>330</v>
      </c>
      <c r="J117" s="5">
        <v>5000</v>
      </c>
      <c r="K117" s="5"/>
      <c r="L117" s="5"/>
      <c r="M117" s="5">
        <f t="shared" si="3"/>
        <v>5000</v>
      </c>
      <c r="N117" s="1" t="s">
        <v>333</v>
      </c>
      <c r="O117" s="6">
        <v>46143</v>
      </c>
      <c r="P117" s="6">
        <v>46204</v>
      </c>
      <c r="Q117" s="6" t="s">
        <v>721</v>
      </c>
      <c r="R117" s="3" t="s">
        <v>350</v>
      </c>
      <c r="S117" s="1" t="s">
        <v>356</v>
      </c>
      <c r="T117" s="3" t="s">
        <v>362</v>
      </c>
      <c r="U117" s="1"/>
      <c r="V117" s="3" t="s">
        <v>368</v>
      </c>
    </row>
    <row r="118" spans="2:22" ht="16" hidden="1" x14ac:dyDescent="0.2">
      <c r="B118" s="1">
        <f t="shared" si="4"/>
        <v>114</v>
      </c>
      <c r="C118" s="1" t="s">
        <v>25</v>
      </c>
      <c r="D118" s="1" t="s">
        <v>171</v>
      </c>
      <c r="E118" s="1" t="s">
        <v>370</v>
      </c>
      <c r="F118" s="1" t="s">
        <v>341</v>
      </c>
      <c r="G118" s="1">
        <v>2</v>
      </c>
      <c r="H118" s="1" t="s">
        <v>20</v>
      </c>
      <c r="I118" s="1" t="s">
        <v>328</v>
      </c>
      <c r="J118" s="5">
        <v>24000</v>
      </c>
      <c r="K118" s="5"/>
      <c r="L118" s="5"/>
      <c r="M118" s="5">
        <f t="shared" si="3"/>
        <v>24000</v>
      </c>
      <c r="N118" s="1" t="s">
        <v>333</v>
      </c>
      <c r="O118" s="6">
        <v>46143</v>
      </c>
      <c r="P118" s="6">
        <v>46204</v>
      </c>
      <c r="Q118" s="6" t="s">
        <v>721</v>
      </c>
      <c r="R118" s="3" t="s">
        <v>351</v>
      </c>
      <c r="S118" s="1" t="s">
        <v>357</v>
      </c>
      <c r="T118" s="3" t="s">
        <v>363</v>
      </c>
      <c r="U118" s="1"/>
      <c r="V118" s="3" t="s">
        <v>367</v>
      </c>
    </row>
    <row r="119" spans="2:22" ht="16" hidden="1" x14ac:dyDescent="0.2">
      <c r="B119" s="1">
        <f t="shared" si="4"/>
        <v>115</v>
      </c>
      <c r="C119" s="1" t="s">
        <v>25</v>
      </c>
      <c r="D119" s="1" t="s">
        <v>171</v>
      </c>
      <c r="E119" s="1" t="s">
        <v>370</v>
      </c>
      <c r="F119" s="1" t="s">
        <v>339</v>
      </c>
      <c r="G119" s="1">
        <v>3</v>
      </c>
      <c r="H119" s="1" t="s">
        <v>20</v>
      </c>
      <c r="I119" s="1" t="s">
        <v>328</v>
      </c>
      <c r="J119" s="5">
        <v>1200</v>
      </c>
      <c r="K119" s="5"/>
      <c r="L119" s="5"/>
      <c r="M119" s="5">
        <f t="shared" ref="M119:M125" si="5">SUM(J119:L119)</f>
        <v>1200</v>
      </c>
      <c r="N119" s="1" t="s">
        <v>333</v>
      </c>
      <c r="O119" s="6">
        <v>46143</v>
      </c>
      <c r="P119" s="6">
        <v>46204</v>
      </c>
      <c r="Q119" s="6" t="s">
        <v>721</v>
      </c>
      <c r="R119" s="3" t="s">
        <v>349</v>
      </c>
      <c r="S119" s="1" t="s">
        <v>353</v>
      </c>
      <c r="T119" s="3" t="s">
        <v>361</v>
      </c>
      <c r="U119" s="1"/>
      <c r="V119" s="3" t="s">
        <v>367</v>
      </c>
    </row>
    <row r="120" spans="2:22" ht="32" hidden="1" x14ac:dyDescent="0.2">
      <c r="B120" s="1">
        <f t="shared" si="4"/>
        <v>116</v>
      </c>
      <c r="C120" s="1" t="s">
        <v>25</v>
      </c>
      <c r="D120" s="1" t="s">
        <v>171</v>
      </c>
      <c r="E120" s="1" t="s">
        <v>370</v>
      </c>
      <c r="F120" s="1" t="s">
        <v>371</v>
      </c>
      <c r="G120" s="1">
        <v>2</v>
      </c>
      <c r="H120" s="1" t="s">
        <v>20</v>
      </c>
      <c r="I120" s="1" t="s">
        <v>328</v>
      </c>
      <c r="J120" s="5">
        <v>24000</v>
      </c>
      <c r="K120" s="5"/>
      <c r="L120" s="5"/>
      <c r="M120" s="5">
        <f t="shared" si="5"/>
        <v>24000</v>
      </c>
      <c r="N120" s="1" t="s">
        <v>333</v>
      </c>
      <c r="O120" s="6">
        <v>46113</v>
      </c>
      <c r="P120" s="6">
        <v>46143</v>
      </c>
      <c r="Q120" s="6" t="s">
        <v>37</v>
      </c>
      <c r="R120" s="3" t="s">
        <v>372</v>
      </c>
      <c r="S120" s="3" t="s">
        <v>373</v>
      </c>
      <c r="T120" s="3" t="s">
        <v>374</v>
      </c>
      <c r="U120" s="1"/>
      <c r="V120" s="3" t="s">
        <v>375</v>
      </c>
    </row>
    <row r="121" spans="2:22" ht="32" hidden="1" x14ac:dyDescent="0.2">
      <c r="B121" s="1">
        <f t="shared" si="4"/>
        <v>117</v>
      </c>
      <c r="C121" s="1" t="s">
        <v>25</v>
      </c>
      <c r="D121" s="1" t="s">
        <v>171</v>
      </c>
      <c r="E121" s="1" t="s">
        <v>313</v>
      </c>
      <c r="F121" s="1" t="s">
        <v>376</v>
      </c>
      <c r="G121" s="1">
        <v>6</v>
      </c>
      <c r="H121" s="1" t="s">
        <v>20</v>
      </c>
      <c r="I121" s="1" t="s">
        <v>379</v>
      </c>
      <c r="J121" s="5">
        <v>21000</v>
      </c>
      <c r="K121" s="5"/>
      <c r="L121" s="5"/>
      <c r="M121" s="5">
        <f t="shared" si="5"/>
        <v>21000</v>
      </c>
      <c r="N121" s="1" t="s">
        <v>333</v>
      </c>
      <c r="O121" s="6">
        <v>46143</v>
      </c>
      <c r="P121" s="6">
        <v>46204</v>
      </c>
      <c r="Q121" s="6" t="s">
        <v>721</v>
      </c>
      <c r="R121" s="3" t="s">
        <v>333</v>
      </c>
      <c r="S121" s="3" t="s">
        <v>380</v>
      </c>
      <c r="T121" s="3" t="s">
        <v>381</v>
      </c>
      <c r="U121" s="1"/>
      <c r="V121" s="3" t="s">
        <v>383</v>
      </c>
    </row>
    <row r="122" spans="2:22" ht="32" hidden="1" x14ac:dyDescent="0.2">
      <c r="B122" s="1">
        <f t="shared" si="4"/>
        <v>118</v>
      </c>
      <c r="C122" s="1" t="s">
        <v>25</v>
      </c>
      <c r="D122" s="1" t="s">
        <v>171</v>
      </c>
      <c r="E122" s="1" t="s">
        <v>313</v>
      </c>
      <c r="F122" s="1" t="s">
        <v>376</v>
      </c>
      <c r="G122" s="1">
        <v>6</v>
      </c>
      <c r="H122" s="1" t="s">
        <v>20</v>
      </c>
      <c r="I122" s="1" t="s">
        <v>328</v>
      </c>
      <c r="J122" s="5">
        <v>21000</v>
      </c>
      <c r="K122" s="5"/>
      <c r="L122" s="5"/>
      <c r="M122" s="5">
        <f t="shared" si="5"/>
        <v>21000</v>
      </c>
      <c r="N122" s="1" t="s">
        <v>333</v>
      </c>
      <c r="O122" s="6">
        <v>46143</v>
      </c>
      <c r="P122" s="6">
        <v>46204</v>
      </c>
      <c r="Q122" s="6" t="s">
        <v>721</v>
      </c>
      <c r="R122" s="3" t="s">
        <v>333</v>
      </c>
      <c r="S122" s="3" t="s">
        <v>380</v>
      </c>
      <c r="T122" s="3" t="s">
        <v>382</v>
      </c>
      <c r="U122" s="1"/>
      <c r="V122" s="3" t="s">
        <v>384</v>
      </c>
    </row>
    <row r="123" spans="2:22" ht="32" hidden="1" x14ac:dyDescent="0.2">
      <c r="B123" s="1">
        <f t="shared" si="4"/>
        <v>119</v>
      </c>
      <c r="C123" s="1" t="s">
        <v>25</v>
      </c>
      <c r="D123" s="1" t="s">
        <v>171</v>
      </c>
      <c r="E123" s="1" t="s">
        <v>313</v>
      </c>
      <c r="F123" s="1" t="s">
        <v>377</v>
      </c>
      <c r="G123" s="1">
        <v>1</v>
      </c>
      <c r="H123" s="1" t="s">
        <v>20</v>
      </c>
      <c r="I123" s="1" t="s">
        <v>379</v>
      </c>
      <c r="J123" s="5">
        <v>4500</v>
      </c>
      <c r="K123" s="5"/>
      <c r="L123" s="5"/>
      <c r="M123" s="5">
        <f t="shared" si="5"/>
        <v>4500</v>
      </c>
      <c r="N123" s="1" t="s">
        <v>333</v>
      </c>
      <c r="O123" s="6">
        <v>46143</v>
      </c>
      <c r="P123" s="6">
        <v>46204</v>
      </c>
      <c r="Q123" s="6" t="s">
        <v>721</v>
      </c>
      <c r="R123" s="3" t="s">
        <v>333</v>
      </c>
      <c r="S123" s="3" t="s">
        <v>380</v>
      </c>
      <c r="T123" s="3" t="s">
        <v>381</v>
      </c>
      <c r="U123" s="1"/>
      <c r="V123" s="3" t="s">
        <v>383</v>
      </c>
    </row>
    <row r="124" spans="2:22" ht="32" hidden="1" x14ac:dyDescent="0.2">
      <c r="B124" s="1">
        <f t="shared" si="4"/>
        <v>120</v>
      </c>
      <c r="C124" s="1" t="s">
        <v>25</v>
      </c>
      <c r="D124" s="1" t="s">
        <v>171</v>
      </c>
      <c r="E124" s="1" t="s">
        <v>313</v>
      </c>
      <c r="F124" s="1" t="s">
        <v>378</v>
      </c>
      <c r="G124" s="1">
        <v>1</v>
      </c>
      <c r="H124" s="1" t="s">
        <v>20</v>
      </c>
      <c r="I124" s="1" t="s">
        <v>343</v>
      </c>
      <c r="J124" s="5">
        <v>3500</v>
      </c>
      <c r="K124" s="5"/>
      <c r="L124" s="5"/>
      <c r="M124" s="5">
        <f t="shared" si="5"/>
        <v>3500</v>
      </c>
      <c r="N124" s="1" t="s">
        <v>333</v>
      </c>
      <c r="O124" s="6">
        <v>46143</v>
      </c>
      <c r="P124" s="6">
        <v>46204</v>
      </c>
      <c r="Q124" s="6" t="s">
        <v>721</v>
      </c>
      <c r="R124" s="3" t="s">
        <v>333</v>
      </c>
      <c r="S124" s="3" t="s">
        <v>380</v>
      </c>
      <c r="T124" s="3" t="s">
        <v>382</v>
      </c>
      <c r="U124" s="1"/>
      <c r="V124" s="3" t="s">
        <v>384</v>
      </c>
    </row>
    <row r="125" spans="2:22" ht="32" hidden="1" x14ac:dyDescent="0.2">
      <c r="B125" s="1">
        <f t="shared" si="4"/>
        <v>121</v>
      </c>
      <c r="C125" s="1" t="s">
        <v>25</v>
      </c>
      <c r="D125" s="1" t="s">
        <v>171</v>
      </c>
      <c r="E125" s="1" t="s">
        <v>313</v>
      </c>
      <c r="F125" s="1" t="s">
        <v>376</v>
      </c>
      <c r="G125" s="1">
        <v>2</v>
      </c>
      <c r="H125" s="1" t="s">
        <v>20</v>
      </c>
      <c r="I125" s="1" t="s">
        <v>331</v>
      </c>
      <c r="J125" s="5">
        <v>7000</v>
      </c>
      <c r="K125" s="5"/>
      <c r="L125" s="5"/>
      <c r="M125" s="5">
        <f t="shared" si="5"/>
        <v>7000</v>
      </c>
      <c r="N125" s="1" t="s">
        <v>333</v>
      </c>
      <c r="O125" s="6">
        <v>46143</v>
      </c>
      <c r="P125" s="6">
        <v>46204</v>
      </c>
      <c r="Q125" s="6" t="s">
        <v>721</v>
      </c>
      <c r="R125" s="3" t="s">
        <v>333</v>
      </c>
      <c r="S125" s="3" t="s">
        <v>380</v>
      </c>
      <c r="T125" s="3" t="s">
        <v>381</v>
      </c>
      <c r="U125" s="1"/>
      <c r="V125" s="3" t="s">
        <v>383</v>
      </c>
    </row>
    <row r="126" spans="2:22" ht="32" hidden="1" x14ac:dyDescent="0.2">
      <c r="B126" s="1" t="e">
        <f>#REF!+1</f>
        <v>#REF!</v>
      </c>
      <c r="C126" s="1" t="s">
        <v>463</v>
      </c>
      <c r="D126" s="1" t="s">
        <v>171</v>
      </c>
      <c r="E126" s="1" t="s">
        <v>748</v>
      </c>
      <c r="F126" s="1" t="s">
        <v>455</v>
      </c>
      <c r="G126" s="1">
        <v>5</v>
      </c>
      <c r="H126" s="1"/>
      <c r="I126" s="1"/>
      <c r="J126" s="5">
        <v>1000000</v>
      </c>
      <c r="K126" s="5"/>
      <c r="L126" s="5"/>
      <c r="M126" s="5">
        <f t="shared" ref="M126:M144" si="6">SUM(J126:L126)</f>
        <v>1000000</v>
      </c>
      <c r="N126" s="1"/>
      <c r="O126" s="6"/>
      <c r="P126" s="6"/>
      <c r="Q126" s="6" t="s">
        <v>721</v>
      </c>
      <c r="R126" s="3"/>
      <c r="S126" s="3"/>
      <c r="T126" s="3"/>
      <c r="U126" s="1"/>
      <c r="V126" s="3" t="s">
        <v>469</v>
      </c>
    </row>
    <row r="127" spans="2:22" ht="32" hidden="1" x14ac:dyDescent="0.2">
      <c r="B127" s="1" t="e">
        <f t="shared" ref="B127:B143" si="7">B126+1</f>
        <v>#REF!</v>
      </c>
      <c r="C127" s="1" t="s">
        <v>463</v>
      </c>
      <c r="D127" s="1" t="s">
        <v>171</v>
      </c>
      <c r="E127" s="1" t="s">
        <v>748</v>
      </c>
      <c r="F127" s="1" t="s">
        <v>456</v>
      </c>
      <c r="G127" s="1">
        <v>5</v>
      </c>
      <c r="H127" s="1"/>
      <c r="I127" s="1"/>
      <c r="J127" s="5">
        <v>500000</v>
      </c>
      <c r="K127" s="5"/>
      <c r="L127" s="5"/>
      <c r="M127" s="5">
        <f t="shared" si="6"/>
        <v>500000</v>
      </c>
      <c r="N127" s="1"/>
      <c r="O127" s="6"/>
      <c r="P127" s="6"/>
      <c r="Q127" s="6" t="s">
        <v>721</v>
      </c>
      <c r="R127" s="3"/>
      <c r="S127" s="3"/>
      <c r="T127" s="3"/>
      <c r="U127" s="1"/>
      <c r="V127" s="3" t="s">
        <v>469</v>
      </c>
    </row>
    <row r="128" spans="2:22" ht="32" hidden="1" x14ac:dyDescent="0.2">
      <c r="B128" s="1" t="e">
        <f t="shared" si="7"/>
        <v>#REF!</v>
      </c>
      <c r="C128" s="1" t="s">
        <v>461</v>
      </c>
      <c r="D128" s="1" t="s">
        <v>521</v>
      </c>
      <c r="E128" s="1" t="s">
        <v>522</v>
      </c>
      <c r="F128" s="1" t="s">
        <v>457</v>
      </c>
      <c r="G128" s="1">
        <v>5</v>
      </c>
      <c r="H128" s="1"/>
      <c r="I128" s="1"/>
      <c r="J128" s="5">
        <v>350000</v>
      </c>
      <c r="K128" s="5"/>
      <c r="L128" s="5"/>
      <c r="M128" s="5">
        <f t="shared" si="6"/>
        <v>350000</v>
      </c>
      <c r="N128" s="1"/>
      <c r="O128" s="6"/>
      <c r="P128" s="6"/>
      <c r="Q128" s="6" t="s">
        <v>721</v>
      </c>
      <c r="R128" s="3"/>
      <c r="S128" s="3"/>
      <c r="T128" s="3"/>
      <c r="U128" s="1"/>
      <c r="V128" s="3" t="s">
        <v>470</v>
      </c>
    </row>
    <row r="129" spans="2:22" ht="64" hidden="1" x14ac:dyDescent="0.2">
      <c r="B129" s="1" t="e">
        <f t="shared" si="7"/>
        <v>#REF!</v>
      </c>
      <c r="C129" s="1" t="s">
        <v>461</v>
      </c>
      <c r="D129" s="1" t="s">
        <v>521</v>
      </c>
      <c r="E129" s="1" t="s">
        <v>522</v>
      </c>
      <c r="F129" s="1" t="s">
        <v>458</v>
      </c>
      <c r="G129" s="1">
        <v>1</v>
      </c>
      <c r="H129" s="1"/>
      <c r="I129" s="1"/>
      <c r="J129" s="5">
        <v>450000</v>
      </c>
      <c r="K129" s="5"/>
      <c r="L129" s="5"/>
      <c r="M129" s="5">
        <f t="shared" si="6"/>
        <v>450000</v>
      </c>
      <c r="N129" s="1"/>
      <c r="O129" s="6"/>
      <c r="P129" s="6"/>
      <c r="Q129" s="6" t="s">
        <v>721</v>
      </c>
      <c r="R129" s="3"/>
      <c r="S129" s="3"/>
      <c r="T129" s="3"/>
      <c r="U129" s="1"/>
      <c r="V129" s="3" t="s">
        <v>471</v>
      </c>
    </row>
    <row r="130" spans="2:22" ht="48" hidden="1" x14ac:dyDescent="0.2">
      <c r="B130" s="1" t="e">
        <f>#REF!+1</f>
        <v>#REF!</v>
      </c>
      <c r="C130" s="1" t="s">
        <v>474</v>
      </c>
      <c r="D130" s="1" t="s">
        <v>41</v>
      </c>
      <c r="E130" s="1" t="s">
        <v>479</v>
      </c>
      <c r="F130" s="1" t="s">
        <v>475</v>
      </c>
      <c r="G130" s="1">
        <v>1</v>
      </c>
      <c r="H130" s="1" t="s">
        <v>20</v>
      </c>
      <c r="I130" s="1" t="s">
        <v>483</v>
      </c>
      <c r="J130" s="5">
        <v>2000000</v>
      </c>
      <c r="K130" s="5">
        <v>1200000</v>
      </c>
      <c r="L130" s="5"/>
      <c r="M130" s="5">
        <f t="shared" si="6"/>
        <v>3200000</v>
      </c>
      <c r="N130" s="1" t="s">
        <v>400</v>
      </c>
      <c r="O130" s="6"/>
      <c r="P130" s="6"/>
      <c r="Q130" s="6" t="s">
        <v>725</v>
      </c>
      <c r="R130" s="3" t="s">
        <v>488</v>
      </c>
      <c r="S130" s="3" t="s">
        <v>491</v>
      </c>
      <c r="T130" s="3" t="s">
        <v>494</v>
      </c>
      <c r="U130" s="1" t="s">
        <v>497</v>
      </c>
      <c r="V130" s="3" t="s">
        <v>498</v>
      </c>
    </row>
    <row r="131" spans="2:22" ht="48" hidden="1" x14ac:dyDescent="0.2">
      <c r="B131" s="1" t="e">
        <f t="shared" si="7"/>
        <v>#REF!</v>
      </c>
      <c r="C131" s="1" t="s">
        <v>474</v>
      </c>
      <c r="D131" s="1" t="s">
        <v>171</v>
      </c>
      <c r="E131" s="1" t="s">
        <v>187</v>
      </c>
      <c r="F131" s="1" t="s">
        <v>476</v>
      </c>
      <c r="G131" s="1" t="s">
        <v>482</v>
      </c>
      <c r="H131" s="1" t="s">
        <v>165</v>
      </c>
      <c r="I131" s="1" t="s">
        <v>484</v>
      </c>
      <c r="J131" s="5">
        <v>27300000</v>
      </c>
      <c r="K131" s="5"/>
      <c r="L131" s="5"/>
      <c r="M131" s="5">
        <f t="shared" si="6"/>
        <v>27300000</v>
      </c>
      <c r="N131" s="1" t="s">
        <v>400</v>
      </c>
      <c r="O131" s="6"/>
      <c r="P131" s="6"/>
      <c r="Q131" s="6" t="s">
        <v>725</v>
      </c>
      <c r="R131" s="3" t="s">
        <v>489</v>
      </c>
      <c r="S131" s="3" t="s">
        <v>492</v>
      </c>
      <c r="T131" s="3" t="s">
        <v>495</v>
      </c>
      <c r="U131" s="1"/>
      <c r="V131" s="3" t="s">
        <v>489</v>
      </c>
    </row>
    <row r="132" spans="2:22" ht="48" hidden="1" x14ac:dyDescent="0.2">
      <c r="B132" s="1" t="e">
        <f t="shared" si="7"/>
        <v>#REF!</v>
      </c>
      <c r="C132" s="1" t="s">
        <v>474</v>
      </c>
      <c r="D132" s="1" t="s">
        <v>314</v>
      </c>
      <c r="E132" s="1" t="s">
        <v>480</v>
      </c>
      <c r="F132" s="1" t="s">
        <v>477</v>
      </c>
      <c r="G132" s="1">
        <v>30</v>
      </c>
      <c r="H132" s="1" t="s">
        <v>165</v>
      </c>
      <c r="I132" s="1" t="s">
        <v>485</v>
      </c>
      <c r="J132" s="5">
        <v>500000</v>
      </c>
      <c r="K132" s="5">
        <v>25000</v>
      </c>
      <c r="L132" s="5"/>
      <c r="M132" s="5">
        <f t="shared" si="6"/>
        <v>525000</v>
      </c>
      <c r="N132" s="1" t="s">
        <v>487</v>
      </c>
      <c r="O132" s="6"/>
      <c r="P132" s="6"/>
      <c r="Q132" s="6" t="s">
        <v>725</v>
      </c>
      <c r="R132" s="3" t="s">
        <v>490</v>
      </c>
      <c r="S132" s="3" t="s">
        <v>493</v>
      </c>
      <c r="T132" s="3" t="s">
        <v>496</v>
      </c>
      <c r="U132" s="1" t="s">
        <v>499</v>
      </c>
      <c r="V132" s="3" t="s">
        <v>500</v>
      </c>
    </row>
    <row r="133" spans="2:22" ht="32" hidden="1" x14ac:dyDescent="0.2">
      <c r="B133" s="1" t="e">
        <f t="shared" si="7"/>
        <v>#REF!</v>
      </c>
      <c r="C133" s="1" t="s">
        <v>474</v>
      </c>
      <c r="D133" s="1" t="s">
        <v>188</v>
      </c>
      <c r="E133" s="1" t="s">
        <v>481</v>
      </c>
      <c r="F133" s="1" t="s">
        <v>478</v>
      </c>
      <c r="G133" s="1">
        <v>2</v>
      </c>
      <c r="H133" s="1" t="s">
        <v>20</v>
      </c>
      <c r="I133" s="1" t="s">
        <v>486</v>
      </c>
      <c r="J133" s="5">
        <v>3000000</v>
      </c>
      <c r="K133" s="5"/>
      <c r="L133" s="5"/>
      <c r="M133" s="5">
        <f t="shared" si="6"/>
        <v>3000000</v>
      </c>
      <c r="N133" s="1"/>
      <c r="O133" s="6"/>
      <c r="P133" s="6"/>
      <c r="Q133" s="6" t="s">
        <v>725</v>
      </c>
      <c r="R133" s="3"/>
      <c r="S133" s="3"/>
      <c r="T133" s="3"/>
      <c r="U133" s="1"/>
      <c r="V133" s="3" t="s">
        <v>501</v>
      </c>
    </row>
    <row r="134" spans="2:22" hidden="1" x14ac:dyDescent="0.2">
      <c r="B134" s="1" t="e">
        <f>#REF!+1</f>
        <v>#REF!</v>
      </c>
      <c r="C134" s="1" t="s">
        <v>24</v>
      </c>
      <c r="D134" s="1" t="s">
        <v>314</v>
      </c>
      <c r="E134" s="1" t="s">
        <v>317</v>
      </c>
      <c r="F134" s="1" t="s">
        <v>509</v>
      </c>
      <c r="G134" s="1">
        <v>215</v>
      </c>
      <c r="H134" s="1" t="s">
        <v>20</v>
      </c>
      <c r="I134" s="1"/>
      <c r="J134" s="5">
        <v>6300000</v>
      </c>
      <c r="K134" s="5"/>
      <c r="L134" s="5"/>
      <c r="M134" s="5">
        <f t="shared" si="6"/>
        <v>6300000</v>
      </c>
      <c r="N134" s="1"/>
      <c r="O134" s="6"/>
      <c r="P134" s="6"/>
      <c r="Q134" s="6" t="s">
        <v>725</v>
      </c>
      <c r="R134" s="3"/>
      <c r="S134" s="3"/>
      <c r="T134" s="3"/>
      <c r="U134" s="1"/>
      <c r="V134" s="3"/>
    </row>
    <row r="135" spans="2:22" ht="16" hidden="1" x14ac:dyDescent="0.2">
      <c r="B135" s="1" t="e">
        <f t="shared" si="7"/>
        <v>#REF!</v>
      </c>
      <c r="C135" s="1" t="s">
        <v>24</v>
      </c>
      <c r="D135" s="1" t="s">
        <v>314</v>
      </c>
      <c r="E135" s="1" t="s">
        <v>511</v>
      </c>
      <c r="F135" s="1" t="s">
        <v>510</v>
      </c>
      <c r="G135" s="1"/>
      <c r="H135" s="1"/>
      <c r="I135" s="1"/>
      <c r="J135" s="5">
        <v>25000000</v>
      </c>
      <c r="K135" s="5"/>
      <c r="L135" s="5"/>
      <c r="M135" s="5">
        <f t="shared" si="6"/>
        <v>25000000</v>
      </c>
      <c r="N135" s="1"/>
      <c r="O135" s="6"/>
      <c r="P135" s="6"/>
      <c r="Q135" s="6" t="s">
        <v>725</v>
      </c>
      <c r="R135" s="3"/>
      <c r="S135" s="3"/>
      <c r="T135" s="3" t="s">
        <v>512</v>
      </c>
      <c r="U135" s="1"/>
      <c r="V135" s="3"/>
    </row>
    <row r="136" spans="2:22" ht="32" hidden="1" x14ac:dyDescent="0.2">
      <c r="B136" s="1" t="e">
        <f t="shared" si="7"/>
        <v>#REF!</v>
      </c>
      <c r="C136" s="1" t="s">
        <v>24</v>
      </c>
      <c r="D136" s="1" t="s">
        <v>314</v>
      </c>
      <c r="E136" s="1" t="s">
        <v>318</v>
      </c>
      <c r="F136" s="1" t="s">
        <v>515</v>
      </c>
      <c r="G136" s="1">
        <v>53</v>
      </c>
      <c r="H136" s="1" t="s">
        <v>20</v>
      </c>
      <c r="I136" s="1"/>
      <c r="J136" s="5">
        <v>1200000</v>
      </c>
      <c r="K136" s="5"/>
      <c r="L136" s="5"/>
      <c r="M136" s="5">
        <f t="shared" si="6"/>
        <v>1200000</v>
      </c>
      <c r="N136" s="1"/>
      <c r="O136" s="6"/>
      <c r="P136" s="6"/>
      <c r="Q136" s="6" t="s">
        <v>725</v>
      </c>
      <c r="R136" s="3"/>
      <c r="S136" s="3"/>
      <c r="T136" s="3"/>
      <c r="U136" s="1"/>
      <c r="V136" s="3" t="s">
        <v>513</v>
      </c>
    </row>
    <row r="137" spans="2:22" ht="16" hidden="1" x14ac:dyDescent="0.2">
      <c r="B137" s="1" t="e">
        <f t="shared" si="7"/>
        <v>#REF!</v>
      </c>
      <c r="C137" s="1" t="s">
        <v>24</v>
      </c>
      <c r="D137" s="1" t="s">
        <v>314</v>
      </c>
      <c r="E137" s="1" t="s">
        <v>518</v>
      </c>
      <c r="F137" s="1" t="s">
        <v>514</v>
      </c>
      <c r="G137" s="1">
        <v>40</v>
      </c>
      <c r="H137" s="1"/>
      <c r="I137" s="1"/>
      <c r="J137" s="5">
        <v>1500000</v>
      </c>
      <c r="K137" s="5"/>
      <c r="L137" s="5"/>
      <c r="M137" s="5">
        <f t="shared" si="6"/>
        <v>1500000</v>
      </c>
      <c r="N137" s="1"/>
      <c r="O137" s="6"/>
      <c r="P137" s="6"/>
      <c r="Q137" s="6" t="s">
        <v>725</v>
      </c>
      <c r="R137" s="3"/>
      <c r="S137" s="3"/>
      <c r="T137" s="3"/>
      <c r="U137" s="1"/>
      <c r="V137" s="3" t="s">
        <v>516</v>
      </c>
    </row>
    <row r="138" spans="2:22" hidden="1" x14ac:dyDescent="0.2">
      <c r="B138" s="1" t="e">
        <f t="shared" si="7"/>
        <v>#REF!</v>
      </c>
      <c r="C138" s="1" t="s">
        <v>24</v>
      </c>
      <c r="D138" s="1" t="s">
        <v>314</v>
      </c>
      <c r="E138" s="1" t="s">
        <v>519</v>
      </c>
      <c r="F138" s="1" t="s">
        <v>517</v>
      </c>
      <c r="G138" s="1"/>
      <c r="H138" s="1"/>
      <c r="I138" s="1"/>
      <c r="J138" s="5">
        <v>500000</v>
      </c>
      <c r="K138" s="5"/>
      <c r="L138" s="5"/>
      <c r="M138" s="5">
        <f t="shared" si="6"/>
        <v>500000</v>
      </c>
      <c r="N138" s="1"/>
      <c r="O138" s="6"/>
      <c r="P138" s="6"/>
      <c r="Q138" s="6" t="s">
        <v>724</v>
      </c>
      <c r="R138" s="3"/>
      <c r="S138" s="3"/>
      <c r="T138" s="3"/>
      <c r="U138" s="1"/>
      <c r="V138" s="3"/>
    </row>
    <row r="139" spans="2:22" hidden="1" x14ac:dyDescent="0.2">
      <c r="B139" s="1" t="e">
        <f t="shared" si="7"/>
        <v>#REF!</v>
      </c>
      <c r="C139" s="1" t="s">
        <v>24</v>
      </c>
      <c r="D139" s="1" t="s">
        <v>314</v>
      </c>
      <c r="E139" s="1" t="s">
        <v>511</v>
      </c>
      <c r="F139" s="1" t="s">
        <v>520</v>
      </c>
      <c r="G139" s="1"/>
      <c r="H139" s="1"/>
      <c r="I139" s="1"/>
      <c r="J139" s="5">
        <v>500000</v>
      </c>
      <c r="K139" s="5"/>
      <c r="L139" s="5"/>
      <c r="M139" s="5">
        <f t="shared" si="6"/>
        <v>500000</v>
      </c>
      <c r="N139" s="1"/>
      <c r="O139" s="6"/>
      <c r="P139" s="6"/>
      <c r="Q139" s="6" t="s">
        <v>724</v>
      </c>
      <c r="R139" s="3"/>
      <c r="S139" s="3"/>
      <c r="T139" s="3"/>
      <c r="U139" s="1"/>
      <c r="V139" s="3"/>
    </row>
    <row r="140" spans="2:22" hidden="1" x14ac:dyDescent="0.2">
      <c r="B140" s="1" t="e">
        <f t="shared" si="7"/>
        <v>#REF!</v>
      </c>
      <c r="C140" s="1" t="s">
        <v>24</v>
      </c>
      <c r="D140" s="1" t="s">
        <v>521</v>
      </c>
      <c r="E140" s="1" t="s">
        <v>522</v>
      </c>
      <c r="F140" s="1" t="s">
        <v>523</v>
      </c>
      <c r="G140" s="1">
        <v>1</v>
      </c>
      <c r="H140" s="1" t="s">
        <v>165</v>
      </c>
      <c r="I140" s="1"/>
      <c r="J140" s="5">
        <v>5000000</v>
      </c>
      <c r="K140" s="5"/>
      <c r="L140" s="5"/>
      <c r="M140" s="5">
        <f t="shared" si="6"/>
        <v>5000000</v>
      </c>
      <c r="N140" s="1"/>
      <c r="O140" s="6"/>
      <c r="P140" s="6"/>
      <c r="Q140" s="6" t="s">
        <v>724</v>
      </c>
      <c r="R140" s="3"/>
      <c r="S140" s="3"/>
      <c r="T140" s="3"/>
      <c r="U140" s="1"/>
      <c r="V140" s="3"/>
    </row>
    <row r="141" spans="2:22" hidden="1" x14ac:dyDescent="0.2">
      <c r="B141" s="1" t="e">
        <f t="shared" si="7"/>
        <v>#REF!</v>
      </c>
      <c r="C141" s="1" t="s">
        <v>24</v>
      </c>
      <c r="D141" s="1" t="s">
        <v>314</v>
      </c>
      <c r="E141" s="1" t="s">
        <v>525</v>
      </c>
      <c r="F141" s="1" t="s">
        <v>524</v>
      </c>
      <c r="G141" s="1">
        <v>1</v>
      </c>
      <c r="H141" s="1"/>
      <c r="I141" s="1"/>
      <c r="J141" s="5">
        <v>7500000</v>
      </c>
      <c r="K141" s="5"/>
      <c r="L141" s="5"/>
      <c r="M141" s="5">
        <f t="shared" si="6"/>
        <v>7500000</v>
      </c>
      <c r="N141" s="1"/>
      <c r="O141" s="6"/>
      <c r="P141" s="6"/>
      <c r="Q141" s="6" t="s">
        <v>724</v>
      </c>
      <c r="R141" s="3"/>
      <c r="S141" s="3"/>
      <c r="T141" s="3"/>
      <c r="U141" s="1"/>
      <c r="V141" s="3"/>
    </row>
    <row r="142" spans="2:22" ht="96" hidden="1" x14ac:dyDescent="0.2">
      <c r="B142" s="1" t="e">
        <f t="shared" si="7"/>
        <v>#REF!</v>
      </c>
      <c r="C142" s="1" t="s">
        <v>527</v>
      </c>
      <c r="D142" s="1" t="s">
        <v>188</v>
      </c>
      <c r="E142" s="1" t="s">
        <v>369</v>
      </c>
      <c r="F142" s="1" t="s">
        <v>526</v>
      </c>
      <c r="G142" s="1">
        <v>1</v>
      </c>
      <c r="H142" s="1" t="s">
        <v>165</v>
      </c>
      <c r="I142" s="1"/>
      <c r="J142" s="5">
        <v>500000</v>
      </c>
      <c r="K142" s="5">
        <v>50000</v>
      </c>
      <c r="L142" s="5">
        <v>10000</v>
      </c>
      <c r="M142" s="5">
        <f t="shared" si="6"/>
        <v>560000</v>
      </c>
      <c r="N142" s="1" t="s">
        <v>400</v>
      </c>
      <c r="O142" s="6">
        <v>46113</v>
      </c>
      <c r="P142" s="6">
        <v>46173</v>
      </c>
      <c r="Q142" s="6" t="s">
        <v>37</v>
      </c>
      <c r="R142" s="3" t="s">
        <v>529</v>
      </c>
      <c r="S142" s="3" t="s">
        <v>530</v>
      </c>
      <c r="T142" s="3" t="s">
        <v>531</v>
      </c>
      <c r="U142" s="1"/>
      <c r="V142" s="3" t="s">
        <v>532</v>
      </c>
    </row>
    <row r="143" spans="2:22" ht="64" hidden="1" x14ac:dyDescent="0.2">
      <c r="B143" s="1" t="e">
        <f t="shared" si="7"/>
        <v>#REF!</v>
      </c>
      <c r="C143" s="1" t="s">
        <v>527</v>
      </c>
      <c r="D143" s="1" t="s">
        <v>314</v>
      </c>
      <c r="E143" s="1" t="s">
        <v>318</v>
      </c>
      <c r="F143" s="1" t="s">
        <v>528</v>
      </c>
      <c r="G143" s="1">
        <v>1</v>
      </c>
      <c r="H143" s="1" t="s">
        <v>165</v>
      </c>
      <c r="I143" s="1"/>
      <c r="J143" s="5">
        <v>250000</v>
      </c>
      <c r="K143" s="5">
        <v>5000</v>
      </c>
      <c r="L143" s="5">
        <v>5000</v>
      </c>
      <c r="M143" s="5">
        <f t="shared" si="6"/>
        <v>260000</v>
      </c>
      <c r="N143" s="1" t="s">
        <v>400</v>
      </c>
      <c r="O143" s="6">
        <v>46113</v>
      </c>
      <c r="P143" s="6">
        <v>46173</v>
      </c>
      <c r="Q143" s="6" t="s">
        <v>37</v>
      </c>
      <c r="R143" s="3" t="s">
        <v>533</v>
      </c>
      <c r="S143" s="3"/>
      <c r="T143" s="3"/>
      <c r="U143" s="1"/>
      <c r="V143" s="3" t="s">
        <v>534</v>
      </c>
    </row>
    <row r="144" spans="2:22" ht="80" hidden="1" x14ac:dyDescent="0.2">
      <c r="B144" s="1" t="e">
        <f>#REF!+1</f>
        <v>#REF!</v>
      </c>
      <c r="C144" s="1" t="s">
        <v>465</v>
      </c>
      <c r="D144" s="1" t="s">
        <v>188</v>
      </c>
      <c r="E144" s="1" t="s">
        <v>398</v>
      </c>
      <c r="F144" s="1" t="s">
        <v>454</v>
      </c>
      <c r="G144" s="1">
        <v>1</v>
      </c>
      <c r="H144" s="1"/>
      <c r="I144" s="1"/>
      <c r="J144" s="5">
        <v>4000000</v>
      </c>
      <c r="K144" s="5"/>
      <c r="L144" s="5"/>
      <c r="M144" s="5">
        <f t="shared" si="6"/>
        <v>4000000</v>
      </c>
      <c r="N144" s="1"/>
      <c r="O144" s="6"/>
      <c r="P144" s="6"/>
      <c r="Q144" s="6" t="s">
        <v>721</v>
      </c>
      <c r="R144" s="3"/>
      <c r="S144" s="3"/>
      <c r="T144" s="3"/>
      <c r="U144" s="1"/>
      <c r="V144" s="3" t="s">
        <v>468</v>
      </c>
    </row>
    <row r="145" spans="2:22" ht="64" hidden="1" x14ac:dyDescent="0.2">
      <c r="B145" s="1" t="e">
        <f>#REF!+1</f>
        <v>#REF!</v>
      </c>
      <c r="C145" s="1" t="s">
        <v>461</v>
      </c>
      <c r="D145" s="1" t="s">
        <v>188</v>
      </c>
      <c r="E145" s="1" t="s">
        <v>398</v>
      </c>
      <c r="F145" s="1" t="s">
        <v>452</v>
      </c>
      <c r="G145" s="1">
        <v>1</v>
      </c>
      <c r="H145" s="1"/>
      <c r="I145" s="1"/>
      <c r="J145" s="5">
        <v>1800000</v>
      </c>
      <c r="K145" s="5"/>
      <c r="L145" s="5"/>
      <c r="M145" s="5">
        <f t="shared" ref="M145:M147" si="8">SUM(J145:L145)</f>
        <v>1800000</v>
      </c>
      <c r="N145" s="1"/>
      <c r="O145" s="6"/>
      <c r="P145" s="6"/>
      <c r="Q145" s="6" t="s">
        <v>721</v>
      </c>
      <c r="R145" s="3"/>
      <c r="S145" s="3"/>
      <c r="T145" s="3"/>
      <c r="U145" s="1"/>
      <c r="V145" s="3" t="s">
        <v>466</v>
      </c>
    </row>
    <row r="146" spans="2:22" ht="96" hidden="1" x14ac:dyDescent="0.2">
      <c r="B146" s="1" t="e">
        <f>#REF!+1</f>
        <v>#REF!</v>
      </c>
      <c r="C146" s="1" t="s">
        <v>21</v>
      </c>
      <c r="D146" s="1" t="s">
        <v>188</v>
      </c>
      <c r="E146" s="1" t="s">
        <v>398</v>
      </c>
      <c r="F146" s="1" t="s">
        <v>502</v>
      </c>
      <c r="G146" s="1">
        <v>1</v>
      </c>
      <c r="H146" s="1" t="s">
        <v>165</v>
      </c>
      <c r="I146" s="1" t="s">
        <v>21</v>
      </c>
      <c r="J146" s="5">
        <v>1600000</v>
      </c>
      <c r="K146" s="5"/>
      <c r="L146" s="5"/>
      <c r="M146" s="5">
        <f t="shared" si="8"/>
        <v>1600000</v>
      </c>
      <c r="N146" s="1" t="s">
        <v>503</v>
      </c>
      <c r="O146" s="6">
        <v>46113</v>
      </c>
      <c r="P146" s="6">
        <v>46174</v>
      </c>
      <c r="Q146" s="6" t="s">
        <v>725</v>
      </c>
      <c r="R146" s="3" t="s">
        <v>504</v>
      </c>
      <c r="S146" s="3" t="s">
        <v>505</v>
      </c>
      <c r="T146" s="3" t="s">
        <v>506</v>
      </c>
      <c r="U146" s="1" t="s">
        <v>507</v>
      </c>
      <c r="V146" s="3" t="s">
        <v>508</v>
      </c>
    </row>
    <row r="147" spans="2:22" ht="96" hidden="1" x14ac:dyDescent="0.2">
      <c r="B147" s="1" t="e">
        <f>#REF!+1</f>
        <v>#REF!</v>
      </c>
      <c r="C147" s="1" t="s">
        <v>385</v>
      </c>
      <c r="D147" s="1" t="s">
        <v>188</v>
      </c>
      <c r="E147" s="1" t="s">
        <v>398</v>
      </c>
      <c r="F147" s="1" t="s">
        <v>392</v>
      </c>
      <c r="G147" s="1">
        <v>1</v>
      </c>
      <c r="H147" s="1" t="s">
        <v>203</v>
      </c>
      <c r="I147" s="1" t="s">
        <v>399</v>
      </c>
      <c r="J147" s="5">
        <v>1200000</v>
      </c>
      <c r="K147" s="5"/>
      <c r="L147" s="5"/>
      <c r="M147" s="5">
        <f t="shared" si="8"/>
        <v>1200000</v>
      </c>
      <c r="N147" s="1" t="s">
        <v>400</v>
      </c>
      <c r="O147" s="6"/>
      <c r="P147" s="6"/>
      <c r="Q147" s="6" t="s">
        <v>724</v>
      </c>
      <c r="R147" s="3" t="s">
        <v>410</v>
      </c>
      <c r="S147" s="3" t="s">
        <v>422</v>
      </c>
      <c r="T147" s="3" t="s">
        <v>434</v>
      </c>
      <c r="U147" s="1"/>
      <c r="V147" s="3" t="s">
        <v>446</v>
      </c>
    </row>
    <row r="148" spans="2:22" ht="112" hidden="1" x14ac:dyDescent="0.2">
      <c r="B148" s="1" t="e">
        <f>#REF!+1</f>
        <v>#REF!</v>
      </c>
      <c r="C148" s="1" t="s">
        <v>385</v>
      </c>
      <c r="D148" s="1" t="s">
        <v>188</v>
      </c>
      <c r="E148" s="1" t="s">
        <v>398</v>
      </c>
      <c r="F148" s="1" t="s">
        <v>387</v>
      </c>
      <c r="G148" s="1">
        <v>1</v>
      </c>
      <c r="H148" s="1" t="s">
        <v>203</v>
      </c>
      <c r="I148" s="1" t="s">
        <v>399</v>
      </c>
      <c r="J148" s="5">
        <v>1000000</v>
      </c>
      <c r="K148" s="5"/>
      <c r="L148" s="5"/>
      <c r="M148" s="5">
        <f t="shared" ref="M148:M153" si="9">SUM(J148:L148)</f>
        <v>1000000</v>
      </c>
      <c r="N148" s="1" t="s">
        <v>400</v>
      </c>
      <c r="O148" s="6"/>
      <c r="P148" s="6"/>
      <c r="Q148" s="6" t="s">
        <v>724</v>
      </c>
      <c r="R148" s="3" t="s">
        <v>405</v>
      </c>
      <c r="S148" s="3" t="s">
        <v>417</v>
      </c>
      <c r="T148" s="3" t="s">
        <v>429</v>
      </c>
      <c r="U148" s="1"/>
      <c r="V148" s="3" t="s">
        <v>441</v>
      </c>
    </row>
    <row r="149" spans="2:22" ht="80" hidden="1" x14ac:dyDescent="0.2">
      <c r="B149" s="1" t="e">
        <f t="shared" ref="B149:B153" si="10">B148+1</f>
        <v>#REF!</v>
      </c>
      <c r="C149" s="1" t="s">
        <v>385</v>
      </c>
      <c r="D149" s="1" t="s">
        <v>188</v>
      </c>
      <c r="E149" s="1" t="s">
        <v>398</v>
      </c>
      <c r="F149" s="1" t="s">
        <v>396</v>
      </c>
      <c r="G149" s="1">
        <v>1</v>
      </c>
      <c r="H149" s="1" t="s">
        <v>203</v>
      </c>
      <c r="I149" s="1" t="s">
        <v>399</v>
      </c>
      <c r="J149" s="5">
        <v>1000000</v>
      </c>
      <c r="K149" s="5"/>
      <c r="L149" s="5"/>
      <c r="M149" s="5">
        <f t="shared" si="9"/>
        <v>1000000</v>
      </c>
      <c r="N149" s="1" t="s">
        <v>402</v>
      </c>
      <c r="O149" s="6"/>
      <c r="P149" s="6"/>
      <c r="Q149" s="6" t="s">
        <v>724</v>
      </c>
      <c r="R149" s="3" t="s">
        <v>414</v>
      </c>
      <c r="S149" s="1" t="s">
        <v>426</v>
      </c>
      <c r="T149" s="3" t="s">
        <v>438</v>
      </c>
      <c r="U149" s="1"/>
      <c r="V149" s="3" t="s">
        <v>450</v>
      </c>
    </row>
    <row r="150" spans="2:22" ht="48" hidden="1" x14ac:dyDescent="0.2">
      <c r="B150" s="1" t="e">
        <f>#REF!+1</f>
        <v>#REF!</v>
      </c>
      <c r="C150" s="1" t="s">
        <v>461</v>
      </c>
      <c r="D150" s="1" t="s">
        <v>188</v>
      </c>
      <c r="E150" s="1" t="s">
        <v>398</v>
      </c>
      <c r="F150" s="1" t="s">
        <v>453</v>
      </c>
      <c r="G150" s="1">
        <v>3</v>
      </c>
      <c r="H150" s="1"/>
      <c r="I150" s="1"/>
      <c r="J150" s="5">
        <v>900000</v>
      </c>
      <c r="K150" s="5"/>
      <c r="L150" s="5"/>
      <c r="M150" s="5">
        <f t="shared" si="9"/>
        <v>900000</v>
      </c>
      <c r="N150" s="1"/>
      <c r="O150" s="6"/>
      <c r="P150" s="6"/>
      <c r="Q150" s="6" t="s">
        <v>721</v>
      </c>
      <c r="R150" s="3"/>
      <c r="S150" s="3"/>
      <c r="T150" s="3"/>
      <c r="U150" s="1"/>
      <c r="V150" s="3" t="s">
        <v>467</v>
      </c>
    </row>
    <row r="151" spans="2:22" ht="16" hidden="1" x14ac:dyDescent="0.2">
      <c r="B151" s="1" t="e">
        <f t="shared" si="10"/>
        <v>#REF!</v>
      </c>
      <c r="C151" s="1" t="s">
        <v>463</v>
      </c>
      <c r="D151" s="1" t="s">
        <v>188</v>
      </c>
      <c r="E151" s="1" t="s">
        <v>398</v>
      </c>
      <c r="F151" s="1" t="s">
        <v>459</v>
      </c>
      <c r="G151" s="1">
        <v>1</v>
      </c>
      <c r="H151" s="1"/>
      <c r="I151" s="1"/>
      <c r="J151" s="5">
        <v>900000</v>
      </c>
      <c r="K151" s="5"/>
      <c r="L151" s="5"/>
      <c r="M151" s="5">
        <f t="shared" si="9"/>
        <v>900000</v>
      </c>
      <c r="N151" s="1"/>
      <c r="O151" s="6"/>
      <c r="P151" s="6"/>
      <c r="Q151" s="6" t="s">
        <v>721</v>
      </c>
      <c r="R151" s="3"/>
      <c r="S151" s="3"/>
      <c r="T151" s="3"/>
      <c r="U151" s="1"/>
      <c r="V151" s="3" t="s">
        <v>472</v>
      </c>
    </row>
    <row r="152" spans="2:22" ht="64" hidden="1" x14ac:dyDescent="0.2">
      <c r="B152" s="1" t="e">
        <f>#REF!+1</f>
        <v>#REF!</v>
      </c>
      <c r="C152" s="1" t="s">
        <v>385</v>
      </c>
      <c r="D152" s="1" t="s">
        <v>188</v>
      </c>
      <c r="E152" s="1" t="s">
        <v>398</v>
      </c>
      <c r="F152" s="1" t="s">
        <v>393</v>
      </c>
      <c r="G152" s="1">
        <v>1</v>
      </c>
      <c r="H152" s="1" t="s">
        <v>203</v>
      </c>
      <c r="I152" s="1" t="s">
        <v>399</v>
      </c>
      <c r="J152" s="5">
        <v>556000</v>
      </c>
      <c r="K152" s="5"/>
      <c r="L152" s="5"/>
      <c r="M152" s="5">
        <f t="shared" si="9"/>
        <v>556000</v>
      </c>
      <c r="N152" s="1" t="s">
        <v>400</v>
      </c>
      <c r="O152" s="6"/>
      <c r="P152" s="6"/>
      <c r="Q152" s="6" t="s">
        <v>724</v>
      </c>
      <c r="R152" s="3" t="s">
        <v>411</v>
      </c>
      <c r="S152" s="3" t="s">
        <v>423</v>
      </c>
      <c r="T152" s="3" t="s">
        <v>435</v>
      </c>
      <c r="U152" s="1"/>
      <c r="V152" s="3" t="s">
        <v>447</v>
      </c>
    </row>
    <row r="153" spans="2:22" ht="96" hidden="1" x14ac:dyDescent="0.2">
      <c r="B153" s="1" t="e">
        <f t="shared" si="10"/>
        <v>#REF!</v>
      </c>
      <c r="C153" s="1" t="s">
        <v>385</v>
      </c>
      <c r="D153" s="1" t="s">
        <v>188</v>
      </c>
      <c r="E153" s="1" t="s">
        <v>398</v>
      </c>
      <c r="F153" s="1" t="s">
        <v>386</v>
      </c>
      <c r="G153" s="1">
        <v>1</v>
      </c>
      <c r="H153" s="1" t="s">
        <v>203</v>
      </c>
      <c r="I153" s="1" t="s">
        <v>399</v>
      </c>
      <c r="J153" s="5">
        <v>500000</v>
      </c>
      <c r="K153" s="5"/>
      <c r="L153" s="5"/>
      <c r="M153" s="5">
        <f t="shared" si="9"/>
        <v>500000</v>
      </c>
      <c r="N153" s="1" t="s">
        <v>400</v>
      </c>
      <c r="O153" s="6"/>
      <c r="P153" s="6"/>
      <c r="Q153" s="6" t="s">
        <v>724</v>
      </c>
      <c r="R153" s="3" t="s">
        <v>404</v>
      </c>
      <c r="S153" s="3" t="s">
        <v>416</v>
      </c>
      <c r="T153" s="3" t="s">
        <v>428</v>
      </c>
      <c r="U153" s="1"/>
      <c r="V153" s="3" t="s">
        <v>440</v>
      </c>
    </row>
    <row r="154" spans="2:22" ht="80" hidden="1" x14ac:dyDescent="0.2">
      <c r="B154" s="1" t="e">
        <f>#REF!+1</f>
        <v>#REF!</v>
      </c>
      <c r="C154" s="1" t="s">
        <v>385</v>
      </c>
      <c r="D154" s="1" t="s">
        <v>188</v>
      </c>
      <c r="E154" s="1" t="s">
        <v>398</v>
      </c>
      <c r="F154" s="1" t="s">
        <v>391</v>
      </c>
      <c r="G154" s="1">
        <v>1</v>
      </c>
      <c r="H154" s="1" t="s">
        <v>203</v>
      </c>
      <c r="I154" s="1" t="s">
        <v>399</v>
      </c>
      <c r="J154" s="5">
        <v>390000</v>
      </c>
      <c r="K154" s="5"/>
      <c r="L154" s="5"/>
      <c r="M154" s="5">
        <f t="shared" ref="M154:M160" si="11">SUM(J154:L154)</f>
        <v>390000</v>
      </c>
      <c r="N154" s="1" t="s">
        <v>401</v>
      </c>
      <c r="O154" s="6"/>
      <c r="P154" s="6"/>
      <c r="Q154" s="6" t="s">
        <v>724</v>
      </c>
      <c r="R154" s="3" t="s">
        <v>409</v>
      </c>
      <c r="S154" s="3" t="s">
        <v>421</v>
      </c>
      <c r="T154" s="3" t="s">
        <v>433</v>
      </c>
      <c r="U154" s="1"/>
      <c r="V154" s="3" t="s">
        <v>445</v>
      </c>
    </row>
    <row r="155" spans="2:22" ht="16" hidden="1" x14ac:dyDescent="0.2">
      <c r="B155" s="1" t="e">
        <f>#REF!+1</f>
        <v>#REF!</v>
      </c>
      <c r="C155" s="1" t="s">
        <v>463</v>
      </c>
      <c r="D155" s="1" t="s">
        <v>188</v>
      </c>
      <c r="E155" s="1" t="s">
        <v>398</v>
      </c>
      <c r="F155" s="1" t="s">
        <v>460</v>
      </c>
      <c r="G155" s="1">
        <v>1</v>
      </c>
      <c r="H155" s="1"/>
      <c r="I155" s="1"/>
      <c r="J155" s="5">
        <v>300000</v>
      </c>
      <c r="K155" s="5"/>
      <c r="L155" s="5"/>
      <c r="M155" s="5">
        <f t="shared" si="11"/>
        <v>300000</v>
      </c>
      <c r="N155" s="1"/>
      <c r="O155" s="6"/>
      <c r="P155" s="6"/>
      <c r="Q155" s="6" t="s">
        <v>725</v>
      </c>
      <c r="R155" s="3"/>
      <c r="S155" s="3"/>
      <c r="T155" s="3"/>
      <c r="U155" s="1"/>
      <c r="V155" s="3" t="s">
        <v>473</v>
      </c>
    </row>
    <row r="156" spans="2:22" ht="80" hidden="1" x14ac:dyDescent="0.2">
      <c r="B156" s="1" t="e">
        <f>#REF!+1</f>
        <v>#REF!</v>
      </c>
      <c r="C156" s="1" t="s">
        <v>385</v>
      </c>
      <c r="D156" s="1" t="s">
        <v>188</v>
      </c>
      <c r="E156" s="1" t="s">
        <v>398</v>
      </c>
      <c r="F156" s="1" t="s">
        <v>394</v>
      </c>
      <c r="G156" s="1">
        <v>1</v>
      </c>
      <c r="H156" s="1" t="s">
        <v>203</v>
      </c>
      <c r="I156" s="1" t="s">
        <v>399</v>
      </c>
      <c r="J156" s="5">
        <v>200000</v>
      </c>
      <c r="K156" s="5"/>
      <c r="L156" s="5"/>
      <c r="M156" s="5">
        <f t="shared" si="11"/>
        <v>200000</v>
      </c>
      <c r="N156" s="1" t="s">
        <v>400</v>
      </c>
      <c r="O156" s="6"/>
      <c r="P156" s="6"/>
      <c r="Q156" s="6" t="s">
        <v>724</v>
      </c>
      <c r="R156" s="3" t="s">
        <v>412</v>
      </c>
      <c r="S156" s="3" t="s">
        <v>424</v>
      </c>
      <c r="T156" s="3" t="s">
        <v>436</v>
      </c>
      <c r="U156" s="1"/>
      <c r="V156" s="3" t="s">
        <v>448</v>
      </c>
    </row>
    <row r="157" spans="2:22" ht="64" hidden="1" x14ac:dyDescent="0.2">
      <c r="B157" s="1" t="e">
        <f>#REF!+1</f>
        <v>#REF!</v>
      </c>
      <c r="C157" s="1" t="s">
        <v>385</v>
      </c>
      <c r="D157" s="1" t="s">
        <v>188</v>
      </c>
      <c r="E157" s="1" t="s">
        <v>398</v>
      </c>
      <c r="F157" s="1" t="s">
        <v>395</v>
      </c>
      <c r="G157" s="1">
        <v>1</v>
      </c>
      <c r="H157" s="1" t="s">
        <v>203</v>
      </c>
      <c r="I157" s="1" t="s">
        <v>399</v>
      </c>
      <c r="J157" s="5">
        <v>175000</v>
      </c>
      <c r="K157" s="5"/>
      <c r="L157" s="5"/>
      <c r="M157" s="5">
        <f t="shared" si="11"/>
        <v>175000</v>
      </c>
      <c r="N157" s="1" t="s">
        <v>400</v>
      </c>
      <c r="O157" s="6"/>
      <c r="P157" s="6"/>
      <c r="Q157" s="6" t="s">
        <v>724</v>
      </c>
      <c r="R157" s="3" t="s">
        <v>413</v>
      </c>
      <c r="S157" s="3" t="s">
        <v>425</v>
      </c>
      <c r="T157" s="3" t="s">
        <v>437</v>
      </c>
      <c r="U157" s="1"/>
      <c r="V157" s="3" t="s">
        <v>449</v>
      </c>
    </row>
    <row r="158" spans="2:22" ht="112" hidden="1" x14ac:dyDescent="0.2">
      <c r="B158" s="1" t="e">
        <f>#REF!+1</f>
        <v>#REF!</v>
      </c>
      <c r="C158" s="1" t="s">
        <v>385</v>
      </c>
      <c r="D158" s="1" t="s">
        <v>188</v>
      </c>
      <c r="E158" s="1" t="s">
        <v>398</v>
      </c>
      <c r="F158" s="1" t="s">
        <v>390</v>
      </c>
      <c r="G158" s="1">
        <v>1</v>
      </c>
      <c r="H158" s="1" t="s">
        <v>203</v>
      </c>
      <c r="I158" s="1" t="s">
        <v>399</v>
      </c>
      <c r="J158" s="5">
        <v>145000</v>
      </c>
      <c r="K158" s="5"/>
      <c r="L158" s="5"/>
      <c r="M158" s="5">
        <f t="shared" si="11"/>
        <v>145000</v>
      </c>
      <c r="N158" s="1" t="s">
        <v>400</v>
      </c>
      <c r="O158" s="6"/>
      <c r="P158" s="6"/>
      <c r="Q158" s="6" t="s">
        <v>724</v>
      </c>
      <c r="R158" s="3" t="s">
        <v>408</v>
      </c>
      <c r="S158" s="3" t="s">
        <v>420</v>
      </c>
      <c r="T158" s="3" t="s">
        <v>432</v>
      </c>
      <c r="U158" s="1"/>
      <c r="V158" s="3" t="s">
        <v>444</v>
      </c>
    </row>
    <row r="159" spans="2:22" ht="112" hidden="1" x14ac:dyDescent="0.2">
      <c r="B159" s="1" t="e">
        <f>#REF!+1</f>
        <v>#REF!</v>
      </c>
      <c r="C159" s="1" t="s">
        <v>385</v>
      </c>
      <c r="D159" s="1" t="s">
        <v>188</v>
      </c>
      <c r="E159" s="1" t="s">
        <v>398</v>
      </c>
      <c r="F159" s="1" t="s">
        <v>388</v>
      </c>
      <c r="G159" s="1">
        <v>1</v>
      </c>
      <c r="H159" s="1" t="s">
        <v>203</v>
      </c>
      <c r="I159" s="1" t="s">
        <v>399</v>
      </c>
      <c r="J159" s="5">
        <v>125000</v>
      </c>
      <c r="K159" s="5"/>
      <c r="L159" s="5"/>
      <c r="M159" s="5">
        <f t="shared" si="11"/>
        <v>125000</v>
      </c>
      <c r="N159" s="1" t="s">
        <v>400</v>
      </c>
      <c r="O159" s="6"/>
      <c r="P159" s="6"/>
      <c r="Q159" s="6" t="s">
        <v>724</v>
      </c>
      <c r="R159" s="3" t="s">
        <v>406</v>
      </c>
      <c r="S159" s="3" t="s">
        <v>418</v>
      </c>
      <c r="T159" s="3" t="s">
        <v>430</v>
      </c>
      <c r="U159" s="1"/>
      <c r="V159" s="3" t="s">
        <v>442</v>
      </c>
    </row>
    <row r="160" spans="2:22" ht="112" hidden="1" x14ac:dyDescent="0.2">
      <c r="B160" s="1" t="e">
        <f>#REF!+1</f>
        <v>#REF!</v>
      </c>
      <c r="C160" s="1" t="s">
        <v>385</v>
      </c>
      <c r="D160" s="1" t="s">
        <v>188</v>
      </c>
      <c r="E160" s="1" t="s">
        <v>398</v>
      </c>
      <c r="F160" s="1" t="s">
        <v>389</v>
      </c>
      <c r="G160" s="1">
        <v>1</v>
      </c>
      <c r="H160" s="1" t="s">
        <v>203</v>
      </c>
      <c r="I160" s="1" t="s">
        <v>399</v>
      </c>
      <c r="J160" s="5">
        <v>118000</v>
      </c>
      <c r="K160" s="5"/>
      <c r="L160" s="5"/>
      <c r="M160" s="5">
        <f t="shared" si="11"/>
        <v>118000</v>
      </c>
      <c r="N160" s="1" t="s">
        <v>400</v>
      </c>
      <c r="O160" s="6"/>
      <c r="P160" s="6"/>
      <c r="Q160" s="6" t="s">
        <v>724</v>
      </c>
      <c r="R160" s="3" t="s">
        <v>407</v>
      </c>
      <c r="S160" s="3" t="s">
        <v>419</v>
      </c>
      <c r="T160" s="3" t="s">
        <v>431</v>
      </c>
      <c r="U160" s="1"/>
      <c r="V160" s="3" t="s">
        <v>443</v>
      </c>
    </row>
    <row r="161" spans="2:22" ht="80" hidden="1" x14ac:dyDescent="0.2">
      <c r="B161" s="1" t="e">
        <f>#REF!+1</f>
        <v>#REF!</v>
      </c>
      <c r="C161" s="1" t="s">
        <v>385</v>
      </c>
      <c r="D161" s="1" t="s">
        <v>188</v>
      </c>
      <c r="E161" s="1" t="s">
        <v>398</v>
      </c>
      <c r="F161" s="1" t="s">
        <v>397</v>
      </c>
      <c r="G161" s="1">
        <v>1</v>
      </c>
      <c r="H161" s="1" t="s">
        <v>203</v>
      </c>
      <c r="I161" s="1" t="s">
        <v>399</v>
      </c>
      <c r="J161" s="5">
        <v>60000</v>
      </c>
      <c r="K161" s="5"/>
      <c r="L161" s="5"/>
      <c r="M161" s="5">
        <f t="shared" ref="M161" si="12">SUM(J161:L161)</f>
        <v>60000</v>
      </c>
      <c r="N161" s="3" t="s">
        <v>403</v>
      </c>
      <c r="O161" s="6"/>
      <c r="P161" s="6"/>
      <c r="Q161" s="6" t="s">
        <v>724</v>
      </c>
      <c r="R161" s="3" t="s">
        <v>415</v>
      </c>
      <c r="S161" s="1" t="s">
        <v>427</v>
      </c>
      <c r="T161" s="3" t="s">
        <v>439</v>
      </c>
      <c r="U161" s="1"/>
      <c r="V161" s="3" t="s">
        <v>451</v>
      </c>
    </row>
    <row r="162" spans="2:22" ht="48" hidden="1" x14ac:dyDescent="0.2">
      <c r="B162" s="1" t="e">
        <f>#REF!+1</f>
        <v>#REF!</v>
      </c>
      <c r="C162" s="1" t="s">
        <v>474</v>
      </c>
      <c r="D162" s="1" t="s">
        <v>188</v>
      </c>
      <c r="E162" s="1" t="s">
        <v>45</v>
      </c>
      <c r="F162" s="1" t="s">
        <v>737</v>
      </c>
      <c r="G162" s="1">
        <v>1</v>
      </c>
      <c r="H162" s="1"/>
      <c r="I162" s="1" t="s">
        <v>738</v>
      </c>
      <c r="J162" s="5">
        <v>300000</v>
      </c>
      <c r="K162" s="5"/>
      <c r="L162" s="5"/>
      <c r="M162" s="5">
        <f t="shared" ref="M162:M163" si="13">SUM(J162:L162)</f>
        <v>300000</v>
      </c>
      <c r="N162" s="1"/>
      <c r="O162" s="6" t="s">
        <v>728</v>
      </c>
      <c r="P162" s="6"/>
      <c r="Q162" s="6" t="s">
        <v>728</v>
      </c>
      <c r="R162" s="3" t="s">
        <v>739</v>
      </c>
      <c r="S162" s="3"/>
      <c r="T162" s="3"/>
      <c r="U162" s="1"/>
      <c r="V162" s="3" t="s">
        <v>739</v>
      </c>
    </row>
    <row r="163" spans="2:22" ht="16" hidden="1" x14ac:dyDescent="0.2">
      <c r="B163" s="1" t="e">
        <f t="shared" ref="B163" si="14">B162+1</f>
        <v>#REF!</v>
      </c>
      <c r="C163" s="1" t="s">
        <v>740</v>
      </c>
      <c r="D163" s="1" t="s">
        <v>41</v>
      </c>
      <c r="E163" s="1" t="s">
        <v>735</v>
      </c>
      <c r="F163" s="1" t="s">
        <v>736</v>
      </c>
      <c r="G163" s="1"/>
      <c r="H163" s="1"/>
      <c r="I163" s="1" t="s">
        <v>734</v>
      </c>
      <c r="J163" s="5">
        <v>3500000</v>
      </c>
      <c r="K163" s="5"/>
      <c r="L163" s="5"/>
      <c r="M163" s="5">
        <f t="shared" si="13"/>
        <v>3500000</v>
      </c>
      <c r="N163" s="1"/>
      <c r="O163" s="6" t="s">
        <v>721</v>
      </c>
      <c r="P163" s="6"/>
      <c r="Q163" s="6" t="s">
        <v>721</v>
      </c>
      <c r="R163" s="3"/>
      <c r="S163" s="3"/>
      <c r="T163" s="3"/>
      <c r="U163" s="1"/>
      <c r="V163" s="3" t="s">
        <v>709</v>
      </c>
    </row>
    <row r="164" spans="2:22" ht="48" x14ac:dyDescent="0.2">
      <c r="B164" s="29">
        <v>1</v>
      </c>
      <c r="C164" s="29" t="s">
        <v>36</v>
      </c>
      <c r="D164" s="29" t="s">
        <v>188</v>
      </c>
      <c r="E164" s="29" t="s">
        <v>398</v>
      </c>
      <c r="F164" s="29" t="s">
        <v>566</v>
      </c>
      <c r="G164" s="29">
        <v>50</v>
      </c>
      <c r="H164" s="29"/>
      <c r="I164" s="29" t="s">
        <v>669</v>
      </c>
      <c r="J164" s="30">
        <v>150000000</v>
      </c>
      <c r="K164" s="30"/>
      <c r="L164" s="30"/>
      <c r="M164" s="30">
        <v>7500000</v>
      </c>
      <c r="N164" s="29"/>
      <c r="O164" s="31" t="s">
        <v>728</v>
      </c>
      <c r="P164" s="31"/>
      <c r="Q164" s="31" t="s">
        <v>728</v>
      </c>
      <c r="R164" s="32" t="s">
        <v>749</v>
      </c>
      <c r="S164" s="32" t="s">
        <v>750</v>
      </c>
      <c r="T164" s="32"/>
      <c r="U164" s="29"/>
      <c r="V164" s="32" t="s">
        <v>20</v>
      </c>
    </row>
    <row r="165" spans="2:22" ht="64" x14ac:dyDescent="0.2">
      <c r="B165" s="29">
        <v>2</v>
      </c>
      <c r="C165" s="29" t="s">
        <v>36</v>
      </c>
      <c r="D165" s="29" t="s">
        <v>188</v>
      </c>
      <c r="E165" s="29" t="s">
        <v>398</v>
      </c>
      <c r="F165" s="29" t="s">
        <v>632</v>
      </c>
      <c r="G165" s="29">
        <v>2</v>
      </c>
      <c r="H165" s="29"/>
      <c r="I165" s="29" t="s">
        <v>33</v>
      </c>
      <c r="J165" s="30">
        <v>20000000</v>
      </c>
      <c r="K165" s="30"/>
      <c r="L165" s="30"/>
      <c r="M165" s="30">
        <v>40000000</v>
      </c>
      <c r="N165" s="29"/>
      <c r="O165" s="31" t="s">
        <v>725</v>
      </c>
      <c r="P165" s="31"/>
      <c r="Q165" s="31" t="s">
        <v>725</v>
      </c>
      <c r="R165" s="32" t="s">
        <v>751</v>
      </c>
      <c r="S165" s="32" t="s">
        <v>752</v>
      </c>
      <c r="T165" s="32"/>
      <c r="U165" s="29" t="s">
        <v>753</v>
      </c>
      <c r="V165" s="32" t="s">
        <v>718</v>
      </c>
    </row>
    <row r="166" spans="2:22" ht="48" x14ac:dyDescent="0.2">
      <c r="B166" s="29">
        <v>3</v>
      </c>
      <c r="C166" s="29" t="s">
        <v>36</v>
      </c>
      <c r="D166" s="29" t="s">
        <v>188</v>
      </c>
      <c r="E166" s="29" t="s">
        <v>398</v>
      </c>
      <c r="F166" s="29" t="s">
        <v>754</v>
      </c>
      <c r="G166" s="29">
        <v>1</v>
      </c>
      <c r="H166" s="29"/>
      <c r="I166" s="29" t="s">
        <v>755</v>
      </c>
      <c r="J166" s="30">
        <v>30000000</v>
      </c>
      <c r="K166" s="30"/>
      <c r="L166" s="30"/>
      <c r="M166" s="30">
        <v>30000000</v>
      </c>
      <c r="N166" s="29"/>
      <c r="O166" s="31" t="s">
        <v>723</v>
      </c>
      <c r="P166" s="31"/>
      <c r="Q166" s="31" t="s">
        <v>723</v>
      </c>
      <c r="R166" s="32" t="s">
        <v>756</v>
      </c>
      <c r="S166" s="32" t="s">
        <v>757</v>
      </c>
      <c r="T166" s="32"/>
      <c r="U166" s="29" t="s">
        <v>753</v>
      </c>
      <c r="V166" s="32" t="s">
        <v>709</v>
      </c>
    </row>
    <row r="167" spans="2:22" ht="48" x14ac:dyDescent="0.2">
      <c r="B167" s="29">
        <v>4</v>
      </c>
      <c r="C167" s="29" t="s">
        <v>36</v>
      </c>
      <c r="D167" s="29" t="s">
        <v>188</v>
      </c>
      <c r="E167" s="29" t="s">
        <v>398</v>
      </c>
      <c r="F167" s="29" t="s">
        <v>758</v>
      </c>
      <c r="G167" s="29">
        <v>1</v>
      </c>
      <c r="H167" s="29"/>
      <c r="I167" s="29" t="s">
        <v>662</v>
      </c>
      <c r="J167" s="30">
        <v>25000000</v>
      </c>
      <c r="K167" s="30"/>
      <c r="L167" s="30"/>
      <c r="M167" s="30">
        <v>25000000</v>
      </c>
      <c r="N167" s="29"/>
      <c r="O167" s="31" t="s">
        <v>727</v>
      </c>
      <c r="P167" s="31"/>
      <c r="Q167" s="31" t="s">
        <v>727</v>
      </c>
      <c r="R167" s="32" t="s">
        <v>759</v>
      </c>
      <c r="S167" s="32" t="s">
        <v>760</v>
      </c>
      <c r="T167" s="32"/>
      <c r="U167" s="29" t="s">
        <v>753</v>
      </c>
      <c r="V167" s="32"/>
    </row>
    <row r="168" spans="2:22" ht="16" x14ac:dyDescent="0.2">
      <c r="B168" s="29">
        <v>5</v>
      </c>
      <c r="C168" s="29" t="s">
        <v>36</v>
      </c>
      <c r="D168" s="29" t="s">
        <v>188</v>
      </c>
      <c r="E168" s="29" t="s">
        <v>398</v>
      </c>
      <c r="F168" s="29" t="s">
        <v>761</v>
      </c>
      <c r="G168" s="29">
        <v>10</v>
      </c>
      <c r="H168" s="29"/>
      <c r="I168" s="29" t="s">
        <v>677</v>
      </c>
      <c r="J168" s="30">
        <v>2250000</v>
      </c>
      <c r="K168" s="30"/>
      <c r="L168" s="30"/>
      <c r="M168" s="30">
        <v>22500000</v>
      </c>
      <c r="N168" s="29"/>
      <c r="O168" s="31" t="s">
        <v>723</v>
      </c>
      <c r="P168" s="31"/>
      <c r="Q168" s="31" t="s">
        <v>723</v>
      </c>
      <c r="R168" s="32" t="s">
        <v>762</v>
      </c>
      <c r="S168" s="32" t="s">
        <v>763</v>
      </c>
      <c r="T168" s="32"/>
      <c r="U168" s="29" t="s">
        <v>753</v>
      </c>
      <c r="V168" s="32" t="s">
        <v>20</v>
      </c>
    </row>
    <row r="169" spans="2:22" ht="48" x14ac:dyDescent="0.2">
      <c r="B169" s="29">
        <v>6</v>
      </c>
      <c r="C169" s="29" t="s">
        <v>36</v>
      </c>
      <c r="D169" s="29" t="s">
        <v>188</v>
      </c>
      <c r="E169" s="29" t="s">
        <v>398</v>
      </c>
      <c r="F169" s="29" t="s">
        <v>747</v>
      </c>
      <c r="G169" s="29">
        <v>1</v>
      </c>
      <c r="H169" s="29"/>
      <c r="I169" s="29" t="s">
        <v>463</v>
      </c>
      <c r="J169" s="30">
        <v>25000000</v>
      </c>
      <c r="K169" s="30"/>
      <c r="L169" s="30"/>
      <c r="M169" s="30">
        <v>25000000</v>
      </c>
      <c r="N169" s="29"/>
      <c r="O169" s="31" t="s">
        <v>731</v>
      </c>
      <c r="P169" s="31"/>
      <c r="Q169" s="31" t="s">
        <v>731</v>
      </c>
      <c r="R169" s="32" t="s">
        <v>756</v>
      </c>
      <c r="S169" s="32" t="s">
        <v>764</v>
      </c>
      <c r="T169" s="32"/>
      <c r="U169" s="29" t="s">
        <v>753</v>
      </c>
      <c r="V169" s="32" t="s">
        <v>709</v>
      </c>
    </row>
    <row r="170" spans="2:22" ht="16" x14ac:dyDescent="0.2">
      <c r="B170" s="29">
        <v>7</v>
      </c>
      <c r="C170" s="29" t="s">
        <v>36</v>
      </c>
      <c r="D170" s="29" t="s">
        <v>188</v>
      </c>
      <c r="E170" s="29" t="s">
        <v>398</v>
      </c>
      <c r="F170" s="29" t="s">
        <v>639</v>
      </c>
      <c r="G170" s="29">
        <v>1</v>
      </c>
      <c r="H170" s="29"/>
      <c r="I170" s="29" t="s">
        <v>33</v>
      </c>
      <c r="J170" s="30">
        <v>20000000</v>
      </c>
      <c r="K170" s="30"/>
      <c r="L170" s="30"/>
      <c r="M170" s="30">
        <v>20000000</v>
      </c>
      <c r="N170" s="29"/>
      <c r="O170" s="31" t="s">
        <v>722</v>
      </c>
      <c r="P170" s="31"/>
      <c r="Q170" s="31" t="s">
        <v>722</v>
      </c>
      <c r="R170" s="32" t="s">
        <v>765</v>
      </c>
      <c r="S170" s="32" t="s">
        <v>766</v>
      </c>
      <c r="T170" s="32"/>
      <c r="U170" s="29" t="s">
        <v>753</v>
      </c>
      <c r="V170" s="32" t="s">
        <v>20</v>
      </c>
    </row>
    <row r="171" spans="2:22" ht="64" x14ac:dyDescent="0.2">
      <c r="B171" s="29">
        <v>8</v>
      </c>
      <c r="C171" s="29" t="s">
        <v>36</v>
      </c>
      <c r="D171" s="29" t="s">
        <v>188</v>
      </c>
      <c r="E171" s="29" t="s">
        <v>398</v>
      </c>
      <c r="F171" s="29" t="s">
        <v>629</v>
      </c>
      <c r="G171" s="29">
        <v>1</v>
      </c>
      <c r="H171" s="29"/>
      <c r="I171" s="29" t="s">
        <v>699</v>
      </c>
      <c r="J171" s="30">
        <v>18000000</v>
      </c>
      <c r="K171" s="30"/>
      <c r="L171" s="30"/>
      <c r="M171" s="30">
        <v>18000000</v>
      </c>
      <c r="N171" s="29"/>
      <c r="O171" s="31" t="s">
        <v>724</v>
      </c>
      <c r="P171" s="31"/>
      <c r="Q171" s="31" t="s">
        <v>724</v>
      </c>
      <c r="R171" s="32" t="s">
        <v>767</v>
      </c>
      <c r="S171" s="32" t="s">
        <v>768</v>
      </c>
      <c r="T171" s="32"/>
      <c r="U171" s="29" t="s">
        <v>753</v>
      </c>
      <c r="V171" s="32" t="s">
        <v>20</v>
      </c>
    </row>
    <row r="172" spans="2:22" ht="32" x14ac:dyDescent="0.2">
      <c r="B172" s="29">
        <v>9</v>
      </c>
      <c r="C172" s="29" t="s">
        <v>36</v>
      </c>
      <c r="D172" s="29" t="s">
        <v>188</v>
      </c>
      <c r="E172" s="29" t="s">
        <v>398</v>
      </c>
      <c r="F172" s="29" t="s">
        <v>623</v>
      </c>
      <c r="G172" s="29">
        <v>1</v>
      </c>
      <c r="H172" s="29"/>
      <c r="I172" s="29" t="s">
        <v>691</v>
      </c>
      <c r="J172" s="30">
        <v>15000000</v>
      </c>
      <c r="K172" s="30"/>
      <c r="L172" s="30"/>
      <c r="M172" s="30">
        <v>15000000</v>
      </c>
      <c r="N172" s="29"/>
      <c r="O172" s="31" t="s">
        <v>37</v>
      </c>
      <c r="P172" s="31"/>
      <c r="Q172" s="31" t="s">
        <v>37</v>
      </c>
      <c r="R172" s="32" t="s">
        <v>769</v>
      </c>
      <c r="S172" s="32" t="s">
        <v>770</v>
      </c>
      <c r="T172" s="32"/>
      <c r="U172" s="29" t="s">
        <v>753</v>
      </c>
      <c r="V172" s="32" t="s">
        <v>716</v>
      </c>
    </row>
    <row r="173" spans="2:22" ht="16" x14ac:dyDescent="0.2">
      <c r="B173" s="29">
        <v>10</v>
      </c>
      <c r="C173" s="29" t="s">
        <v>36</v>
      </c>
      <c r="D173" s="29" t="s">
        <v>188</v>
      </c>
      <c r="E173" s="29" t="s">
        <v>398</v>
      </c>
      <c r="F173" s="29" t="s">
        <v>771</v>
      </c>
      <c r="G173" s="29">
        <v>1</v>
      </c>
      <c r="H173" s="29"/>
      <c r="I173" s="29" t="s">
        <v>663</v>
      </c>
      <c r="J173" s="30">
        <v>10000000</v>
      </c>
      <c r="K173" s="30"/>
      <c r="L173" s="30"/>
      <c r="M173" s="30">
        <v>10000000</v>
      </c>
      <c r="N173" s="29"/>
      <c r="O173" s="31" t="s">
        <v>728</v>
      </c>
      <c r="P173" s="31"/>
      <c r="Q173" s="31" t="s">
        <v>728</v>
      </c>
      <c r="R173" s="32" t="s">
        <v>772</v>
      </c>
      <c r="S173" s="32" t="s">
        <v>773</v>
      </c>
      <c r="T173" s="32"/>
      <c r="U173" s="29" t="s">
        <v>753</v>
      </c>
      <c r="V173" s="32" t="s">
        <v>708</v>
      </c>
    </row>
    <row r="174" spans="2:22" ht="32" x14ac:dyDescent="0.2">
      <c r="B174" s="29">
        <v>11</v>
      </c>
      <c r="C174" s="29" t="s">
        <v>36</v>
      </c>
      <c r="D174" s="29" t="s">
        <v>188</v>
      </c>
      <c r="E174" s="29" t="s">
        <v>398</v>
      </c>
      <c r="F174" s="29" t="s">
        <v>555</v>
      </c>
      <c r="G174" s="29">
        <v>1</v>
      </c>
      <c r="H174" s="29"/>
      <c r="I174" s="29" t="s">
        <v>665</v>
      </c>
      <c r="J174" s="30">
        <v>10000000</v>
      </c>
      <c r="K174" s="30"/>
      <c r="L174" s="30"/>
      <c r="M174" s="30">
        <v>10000000</v>
      </c>
      <c r="N174" s="29"/>
      <c r="O174" s="31" t="s">
        <v>731</v>
      </c>
      <c r="P174" s="31"/>
      <c r="Q174" s="31" t="s">
        <v>731</v>
      </c>
      <c r="R174" s="32" t="s">
        <v>774</v>
      </c>
      <c r="S174" s="32"/>
      <c r="T174" s="32"/>
      <c r="U174" s="29" t="s">
        <v>753</v>
      </c>
      <c r="V174" s="32" t="s">
        <v>20</v>
      </c>
    </row>
    <row r="175" spans="2:22" ht="64" x14ac:dyDescent="0.2">
      <c r="B175" s="29">
        <v>12</v>
      </c>
      <c r="C175" s="29" t="s">
        <v>36</v>
      </c>
      <c r="D175" s="29" t="s">
        <v>188</v>
      </c>
      <c r="E175" s="29" t="s">
        <v>398</v>
      </c>
      <c r="F175" s="29" t="s">
        <v>640</v>
      </c>
      <c r="G175" s="29">
        <v>1</v>
      </c>
      <c r="H175" s="29"/>
      <c r="I175" s="29" t="s">
        <v>703</v>
      </c>
      <c r="J175" s="30">
        <v>10000000</v>
      </c>
      <c r="K175" s="30"/>
      <c r="L175" s="30"/>
      <c r="M175" s="30">
        <v>10000000</v>
      </c>
      <c r="N175" s="29"/>
      <c r="O175" s="31" t="s">
        <v>722</v>
      </c>
      <c r="P175" s="31"/>
      <c r="Q175" s="31" t="s">
        <v>722</v>
      </c>
      <c r="R175" s="32" t="s">
        <v>775</v>
      </c>
      <c r="S175" s="32" t="s">
        <v>776</v>
      </c>
      <c r="T175" s="32"/>
      <c r="U175" s="29" t="s">
        <v>753</v>
      </c>
      <c r="V175" s="32" t="s">
        <v>719</v>
      </c>
    </row>
    <row r="176" spans="2:22" ht="16" x14ac:dyDescent="0.2">
      <c r="B176" s="29">
        <v>13</v>
      </c>
      <c r="C176" s="29" t="s">
        <v>36</v>
      </c>
      <c r="D176" s="29" t="s">
        <v>188</v>
      </c>
      <c r="E176" s="29" t="s">
        <v>398</v>
      </c>
      <c r="F176" s="29" t="s">
        <v>540</v>
      </c>
      <c r="G176" s="29">
        <v>3</v>
      </c>
      <c r="H176" s="29"/>
      <c r="I176" s="29" t="s">
        <v>663</v>
      </c>
      <c r="J176" s="30">
        <v>3000000</v>
      </c>
      <c r="K176" s="30"/>
      <c r="L176" s="30"/>
      <c r="M176" s="30">
        <v>9000000</v>
      </c>
      <c r="N176" s="29"/>
      <c r="O176" s="31" t="s">
        <v>724</v>
      </c>
      <c r="P176" s="31"/>
      <c r="Q176" s="31" t="s">
        <v>724</v>
      </c>
      <c r="R176" s="32" t="s">
        <v>765</v>
      </c>
      <c r="S176" s="32"/>
      <c r="T176" s="32"/>
      <c r="U176" s="29" t="s">
        <v>753</v>
      </c>
      <c r="V176" s="32" t="s">
        <v>708</v>
      </c>
    </row>
    <row r="177" spans="2:22" ht="32" x14ac:dyDescent="0.2">
      <c r="B177" s="29">
        <v>14</v>
      </c>
      <c r="C177" s="29" t="s">
        <v>36</v>
      </c>
      <c r="D177" s="29" t="s">
        <v>188</v>
      </c>
      <c r="E177" s="29" t="s">
        <v>398</v>
      </c>
      <c r="F177" s="29" t="s">
        <v>603</v>
      </c>
      <c r="G177" s="29">
        <v>15</v>
      </c>
      <c r="H177" s="29"/>
      <c r="I177" s="29" t="s">
        <v>677</v>
      </c>
      <c r="J177" s="30">
        <v>600000</v>
      </c>
      <c r="K177" s="30"/>
      <c r="L177" s="30"/>
      <c r="M177" s="30">
        <v>9000000</v>
      </c>
      <c r="N177" s="29"/>
      <c r="O177" s="31" t="s">
        <v>723</v>
      </c>
      <c r="P177" s="31"/>
      <c r="Q177" s="31" t="s">
        <v>723</v>
      </c>
      <c r="R177" s="32" t="s">
        <v>777</v>
      </c>
      <c r="S177" s="32" t="s">
        <v>778</v>
      </c>
      <c r="T177" s="32"/>
      <c r="U177" s="29"/>
      <c r="V177" s="32" t="s">
        <v>710</v>
      </c>
    </row>
    <row r="178" spans="2:22" ht="32" x14ac:dyDescent="0.2">
      <c r="B178" s="29">
        <v>15</v>
      </c>
      <c r="C178" s="29" t="s">
        <v>36</v>
      </c>
      <c r="D178" s="29" t="s">
        <v>188</v>
      </c>
      <c r="E178" s="29" t="s">
        <v>398</v>
      </c>
      <c r="F178" s="29" t="s">
        <v>779</v>
      </c>
      <c r="G178" s="29">
        <v>1</v>
      </c>
      <c r="H178" s="29"/>
      <c r="I178" s="29" t="s">
        <v>663</v>
      </c>
      <c r="J178" s="30">
        <v>7500000</v>
      </c>
      <c r="K178" s="30"/>
      <c r="L178" s="30"/>
      <c r="M178" s="30">
        <v>7500000</v>
      </c>
      <c r="N178" s="29"/>
      <c r="O178" s="31" t="s">
        <v>723</v>
      </c>
      <c r="P178" s="31"/>
      <c r="Q178" s="31" t="s">
        <v>723</v>
      </c>
      <c r="R178" s="32" t="s">
        <v>780</v>
      </c>
      <c r="S178" s="32" t="s">
        <v>778</v>
      </c>
      <c r="T178" s="32"/>
      <c r="U178" s="29" t="s">
        <v>753</v>
      </c>
      <c r="V178" s="32" t="s">
        <v>781</v>
      </c>
    </row>
    <row r="179" spans="2:22" ht="16" x14ac:dyDescent="0.2">
      <c r="B179" s="29">
        <v>16</v>
      </c>
      <c r="C179" s="29" t="s">
        <v>36</v>
      </c>
      <c r="D179" s="29" t="s">
        <v>188</v>
      </c>
      <c r="E179" s="29" t="s">
        <v>398</v>
      </c>
      <c r="F179" s="29" t="s">
        <v>602</v>
      </c>
      <c r="G179" s="29">
        <v>15</v>
      </c>
      <c r="H179" s="29"/>
      <c r="I179" s="29" t="s">
        <v>677</v>
      </c>
      <c r="J179" s="30">
        <v>500000</v>
      </c>
      <c r="K179" s="30"/>
      <c r="L179" s="30"/>
      <c r="M179" s="30">
        <v>7500000</v>
      </c>
      <c r="N179" s="29"/>
      <c r="O179" s="31" t="s">
        <v>728</v>
      </c>
      <c r="P179" s="31"/>
      <c r="Q179" s="31" t="s">
        <v>728</v>
      </c>
      <c r="R179" s="32" t="s">
        <v>782</v>
      </c>
      <c r="S179" s="32" t="s">
        <v>766</v>
      </c>
      <c r="T179" s="32"/>
      <c r="U179" s="29"/>
      <c r="V179" s="32" t="s">
        <v>709</v>
      </c>
    </row>
    <row r="180" spans="2:22" ht="16" x14ac:dyDescent="0.2">
      <c r="B180" s="29">
        <v>17</v>
      </c>
      <c r="C180" s="29" t="s">
        <v>36</v>
      </c>
      <c r="D180" s="29" t="s">
        <v>188</v>
      </c>
      <c r="E180" s="29" t="s">
        <v>398</v>
      </c>
      <c r="F180" s="29" t="s">
        <v>648</v>
      </c>
      <c r="G180" s="29">
        <v>2</v>
      </c>
      <c r="H180" s="29"/>
      <c r="I180" s="29" t="s">
        <v>700</v>
      </c>
      <c r="J180" s="30">
        <v>3500000</v>
      </c>
      <c r="K180" s="30"/>
      <c r="L180" s="30"/>
      <c r="M180" s="30">
        <v>7000000</v>
      </c>
      <c r="N180" s="29"/>
      <c r="O180" s="31" t="s">
        <v>731</v>
      </c>
      <c r="P180" s="31"/>
      <c r="Q180" s="31" t="s">
        <v>731</v>
      </c>
      <c r="R180" s="32" t="s">
        <v>783</v>
      </c>
      <c r="S180" s="32" t="s">
        <v>784</v>
      </c>
      <c r="T180" s="32"/>
      <c r="U180" s="29" t="s">
        <v>753</v>
      </c>
      <c r="V180" s="32" t="s">
        <v>720</v>
      </c>
    </row>
    <row r="181" spans="2:22" ht="64" x14ac:dyDescent="0.2">
      <c r="B181" s="29">
        <v>18</v>
      </c>
      <c r="C181" s="29" t="s">
        <v>36</v>
      </c>
      <c r="D181" s="29" t="s">
        <v>188</v>
      </c>
      <c r="E181" s="29" t="s">
        <v>398</v>
      </c>
      <c r="F181" s="29" t="s">
        <v>637</v>
      </c>
      <c r="G181" s="29">
        <v>1</v>
      </c>
      <c r="H181" s="29"/>
      <c r="I181" s="29" t="s">
        <v>33</v>
      </c>
      <c r="J181" s="30">
        <v>6000000</v>
      </c>
      <c r="K181" s="30"/>
      <c r="L181" s="30"/>
      <c r="M181" s="30">
        <v>6000000</v>
      </c>
      <c r="N181" s="29"/>
      <c r="O181" s="31" t="s">
        <v>722</v>
      </c>
      <c r="P181" s="31"/>
      <c r="Q181" s="31" t="s">
        <v>722</v>
      </c>
      <c r="R181" s="32" t="s">
        <v>785</v>
      </c>
      <c r="S181" s="32" t="s">
        <v>786</v>
      </c>
      <c r="T181" s="32"/>
      <c r="U181" s="29" t="s">
        <v>753</v>
      </c>
      <c r="V181" s="32"/>
    </row>
    <row r="182" spans="2:22" ht="16" x14ac:dyDescent="0.2">
      <c r="B182" s="29">
        <v>19</v>
      </c>
      <c r="C182" s="29" t="s">
        <v>36</v>
      </c>
      <c r="D182" s="29" t="s">
        <v>188</v>
      </c>
      <c r="E182" s="29" t="s">
        <v>398</v>
      </c>
      <c r="F182" s="29" t="s">
        <v>546</v>
      </c>
      <c r="G182" s="29">
        <v>1</v>
      </c>
      <c r="H182" s="29"/>
      <c r="I182" s="29" t="s">
        <v>663</v>
      </c>
      <c r="J182" s="30">
        <v>6000000</v>
      </c>
      <c r="K182" s="30"/>
      <c r="L182" s="30"/>
      <c r="M182" s="30">
        <v>6000000</v>
      </c>
      <c r="N182" s="29"/>
      <c r="O182" s="31" t="s">
        <v>729</v>
      </c>
      <c r="P182" s="31"/>
      <c r="Q182" s="31" t="s">
        <v>729</v>
      </c>
      <c r="R182" s="32" t="s">
        <v>787</v>
      </c>
      <c r="S182" s="32" t="s">
        <v>788</v>
      </c>
      <c r="T182" s="32"/>
      <c r="U182" s="29"/>
      <c r="V182" s="32" t="s">
        <v>20</v>
      </c>
    </row>
    <row r="183" spans="2:22" ht="16" x14ac:dyDescent="0.2">
      <c r="B183" s="29">
        <v>20</v>
      </c>
      <c r="C183" s="29" t="s">
        <v>36</v>
      </c>
      <c r="D183" s="29" t="s">
        <v>188</v>
      </c>
      <c r="E183" s="29" t="s">
        <v>398</v>
      </c>
      <c r="F183" s="29" t="s">
        <v>551</v>
      </c>
      <c r="G183" s="29">
        <v>1</v>
      </c>
      <c r="H183" s="29"/>
      <c r="I183" s="29" t="s">
        <v>665</v>
      </c>
      <c r="J183" s="30">
        <v>6000000</v>
      </c>
      <c r="K183" s="30"/>
      <c r="L183" s="30"/>
      <c r="M183" s="30">
        <v>6000000</v>
      </c>
      <c r="N183" s="29"/>
      <c r="O183" s="31" t="s">
        <v>724</v>
      </c>
      <c r="P183" s="31"/>
      <c r="Q183" s="31" t="s">
        <v>724</v>
      </c>
      <c r="R183" s="32" t="s">
        <v>789</v>
      </c>
      <c r="S183" s="32" t="s">
        <v>788</v>
      </c>
      <c r="T183" s="32"/>
      <c r="U183" s="29" t="s">
        <v>753</v>
      </c>
      <c r="V183" s="32" t="s">
        <v>790</v>
      </c>
    </row>
    <row r="184" spans="2:22" ht="48" x14ac:dyDescent="0.2">
      <c r="B184" s="29">
        <v>21</v>
      </c>
      <c r="C184" s="29" t="s">
        <v>36</v>
      </c>
      <c r="D184" s="29" t="s">
        <v>188</v>
      </c>
      <c r="E184" s="29" t="s">
        <v>398</v>
      </c>
      <c r="F184" s="29" t="s">
        <v>633</v>
      </c>
      <c r="G184" s="29">
        <v>1</v>
      </c>
      <c r="H184" s="29"/>
      <c r="I184" s="29" t="s">
        <v>33</v>
      </c>
      <c r="J184" s="30">
        <v>6000000</v>
      </c>
      <c r="K184" s="30"/>
      <c r="L184" s="30"/>
      <c r="M184" s="30">
        <v>6000000</v>
      </c>
      <c r="N184" s="29"/>
      <c r="O184" s="31" t="s">
        <v>725</v>
      </c>
      <c r="P184" s="31"/>
      <c r="Q184" s="31" t="s">
        <v>725</v>
      </c>
      <c r="R184" s="32" t="s">
        <v>791</v>
      </c>
      <c r="S184" s="32" t="s">
        <v>792</v>
      </c>
      <c r="T184" s="32"/>
      <c r="U184" s="29" t="s">
        <v>753</v>
      </c>
      <c r="V184" s="32" t="s">
        <v>718</v>
      </c>
    </row>
    <row r="185" spans="2:22" ht="48" x14ac:dyDescent="0.2">
      <c r="B185" s="29">
        <v>22</v>
      </c>
      <c r="C185" s="29" t="s">
        <v>36</v>
      </c>
      <c r="D185" s="29" t="s">
        <v>188</v>
      </c>
      <c r="E185" s="29" t="s">
        <v>398</v>
      </c>
      <c r="F185" s="29" t="s">
        <v>638</v>
      </c>
      <c r="G185" s="29">
        <v>1</v>
      </c>
      <c r="H185" s="29"/>
      <c r="I185" s="29" t="s">
        <v>33</v>
      </c>
      <c r="J185" s="30">
        <v>6000000</v>
      </c>
      <c r="K185" s="30"/>
      <c r="L185" s="30"/>
      <c r="M185" s="30">
        <v>6000000</v>
      </c>
      <c r="N185" s="29"/>
      <c r="O185" s="31" t="s">
        <v>722</v>
      </c>
      <c r="P185" s="31"/>
      <c r="Q185" s="31" t="s">
        <v>722</v>
      </c>
      <c r="R185" s="32" t="s">
        <v>793</v>
      </c>
      <c r="S185" s="32" t="s">
        <v>794</v>
      </c>
      <c r="T185" s="32"/>
      <c r="U185" s="29" t="s">
        <v>753</v>
      </c>
      <c r="V185" s="32" t="s">
        <v>709</v>
      </c>
    </row>
    <row r="186" spans="2:22" ht="32" x14ac:dyDescent="0.2">
      <c r="B186" s="29">
        <v>23</v>
      </c>
      <c r="C186" s="29" t="s">
        <v>36</v>
      </c>
      <c r="D186" s="29" t="s">
        <v>188</v>
      </c>
      <c r="E186" s="29" t="s">
        <v>398</v>
      </c>
      <c r="F186" s="29" t="s">
        <v>586</v>
      </c>
      <c r="G186" s="29">
        <v>6</v>
      </c>
      <c r="H186" s="29"/>
      <c r="I186" s="29" t="s">
        <v>672</v>
      </c>
      <c r="J186" s="30">
        <v>800000</v>
      </c>
      <c r="K186" s="30"/>
      <c r="L186" s="30"/>
      <c r="M186" s="30">
        <v>480000</v>
      </c>
      <c r="N186" s="29"/>
      <c r="O186" s="31" t="s">
        <v>37</v>
      </c>
      <c r="P186" s="31"/>
      <c r="Q186" s="31" t="s">
        <v>37</v>
      </c>
      <c r="R186" s="32" t="s">
        <v>785</v>
      </c>
      <c r="S186" s="32"/>
      <c r="T186" s="32"/>
      <c r="U186" s="29" t="s">
        <v>753</v>
      </c>
      <c r="V186" s="32" t="s">
        <v>711</v>
      </c>
    </row>
    <row r="187" spans="2:22" ht="16" x14ac:dyDescent="0.2">
      <c r="B187" s="29">
        <v>24</v>
      </c>
      <c r="C187" s="29" t="s">
        <v>36</v>
      </c>
      <c r="D187" s="29" t="s">
        <v>188</v>
      </c>
      <c r="E187" s="29" t="s">
        <v>398</v>
      </c>
      <c r="F187" s="29" t="s">
        <v>564</v>
      </c>
      <c r="G187" s="29">
        <v>1</v>
      </c>
      <c r="H187" s="29"/>
      <c r="I187" s="29" t="s">
        <v>664</v>
      </c>
      <c r="J187" s="30">
        <v>5000000</v>
      </c>
      <c r="K187" s="30"/>
      <c r="L187" s="30"/>
      <c r="M187" s="30">
        <v>5000000</v>
      </c>
      <c r="N187" s="29"/>
      <c r="O187" s="31" t="s">
        <v>722</v>
      </c>
      <c r="P187" s="31"/>
      <c r="Q187" s="31" t="s">
        <v>722</v>
      </c>
      <c r="R187" s="32" t="s">
        <v>795</v>
      </c>
      <c r="S187" s="32"/>
      <c r="T187" s="32"/>
      <c r="U187" s="29"/>
      <c r="V187" s="32" t="s">
        <v>20</v>
      </c>
    </row>
    <row r="188" spans="2:22" ht="32" x14ac:dyDescent="0.2">
      <c r="B188" s="29">
        <v>25</v>
      </c>
      <c r="C188" s="29" t="s">
        <v>36</v>
      </c>
      <c r="D188" s="29" t="s">
        <v>188</v>
      </c>
      <c r="E188" s="29" t="s">
        <v>398</v>
      </c>
      <c r="F188" s="29" t="s">
        <v>630</v>
      </c>
      <c r="G188" s="29">
        <v>2</v>
      </c>
      <c r="H188" s="29"/>
      <c r="I188" s="29" t="s">
        <v>700</v>
      </c>
      <c r="J188" s="30">
        <v>250000</v>
      </c>
      <c r="K188" s="30"/>
      <c r="L188" s="30"/>
      <c r="M188" s="30">
        <v>5000000</v>
      </c>
      <c r="N188" s="29"/>
      <c r="O188" s="31" t="s">
        <v>724</v>
      </c>
      <c r="P188" s="31"/>
      <c r="Q188" s="31" t="s">
        <v>724</v>
      </c>
      <c r="R188" s="32" t="s">
        <v>783</v>
      </c>
      <c r="S188" s="32"/>
      <c r="T188" s="32"/>
      <c r="U188" s="29" t="s">
        <v>753</v>
      </c>
      <c r="V188" s="32" t="s">
        <v>718</v>
      </c>
    </row>
    <row r="189" spans="2:22" ht="32" x14ac:dyDescent="0.2">
      <c r="B189" s="29">
        <v>26</v>
      </c>
      <c r="C189" s="29" t="s">
        <v>36</v>
      </c>
      <c r="D189" s="29" t="s">
        <v>188</v>
      </c>
      <c r="E189" s="29" t="s">
        <v>398</v>
      </c>
      <c r="F189" s="29" t="s">
        <v>796</v>
      </c>
      <c r="G189" s="29">
        <v>1</v>
      </c>
      <c r="H189" s="29"/>
      <c r="I189" s="29" t="s">
        <v>33</v>
      </c>
      <c r="J189" s="30">
        <v>5000000</v>
      </c>
      <c r="K189" s="30"/>
      <c r="L189" s="30"/>
      <c r="M189" s="30">
        <v>5000000</v>
      </c>
      <c r="N189" s="29"/>
      <c r="O189" s="31" t="s">
        <v>724</v>
      </c>
      <c r="P189" s="31"/>
      <c r="Q189" s="31" t="s">
        <v>724</v>
      </c>
      <c r="R189" s="32" t="s">
        <v>797</v>
      </c>
      <c r="S189" s="32"/>
      <c r="T189" s="32"/>
      <c r="U189" s="29"/>
      <c r="V189" s="32" t="s">
        <v>718</v>
      </c>
    </row>
    <row r="190" spans="2:22" ht="32" x14ac:dyDescent="0.2">
      <c r="B190" s="29">
        <v>27</v>
      </c>
      <c r="C190" s="29" t="s">
        <v>36</v>
      </c>
      <c r="D190" s="29" t="s">
        <v>188</v>
      </c>
      <c r="E190" s="29" t="s">
        <v>398</v>
      </c>
      <c r="F190" s="29" t="s">
        <v>635</v>
      </c>
      <c r="G190" s="29">
        <v>1</v>
      </c>
      <c r="H190" s="29"/>
      <c r="I190" s="29" t="s">
        <v>33</v>
      </c>
      <c r="J190" s="30">
        <v>4500000</v>
      </c>
      <c r="K190" s="30"/>
      <c r="L190" s="30"/>
      <c r="M190" s="30">
        <v>4500000</v>
      </c>
      <c r="N190" s="29"/>
      <c r="O190" s="31" t="s">
        <v>724</v>
      </c>
      <c r="P190" s="31"/>
      <c r="Q190" s="31" t="s">
        <v>724</v>
      </c>
      <c r="R190" s="32" t="s">
        <v>798</v>
      </c>
      <c r="S190" s="32"/>
      <c r="T190" s="32"/>
      <c r="U190" s="29" t="s">
        <v>753</v>
      </c>
      <c r="V190" s="32" t="s">
        <v>718</v>
      </c>
    </row>
    <row r="191" spans="2:22" ht="365" hidden="1" x14ac:dyDescent="0.2">
      <c r="B191" s="29">
        <v>28</v>
      </c>
      <c r="C191" s="29" t="s">
        <v>465</v>
      </c>
      <c r="D191" s="29" t="s">
        <v>188</v>
      </c>
      <c r="E191" s="29" t="s">
        <v>398</v>
      </c>
      <c r="F191" s="29" t="s">
        <v>454</v>
      </c>
      <c r="G191" s="29">
        <v>1</v>
      </c>
      <c r="H191" s="29"/>
      <c r="I191" s="29" t="s">
        <v>670</v>
      </c>
      <c r="J191" s="30">
        <v>4000000</v>
      </c>
      <c r="K191" s="30"/>
      <c r="L191" s="30"/>
      <c r="M191" s="30">
        <v>4000000</v>
      </c>
      <c r="N191" s="29"/>
      <c r="O191" s="31"/>
      <c r="P191" s="31"/>
      <c r="Q191" s="31" t="s">
        <v>721</v>
      </c>
      <c r="R191" s="32" t="s">
        <v>799</v>
      </c>
      <c r="S191" s="32" t="s">
        <v>800</v>
      </c>
      <c r="T191" s="32"/>
      <c r="U191" s="29" t="s">
        <v>801</v>
      </c>
      <c r="V191" s="32" t="s">
        <v>468</v>
      </c>
    </row>
    <row r="192" spans="2:22" ht="16" x14ac:dyDescent="0.2">
      <c r="B192" s="29">
        <v>29</v>
      </c>
      <c r="C192" s="29" t="s">
        <v>36</v>
      </c>
      <c r="D192" s="29" t="s">
        <v>188</v>
      </c>
      <c r="E192" s="29" t="s">
        <v>398</v>
      </c>
      <c r="F192" s="29" t="s">
        <v>535</v>
      </c>
      <c r="G192" s="29">
        <v>1</v>
      </c>
      <c r="H192" s="29"/>
      <c r="I192" s="29" t="s">
        <v>662</v>
      </c>
      <c r="J192" s="30">
        <v>4000000</v>
      </c>
      <c r="K192" s="30"/>
      <c r="L192" s="30"/>
      <c r="M192" s="30">
        <v>4000000</v>
      </c>
      <c r="N192" s="29"/>
      <c r="O192" s="31" t="s">
        <v>721</v>
      </c>
      <c r="P192" s="31"/>
      <c r="Q192" s="31" t="s">
        <v>721</v>
      </c>
      <c r="R192" s="32" t="s">
        <v>759</v>
      </c>
      <c r="S192" s="32"/>
      <c r="T192" s="32"/>
      <c r="U192" s="29" t="s">
        <v>753</v>
      </c>
      <c r="V192" s="32" t="s">
        <v>708</v>
      </c>
    </row>
    <row r="193" spans="2:22" ht="32" x14ac:dyDescent="0.2">
      <c r="B193" s="29">
        <v>30</v>
      </c>
      <c r="C193" s="29" t="s">
        <v>36</v>
      </c>
      <c r="D193" s="29" t="s">
        <v>188</v>
      </c>
      <c r="E193" s="29" t="s">
        <v>398</v>
      </c>
      <c r="F193" s="29" t="s">
        <v>599</v>
      </c>
      <c r="G193" s="29">
        <v>1</v>
      </c>
      <c r="H193" s="29"/>
      <c r="I193" s="29" t="s">
        <v>31</v>
      </c>
      <c r="J193" s="30">
        <v>4000000</v>
      </c>
      <c r="K193" s="30"/>
      <c r="L193" s="30"/>
      <c r="M193" s="30">
        <v>4000000</v>
      </c>
      <c r="N193" s="29"/>
      <c r="O193" s="31" t="s">
        <v>730</v>
      </c>
      <c r="P193" s="31"/>
      <c r="Q193" s="31" t="s">
        <v>730</v>
      </c>
      <c r="R193" s="32" t="s">
        <v>802</v>
      </c>
      <c r="S193" s="32"/>
      <c r="T193" s="32"/>
      <c r="U193" s="29" t="s">
        <v>753</v>
      </c>
      <c r="V193" s="32" t="s">
        <v>714</v>
      </c>
    </row>
    <row r="194" spans="2:22" ht="32" x14ac:dyDescent="0.2">
      <c r="B194" s="29">
        <v>31</v>
      </c>
      <c r="C194" s="29" t="s">
        <v>36</v>
      </c>
      <c r="D194" s="29" t="s">
        <v>188</v>
      </c>
      <c r="E194" s="29" t="s">
        <v>398</v>
      </c>
      <c r="F194" s="29" t="s">
        <v>803</v>
      </c>
      <c r="G194" s="29">
        <v>4</v>
      </c>
      <c r="H194" s="29"/>
      <c r="I194" s="29" t="s">
        <v>33</v>
      </c>
      <c r="J194" s="30">
        <v>1000000</v>
      </c>
      <c r="K194" s="30"/>
      <c r="L194" s="30"/>
      <c r="M194" s="30">
        <v>4000000</v>
      </c>
      <c r="N194" s="29"/>
      <c r="O194" s="31" t="s">
        <v>722</v>
      </c>
      <c r="P194" s="31"/>
      <c r="Q194" s="31" t="s">
        <v>722</v>
      </c>
      <c r="R194" s="32" t="s">
        <v>767</v>
      </c>
      <c r="S194" s="32"/>
      <c r="T194" s="32"/>
      <c r="U194" s="29"/>
      <c r="V194" s="32" t="s">
        <v>718</v>
      </c>
    </row>
    <row r="195" spans="2:22" ht="32" x14ac:dyDescent="0.2">
      <c r="B195" s="29">
        <v>32</v>
      </c>
      <c r="C195" s="29" t="s">
        <v>36</v>
      </c>
      <c r="D195" s="29" t="s">
        <v>188</v>
      </c>
      <c r="E195" s="29" t="s">
        <v>398</v>
      </c>
      <c r="F195" s="29" t="s">
        <v>557</v>
      </c>
      <c r="G195" s="29">
        <v>1</v>
      </c>
      <c r="H195" s="29"/>
      <c r="I195" s="29" t="s">
        <v>666</v>
      </c>
      <c r="J195" s="30">
        <v>3500000</v>
      </c>
      <c r="K195" s="30"/>
      <c r="L195" s="30"/>
      <c r="M195" s="30">
        <v>3500000</v>
      </c>
      <c r="N195" s="29"/>
      <c r="O195" s="31" t="s">
        <v>727</v>
      </c>
      <c r="P195" s="31"/>
      <c r="Q195" s="31" t="s">
        <v>727</v>
      </c>
      <c r="R195" s="32" t="s">
        <v>804</v>
      </c>
      <c r="S195" s="32" t="s">
        <v>805</v>
      </c>
      <c r="T195" s="32"/>
      <c r="U195" s="29" t="s">
        <v>753</v>
      </c>
      <c r="V195" s="32" t="s">
        <v>709</v>
      </c>
    </row>
    <row r="196" spans="2:22" ht="16" x14ac:dyDescent="0.2">
      <c r="B196" s="29">
        <v>33</v>
      </c>
      <c r="C196" s="29" t="s">
        <v>36</v>
      </c>
      <c r="D196" s="29" t="s">
        <v>188</v>
      </c>
      <c r="E196" s="29" t="s">
        <v>398</v>
      </c>
      <c r="F196" s="29" t="s">
        <v>552</v>
      </c>
      <c r="G196" s="29">
        <v>1</v>
      </c>
      <c r="H196" s="29"/>
      <c r="I196" s="29" t="s">
        <v>665</v>
      </c>
      <c r="J196" s="30">
        <v>3200000</v>
      </c>
      <c r="K196" s="30"/>
      <c r="L196" s="30"/>
      <c r="M196" s="30">
        <v>3200000</v>
      </c>
      <c r="N196" s="29"/>
      <c r="O196" s="31" t="s">
        <v>730</v>
      </c>
      <c r="P196" s="31"/>
      <c r="Q196" s="31" t="s">
        <v>730</v>
      </c>
      <c r="R196" s="32" t="s">
        <v>806</v>
      </c>
      <c r="S196" s="32"/>
      <c r="T196" s="32"/>
      <c r="U196" s="29"/>
      <c r="V196" s="32" t="s">
        <v>20</v>
      </c>
    </row>
    <row r="197" spans="2:22" ht="32" x14ac:dyDescent="0.2">
      <c r="B197" s="29">
        <v>34</v>
      </c>
      <c r="C197" s="29" t="s">
        <v>36</v>
      </c>
      <c r="D197" s="29" t="s">
        <v>188</v>
      </c>
      <c r="E197" s="29" t="s">
        <v>398</v>
      </c>
      <c r="F197" s="29" t="s">
        <v>627</v>
      </c>
      <c r="G197" s="29">
        <v>1</v>
      </c>
      <c r="H197" s="29"/>
      <c r="I197" s="29" t="s">
        <v>699</v>
      </c>
      <c r="J197" s="30">
        <v>3200000</v>
      </c>
      <c r="K197" s="30"/>
      <c r="L197" s="30"/>
      <c r="M197" s="30">
        <v>3200000</v>
      </c>
      <c r="N197" s="29"/>
      <c r="O197" s="31" t="s">
        <v>722</v>
      </c>
      <c r="P197" s="31"/>
      <c r="Q197" s="31" t="s">
        <v>722</v>
      </c>
      <c r="R197" s="32" t="s">
        <v>785</v>
      </c>
      <c r="S197" s="32" t="s">
        <v>805</v>
      </c>
      <c r="T197" s="32"/>
      <c r="U197" s="29"/>
      <c r="V197" s="32" t="s">
        <v>717</v>
      </c>
    </row>
    <row r="198" spans="2:22" ht="32" x14ac:dyDescent="0.2">
      <c r="B198" s="29">
        <v>35</v>
      </c>
      <c r="C198" s="29" t="s">
        <v>36</v>
      </c>
      <c r="D198" s="29" t="s">
        <v>188</v>
      </c>
      <c r="E198" s="29" t="s">
        <v>398</v>
      </c>
      <c r="F198" s="29" t="s">
        <v>539</v>
      </c>
      <c r="G198" s="29">
        <v>1</v>
      </c>
      <c r="H198" s="29"/>
      <c r="I198" s="29" t="s">
        <v>663</v>
      </c>
      <c r="J198" s="30">
        <v>1500000</v>
      </c>
      <c r="K198" s="30"/>
      <c r="L198" s="30"/>
      <c r="M198" s="30">
        <v>1500000</v>
      </c>
      <c r="N198" s="29"/>
      <c r="O198" s="31" t="s">
        <v>37</v>
      </c>
      <c r="P198" s="31"/>
      <c r="Q198" s="31" t="s">
        <v>37</v>
      </c>
      <c r="R198" s="32" t="s">
        <v>802</v>
      </c>
      <c r="S198" s="32" t="s">
        <v>788</v>
      </c>
      <c r="T198" s="32"/>
      <c r="U198" s="29"/>
      <c r="V198" s="32" t="s">
        <v>708</v>
      </c>
    </row>
    <row r="199" spans="2:22" ht="32" x14ac:dyDescent="0.2">
      <c r="B199" s="29">
        <v>36</v>
      </c>
      <c r="C199" s="29" t="s">
        <v>36</v>
      </c>
      <c r="D199" s="29" t="s">
        <v>188</v>
      </c>
      <c r="E199" s="29" t="s">
        <v>398</v>
      </c>
      <c r="F199" s="29" t="s">
        <v>541</v>
      </c>
      <c r="G199" s="29">
        <v>1</v>
      </c>
      <c r="H199" s="29"/>
      <c r="I199" s="29" t="s">
        <v>663</v>
      </c>
      <c r="J199" s="30">
        <v>3000000</v>
      </c>
      <c r="K199" s="30"/>
      <c r="L199" s="30"/>
      <c r="M199" s="30">
        <v>3000000</v>
      </c>
      <c r="N199" s="29"/>
      <c r="O199" s="31" t="s">
        <v>724</v>
      </c>
      <c r="P199" s="31"/>
      <c r="Q199" s="31" t="s">
        <v>724</v>
      </c>
      <c r="R199" s="32" t="s">
        <v>802</v>
      </c>
      <c r="S199" s="32" t="s">
        <v>766</v>
      </c>
      <c r="T199" s="32"/>
      <c r="U199" s="29" t="s">
        <v>753</v>
      </c>
      <c r="V199" s="32" t="s">
        <v>708</v>
      </c>
    </row>
    <row r="200" spans="2:22" ht="16" x14ac:dyDescent="0.2">
      <c r="B200" s="29">
        <v>37</v>
      </c>
      <c r="C200" s="29" t="s">
        <v>36</v>
      </c>
      <c r="D200" s="29" t="s">
        <v>188</v>
      </c>
      <c r="E200" s="29" t="s">
        <v>398</v>
      </c>
      <c r="F200" s="29" t="s">
        <v>547</v>
      </c>
      <c r="G200" s="29">
        <v>1</v>
      </c>
      <c r="H200" s="29"/>
      <c r="I200" s="29" t="s">
        <v>663</v>
      </c>
      <c r="J200" s="30">
        <v>3000000</v>
      </c>
      <c r="K200" s="30"/>
      <c r="L200" s="30"/>
      <c r="M200" s="30">
        <v>3000000</v>
      </c>
      <c r="N200" s="29"/>
      <c r="O200" s="31" t="s">
        <v>729</v>
      </c>
      <c r="P200" s="31"/>
      <c r="Q200" s="31" t="s">
        <v>729</v>
      </c>
      <c r="R200" s="32" t="s">
        <v>795</v>
      </c>
      <c r="S200" s="32" t="s">
        <v>807</v>
      </c>
      <c r="T200" s="32"/>
      <c r="U200" s="29"/>
      <c r="V200" s="32" t="s">
        <v>709</v>
      </c>
    </row>
    <row r="201" spans="2:22" ht="32" x14ac:dyDescent="0.2">
      <c r="B201" s="29">
        <v>38</v>
      </c>
      <c r="C201" s="29" t="s">
        <v>36</v>
      </c>
      <c r="D201" s="29" t="s">
        <v>188</v>
      </c>
      <c r="E201" s="29" t="s">
        <v>398</v>
      </c>
      <c r="F201" s="29" t="s">
        <v>549</v>
      </c>
      <c r="G201" s="29">
        <v>6</v>
      </c>
      <c r="H201" s="29"/>
      <c r="I201" s="29" t="s">
        <v>684</v>
      </c>
      <c r="J201" s="30">
        <v>500000</v>
      </c>
      <c r="K201" s="30"/>
      <c r="L201" s="30"/>
      <c r="M201" s="30">
        <v>3000000</v>
      </c>
      <c r="N201" s="29"/>
      <c r="O201" s="31" t="s">
        <v>723</v>
      </c>
      <c r="P201" s="31"/>
      <c r="Q201" s="31" t="s">
        <v>723</v>
      </c>
      <c r="R201" s="32" t="s">
        <v>808</v>
      </c>
      <c r="S201" s="32" t="s">
        <v>807</v>
      </c>
      <c r="T201" s="32"/>
      <c r="U201" s="29"/>
      <c r="V201" s="32" t="s">
        <v>715</v>
      </c>
    </row>
    <row r="202" spans="2:22" ht="32" x14ac:dyDescent="0.2">
      <c r="B202" s="29">
        <v>39</v>
      </c>
      <c r="C202" s="29" t="s">
        <v>36</v>
      </c>
      <c r="D202" s="29" t="s">
        <v>188</v>
      </c>
      <c r="E202" s="29" t="s">
        <v>398</v>
      </c>
      <c r="F202" s="29" t="s">
        <v>617</v>
      </c>
      <c r="G202" s="29">
        <v>1</v>
      </c>
      <c r="H202" s="29"/>
      <c r="I202" s="29" t="s">
        <v>690</v>
      </c>
      <c r="J202" s="30">
        <v>3000000</v>
      </c>
      <c r="K202" s="30"/>
      <c r="L202" s="30"/>
      <c r="M202" s="30">
        <v>3000000</v>
      </c>
      <c r="N202" s="29"/>
      <c r="O202" s="31" t="s">
        <v>726</v>
      </c>
      <c r="P202" s="31"/>
      <c r="Q202" s="31" t="s">
        <v>726</v>
      </c>
      <c r="R202" s="32" t="s">
        <v>809</v>
      </c>
      <c r="S202" s="32" t="s">
        <v>805</v>
      </c>
      <c r="T202" s="32"/>
      <c r="U202" s="29" t="s">
        <v>753</v>
      </c>
      <c r="V202" s="32" t="s">
        <v>711</v>
      </c>
    </row>
    <row r="203" spans="2:22" ht="32" x14ac:dyDescent="0.2">
      <c r="B203" s="29">
        <v>40</v>
      </c>
      <c r="C203" s="29" t="s">
        <v>36</v>
      </c>
      <c r="D203" s="29" t="s">
        <v>188</v>
      </c>
      <c r="E203" s="29" t="s">
        <v>398</v>
      </c>
      <c r="F203" s="29" t="s">
        <v>631</v>
      </c>
      <c r="G203" s="29">
        <v>1</v>
      </c>
      <c r="H203" s="29"/>
      <c r="I203" s="29" t="s">
        <v>699</v>
      </c>
      <c r="J203" s="30">
        <v>3000000</v>
      </c>
      <c r="K203" s="30"/>
      <c r="L203" s="30"/>
      <c r="M203" s="30">
        <v>3000000</v>
      </c>
      <c r="N203" s="29"/>
      <c r="O203" s="31" t="s">
        <v>721</v>
      </c>
      <c r="P203" s="31"/>
      <c r="Q203" s="31" t="s">
        <v>721</v>
      </c>
      <c r="R203" s="32" t="s">
        <v>767</v>
      </c>
      <c r="S203" s="32"/>
      <c r="T203" s="32"/>
      <c r="U203" s="29" t="s">
        <v>753</v>
      </c>
      <c r="V203" s="32" t="s">
        <v>718</v>
      </c>
    </row>
    <row r="204" spans="2:22" ht="32" x14ac:dyDescent="0.2">
      <c r="B204" s="29">
        <v>41</v>
      </c>
      <c r="C204" s="29" t="s">
        <v>36</v>
      </c>
      <c r="D204" s="29" t="s">
        <v>188</v>
      </c>
      <c r="E204" s="29" t="s">
        <v>398</v>
      </c>
      <c r="F204" s="29" t="s">
        <v>653</v>
      </c>
      <c r="G204" s="29"/>
      <c r="H204" s="29"/>
      <c r="I204" s="29" t="s">
        <v>36</v>
      </c>
      <c r="J204" s="30">
        <v>3000000</v>
      </c>
      <c r="K204" s="30"/>
      <c r="L204" s="30"/>
      <c r="M204" s="30">
        <v>3000000</v>
      </c>
      <c r="N204" s="29"/>
      <c r="O204" s="31" t="s">
        <v>729</v>
      </c>
      <c r="P204" s="31"/>
      <c r="Q204" s="31" t="s">
        <v>729</v>
      </c>
      <c r="R204" s="32" t="s">
        <v>810</v>
      </c>
      <c r="S204" s="32" t="s">
        <v>788</v>
      </c>
      <c r="T204" s="32"/>
      <c r="U204" s="29"/>
      <c r="V204" s="32" t="s">
        <v>709</v>
      </c>
    </row>
    <row r="205" spans="2:22" ht="32" x14ac:dyDescent="0.2">
      <c r="B205" s="29">
        <v>42</v>
      </c>
      <c r="C205" s="29" t="s">
        <v>36</v>
      </c>
      <c r="D205" s="29" t="s">
        <v>188</v>
      </c>
      <c r="E205" s="29" t="s">
        <v>398</v>
      </c>
      <c r="F205" s="29" t="s">
        <v>659</v>
      </c>
      <c r="G205" s="29">
        <v>1</v>
      </c>
      <c r="H205" s="29"/>
      <c r="I205" s="29" t="s">
        <v>706</v>
      </c>
      <c r="J205" s="30">
        <v>2800000</v>
      </c>
      <c r="K205" s="30"/>
      <c r="L205" s="30"/>
      <c r="M205" s="30">
        <v>2800000</v>
      </c>
      <c r="N205" s="29"/>
      <c r="O205" s="31" t="s">
        <v>722</v>
      </c>
      <c r="P205" s="31"/>
      <c r="Q205" s="31" t="s">
        <v>722</v>
      </c>
      <c r="R205" s="32" t="s">
        <v>709</v>
      </c>
      <c r="S205" s="32" t="s">
        <v>811</v>
      </c>
      <c r="T205" s="32"/>
      <c r="U205" s="29" t="s">
        <v>753</v>
      </c>
      <c r="V205" s="32" t="s">
        <v>709</v>
      </c>
    </row>
    <row r="206" spans="2:22" ht="32" x14ac:dyDescent="0.2">
      <c r="B206" s="29">
        <v>43</v>
      </c>
      <c r="C206" s="29" t="s">
        <v>36</v>
      </c>
      <c r="D206" s="29" t="s">
        <v>188</v>
      </c>
      <c r="E206" s="29" t="s">
        <v>398</v>
      </c>
      <c r="F206" s="29" t="s">
        <v>812</v>
      </c>
      <c r="G206" s="29">
        <v>1</v>
      </c>
      <c r="H206" s="29"/>
      <c r="I206" s="29" t="s">
        <v>699</v>
      </c>
      <c r="J206" s="30">
        <v>2800000</v>
      </c>
      <c r="K206" s="30"/>
      <c r="L206" s="30"/>
      <c r="M206" s="30">
        <v>2800000</v>
      </c>
      <c r="N206" s="29"/>
      <c r="O206" s="31" t="s">
        <v>726</v>
      </c>
      <c r="P206" s="31"/>
      <c r="Q206" s="31" t="s">
        <v>726</v>
      </c>
      <c r="R206" s="32" t="s">
        <v>785</v>
      </c>
      <c r="S206" s="32"/>
      <c r="T206" s="32"/>
      <c r="U206" s="29"/>
      <c r="V206" s="32" t="s">
        <v>718</v>
      </c>
    </row>
    <row r="207" spans="2:22" ht="32" x14ac:dyDescent="0.2">
      <c r="B207" s="29">
        <v>44</v>
      </c>
      <c r="C207" s="29" t="s">
        <v>36</v>
      </c>
      <c r="D207" s="29" t="s">
        <v>188</v>
      </c>
      <c r="E207" s="29" t="s">
        <v>398</v>
      </c>
      <c r="F207" s="29" t="s">
        <v>585</v>
      </c>
      <c r="G207" s="29">
        <v>1</v>
      </c>
      <c r="H207" s="29"/>
      <c r="I207" s="29" t="s">
        <v>672</v>
      </c>
      <c r="J207" s="30">
        <v>2500000</v>
      </c>
      <c r="K207" s="30"/>
      <c r="L207" s="30"/>
      <c r="M207" s="30">
        <v>2500000</v>
      </c>
      <c r="N207" s="29"/>
      <c r="O207" s="31" t="s">
        <v>721</v>
      </c>
      <c r="P207" s="31"/>
      <c r="Q207" s="31" t="s">
        <v>721</v>
      </c>
      <c r="R207" s="32" t="s">
        <v>791</v>
      </c>
      <c r="S207" s="32"/>
      <c r="T207" s="32"/>
      <c r="U207" s="29" t="s">
        <v>753</v>
      </c>
      <c r="V207" s="32" t="s">
        <v>711</v>
      </c>
    </row>
    <row r="208" spans="2:22" ht="32" x14ac:dyDescent="0.2">
      <c r="B208" s="29">
        <v>45</v>
      </c>
      <c r="C208" s="29" t="s">
        <v>36</v>
      </c>
      <c r="D208" s="29" t="s">
        <v>188</v>
      </c>
      <c r="E208" s="29" t="s">
        <v>398</v>
      </c>
      <c r="F208" s="29" t="s">
        <v>553</v>
      </c>
      <c r="G208" s="29">
        <v>1</v>
      </c>
      <c r="H208" s="29"/>
      <c r="I208" s="29" t="s">
        <v>665</v>
      </c>
      <c r="J208" s="30">
        <v>2500000</v>
      </c>
      <c r="K208" s="30"/>
      <c r="L208" s="30"/>
      <c r="M208" s="30">
        <v>2500000</v>
      </c>
      <c r="N208" s="29"/>
      <c r="O208" s="31" t="s">
        <v>722</v>
      </c>
      <c r="P208" s="31"/>
      <c r="Q208" s="31" t="s">
        <v>722</v>
      </c>
      <c r="R208" s="32" t="s">
        <v>20</v>
      </c>
      <c r="S208" s="32" t="s">
        <v>807</v>
      </c>
      <c r="T208" s="32"/>
      <c r="U208" s="29" t="s">
        <v>753</v>
      </c>
      <c r="V208" s="32" t="s">
        <v>813</v>
      </c>
    </row>
    <row r="209" spans="2:22" ht="32" x14ac:dyDescent="0.2">
      <c r="B209" s="29">
        <v>46</v>
      </c>
      <c r="C209" s="29" t="s">
        <v>36</v>
      </c>
      <c r="D209" s="29" t="s">
        <v>188</v>
      </c>
      <c r="E209" s="29" t="s">
        <v>398</v>
      </c>
      <c r="F209" s="29" t="s">
        <v>587</v>
      </c>
      <c r="G209" s="29">
        <v>1</v>
      </c>
      <c r="H209" s="29"/>
      <c r="I209" s="29" t="s">
        <v>672</v>
      </c>
      <c r="J209" s="30">
        <v>2500000</v>
      </c>
      <c r="K209" s="30"/>
      <c r="L209" s="30"/>
      <c r="M209" s="30">
        <v>2500000</v>
      </c>
      <c r="N209" s="29"/>
      <c r="O209" s="31" t="s">
        <v>721</v>
      </c>
      <c r="P209" s="31"/>
      <c r="Q209" s="31" t="s">
        <v>721</v>
      </c>
      <c r="R209" s="32" t="s">
        <v>709</v>
      </c>
      <c r="S209" s="32" t="s">
        <v>805</v>
      </c>
      <c r="T209" s="32"/>
      <c r="U209" s="29" t="s">
        <v>753</v>
      </c>
      <c r="V209" s="32" t="s">
        <v>713</v>
      </c>
    </row>
    <row r="210" spans="2:22" ht="32" x14ac:dyDescent="0.2">
      <c r="B210" s="29">
        <v>47</v>
      </c>
      <c r="C210" s="29" t="s">
        <v>36</v>
      </c>
      <c r="D210" s="29" t="s">
        <v>188</v>
      </c>
      <c r="E210" s="29" t="s">
        <v>398</v>
      </c>
      <c r="F210" s="29" t="s">
        <v>814</v>
      </c>
      <c r="G210" s="29">
        <v>1</v>
      </c>
      <c r="H210" s="29"/>
      <c r="I210" s="29" t="s">
        <v>683</v>
      </c>
      <c r="J210" s="30">
        <v>2500000</v>
      </c>
      <c r="K210" s="30"/>
      <c r="L210" s="30"/>
      <c r="M210" s="30">
        <v>2500000</v>
      </c>
      <c r="N210" s="29"/>
      <c r="O210" s="31" t="s">
        <v>726</v>
      </c>
      <c r="P210" s="31"/>
      <c r="Q210" s="31" t="s">
        <v>726</v>
      </c>
      <c r="R210" s="32" t="s">
        <v>815</v>
      </c>
      <c r="S210" s="32"/>
      <c r="T210" s="32"/>
      <c r="U210" s="29" t="s">
        <v>753</v>
      </c>
      <c r="V210" s="32" t="s">
        <v>715</v>
      </c>
    </row>
    <row r="211" spans="2:22" ht="32" x14ac:dyDescent="0.2">
      <c r="B211" s="29">
        <v>48</v>
      </c>
      <c r="C211" s="29" t="s">
        <v>36</v>
      </c>
      <c r="D211" s="29" t="s">
        <v>188</v>
      </c>
      <c r="E211" s="29" t="s">
        <v>398</v>
      </c>
      <c r="F211" s="29" t="s">
        <v>616</v>
      </c>
      <c r="G211" s="29">
        <v>1</v>
      </c>
      <c r="H211" s="29"/>
      <c r="I211" s="29" t="s">
        <v>689</v>
      </c>
      <c r="J211" s="30">
        <v>2500000</v>
      </c>
      <c r="K211" s="30"/>
      <c r="L211" s="30"/>
      <c r="M211" s="30">
        <v>2500000</v>
      </c>
      <c r="N211" s="29"/>
      <c r="O211" s="31" t="s">
        <v>731</v>
      </c>
      <c r="P211" s="31"/>
      <c r="Q211" s="31" t="s">
        <v>731</v>
      </c>
      <c r="R211" s="32" t="s">
        <v>709</v>
      </c>
      <c r="S211" s="32" t="s">
        <v>805</v>
      </c>
      <c r="T211" s="32"/>
      <c r="U211" s="29"/>
      <c r="V211" s="32" t="s">
        <v>716</v>
      </c>
    </row>
    <row r="212" spans="2:22" ht="32" x14ac:dyDescent="0.2">
      <c r="B212" s="29">
        <v>49</v>
      </c>
      <c r="C212" s="29" t="s">
        <v>36</v>
      </c>
      <c r="D212" s="29" t="s">
        <v>188</v>
      </c>
      <c r="E212" s="29" t="s">
        <v>398</v>
      </c>
      <c r="F212" s="29" t="s">
        <v>634</v>
      </c>
      <c r="G212" s="29">
        <v>1</v>
      </c>
      <c r="H212" s="29"/>
      <c r="I212" s="29" t="s">
        <v>33</v>
      </c>
      <c r="J212" s="30">
        <v>2500000</v>
      </c>
      <c r="K212" s="30"/>
      <c r="L212" s="30"/>
      <c r="M212" s="30">
        <v>2500000</v>
      </c>
      <c r="N212" s="29"/>
      <c r="O212" s="31" t="s">
        <v>724</v>
      </c>
      <c r="P212" s="31"/>
      <c r="Q212" s="31" t="s">
        <v>724</v>
      </c>
      <c r="R212" s="32" t="s">
        <v>816</v>
      </c>
      <c r="S212" s="32" t="s">
        <v>805</v>
      </c>
      <c r="T212" s="32"/>
      <c r="U212" s="29" t="s">
        <v>753</v>
      </c>
      <c r="V212" s="32" t="s">
        <v>709</v>
      </c>
    </row>
    <row r="213" spans="2:22" ht="32" x14ac:dyDescent="0.2">
      <c r="B213" s="29">
        <v>50</v>
      </c>
      <c r="C213" s="29" t="s">
        <v>36</v>
      </c>
      <c r="D213" s="29" t="s">
        <v>188</v>
      </c>
      <c r="E213" s="29" t="s">
        <v>398</v>
      </c>
      <c r="F213" s="29" t="s">
        <v>817</v>
      </c>
      <c r="G213" s="29">
        <v>1</v>
      </c>
      <c r="H213" s="29"/>
      <c r="I213" s="29" t="s">
        <v>706</v>
      </c>
      <c r="J213" s="30">
        <v>2500000</v>
      </c>
      <c r="K213" s="30">
        <v>2500000</v>
      </c>
      <c r="L213" s="30">
        <v>2500000</v>
      </c>
      <c r="M213" s="30">
        <v>2500000</v>
      </c>
      <c r="N213" s="29"/>
      <c r="O213" s="31" t="s">
        <v>722</v>
      </c>
      <c r="P213" s="31"/>
      <c r="Q213" s="31" t="s">
        <v>722</v>
      </c>
      <c r="R213" s="32" t="s">
        <v>709</v>
      </c>
      <c r="S213" s="32" t="s">
        <v>805</v>
      </c>
      <c r="T213" s="32"/>
      <c r="U213" s="29" t="s">
        <v>753</v>
      </c>
      <c r="V213" s="32" t="s">
        <v>709</v>
      </c>
    </row>
    <row r="214" spans="2:22" ht="32" x14ac:dyDescent="0.2">
      <c r="B214" s="29">
        <v>51</v>
      </c>
      <c r="C214" s="29" t="s">
        <v>36</v>
      </c>
      <c r="D214" s="29" t="s">
        <v>188</v>
      </c>
      <c r="E214" s="29" t="s">
        <v>398</v>
      </c>
      <c r="F214" s="29" t="s">
        <v>818</v>
      </c>
      <c r="G214" s="29">
        <v>1</v>
      </c>
      <c r="H214" s="29"/>
      <c r="I214" s="29" t="s">
        <v>707</v>
      </c>
      <c r="J214" s="30">
        <v>2500000</v>
      </c>
      <c r="K214" s="30"/>
      <c r="L214" s="30"/>
      <c r="M214" s="30">
        <v>2500000</v>
      </c>
      <c r="N214" s="29"/>
      <c r="O214" s="31" t="s">
        <v>724</v>
      </c>
      <c r="P214" s="31"/>
      <c r="Q214" s="31" t="s">
        <v>724</v>
      </c>
      <c r="R214" s="32" t="s">
        <v>709</v>
      </c>
      <c r="S214" s="32" t="s">
        <v>819</v>
      </c>
      <c r="T214" s="32"/>
      <c r="U214" s="29"/>
      <c r="V214" s="32" t="s">
        <v>709</v>
      </c>
    </row>
    <row r="215" spans="2:22" ht="16" x14ac:dyDescent="0.2">
      <c r="B215" s="29">
        <v>52</v>
      </c>
      <c r="C215" s="29" t="s">
        <v>36</v>
      </c>
      <c r="D215" s="29" t="s">
        <v>188</v>
      </c>
      <c r="E215" s="29" t="s">
        <v>398</v>
      </c>
      <c r="F215" s="29" t="s">
        <v>820</v>
      </c>
      <c r="G215" s="29">
        <v>1</v>
      </c>
      <c r="H215" s="29"/>
      <c r="I215" s="29" t="s">
        <v>733</v>
      </c>
      <c r="J215" s="30">
        <v>2500000</v>
      </c>
      <c r="K215" s="30"/>
      <c r="L215" s="30"/>
      <c r="M215" s="30">
        <v>2500000</v>
      </c>
      <c r="N215" s="29"/>
      <c r="O215" s="31" t="s">
        <v>724</v>
      </c>
      <c r="P215" s="31"/>
      <c r="Q215" s="31" t="s">
        <v>724</v>
      </c>
      <c r="R215" s="32" t="s">
        <v>821</v>
      </c>
      <c r="S215" s="32"/>
      <c r="T215" s="32"/>
      <c r="U215" s="29"/>
      <c r="V215" s="32" t="s">
        <v>822</v>
      </c>
    </row>
    <row r="216" spans="2:22" ht="16" x14ac:dyDescent="0.2">
      <c r="B216" s="29">
        <v>53</v>
      </c>
      <c r="C216" s="29" t="s">
        <v>36</v>
      </c>
      <c r="D216" s="29" t="s">
        <v>188</v>
      </c>
      <c r="E216" s="29" t="s">
        <v>398</v>
      </c>
      <c r="F216" s="29" t="s">
        <v>548</v>
      </c>
      <c r="G216" s="29">
        <v>1</v>
      </c>
      <c r="H216" s="29"/>
      <c r="I216" s="29" t="s">
        <v>664</v>
      </c>
      <c r="J216" s="30">
        <v>2000000</v>
      </c>
      <c r="K216" s="30"/>
      <c r="L216" s="30"/>
      <c r="M216" s="30">
        <v>2000000</v>
      </c>
      <c r="N216" s="29"/>
      <c r="O216" s="31" t="s">
        <v>729</v>
      </c>
      <c r="P216" s="31"/>
      <c r="Q216" s="31" t="s">
        <v>729</v>
      </c>
      <c r="R216" s="32" t="s">
        <v>823</v>
      </c>
      <c r="S216" s="32" t="s">
        <v>824</v>
      </c>
      <c r="T216" s="32"/>
      <c r="U216" s="29"/>
      <c r="V216" s="32" t="s">
        <v>709</v>
      </c>
    </row>
    <row r="217" spans="2:22" ht="32" x14ac:dyDescent="0.2">
      <c r="B217" s="29">
        <v>54</v>
      </c>
      <c r="C217" s="29" t="s">
        <v>36</v>
      </c>
      <c r="D217" s="29" t="s">
        <v>188</v>
      </c>
      <c r="E217" s="29" t="s">
        <v>398</v>
      </c>
      <c r="F217" s="29" t="s">
        <v>559</v>
      </c>
      <c r="G217" s="29">
        <v>1</v>
      </c>
      <c r="H217" s="29"/>
      <c r="I217" s="29" t="s">
        <v>825</v>
      </c>
      <c r="J217" s="30">
        <v>2000000</v>
      </c>
      <c r="K217" s="30"/>
      <c r="L217" s="30"/>
      <c r="M217" s="30">
        <v>2000000</v>
      </c>
      <c r="N217" s="29"/>
      <c r="O217" s="31" t="s">
        <v>724</v>
      </c>
      <c r="P217" s="31"/>
      <c r="Q217" s="31" t="s">
        <v>724</v>
      </c>
      <c r="R217" s="32" t="s">
        <v>802</v>
      </c>
      <c r="S217" s="32"/>
      <c r="T217" s="32"/>
      <c r="U217" s="29" t="s">
        <v>753</v>
      </c>
      <c r="V217" s="32" t="s">
        <v>718</v>
      </c>
    </row>
    <row r="218" spans="2:22" ht="32" x14ac:dyDescent="0.2">
      <c r="B218" s="29">
        <v>55</v>
      </c>
      <c r="C218" s="29" t="s">
        <v>36</v>
      </c>
      <c r="D218" s="29" t="s">
        <v>188</v>
      </c>
      <c r="E218" s="29" t="s">
        <v>398</v>
      </c>
      <c r="F218" s="29" t="s">
        <v>542</v>
      </c>
      <c r="G218" s="29">
        <v>1</v>
      </c>
      <c r="H218" s="29"/>
      <c r="I218" s="29" t="s">
        <v>663</v>
      </c>
      <c r="J218" s="30">
        <v>2000000</v>
      </c>
      <c r="K218" s="30"/>
      <c r="L218" s="30"/>
      <c r="M218" s="30">
        <v>2000000</v>
      </c>
      <c r="N218" s="29"/>
      <c r="O218" s="31" t="s">
        <v>726</v>
      </c>
      <c r="P218" s="31"/>
      <c r="Q218" s="31" t="s">
        <v>726</v>
      </c>
      <c r="R218" s="32" t="s">
        <v>802</v>
      </c>
      <c r="S218" s="32"/>
      <c r="T218" s="32"/>
      <c r="U218" s="29"/>
      <c r="V218" s="32" t="s">
        <v>708</v>
      </c>
    </row>
    <row r="219" spans="2:22" ht="16" x14ac:dyDescent="0.2">
      <c r="B219" s="29">
        <v>56</v>
      </c>
      <c r="C219" s="29" t="s">
        <v>36</v>
      </c>
      <c r="D219" s="29" t="s">
        <v>188</v>
      </c>
      <c r="E219" s="29" t="s">
        <v>398</v>
      </c>
      <c r="F219" s="29" t="s">
        <v>826</v>
      </c>
      <c r="G219" s="29">
        <v>1</v>
      </c>
      <c r="H219" s="29"/>
      <c r="I219" s="29" t="s">
        <v>663</v>
      </c>
      <c r="J219" s="30">
        <v>2000000</v>
      </c>
      <c r="K219" s="30"/>
      <c r="L219" s="30"/>
      <c r="M219" s="30">
        <v>2000000</v>
      </c>
      <c r="N219" s="29"/>
      <c r="O219" s="31" t="s">
        <v>722</v>
      </c>
      <c r="P219" s="31"/>
      <c r="Q219" s="31" t="s">
        <v>722</v>
      </c>
      <c r="R219" s="32" t="s">
        <v>710</v>
      </c>
      <c r="S219" s="32"/>
      <c r="T219" s="32"/>
      <c r="U219" s="29" t="s">
        <v>753</v>
      </c>
      <c r="V219" s="32" t="s">
        <v>709</v>
      </c>
    </row>
    <row r="220" spans="2:22" ht="16" x14ac:dyDescent="0.2">
      <c r="B220" s="29">
        <v>57</v>
      </c>
      <c r="C220" s="29" t="s">
        <v>36</v>
      </c>
      <c r="D220" s="29" t="s">
        <v>188</v>
      </c>
      <c r="E220" s="29" t="s">
        <v>398</v>
      </c>
      <c r="F220" s="29" t="s">
        <v>549</v>
      </c>
      <c r="G220" s="29">
        <v>4</v>
      </c>
      <c r="H220" s="29"/>
      <c r="I220" s="29" t="s">
        <v>827</v>
      </c>
      <c r="J220" s="30">
        <v>2000000</v>
      </c>
      <c r="K220" s="30"/>
      <c r="L220" s="30"/>
      <c r="M220" s="30">
        <v>2000000</v>
      </c>
      <c r="N220" s="29"/>
      <c r="O220" s="31" t="s">
        <v>723</v>
      </c>
      <c r="P220" s="31"/>
      <c r="Q220" s="31" t="s">
        <v>723</v>
      </c>
      <c r="R220" s="32" t="s">
        <v>785</v>
      </c>
      <c r="S220" s="32"/>
      <c r="T220" s="32"/>
      <c r="U220" s="29"/>
      <c r="V220" s="32" t="s">
        <v>708</v>
      </c>
    </row>
    <row r="221" spans="2:22" ht="224" x14ac:dyDescent="0.2">
      <c r="B221" s="29">
        <v>58</v>
      </c>
      <c r="C221" s="29" t="s">
        <v>36</v>
      </c>
      <c r="D221" s="29" t="s">
        <v>188</v>
      </c>
      <c r="E221" s="29" t="s">
        <v>398</v>
      </c>
      <c r="F221" s="29" t="s">
        <v>596</v>
      </c>
      <c r="G221" s="29">
        <v>2</v>
      </c>
      <c r="H221" s="29"/>
      <c r="I221" s="29" t="s">
        <v>673</v>
      </c>
      <c r="J221" s="30">
        <v>1000000</v>
      </c>
      <c r="K221" s="30"/>
      <c r="L221" s="30"/>
      <c r="M221" s="30">
        <v>2000000</v>
      </c>
      <c r="N221" s="29"/>
      <c r="O221" s="31" t="s">
        <v>730</v>
      </c>
      <c r="P221" s="31"/>
      <c r="Q221" s="31" t="s">
        <v>730</v>
      </c>
      <c r="R221" s="32" t="s">
        <v>828</v>
      </c>
      <c r="S221" s="32" t="s">
        <v>829</v>
      </c>
      <c r="T221" s="32"/>
      <c r="U221" s="29" t="s">
        <v>830</v>
      </c>
      <c r="V221" s="32" t="s">
        <v>711</v>
      </c>
    </row>
    <row r="222" spans="2:22" ht="16" x14ac:dyDescent="0.2">
      <c r="B222" s="29">
        <v>59</v>
      </c>
      <c r="C222" s="29" t="s">
        <v>36</v>
      </c>
      <c r="D222" s="29" t="s">
        <v>188</v>
      </c>
      <c r="E222" s="29" t="s">
        <v>398</v>
      </c>
      <c r="F222" s="29" t="s">
        <v>549</v>
      </c>
      <c r="G222" s="29">
        <v>4</v>
      </c>
      <c r="H222" s="29"/>
      <c r="I222" s="29" t="s">
        <v>681</v>
      </c>
      <c r="J222" s="30">
        <v>500000</v>
      </c>
      <c r="K222" s="30"/>
      <c r="L222" s="30"/>
      <c r="M222" s="30">
        <v>2000000</v>
      </c>
      <c r="N222" s="29"/>
      <c r="O222" s="31" t="s">
        <v>721</v>
      </c>
      <c r="P222" s="31"/>
      <c r="Q222" s="31" t="s">
        <v>721</v>
      </c>
      <c r="R222" s="32" t="s">
        <v>831</v>
      </c>
      <c r="S222" s="32"/>
      <c r="T222" s="32"/>
      <c r="U222" s="29"/>
      <c r="V222" s="32" t="s">
        <v>20</v>
      </c>
    </row>
    <row r="223" spans="2:22" ht="32" x14ac:dyDescent="0.2">
      <c r="B223" s="29">
        <v>60</v>
      </c>
      <c r="C223" s="29" t="s">
        <v>36</v>
      </c>
      <c r="D223" s="29" t="s">
        <v>188</v>
      </c>
      <c r="E223" s="29" t="s">
        <v>398</v>
      </c>
      <c r="F223" s="29" t="s">
        <v>549</v>
      </c>
      <c r="G223" s="29">
        <v>4</v>
      </c>
      <c r="H223" s="29"/>
      <c r="I223" s="29" t="s">
        <v>699</v>
      </c>
      <c r="J223" s="30">
        <v>500000</v>
      </c>
      <c r="K223" s="30"/>
      <c r="L223" s="30"/>
      <c r="M223" s="30">
        <v>2000000</v>
      </c>
      <c r="N223" s="29"/>
      <c r="O223" s="31" t="s">
        <v>721</v>
      </c>
      <c r="P223" s="31"/>
      <c r="Q223" s="31" t="s">
        <v>721</v>
      </c>
      <c r="R223" s="32" t="s">
        <v>785</v>
      </c>
      <c r="S223" s="32"/>
      <c r="T223" s="32"/>
      <c r="U223" s="29"/>
      <c r="V223" s="32" t="s">
        <v>718</v>
      </c>
    </row>
    <row r="224" spans="2:22" ht="32" x14ac:dyDescent="0.2">
      <c r="B224" s="29">
        <v>61</v>
      </c>
      <c r="C224" s="29" t="s">
        <v>36</v>
      </c>
      <c r="D224" s="29" t="s">
        <v>188</v>
      </c>
      <c r="E224" s="29" t="s">
        <v>398</v>
      </c>
      <c r="F224" s="29" t="s">
        <v>642</v>
      </c>
      <c r="G224" s="29">
        <v>2</v>
      </c>
      <c r="H224" s="29"/>
      <c r="I224" s="29" t="s">
        <v>703</v>
      </c>
      <c r="J224" s="30">
        <v>100000</v>
      </c>
      <c r="K224" s="30"/>
      <c r="L224" s="30"/>
      <c r="M224" s="30">
        <v>200000</v>
      </c>
      <c r="N224" s="29"/>
      <c r="O224" s="31" t="s">
        <v>723</v>
      </c>
      <c r="P224" s="31"/>
      <c r="Q224" s="31" t="s">
        <v>723</v>
      </c>
      <c r="R224" s="32" t="s">
        <v>832</v>
      </c>
      <c r="S224" s="32" t="s">
        <v>788</v>
      </c>
      <c r="T224" s="32"/>
      <c r="U224" s="29" t="s">
        <v>753</v>
      </c>
      <c r="V224" s="32" t="s">
        <v>718</v>
      </c>
    </row>
    <row r="225" spans="2:22" ht="16" x14ac:dyDescent="0.2">
      <c r="B225" s="29">
        <v>62</v>
      </c>
      <c r="C225" s="29" t="s">
        <v>36</v>
      </c>
      <c r="D225" s="29" t="s">
        <v>188</v>
      </c>
      <c r="E225" s="29" t="s">
        <v>398</v>
      </c>
      <c r="F225" s="29" t="s">
        <v>550</v>
      </c>
      <c r="G225" s="29">
        <v>50</v>
      </c>
      <c r="H225" s="29"/>
      <c r="I225" s="29" t="s">
        <v>833</v>
      </c>
      <c r="J225" s="30">
        <v>40000</v>
      </c>
      <c r="K225" s="30"/>
      <c r="L225" s="30"/>
      <c r="M225" s="30">
        <v>2000000</v>
      </c>
      <c r="N225" s="29"/>
      <c r="O225" s="31" t="s">
        <v>723</v>
      </c>
      <c r="P225" s="31"/>
      <c r="Q225" s="31" t="s">
        <v>723</v>
      </c>
      <c r="R225" s="32" t="s">
        <v>834</v>
      </c>
      <c r="S225" s="32"/>
      <c r="T225" s="32"/>
      <c r="U225" s="29"/>
      <c r="V225" s="32" t="s">
        <v>709</v>
      </c>
    </row>
    <row r="226" spans="2:22" ht="256" hidden="1" x14ac:dyDescent="0.2">
      <c r="B226" s="29">
        <v>63</v>
      </c>
      <c r="C226" s="29" t="s">
        <v>461</v>
      </c>
      <c r="D226" s="29" t="s">
        <v>188</v>
      </c>
      <c r="E226" s="29" t="s">
        <v>398</v>
      </c>
      <c r="F226" s="29" t="s">
        <v>452</v>
      </c>
      <c r="G226" s="29">
        <v>1</v>
      </c>
      <c r="H226" s="29"/>
      <c r="I226" s="29" t="s">
        <v>461</v>
      </c>
      <c r="J226" s="30">
        <v>1800000</v>
      </c>
      <c r="K226" s="30"/>
      <c r="L226" s="30"/>
      <c r="M226" s="30">
        <v>1800000</v>
      </c>
      <c r="N226" s="29"/>
      <c r="O226" s="31"/>
      <c r="P226" s="31"/>
      <c r="Q226" s="31" t="s">
        <v>721</v>
      </c>
      <c r="R226" s="32" t="s">
        <v>835</v>
      </c>
      <c r="S226" s="32" t="s">
        <v>836</v>
      </c>
      <c r="T226" s="32"/>
      <c r="U226" s="29" t="s">
        <v>837</v>
      </c>
      <c r="V226" s="32" t="s">
        <v>466</v>
      </c>
    </row>
    <row r="227" spans="2:22" ht="96" hidden="1" x14ac:dyDescent="0.2">
      <c r="B227" s="29">
        <v>64</v>
      </c>
      <c r="C227" s="29" t="s">
        <v>21</v>
      </c>
      <c r="D227" s="29" t="s">
        <v>188</v>
      </c>
      <c r="E227" s="29" t="s">
        <v>398</v>
      </c>
      <c r="F227" s="29" t="s">
        <v>502</v>
      </c>
      <c r="G227" s="29">
        <v>1</v>
      </c>
      <c r="H227" s="29" t="s">
        <v>165</v>
      </c>
      <c r="I227" s="29" t="s">
        <v>21</v>
      </c>
      <c r="J227" s="30">
        <v>1600000</v>
      </c>
      <c r="K227" s="30"/>
      <c r="L227" s="30"/>
      <c r="M227" s="30">
        <v>1600000</v>
      </c>
      <c r="N227" s="29" t="s">
        <v>503</v>
      </c>
      <c r="O227" s="31">
        <v>46113</v>
      </c>
      <c r="P227" s="31">
        <v>46174</v>
      </c>
      <c r="Q227" s="31" t="s">
        <v>725</v>
      </c>
      <c r="R227" s="32" t="s">
        <v>504</v>
      </c>
      <c r="S227" s="32" t="s">
        <v>505</v>
      </c>
      <c r="T227" s="32" t="s">
        <v>506</v>
      </c>
      <c r="U227" s="29" t="s">
        <v>507</v>
      </c>
      <c r="V227" s="32" t="s">
        <v>508</v>
      </c>
    </row>
    <row r="228" spans="2:22" ht="16" x14ac:dyDescent="0.2">
      <c r="B228" s="29">
        <v>65</v>
      </c>
      <c r="C228" s="29" t="s">
        <v>36</v>
      </c>
      <c r="D228" s="29" t="s">
        <v>188</v>
      </c>
      <c r="E228" s="29" t="s">
        <v>398</v>
      </c>
      <c r="F228" s="29" t="s">
        <v>563</v>
      </c>
      <c r="G228" s="29">
        <v>4</v>
      </c>
      <c r="H228" s="29"/>
      <c r="I228" s="29" t="s">
        <v>663</v>
      </c>
      <c r="J228" s="30">
        <v>400000</v>
      </c>
      <c r="K228" s="30"/>
      <c r="L228" s="30"/>
      <c r="M228" s="30">
        <v>1600000</v>
      </c>
      <c r="N228" s="29"/>
      <c r="O228" s="31" t="s">
        <v>725</v>
      </c>
      <c r="P228" s="31"/>
      <c r="Q228" s="31" t="s">
        <v>725</v>
      </c>
      <c r="R228" s="32" t="s">
        <v>709</v>
      </c>
      <c r="S228" s="32"/>
      <c r="T228" s="32"/>
      <c r="U228" s="29" t="s">
        <v>753</v>
      </c>
      <c r="V228" s="32" t="s">
        <v>709</v>
      </c>
    </row>
    <row r="229" spans="2:22" ht="192" x14ac:dyDescent="0.2">
      <c r="B229" s="29">
        <v>66</v>
      </c>
      <c r="C229" s="29" t="s">
        <v>36</v>
      </c>
      <c r="D229" s="29" t="s">
        <v>188</v>
      </c>
      <c r="E229" s="29" t="s">
        <v>398</v>
      </c>
      <c r="F229" s="29" t="s">
        <v>590</v>
      </c>
      <c r="G229" s="29">
        <v>2</v>
      </c>
      <c r="H229" s="29"/>
      <c r="I229" s="29" t="s">
        <v>673</v>
      </c>
      <c r="J229" s="30">
        <v>800000</v>
      </c>
      <c r="K229" s="30"/>
      <c r="L229" s="30"/>
      <c r="M229" s="30">
        <v>1600000</v>
      </c>
      <c r="N229" s="29"/>
      <c r="O229" s="31" t="s">
        <v>729</v>
      </c>
      <c r="P229" s="31"/>
      <c r="Q229" s="31" t="s">
        <v>729</v>
      </c>
      <c r="R229" s="32" t="s">
        <v>838</v>
      </c>
      <c r="S229" s="32" t="s">
        <v>839</v>
      </c>
      <c r="T229" s="32"/>
      <c r="U229" s="29" t="s">
        <v>753</v>
      </c>
      <c r="V229" s="32" t="s">
        <v>711</v>
      </c>
    </row>
    <row r="230" spans="2:22" ht="16" x14ac:dyDescent="0.2">
      <c r="B230" s="29">
        <v>67</v>
      </c>
      <c r="C230" s="29" t="s">
        <v>36</v>
      </c>
      <c r="D230" s="29" t="s">
        <v>188</v>
      </c>
      <c r="E230" s="29" t="s">
        <v>398</v>
      </c>
      <c r="F230" s="29" t="s">
        <v>641</v>
      </c>
      <c r="G230" s="29">
        <v>4</v>
      </c>
      <c r="H230" s="29"/>
      <c r="I230" s="29" t="s">
        <v>698</v>
      </c>
      <c r="J230" s="30">
        <v>400000</v>
      </c>
      <c r="K230" s="30"/>
      <c r="L230" s="30"/>
      <c r="M230" s="30">
        <v>1600000</v>
      </c>
      <c r="N230" s="29"/>
      <c r="O230" s="31" t="s">
        <v>723</v>
      </c>
      <c r="P230" s="31"/>
      <c r="Q230" s="31" t="s">
        <v>723</v>
      </c>
      <c r="R230" s="32" t="s">
        <v>785</v>
      </c>
      <c r="S230" s="32"/>
      <c r="T230" s="32"/>
      <c r="U230" s="29" t="s">
        <v>753</v>
      </c>
      <c r="V230" s="32" t="s">
        <v>720</v>
      </c>
    </row>
    <row r="231" spans="2:22" ht="16" x14ac:dyDescent="0.2">
      <c r="B231" s="29">
        <v>68</v>
      </c>
      <c r="C231" s="29" t="s">
        <v>36</v>
      </c>
      <c r="D231" s="29" t="s">
        <v>188</v>
      </c>
      <c r="E231" s="29" t="s">
        <v>398</v>
      </c>
      <c r="F231" s="29" t="s">
        <v>554</v>
      </c>
      <c r="G231" s="29">
        <v>1</v>
      </c>
      <c r="H231" s="29"/>
      <c r="I231" s="29" t="s">
        <v>665</v>
      </c>
      <c r="J231" s="30">
        <v>1500000</v>
      </c>
      <c r="K231" s="30"/>
      <c r="L231" s="30"/>
      <c r="M231" s="30">
        <v>1500000</v>
      </c>
      <c r="N231" s="29"/>
      <c r="O231" s="31" t="s">
        <v>724</v>
      </c>
      <c r="P231" s="31"/>
      <c r="Q231" s="31" t="s">
        <v>724</v>
      </c>
      <c r="R231" s="32" t="s">
        <v>756</v>
      </c>
      <c r="S231" s="32"/>
      <c r="T231" s="32"/>
      <c r="U231" s="29"/>
      <c r="V231" s="32" t="s">
        <v>710</v>
      </c>
    </row>
    <row r="232" spans="2:22" ht="32" x14ac:dyDescent="0.2">
      <c r="B232" s="29">
        <v>69</v>
      </c>
      <c r="C232" s="29" t="s">
        <v>36</v>
      </c>
      <c r="D232" s="29" t="s">
        <v>188</v>
      </c>
      <c r="E232" s="29" t="s">
        <v>398</v>
      </c>
      <c r="F232" s="29" t="s">
        <v>549</v>
      </c>
      <c r="G232" s="29">
        <v>3</v>
      </c>
      <c r="H232" s="29"/>
      <c r="I232" s="29" t="s">
        <v>687</v>
      </c>
      <c r="J232" s="30">
        <v>1500000</v>
      </c>
      <c r="K232" s="30"/>
      <c r="L232" s="30"/>
      <c r="M232" s="30">
        <v>1500000</v>
      </c>
      <c r="N232" s="29"/>
      <c r="O232" s="31" t="s">
        <v>731</v>
      </c>
      <c r="P232" s="31"/>
      <c r="Q232" s="31" t="s">
        <v>731</v>
      </c>
      <c r="R232" s="32" t="s">
        <v>802</v>
      </c>
      <c r="S232" s="32"/>
      <c r="T232" s="32"/>
      <c r="U232" s="29"/>
      <c r="V232" s="32" t="s">
        <v>715</v>
      </c>
    </row>
    <row r="233" spans="2:22" ht="16" x14ac:dyDescent="0.2">
      <c r="B233" s="29">
        <v>70</v>
      </c>
      <c r="C233" s="29" t="s">
        <v>36</v>
      </c>
      <c r="D233" s="29" t="s">
        <v>188</v>
      </c>
      <c r="E233" s="29" t="s">
        <v>398</v>
      </c>
      <c r="F233" s="29" t="s">
        <v>567</v>
      </c>
      <c r="G233" s="29">
        <v>10</v>
      </c>
      <c r="H233" s="29"/>
      <c r="I233" s="29" t="s">
        <v>669</v>
      </c>
      <c r="J233" s="30">
        <v>125000</v>
      </c>
      <c r="K233" s="30"/>
      <c r="L233" s="30"/>
      <c r="M233" s="30">
        <v>1250000</v>
      </c>
      <c r="N233" s="29"/>
      <c r="O233" s="31" t="s">
        <v>731</v>
      </c>
      <c r="P233" s="31"/>
      <c r="Q233" s="31" t="s">
        <v>731</v>
      </c>
      <c r="R233" s="32"/>
      <c r="S233" s="32"/>
      <c r="T233" s="32"/>
      <c r="U233" s="29"/>
      <c r="V233" s="32" t="s">
        <v>709</v>
      </c>
    </row>
    <row r="234" spans="2:22" ht="96" hidden="1" x14ac:dyDescent="0.2">
      <c r="B234" s="29">
        <v>71</v>
      </c>
      <c r="C234" s="29" t="s">
        <v>29</v>
      </c>
      <c r="D234" s="29" t="s">
        <v>188</v>
      </c>
      <c r="E234" s="29" t="s">
        <v>398</v>
      </c>
      <c r="F234" s="29" t="s">
        <v>392</v>
      </c>
      <c r="G234" s="29">
        <v>1</v>
      </c>
      <c r="H234" s="29" t="s">
        <v>203</v>
      </c>
      <c r="I234" s="29" t="s">
        <v>399</v>
      </c>
      <c r="J234" s="30">
        <v>1200000</v>
      </c>
      <c r="K234" s="30"/>
      <c r="L234" s="30"/>
      <c r="M234" s="30">
        <v>1200000</v>
      </c>
      <c r="N234" s="29" t="s">
        <v>400</v>
      </c>
      <c r="O234" s="31"/>
      <c r="P234" s="31"/>
      <c r="Q234" s="31" t="s">
        <v>724</v>
      </c>
      <c r="R234" s="32" t="s">
        <v>410</v>
      </c>
      <c r="S234" s="32" t="s">
        <v>422</v>
      </c>
      <c r="T234" s="32" t="s">
        <v>434</v>
      </c>
      <c r="U234" s="29"/>
      <c r="V234" s="32" t="s">
        <v>446</v>
      </c>
    </row>
    <row r="235" spans="2:22" ht="16" x14ac:dyDescent="0.2">
      <c r="B235" s="29">
        <v>72</v>
      </c>
      <c r="C235" s="29" t="s">
        <v>36</v>
      </c>
      <c r="D235" s="29" t="s">
        <v>188</v>
      </c>
      <c r="E235" s="29" t="s">
        <v>398</v>
      </c>
      <c r="F235" s="29" t="s">
        <v>565</v>
      </c>
      <c r="G235" s="29">
        <v>1</v>
      </c>
      <c r="H235" s="29"/>
      <c r="I235" s="29" t="s">
        <v>668</v>
      </c>
      <c r="J235" s="30">
        <v>1200000</v>
      </c>
      <c r="K235" s="30"/>
      <c r="L235" s="30"/>
      <c r="M235" s="30">
        <v>1200000</v>
      </c>
      <c r="N235" s="29"/>
      <c r="O235" s="31" t="s">
        <v>724</v>
      </c>
      <c r="P235" s="31"/>
      <c r="Q235" s="31" t="s">
        <v>724</v>
      </c>
      <c r="R235" s="32" t="s">
        <v>709</v>
      </c>
      <c r="S235" s="32"/>
      <c r="T235" s="32"/>
      <c r="U235" s="29"/>
      <c r="V235" s="32" t="s">
        <v>709</v>
      </c>
    </row>
    <row r="236" spans="2:22" ht="16" x14ac:dyDescent="0.2">
      <c r="B236" s="29">
        <v>73</v>
      </c>
      <c r="C236" s="29" t="s">
        <v>36</v>
      </c>
      <c r="D236" s="29" t="s">
        <v>188</v>
      </c>
      <c r="E236" s="29" t="s">
        <v>398</v>
      </c>
      <c r="F236" s="29" t="s">
        <v>608</v>
      </c>
      <c r="G236" s="29">
        <v>1</v>
      </c>
      <c r="H236" s="29"/>
      <c r="I236" s="29" t="s">
        <v>685</v>
      </c>
      <c r="J236" s="30">
        <v>1200000</v>
      </c>
      <c r="K236" s="30"/>
      <c r="L236" s="30"/>
      <c r="M236" s="30">
        <v>1200000</v>
      </c>
      <c r="N236" s="29"/>
      <c r="O236" s="31" t="s">
        <v>722</v>
      </c>
      <c r="P236" s="31"/>
      <c r="Q236" s="31" t="s">
        <v>722</v>
      </c>
      <c r="R236" s="32" t="s">
        <v>710</v>
      </c>
      <c r="S236" s="32" t="s">
        <v>840</v>
      </c>
      <c r="T236" s="32"/>
      <c r="U236" s="29" t="s">
        <v>753</v>
      </c>
      <c r="V236" s="32" t="s">
        <v>709</v>
      </c>
    </row>
    <row r="237" spans="2:22" ht="32" x14ac:dyDescent="0.2">
      <c r="B237" s="29">
        <v>74</v>
      </c>
      <c r="C237" s="29" t="s">
        <v>36</v>
      </c>
      <c r="D237" s="29" t="s">
        <v>188</v>
      </c>
      <c r="E237" s="29" t="s">
        <v>398</v>
      </c>
      <c r="F237" s="29" t="s">
        <v>608</v>
      </c>
      <c r="G237" s="29">
        <v>1</v>
      </c>
      <c r="H237" s="29"/>
      <c r="I237" s="29" t="s">
        <v>686</v>
      </c>
      <c r="J237" s="30">
        <v>1200000</v>
      </c>
      <c r="K237" s="30"/>
      <c r="L237" s="30"/>
      <c r="M237" s="30">
        <v>1200000</v>
      </c>
      <c r="N237" s="29"/>
      <c r="O237" s="31" t="s">
        <v>723</v>
      </c>
      <c r="P237" s="31"/>
      <c r="Q237" s="31" t="s">
        <v>723</v>
      </c>
      <c r="R237" s="32" t="s">
        <v>841</v>
      </c>
      <c r="S237" s="32" t="s">
        <v>842</v>
      </c>
      <c r="T237" s="32"/>
      <c r="U237" s="29" t="s">
        <v>753</v>
      </c>
      <c r="V237" s="32" t="s">
        <v>709</v>
      </c>
    </row>
    <row r="238" spans="2:22" ht="32" x14ac:dyDescent="0.2">
      <c r="B238" s="29">
        <v>75</v>
      </c>
      <c r="C238" s="29" t="s">
        <v>36</v>
      </c>
      <c r="D238" s="29" t="s">
        <v>188</v>
      </c>
      <c r="E238" s="29" t="s">
        <v>398</v>
      </c>
      <c r="F238" s="29" t="s">
        <v>608</v>
      </c>
      <c r="G238" s="29">
        <v>1</v>
      </c>
      <c r="H238" s="29"/>
      <c r="I238" s="29" t="s">
        <v>687</v>
      </c>
      <c r="J238" s="30">
        <v>1200000</v>
      </c>
      <c r="K238" s="30"/>
      <c r="L238" s="30"/>
      <c r="M238" s="30">
        <v>1200000</v>
      </c>
      <c r="N238" s="29"/>
      <c r="O238" s="31" t="s">
        <v>721</v>
      </c>
      <c r="P238" s="31"/>
      <c r="Q238" s="31" t="s">
        <v>721</v>
      </c>
      <c r="R238" s="32" t="s">
        <v>843</v>
      </c>
      <c r="S238" s="32"/>
      <c r="T238" s="32"/>
      <c r="U238" s="29" t="s">
        <v>753</v>
      </c>
      <c r="V238" s="32" t="s">
        <v>715</v>
      </c>
    </row>
    <row r="239" spans="2:22" ht="16" x14ac:dyDescent="0.2">
      <c r="B239" s="29">
        <v>76</v>
      </c>
      <c r="C239" s="29" t="s">
        <v>36</v>
      </c>
      <c r="D239" s="29" t="s">
        <v>188</v>
      </c>
      <c r="E239" s="29" t="s">
        <v>398</v>
      </c>
      <c r="F239" s="29" t="s">
        <v>628</v>
      </c>
      <c r="G239" s="29">
        <v>4</v>
      </c>
      <c r="H239" s="29"/>
      <c r="I239" s="29" t="s">
        <v>699</v>
      </c>
      <c r="J239" s="30">
        <v>300000</v>
      </c>
      <c r="K239" s="30"/>
      <c r="L239" s="30"/>
      <c r="M239" s="30">
        <v>1200000</v>
      </c>
      <c r="N239" s="29"/>
      <c r="O239" s="31" t="s">
        <v>723</v>
      </c>
      <c r="P239" s="31"/>
      <c r="Q239" s="31" t="s">
        <v>723</v>
      </c>
      <c r="R239" s="32"/>
      <c r="S239" s="32"/>
      <c r="T239" s="32"/>
      <c r="U239" s="29"/>
      <c r="V239" s="32" t="s">
        <v>717</v>
      </c>
    </row>
    <row r="240" spans="2:22" ht="16" x14ac:dyDescent="0.2">
      <c r="B240" s="29">
        <v>77</v>
      </c>
      <c r="C240" s="29" t="s">
        <v>36</v>
      </c>
      <c r="D240" s="29" t="s">
        <v>188</v>
      </c>
      <c r="E240" s="29" t="s">
        <v>398</v>
      </c>
      <c r="F240" s="29" t="s">
        <v>614</v>
      </c>
      <c r="G240" s="29">
        <v>6</v>
      </c>
      <c r="H240" s="29"/>
      <c r="I240" s="29" t="s">
        <v>704</v>
      </c>
      <c r="J240" s="30">
        <v>200000</v>
      </c>
      <c r="K240" s="30"/>
      <c r="L240" s="30"/>
      <c r="M240" s="30">
        <v>1200000</v>
      </c>
      <c r="N240" s="29"/>
      <c r="O240" s="31" t="s">
        <v>731</v>
      </c>
      <c r="P240" s="31"/>
      <c r="Q240" s="31" t="s">
        <v>731</v>
      </c>
      <c r="R240" s="32" t="s">
        <v>20</v>
      </c>
      <c r="S240" s="32"/>
      <c r="T240" s="32"/>
      <c r="U240" s="29"/>
      <c r="V240" s="32" t="s">
        <v>20</v>
      </c>
    </row>
    <row r="241" spans="2:22" ht="16" x14ac:dyDescent="0.2">
      <c r="B241" s="29">
        <v>78</v>
      </c>
      <c r="C241" s="29" t="s">
        <v>36</v>
      </c>
      <c r="D241" s="29" t="s">
        <v>188</v>
      </c>
      <c r="E241" s="29" t="s">
        <v>398</v>
      </c>
      <c r="F241" s="29" t="s">
        <v>651</v>
      </c>
      <c r="G241" s="29"/>
      <c r="H241" s="29"/>
      <c r="I241" s="29" t="s">
        <v>36</v>
      </c>
      <c r="J241" s="30">
        <v>800000</v>
      </c>
      <c r="K241" s="30"/>
      <c r="L241" s="30"/>
      <c r="M241" s="30">
        <v>800000</v>
      </c>
      <c r="N241" s="29"/>
      <c r="O241" s="31" t="s">
        <v>722</v>
      </c>
      <c r="P241" s="31"/>
      <c r="Q241" s="31" t="s">
        <v>722</v>
      </c>
      <c r="R241" s="32" t="s">
        <v>844</v>
      </c>
      <c r="S241" s="32"/>
      <c r="T241" s="32"/>
      <c r="U241" s="29"/>
      <c r="V241" s="32" t="s">
        <v>709</v>
      </c>
    </row>
    <row r="242" spans="2:22" ht="112" hidden="1" x14ac:dyDescent="0.2">
      <c r="B242" s="29">
        <v>79</v>
      </c>
      <c r="C242" s="29" t="s">
        <v>29</v>
      </c>
      <c r="D242" s="29" t="s">
        <v>188</v>
      </c>
      <c r="E242" s="29" t="s">
        <v>398</v>
      </c>
      <c r="F242" s="29" t="s">
        <v>387</v>
      </c>
      <c r="G242" s="29">
        <v>1</v>
      </c>
      <c r="H242" s="29" t="s">
        <v>203</v>
      </c>
      <c r="I242" s="29" t="s">
        <v>399</v>
      </c>
      <c r="J242" s="30">
        <v>1000000</v>
      </c>
      <c r="K242" s="30" t="s">
        <v>845</v>
      </c>
      <c r="L242" s="30" t="s">
        <v>845</v>
      </c>
      <c r="M242" s="30">
        <v>1000000</v>
      </c>
      <c r="N242" s="29" t="s">
        <v>400</v>
      </c>
      <c r="O242" s="31"/>
      <c r="P242" s="31"/>
      <c r="Q242" s="31" t="s">
        <v>724</v>
      </c>
      <c r="R242" s="32" t="s">
        <v>405</v>
      </c>
      <c r="S242" s="32" t="s">
        <v>417</v>
      </c>
      <c r="T242" s="32" t="s">
        <v>429</v>
      </c>
      <c r="U242" s="29"/>
      <c r="V242" s="32" t="s">
        <v>441</v>
      </c>
    </row>
    <row r="243" spans="2:22" ht="272" hidden="1" x14ac:dyDescent="0.2">
      <c r="B243" s="29">
        <v>80</v>
      </c>
      <c r="C243" s="29" t="s">
        <v>29</v>
      </c>
      <c r="D243" s="29" t="s">
        <v>188</v>
      </c>
      <c r="E243" s="29" t="s">
        <v>398</v>
      </c>
      <c r="F243" s="29" t="s">
        <v>396</v>
      </c>
      <c r="G243" s="29">
        <v>1</v>
      </c>
      <c r="H243" s="29" t="s">
        <v>203</v>
      </c>
      <c r="I243" s="29" t="s">
        <v>399</v>
      </c>
      <c r="J243" s="30">
        <v>1000000</v>
      </c>
      <c r="K243" s="30"/>
      <c r="L243" s="30"/>
      <c r="M243" s="30">
        <v>1000000</v>
      </c>
      <c r="N243" s="29" t="s">
        <v>402</v>
      </c>
      <c r="O243" s="31"/>
      <c r="P243" s="31"/>
      <c r="Q243" s="31" t="s">
        <v>724</v>
      </c>
      <c r="R243" s="32" t="s">
        <v>414</v>
      </c>
      <c r="S243" s="32" t="s">
        <v>426</v>
      </c>
      <c r="T243" s="32" t="s">
        <v>438</v>
      </c>
      <c r="U243" s="29"/>
      <c r="V243" s="32" t="s">
        <v>450</v>
      </c>
    </row>
    <row r="244" spans="2:22" ht="80" x14ac:dyDescent="0.2">
      <c r="B244" s="29">
        <v>81</v>
      </c>
      <c r="C244" s="29" t="s">
        <v>36</v>
      </c>
      <c r="D244" s="29" t="s">
        <v>188</v>
      </c>
      <c r="E244" s="29" t="s">
        <v>398</v>
      </c>
      <c r="F244" s="29" t="s">
        <v>571</v>
      </c>
      <c r="G244" s="29">
        <v>1</v>
      </c>
      <c r="H244" s="29"/>
      <c r="I244" s="29" t="s">
        <v>461</v>
      </c>
      <c r="J244" s="30">
        <v>1200000</v>
      </c>
      <c r="K244" s="30"/>
      <c r="L244" s="30"/>
      <c r="M244" s="30">
        <v>1200000</v>
      </c>
      <c r="N244" s="29"/>
      <c r="O244" s="31" t="s">
        <v>723</v>
      </c>
      <c r="P244" s="31"/>
      <c r="Q244" s="31" t="s">
        <v>723</v>
      </c>
      <c r="R244" s="32" t="s">
        <v>846</v>
      </c>
      <c r="S244" s="32" t="s">
        <v>847</v>
      </c>
      <c r="T244" s="32"/>
      <c r="U244" s="29" t="s">
        <v>753</v>
      </c>
      <c r="V244" s="32" t="s">
        <v>711</v>
      </c>
    </row>
    <row r="245" spans="2:22" ht="32" x14ac:dyDescent="0.2">
      <c r="B245" s="29">
        <v>82</v>
      </c>
      <c r="C245" s="29" t="s">
        <v>36</v>
      </c>
      <c r="D245" s="29" t="s">
        <v>188</v>
      </c>
      <c r="E245" s="29" t="s">
        <v>398</v>
      </c>
      <c r="F245" s="29" t="s">
        <v>549</v>
      </c>
      <c r="G245" s="29">
        <v>2</v>
      </c>
      <c r="H245" s="29"/>
      <c r="I245" s="29" t="s">
        <v>686</v>
      </c>
      <c r="J245" s="30">
        <v>500000</v>
      </c>
      <c r="K245" s="30"/>
      <c r="L245" s="30"/>
      <c r="M245" s="30">
        <v>1000000</v>
      </c>
      <c r="N245" s="29"/>
      <c r="O245" s="31" t="s">
        <v>724</v>
      </c>
      <c r="P245" s="31"/>
      <c r="Q245" s="31" t="s">
        <v>724</v>
      </c>
      <c r="R245" s="32" t="s">
        <v>806</v>
      </c>
      <c r="S245" s="32"/>
      <c r="T245" s="32"/>
      <c r="U245" s="29"/>
      <c r="V245" s="32" t="s">
        <v>715</v>
      </c>
    </row>
    <row r="246" spans="2:22" ht="16" x14ac:dyDescent="0.2">
      <c r="B246" s="29">
        <v>83</v>
      </c>
      <c r="C246" s="29" t="s">
        <v>36</v>
      </c>
      <c r="D246" s="29" t="s">
        <v>188</v>
      </c>
      <c r="E246" s="29" t="s">
        <v>398</v>
      </c>
      <c r="F246" s="29" t="s">
        <v>654</v>
      </c>
      <c r="G246" s="29">
        <v>1</v>
      </c>
      <c r="H246" s="29"/>
      <c r="I246" s="29" t="s">
        <v>705</v>
      </c>
      <c r="J246" s="30">
        <v>1200000</v>
      </c>
      <c r="K246" s="30"/>
      <c r="L246" s="30"/>
      <c r="M246" s="30">
        <v>1200000</v>
      </c>
      <c r="N246" s="29"/>
      <c r="O246" s="31" t="s">
        <v>721</v>
      </c>
      <c r="P246" s="31"/>
      <c r="Q246" s="31" t="s">
        <v>721</v>
      </c>
      <c r="R246" s="32" t="s">
        <v>709</v>
      </c>
      <c r="S246" s="32"/>
      <c r="T246" s="32"/>
      <c r="U246" s="29"/>
      <c r="V246" s="32" t="s">
        <v>709</v>
      </c>
    </row>
    <row r="247" spans="2:22" ht="16" x14ac:dyDescent="0.2">
      <c r="B247" s="29">
        <v>84</v>
      </c>
      <c r="C247" s="29" t="s">
        <v>36</v>
      </c>
      <c r="D247" s="29" t="s">
        <v>188</v>
      </c>
      <c r="E247" s="29" t="s">
        <v>398</v>
      </c>
      <c r="F247" s="29" t="s">
        <v>658</v>
      </c>
      <c r="G247" s="29">
        <v>5</v>
      </c>
      <c r="H247" s="29"/>
      <c r="I247" s="29" t="s">
        <v>705</v>
      </c>
      <c r="J247" s="30">
        <v>200000</v>
      </c>
      <c r="K247" s="30"/>
      <c r="L247" s="30"/>
      <c r="M247" s="30">
        <v>1000000</v>
      </c>
      <c r="N247" s="29"/>
      <c r="O247" s="31" t="s">
        <v>722</v>
      </c>
      <c r="P247" s="31"/>
      <c r="Q247" s="31" t="s">
        <v>722</v>
      </c>
      <c r="R247" s="32"/>
      <c r="S247" s="32"/>
      <c r="T247" s="32"/>
      <c r="U247" s="29"/>
      <c r="V247" s="32" t="s">
        <v>709</v>
      </c>
    </row>
    <row r="248" spans="2:22" ht="304" hidden="1" x14ac:dyDescent="0.2">
      <c r="B248" s="29">
        <v>85</v>
      </c>
      <c r="C248" s="29" t="s">
        <v>461</v>
      </c>
      <c r="D248" s="29" t="s">
        <v>188</v>
      </c>
      <c r="E248" s="29" t="s">
        <v>398</v>
      </c>
      <c r="F248" s="29" t="s">
        <v>453</v>
      </c>
      <c r="G248" s="29">
        <v>3</v>
      </c>
      <c r="H248" s="29"/>
      <c r="I248" s="29" t="s">
        <v>461</v>
      </c>
      <c r="J248" s="30">
        <v>300000</v>
      </c>
      <c r="K248" s="30"/>
      <c r="L248" s="30"/>
      <c r="M248" s="30">
        <v>900000</v>
      </c>
      <c r="N248" s="29"/>
      <c r="O248" s="31"/>
      <c r="P248" s="31"/>
      <c r="Q248" s="31" t="s">
        <v>721</v>
      </c>
      <c r="R248" s="32" t="s">
        <v>848</v>
      </c>
      <c r="S248" s="32" t="s">
        <v>849</v>
      </c>
      <c r="T248" s="32"/>
      <c r="U248" s="29" t="s">
        <v>850</v>
      </c>
      <c r="V248" s="32" t="s">
        <v>467</v>
      </c>
    </row>
    <row r="249" spans="2:22" ht="320" hidden="1" x14ac:dyDescent="0.2">
      <c r="B249" s="29">
        <v>86</v>
      </c>
      <c r="C249" s="29" t="s">
        <v>463</v>
      </c>
      <c r="D249" s="29" t="s">
        <v>188</v>
      </c>
      <c r="E249" s="29" t="s">
        <v>398</v>
      </c>
      <c r="F249" s="29" t="s">
        <v>459</v>
      </c>
      <c r="G249" s="29">
        <v>1</v>
      </c>
      <c r="H249" s="29"/>
      <c r="I249" s="29" t="s">
        <v>463</v>
      </c>
      <c r="J249" s="30">
        <v>900000</v>
      </c>
      <c r="K249" s="30"/>
      <c r="L249" s="30"/>
      <c r="M249" s="30">
        <v>900000</v>
      </c>
      <c r="N249" s="29"/>
      <c r="O249" s="31"/>
      <c r="P249" s="31"/>
      <c r="Q249" s="31" t="s">
        <v>721</v>
      </c>
      <c r="R249" s="32" t="s">
        <v>851</v>
      </c>
      <c r="S249" s="32" t="s">
        <v>852</v>
      </c>
      <c r="T249" s="32"/>
      <c r="U249" s="29" t="s">
        <v>853</v>
      </c>
      <c r="V249" s="32" t="s">
        <v>472</v>
      </c>
    </row>
    <row r="250" spans="2:22" ht="16" x14ac:dyDescent="0.2">
      <c r="B250" s="29">
        <v>87</v>
      </c>
      <c r="C250" s="29" t="s">
        <v>36</v>
      </c>
      <c r="D250" s="29" t="s">
        <v>188</v>
      </c>
      <c r="E250" s="29" t="s">
        <v>398</v>
      </c>
      <c r="F250" s="29" t="s">
        <v>854</v>
      </c>
      <c r="G250" s="29">
        <v>2</v>
      </c>
      <c r="H250" s="29"/>
      <c r="I250" s="29" t="s">
        <v>692</v>
      </c>
      <c r="J250" s="30">
        <v>900000</v>
      </c>
      <c r="K250" s="30"/>
      <c r="L250" s="30"/>
      <c r="M250" s="30">
        <v>900000</v>
      </c>
      <c r="N250" s="29"/>
      <c r="O250" s="31" t="s">
        <v>724</v>
      </c>
      <c r="P250" s="31"/>
      <c r="Q250" s="31" t="s">
        <v>724</v>
      </c>
      <c r="R250" s="32" t="s">
        <v>20</v>
      </c>
      <c r="S250" s="32"/>
      <c r="T250" s="32"/>
      <c r="U250" s="29"/>
      <c r="V250" s="32" t="s">
        <v>20</v>
      </c>
    </row>
    <row r="251" spans="2:22" ht="16" x14ac:dyDescent="0.2">
      <c r="B251" s="29">
        <v>88</v>
      </c>
      <c r="C251" s="29" t="s">
        <v>36</v>
      </c>
      <c r="D251" s="29" t="s">
        <v>188</v>
      </c>
      <c r="E251" s="29" t="s">
        <v>398</v>
      </c>
      <c r="F251" s="29" t="s">
        <v>544</v>
      </c>
      <c r="G251" s="29">
        <v>1</v>
      </c>
      <c r="H251" s="29"/>
      <c r="I251" s="29" t="s">
        <v>663</v>
      </c>
      <c r="J251" s="30">
        <v>500000</v>
      </c>
      <c r="K251" s="30"/>
      <c r="L251" s="30"/>
      <c r="M251" s="30">
        <v>500000</v>
      </c>
      <c r="N251" s="29"/>
      <c r="O251" s="31" t="s">
        <v>722</v>
      </c>
      <c r="P251" s="31"/>
      <c r="Q251" s="31" t="s">
        <v>722</v>
      </c>
      <c r="R251" s="32" t="s">
        <v>20</v>
      </c>
      <c r="S251" s="32"/>
      <c r="T251" s="32"/>
      <c r="U251" s="29"/>
      <c r="V251" s="32" t="s">
        <v>20</v>
      </c>
    </row>
    <row r="252" spans="2:22" ht="144" x14ac:dyDescent="0.2">
      <c r="B252" s="29">
        <v>89</v>
      </c>
      <c r="C252" s="29" t="s">
        <v>36</v>
      </c>
      <c r="D252" s="29" t="s">
        <v>188</v>
      </c>
      <c r="E252" s="29" t="s">
        <v>398</v>
      </c>
      <c r="F252" s="29" t="s">
        <v>572</v>
      </c>
      <c r="G252" s="29">
        <v>1</v>
      </c>
      <c r="H252" s="29"/>
      <c r="I252" s="29" t="s">
        <v>463</v>
      </c>
      <c r="J252" s="30">
        <v>800000</v>
      </c>
      <c r="K252" s="30"/>
      <c r="L252" s="30"/>
      <c r="M252" s="30">
        <v>800000</v>
      </c>
      <c r="N252" s="29"/>
      <c r="O252" s="31" t="s">
        <v>730</v>
      </c>
      <c r="P252" s="31"/>
      <c r="Q252" s="31" t="s">
        <v>730</v>
      </c>
      <c r="R252" s="32" t="s">
        <v>855</v>
      </c>
      <c r="S252" s="32" t="s">
        <v>856</v>
      </c>
      <c r="T252" s="32"/>
      <c r="U252" s="29" t="s">
        <v>857</v>
      </c>
      <c r="V252" s="32" t="s">
        <v>712</v>
      </c>
    </row>
    <row r="253" spans="2:22" ht="176" x14ac:dyDescent="0.2">
      <c r="B253" s="29">
        <v>90</v>
      </c>
      <c r="C253" s="29" t="s">
        <v>36</v>
      </c>
      <c r="D253" s="29" t="s">
        <v>188</v>
      </c>
      <c r="E253" s="29" t="s">
        <v>398</v>
      </c>
      <c r="F253" s="29" t="s">
        <v>576</v>
      </c>
      <c r="G253" s="29">
        <v>1</v>
      </c>
      <c r="H253" s="29"/>
      <c r="I253" s="29" t="s">
        <v>464</v>
      </c>
      <c r="J253" s="30">
        <v>800000</v>
      </c>
      <c r="K253" s="30"/>
      <c r="L253" s="30"/>
      <c r="M253" s="30">
        <v>800000</v>
      </c>
      <c r="N253" s="29"/>
      <c r="O253" s="31" t="s">
        <v>723</v>
      </c>
      <c r="P253" s="31"/>
      <c r="Q253" s="31" t="s">
        <v>723</v>
      </c>
      <c r="R253" s="32" t="s">
        <v>858</v>
      </c>
      <c r="S253" s="32" t="s">
        <v>859</v>
      </c>
      <c r="T253" s="32"/>
      <c r="U253" s="29" t="s">
        <v>857</v>
      </c>
      <c r="V253" s="32" t="s">
        <v>711</v>
      </c>
    </row>
    <row r="254" spans="2:22" ht="192" x14ac:dyDescent="0.2">
      <c r="B254" s="29">
        <v>91</v>
      </c>
      <c r="C254" s="29" t="s">
        <v>36</v>
      </c>
      <c r="D254" s="29" t="s">
        <v>188</v>
      </c>
      <c r="E254" s="29" t="s">
        <v>398</v>
      </c>
      <c r="F254" s="29" t="s">
        <v>582</v>
      </c>
      <c r="G254" s="29">
        <v>1</v>
      </c>
      <c r="H254" s="29"/>
      <c r="I254" s="29" t="s">
        <v>671</v>
      </c>
      <c r="J254" s="30">
        <v>800000</v>
      </c>
      <c r="K254" s="30"/>
      <c r="L254" s="30"/>
      <c r="M254" s="30">
        <v>800000</v>
      </c>
      <c r="N254" s="29"/>
      <c r="O254" s="31" t="s">
        <v>722</v>
      </c>
      <c r="P254" s="31"/>
      <c r="Q254" s="31" t="s">
        <v>722</v>
      </c>
      <c r="R254" s="32" t="s">
        <v>860</v>
      </c>
      <c r="S254" s="32" t="s">
        <v>861</v>
      </c>
      <c r="T254" s="32"/>
      <c r="U254" s="29" t="s">
        <v>857</v>
      </c>
      <c r="V254" s="32" t="s">
        <v>711</v>
      </c>
    </row>
    <row r="255" spans="2:22" ht="224" x14ac:dyDescent="0.2">
      <c r="B255" s="29">
        <v>92</v>
      </c>
      <c r="C255" s="29" t="s">
        <v>36</v>
      </c>
      <c r="D255" s="29" t="s">
        <v>188</v>
      </c>
      <c r="E255" s="29" t="s">
        <v>398</v>
      </c>
      <c r="F255" s="29" t="s">
        <v>597</v>
      </c>
      <c r="G255" s="29">
        <v>1</v>
      </c>
      <c r="H255" s="29"/>
      <c r="I255" s="29" t="s">
        <v>673</v>
      </c>
      <c r="J255" s="30">
        <v>800000</v>
      </c>
      <c r="K255" s="30"/>
      <c r="L255" s="30"/>
      <c r="M255" s="30">
        <v>800000</v>
      </c>
      <c r="N255" s="29"/>
      <c r="O255" s="31" t="s">
        <v>731</v>
      </c>
      <c r="P255" s="31"/>
      <c r="Q255" s="31" t="s">
        <v>731</v>
      </c>
      <c r="R255" s="32" t="s">
        <v>862</v>
      </c>
      <c r="S255" s="32" t="s">
        <v>863</v>
      </c>
      <c r="T255" s="32"/>
      <c r="U255" s="29" t="s">
        <v>857</v>
      </c>
      <c r="V255" s="32" t="s">
        <v>711</v>
      </c>
    </row>
    <row r="256" spans="2:22" ht="16" x14ac:dyDescent="0.2">
      <c r="B256" s="29">
        <v>93</v>
      </c>
      <c r="C256" s="29" t="s">
        <v>36</v>
      </c>
      <c r="D256" s="29" t="s">
        <v>188</v>
      </c>
      <c r="E256" s="29" t="s">
        <v>398</v>
      </c>
      <c r="F256" s="29" t="s">
        <v>536</v>
      </c>
      <c r="G256" s="29">
        <v>1</v>
      </c>
      <c r="H256" s="29"/>
      <c r="I256" s="29" t="s">
        <v>677</v>
      </c>
      <c r="J256" s="30">
        <v>400000</v>
      </c>
      <c r="K256" s="30"/>
      <c r="L256" s="30"/>
      <c r="M256" s="30">
        <v>400000</v>
      </c>
      <c r="N256" s="29"/>
      <c r="O256" s="31" t="s">
        <v>723</v>
      </c>
      <c r="P256" s="31"/>
      <c r="Q256" s="31" t="s">
        <v>723</v>
      </c>
      <c r="R256" s="32" t="s">
        <v>709</v>
      </c>
      <c r="S256" s="32"/>
      <c r="T256" s="32"/>
      <c r="U256" s="29"/>
      <c r="V256" s="32" t="s">
        <v>709</v>
      </c>
    </row>
    <row r="257" spans="2:22" ht="32" x14ac:dyDescent="0.2">
      <c r="B257" s="29">
        <v>94</v>
      </c>
      <c r="C257" s="29" t="s">
        <v>36</v>
      </c>
      <c r="D257" s="29" t="s">
        <v>188</v>
      </c>
      <c r="E257" s="29" t="s">
        <v>398</v>
      </c>
      <c r="F257" s="29" t="s">
        <v>645</v>
      </c>
      <c r="G257" s="29">
        <v>2</v>
      </c>
      <c r="H257" s="29"/>
      <c r="I257" s="29" t="s">
        <v>703</v>
      </c>
      <c r="J257" s="30">
        <v>400000</v>
      </c>
      <c r="K257" s="30"/>
      <c r="L257" s="30"/>
      <c r="M257" s="30">
        <v>800000</v>
      </c>
      <c r="N257" s="29"/>
      <c r="O257" s="31" t="s">
        <v>723</v>
      </c>
      <c r="P257" s="31"/>
      <c r="Q257" s="31" t="s">
        <v>723</v>
      </c>
      <c r="R257" s="32" t="s">
        <v>785</v>
      </c>
      <c r="S257" s="32"/>
      <c r="T257" s="32"/>
      <c r="U257" s="29"/>
      <c r="V257" s="32" t="s">
        <v>718</v>
      </c>
    </row>
    <row r="258" spans="2:22" ht="16" x14ac:dyDescent="0.2">
      <c r="B258" s="29">
        <v>95</v>
      </c>
      <c r="C258" s="29" t="s">
        <v>36</v>
      </c>
      <c r="D258" s="29" t="s">
        <v>188</v>
      </c>
      <c r="E258" s="29" t="s">
        <v>398</v>
      </c>
      <c r="F258" s="29" t="s">
        <v>652</v>
      </c>
      <c r="G258" s="29"/>
      <c r="H258" s="29"/>
      <c r="I258" s="29" t="s">
        <v>36</v>
      </c>
      <c r="J258" s="30">
        <v>800000</v>
      </c>
      <c r="K258" s="30"/>
      <c r="L258" s="30"/>
      <c r="M258" s="30">
        <v>800000</v>
      </c>
      <c r="N258" s="29"/>
      <c r="O258" s="31" t="s">
        <v>723</v>
      </c>
      <c r="P258" s="31"/>
      <c r="Q258" s="31" t="s">
        <v>723</v>
      </c>
      <c r="R258" s="32"/>
      <c r="S258" s="32"/>
      <c r="T258" s="32"/>
      <c r="U258" s="29"/>
      <c r="V258" s="32" t="s">
        <v>709</v>
      </c>
    </row>
    <row r="259" spans="2:22" ht="16" x14ac:dyDescent="0.2">
      <c r="B259" s="29">
        <v>96</v>
      </c>
      <c r="C259" s="29" t="s">
        <v>36</v>
      </c>
      <c r="D259" s="29" t="s">
        <v>188</v>
      </c>
      <c r="E259" s="29" t="s">
        <v>398</v>
      </c>
      <c r="F259" s="29" t="s">
        <v>545</v>
      </c>
      <c r="G259" s="29">
        <v>1</v>
      </c>
      <c r="H259" s="29"/>
      <c r="I259" s="29" t="s">
        <v>663</v>
      </c>
      <c r="J259" s="30">
        <v>700000</v>
      </c>
      <c r="K259" s="30"/>
      <c r="L259" s="30"/>
      <c r="M259" s="30">
        <v>700000</v>
      </c>
      <c r="N259" s="29"/>
      <c r="O259" s="31" t="s">
        <v>722</v>
      </c>
      <c r="P259" s="31"/>
      <c r="Q259" s="31" t="s">
        <v>722</v>
      </c>
      <c r="R259" s="32" t="s">
        <v>780</v>
      </c>
      <c r="S259" s="32"/>
      <c r="T259" s="32"/>
      <c r="U259" s="29"/>
      <c r="V259" s="32" t="s">
        <v>780</v>
      </c>
    </row>
    <row r="260" spans="2:22" ht="16" x14ac:dyDescent="0.2">
      <c r="B260" s="29">
        <v>97</v>
      </c>
      <c r="C260" s="29" t="s">
        <v>36</v>
      </c>
      <c r="D260" s="29" t="s">
        <v>188</v>
      </c>
      <c r="E260" s="29" t="s">
        <v>398</v>
      </c>
      <c r="F260" s="29" t="s">
        <v>558</v>
      </c>
      <c r="G260" s="29">
        <v>1</v>
      </c>
      <c r="H260" s="29"/>
      <c r="I260" s="29" t="s">
        <v>330</v>
      </c>
      <c r="J260" s="30">
        <v>700000</v>
      </c>
      <c r="K260" s="30"/>
      <c r="L260" s="30"/>
      <c r="M260" s="30">
        <v>700000</v>
      </c>
      <c r="N260" s="29"/>
      <c r="O260" s="31" t="s">
        <v>723</v>
      </c>
      <c r="P260" s="31"/>
      <c r="Q260" s="31" t="s">
        <v>723</v>
      </c>
      <c r="R260" s="32" t="s">
        <v>710</v>
      </c>
      <c r="S260" s="32"/>
      <c r="T260" s="32"/>
      <c r="U260" s="29"/>
      <c r="V260" s="32" t="s">
        <v>710</v>
      </c>
    </row>
    <row r="261" spans="2:22" ht="32" x14ac:dyDescent="0.2">
      <c r="B261" s="29">
        <v>98</v>
      </c>
      <c r="C261" s="29" t="s">
        <v>36</v>
      </c>
      <c r="D261" s="29" t="s">
        <v>188</v>
      </c>
      <c r="E261" s="29" t="s">
        <v>398</v>
      </c>
      <c r="F261" s="29" t="s">
        <v>588</v>
      </c>
      <c r="G261" s="29">
        <v>1</v>
      </c>
      <c r="H261" s="29"/>
      <c r="I261" s="29" t="s">
        <v>673</v>
      </c>
      <c r="J261" s="30">
        <v>600000</v>
      </c>
      <c r="K261" s="30"/>
      <c r="L261" s="30"/>
      <c r="M261" s="30">
        <v>600000</v>
      </c>
      <c r="N261" s="29"/>
      <c r="O261" s="31" t="s">
        <v>724</v>
      </c>
      <c r="P261" s="31"/>
      <c r="Q261" s="31" t="s">
        <v>724</v>
      </c>
      <c r="R261" s="32" t="s">
        <v>785</v>
      </c>
      <c r="S261" s="32"/>
      <c r="T261" s="32"/>
      <c r="U261" s="29"/>
      <c r="V261" s="32" t="s">
        <v>711</v>
      </c>
    </row>
    <row r="262" spans="2:22" ht="32" x14ac:dyDescent="0.2">
      <c r="B262" s="29">
        <v>99</v>
      </c>
      <c r="C262" s="29" t="s">
        <v>36</v>
      </c>
      <c r="D262" s="29" t="s">
        <v>188</v>
      </c>
      <c r="E262" s="29" t="s">
        <v>398</v>
      </c>
      <c r="F262" s="29" t="s">
        <v>594</v>
      </c>
      <c r="G262" s="29">
        <v>1</v>
      </c>
      <c r="H262" s="29"/>
      <c r="I262" s="29" t="s">
        <v>673</v>
      </c>
      <c r="J262" s="30">
        <v>700000</v>
      </c>
      <c r="K262" s="30"/>
      <c r="L262" s="30"/>
      <c r="M262" s="30">
        <v>700000</v>
      </c>
      <c r="N262" s="29"/>
      <c r="O262" s="31" t="s">
        <v>729</v>
      </c>
      <c r="P262" s="31"/>
      <c r="Q262" s="31" t="s">
        <v>729</v>
      </c>
      <c r="R262" s="32"/>
      <c r="S262" s="32"/>
      <c r="T262" s="32"/>
      <c r="U262" s="29"/>
      <c r="V262" s="32" t="s">
        <v>711</v>
      </c>
    </row>
    <row r="263" spans="2:22" ht="16" x14ac:dyDescent="0.2">
      <c r="B263" s="29">
        <v>100</v>
      </c>
      <c r="C263" s="29" t="s">
        <v>36</v>
      </c>
      <c r="D263" s="29" t="s">
        <v>188</v>
      </c>
      <c r="E263" s="29" t="s">
        <v>398</v>
      </c>
      <c r="F263" s="29" t="s">
        <v>568</v>
      </c>
      <c r="G263" s="29">
        <v>8</v>
      </c>
      <c r="H263" s="29"/>
      <c r="I263" s="29" t="s">
        <v>33</v>
      </c>
      <c r="J263" s="30">
        <v>680000</v>
      </c>
      <c r="K263" s="30"/>
      <c r="L263" s="30"/>
      <c r="M263" s="30">
        <v>680000</v>
      </c>
      <c r="N263" s="29"/>
      <c r="O263" s="31" t="s">
        <v>722</v>
      </c>
      <c r="P263" s="31"/>
      <c r="Q263" s="31" t="s">
        <v>722</v>
      </c>
      <c r="R263" s="32" t="s">
        <v>710</v>
      </c>
      <c r="S263" s="32"/>
      <c r="T263" s="32"/>
      <c r="U263" s="29"/>
      <c r="V263" s="32" t="s">
        <v>710</v>
      </c>
    </row>
    <row r="264" spans="2:22" ht="16" x14ac:dyDescent="0.2">
      <c r="B264" s="29">
        <v>101</v>
      </c>
      <c r="C264" s="29" t="s">
        <v>36</v>
      </c>
      <c r="D264" s="29" t="s">
        <v>188</v>
      </c>
      <c r="E264" s="29" t="s">
        <v>398</v>
      </c>
      <c r="F264" s="29" t="s">
        <v>661</v>
      </c>
      <c r="G264" s="29">
        <v>1</v>
      </c>
      <c r="H264" s="29"/>
      <c r="I264" s="29" t="s">
        <v>707</v>
      </c>
      <c r="J264" s="30">
        <v>650000</v>
      </c>
      <c r="K264" s="30"/>
      <c r="L264" s="30"/>
      <c r="M264" s="30">
        <v>650000</v>
      </c>
      <c r="N264" s="29"/>
      <c r="O264" s="31" t="s">
        <v>722</v>
      </c>
      <c r="P264" s="31"/>
      <c r="Q264" s="31" t="s">
        <v>722</v>
      </c>
      <c r="R264" s="32" t="s">
        <v>710</v>
      </c>
      <c r="S264" s="32"/>
      <c r="T264" s="32"/>
      <c r="U264" s="29"/>
      <c r="V264" s="32" t="s">
        <v>709</v>
      </c>
    </row>
    <row r="265" spans="2:22" ht="272" x14ac:dyDescent="0.2">
      <c r="B265" s="29">
        <v>102</v>
      </c>
      <c r="C265" s="29" t="s">
        <v>36</v>
      </c>
      <c r="D265" s="29" t="s">
        <v>188</v>
      </c>
      <c r="E265" s="29" t="s">
        <v>398</v>
      </c>
      <c r="F265" s="29" t="s">
        <v>595</v>
      </c>
      <c r="G265" s="29">
        <v>1</v>
      </c>
      <c r="H265" s="29"/>
      <c r="I265" s="29" t="s">
        <v>673</v>
      </c>
      <c r="J265" s="30">
        <v>400000</v>
      </c>
      <c r="K265" s="30"/>
      <c r="L265" s="30"/>
      <c r="M265" s="30">
        <v>400000</v>
      </c>
      <c r="N265" s="29"/>
      <c r="O265" s="31" t="s">
        <v>727</v>
      </c>
      <c r="P265" s="31"/>
      <c r="Q265" s="31" t="s">
        <v>727</v>
      </c>
      <c r="R265" s="32" t="s">
        <v>864</v>
      </c>
      <c r="S265" s="32" t="s">
        <v>865</v>
      </c>
      <c r="T265" s="32"/>
      <c r="U265" s="29" t="s">
        <v>866</v>
      </c>
      <c r="V265" s="32" t="s">
        <v>711</v>
      </c>
    </row>
    <row r="266" spans="2:22" ht="32" x14ac:dyDescent="0.2">
      <c r="B266" s="29">
        <v>103</v>
      </c>
      <c r="C266" s="29" t="s">
        <v>36</v>
      </c>
      <c r="D266" s="29" t="s">
        <v>188</v>
      </c>
      <c r="E266" s="29" t="s">
        <v>398</v>
      </c>
      <c r="F266" s="29" t="s">
        <v>643</v>
      </c>
      <c r="G266" s="29">
        <v>2</v>
      </c>
      <c r="H266" s="29"/>
      <c r="I266" s="29" t="s">
        <v>703</v>
      </c>
      <c r="J266" s="30">
        <v>300000</v>
      </c>
      <c r="K266" s="30"/>
      <c r="L266" s="30"/>
      <c r="M266" s="30">
        <v>600000</v>
      </c>
      <c r="N266" s="29"/>
      <c r="O266" s="31" t="s">
        <v>723</v>
      </c>
      <c r="P266" s="31"/>
      <c r="Q266" s="31" t="s">
        <v>723</v>
      </c>
      <c r="R266" s="32"/>
      <c r="S266" s="32"/>
      <c r="T266" s="32"/>
      <c r="U266" s="29"/>
      <c r="V266" s="32" t="s">
        <v>718</v>
      </c>
    </row>
    <row r="267" spans="2:22" ht="64" hidden="1" x14ac:dyDescent="0.2">
      <c r="B267" s="29">
        <v>104</v>
      </c>
      <c r="C267" s="29" t="s">
        <v>29</v>
      </c>
      <c r="D267" s="29" t="s">
        <v>188</v>
      </c>
      <c r="E267" s="29" t="s">
        <v>398</v>
      </c>
      <c r="F267" s="29" t="s">
        <v>393</v>
      </c>
      <c r="G267" s="29">
        <v>1</v>
      </c>
      <c r="H267" s="29" t="s">
        <v>203</v>
      </c>
      <c r="I267" s="29" t="s">
        <v>399</v>
      </c>
      <c r="J267" s="30">
        <v>556000</v>
      </c>
      <c r="K267" s="30"/>
      <c r="L267" s="30"/>
      <c r="M267" s="30">
        <v>556000</v>
      </c>
      <c r="N267" s="29" t="s">
        <v>400</v>
      </c>
      <c r="O267" s="31"/>
      <c r="P267" s="31"/>
      <c r="Q267" s="31" t="s">
        <v>724</v>
      </c>
      <c r="R267" s="32" t="s">
        <v>411</v>
      </c>
      <c r="S267" s="32" t="s">
        <v>423</v>
      </c>
      <c r="T267" s="32" t="s">
        <v>435</v>
      </c>
      <c r="U267" s="29"/>
      <c r="V267" s="32" t="s">
        <v>447</v>
      </c>
    </row>
    <row r="268" spans="2:22" ht="96" hidden="1" x14ac:dyDescent="0.2">
      <c r="B268" s="29">
        <v>105</v>
      </c>
      <c r="C268" s="29" t="s">
        <v>29</v>
      </c>
      <c r="D268" s="29" t="s">
        <v>188</v>
      </c>
      <c r="E268" s="29" t="s">
        <v>398</v>
      </c>
      <c r="F268" s="29" t="s">
        <v>386</v>
      </c>
      <c r="G268" s="29">
        <v>1</v>
      </c>
      <c r="H268" s="29" t="s">
        <v>203</v>
      </c>
      <c r="I268" s="29" t="s">
        <v>399</v>
      </c>
      <c r="J268" s="30">
        <v>500000</v>
      </c>
      <c r="K268" s="30"/>
      <c r="L268" s="30"/>
      <c r="M268" s="30">
        <v>500000</v>
      </c>
      <c r="N268" s="29" t="s">
        <v>400</v>
      </c>
      <c r="O268" s="31"/>
      <c r="P268" s="31"/>
      <c r="Q268" s="31" t="s">
        <v>724</v>
      </c>
      <c r="R268" s="32" t="s">
        <v>404</v>
      </c>
      <c r="S268" s="32" t="s">
        <v>416</v>
      </c>
      <c r="T268" s="32" t="s">
        <v>428</v>
      </c>
      <c r="U268" s="29"/>
      <c r="V268" s="32" t="s">
        <v>440</v>
      </c>
    </row>
    <row r="269" spans="2:22" ht="224" x14ac:dyDescent="0.2">
      <c r="B269" s="29">
        <v>106</v>
      </c>
      <c r="C269" s="29" t="s">
        <v>36</v>
      </c>
      <c r="D269" s="29" t="s">
        <v>188</v>
      </c>
      <c r="E269" s="29" t="s">
        <v>398</v>
      </c>
      <c r="F269" s="29" t="s">
        <v>589</v>
      </c>
      <c r="G269" s="29">
        <v>1</v>
      </c>
      <c r="H269" s="29"/>
      <c r="I269" s="29" t="s">
        <v>673</v>
      </c>
      <c r="J269" s="30">
        <v>500000</v>
      </c>
      <c r="K269" s="30"/>
      <c r="L269" s="30"/>
      <c r="M269" s="30">
        <v>500000</v>
      </c>
      <c r="N269" s="29"/>
      <c r="O269" s="31" t="s">
        <v>723</v>
      </c>
      <c r="P269" s="31"/>
      <c r="Q269" s="31" t="s">
        <v>723</v>
      </c>
      <c r="R269" s="32" t="s">
        <v>867</v>
      </c>
      <c r="S269" s="32" t="s">
        <v>868</v>
      </c>
      <c r="T269" s="32"/>
      <c r="U269" s="29" t="s">
        <v>869</v>
      </c>
      <c r="V269" s="32" t="s">
        <v>711</v>
      </c>
    </row>
    <row r="270" spans="2:22" ht="32" x14ac:dyDescent="0.2">
      <c r="B270" s="29">
        <v>107</v>
      </c>
      <c r="C270" s="29" t="s">
        <v>36</v>
      </c>
      <c r="D270" s="29" t="s">
        <v>188</v>
      </c>
      <c r="E270" s="29" t="s">
        <v>398</v>
      </c>
      <c r="F270" s="29" t="s">
        <v>549</v>
      </c>
      <c r="G270" s="29">
        <v>1</v>
      </c>
      <c r="H270" s="29"/>
      <c r="I270" s="29" t="s">
        <v>679</v>
      </c>
      <c r="J270" s="30">
        <v>500000</v>
      </c>
      <c r="K270" s="30"/>
      <c r="L270" s="30"/>
      <c r="M270" s="30">
        <v>500000</v>
      </c>
      <c r="N270" s="29"/>
      <c r="O270" s="31" t="s">
        <v>725</v>
      </c>
      <c r="P270" s="31"/>
      <c r="Q270" s="31" t="s">
        <v>725</v>
      </c>
      <c r="R270" s="32" t="s">
        <v>785</v>
      </c>
      <c r="S270" s="32"/>
      <c r="T270" s="32"/>
      <c r="U270" s="29"/>
      <c r="V270" s="32" t="s">
        <v>715</v>
      </c>
    </row>
    <row r="271" spans="2:22" ht="16" x14ac:dyDescent="0.2">
      <c r="B271" s="29">
        <v>108</v>
      </c>
      <c r="C271" s="29" t="s">
        <v>36</v>
      </c>
      <c r="D271" s="29" t="s">
        <v>188</v>
      </c>
      <c r="E271" s="29" t="s">
        <v>398</v>
      </c>
      <c r="F271" s="29" t="s">
        <v>549</v>
      </c>
      <c r="G271" s="29">
        <v>1</v>
      </c>
      <c r="H271" s="29"/>
      <c r="I271" s="29" t="s">
        <v>686</v>
      </c>
      <c r="J271" s="30">
        <v>500000</v>
      </c>
      <c r="K271" s="30"/>
      <c r="L271" s="30"/>
      <c r="M271" s="30">
        <v>500000</v>
      </c>
      <c r="N271" s="29"/>
      <c r="O271" s="31" t="s">
        <v>724</v>
      </c>
      <c r="P271" s="31"/>
      <c r="Q271" s="31" t="s">
        <v>724</v>
      </c>
      <c r="R271" s="32" t="s">
        <v>841</v>
      </c>
      <c r="S271" s="32"/>
      <c r="T271" s="32"/>
      <c r="U271" s="29"/>
      <c r="V271" s="32" t="s">
        <v>709</v>
      </c>
    </row>
    <row r="272" spans="2:22" ht="16" x14ac:dyDescent="0.2">
      <c r="B272" s="29">
        <v>109</v>
      </c>
      <c r="C272" s="29" t="s">
        <v>36</v>
      </c>
      <c r="D272" s="29" t="s">
        <v>188</v>
      </c>
      <c r="E272" s="29" t="s">
        <v>398</v>
      </c>
      <c r="F272" s="29" t="s">
        <v>649</v>
      </c>
      <c r="G272" s="29">
        <v>1</v>
      </c>
      <c r="H272" s="29"/>
      <c r="I272" s="29" t="s">
        <v>696</v>
      </c>
      <c r="J272" s="30">
        <v>500000</v>
      </c>
      <c r="K272" s="30"/>
      <c r="L272" s="30"/>
      <c r="M272" s="30">
        <v>500000</v>
      </c>
      <c r="N272" s="29"/>
      <c r="O272" s="31" t="s">
        <v>37</v>
      </c>
      <c r="P272" s="31"/>
      <c r="Q272" s="31" t="s">
        <v>37</v>
      </c>
      <c r="R272" s="32" t="s">
        <v>709</v>
      </c>
      <c r="S272" s="32"/>
      <c r="T272" s="32"/>
      <c r="U272" s="29"/>
      <c r="V272" s="32" t="s">
        <v>709</v>
      </c>
    </row>
    <row r="273" spans="2:22" ht="32" x14ac:dyDescent="0.2">
      <c r="B273" s="29">
        <v>110</v>
      </c>
      <c r="C273" s="29" t="s">
        <v>36</v>
      </c>
      <c r="D273" s="29" t="s">
        <v>188</v>
      </c>
      <c r="E273" s="29" t="s">
        <v>398</v>
      </c>
      <c r="F273" s="29" t="s">
        <v>657</v>
      </c>
      <c r="G273" s="29">
        <v>5</v>
      </c>
      <c r="H273" s="29"/>
      <c r="I273" s="29" t="s">
        <v>705</v>
      </c>
      <c r="J273" s="30">
        <v>500000</v>
      </c>
      <c r="K273" s="30"/>
      <c r="L273" s="30"/>
      <c r="M273" s="30">
        <v>500000</v>
      </c>
      <c r="N273" s="29"/>
      <c r="O273" s="31" t="s">
        <v>724</v>
      </c>
      <c r="P273" s="31"/>
      <c r="Q273" s="31" t="s">
        <v>724</v>
      </c>
      <c r="R273" s="32" t="s">
        <v>709</v>
      </c>
      <c r="S273" s="32" t="s">
        <v>778</v>
      </c>
      <c r="T273" s="32"/>
      <c r="U273" s="29"/>
      <c r="V273" s="32" t="s">
        <v>709</v>
      </c>
    </row>
    <row r="274" spans="2:22" ht="256" x14ac:dyDescent="0.2">
      <c r="B274" s="29">
        <v>111</v>
      </c>
      <c r="C274" s="29" t="s">
        <v>36</v>
      </c>
      <c r="D274" s="29" t="s">
        <v>188</v>
      </c>
      <c r="E274" s="29" t="s">
        <v>398</v>
      </c>
      <c r="F274" s="29" t="s">
        <v>591</v>
      </c>
      <c r="G274" s="29">
        <v>1</v>
      </c>
      <c r="H274" s="29"/>
      <c r="I274" s="29" t="s">
        <v>673</v>
      </c>
      <c r="J274" s="30">
        <v>450000</v>
      </c>
      <c r="K274" s="30"/>
      <c r="L274" s="30"/>
      <c r="M274" s="30">
        <v>450000</v>
      </c>
      <c r="N274" s="29"/>
      <c r="O274" s="31" t="s">
        <v>727</v>
      </c>
      <c r="P274" s="31"/>
      <c r="Q274" s="31" t="s">
        <v>727</v>
      </c>
      <c r="R274" s="32" t="s">
        <v>870</v>
      </c>
      <c r="S274" s="32" t="s">
        <v>871</v>
      </c>
      <c r="T274" s="32"/>
      <c r="U274" s="29" t="s">
        <v>872</v>
      </c>
      <c r="V274" s="32" t="s">
        <v>711</v>
      </c>
    </row>
    <row r="275" spans="2:22" ht="32" x14ac:dyDescent="0.2">
      <c r="B275" s="29">
        <v>112</v>
      </c>
      <c r="C275" s="29" t="s">
        <v>36</v>
      </c>
      <c r="D275" s="29" t="s">
        <v>188</v>
      </c>
      <c r="E275" s="29" t="s">
        <v>398</v>
      </c>
      <c r="F275" s="29" t="s">
        <v>607</v>
      </c>
      <c r="G275" s="29">
        <v>1</v>
      </c>
      <c r="H275" s="29"/>
      <c r="I275" s="29" t="s">
        <v>683</v>
      </c>
      <c r="J275" s="30">
        <v>450000</v>
      </c>
      <c r="K275" s="30"/>
      <c r="L275" s="30"/>
      <c r="M275" s="30">
        <v>450000</v>
      </c>
      <c r="N275" s="29"/>
      <c r="O275" s="31" t="s">
        <v>725</v>
      </c>
      <c r="P275" s="31"/>
      <c r="Q275" s="31" t="s">
        <v>725</v>
      </c>
      <c r="R275" s="32" t="s">
        <v>785</v>
      </c>
      <c r="S275" s="32"/>
      <c r="T275" s="32"/>
      <c r="U275" s="29"/>
      <c r="V275" s="32" t="s">
        <v>715</v>
      </c>
    </row>
    <row r="276" spans="2:22" ht="16" x14ac:dyDescent="0.2">
      <c r="B276" s="29">
        <v>113</v>
      </c>
      <c r="C276" s="29" t="s">
        <v>36</v>
      </c>
      <c r="D276" s="29" t="s">
        <v>188</v>
      </c>
      <c r="E276" s="29" t="s">
        <v>398</v>
      </c>
      <c r="F276" s="29" t="s">
        <v>605</v>
      </c>
      <c r="G276" s="29">
        <v>1</v>
      </c>
      <c r="H276" s="29"/>
      <c r="I276" s="29" t="s">
        <v>683</v>
      </c>
      <c r="J276" s="30">
        <v>150000</v>
      </c>
      <c r="K276" s="30"/>
      <c r="L276" s="30"/>
      <c r="M276" s="30">
        <v>150000</v>
      </c>
      <c r="N276" s="29"/>
      <c r="O276" s="31" t="s">
        <v>726</v>
      </c>
      <c r="P276" s="31"/>
      <c r="Q276" s="31" t="s">
        <v>726</v>
      </c>
      <c r="R276" s="32"/>
      <c r="S276" s="32"/>
      <c r="T276" s="32"/>
      <c r="U276" s="29"/>
      <c r="V276" s="32" t="s">
        <v>709</v>
      </c>
    </row>
    <row r="277" spans="2:22" ht="16" x14ac:dyDescent="0.2">
      <c r="B277" s="29">
        <v>114</v>
      </c>
      <c r="C277" s="29" t="s">
        <v>36</v>
      </c>
      <c r="D277" s="29" t="s">
        <v>188</v>
      </c>
      <c r="E277" s="29" t="s">
        <v>398</v>
      </c>
      <c r="F277" s="29" t="s">
        <v>537</v>
      </c>
      <c r="G277" s="29">
        <v>4</v>
      </c>
      <c r="H277" s="29"/>
      <c r="I277" s="29" t="s">
        <v>677</v>
      </c>
      <c r="J277" s="30">
        <v>100000</v>
      </c>
      <c r="K277" s="30"/>
      <c r="L277" s="30"/>
      <c r="M277" s="30">
        <v>400000</v>
      </c>
      <c r="N277" s="29"/>
      <c r="O277" s="31" t="s">
        <v>723</v>
      </c>
      <c r="P277" s="31"/>
      <c r="Q277" s="31" t="s">
        <v>723</v>
      </c>
      <c r="R277" s="32" t="s">
        <v>834</v>
      </c>
      <c r="S277" s="32"/>
      <c r="T277" s="32"/>
      <c r="U277" s="29"/>
      <c r="V277" s="32" t="s">
        <v>709</v>
      </c>
    </row>
    <row r="278" spans="2:22" ht="16" x14ac:dyDescent="0.2">
      <c r="B278" s="29">
        <v>115</v>
      </c>
      <c r="C278" s="29" t="s">
        <v>36</v>
      </c>
      <c r="D278" s="29" t="s">
        <v>188</v>
      </c>
      <c r="E278" s="29" t="s">
        <v>398</v>
      </c>
      <c r="F278" s="29" t="s">
        <v>536</v>
      </c>
      <c r="G278" s="29">
        <v>1</v>
      </c>
      <c r="H278" s="29"/>
      <c r="I278" s="29" t="s">
        <v>662</v>
      </c>
      <c r="J278" s="30">
        <v>400000</v>
      </c>
      <c r="K278" s="30"/>
      <c r="L278" s="30"/>
      <c r="M278" s="30">
        <v>400000</v>
      </c>
      <c r="N278" s="29"/>
      <c r="O278" s="31" t="s">
        <v>722</v>
      </c>
      <c r="P278" s="31"/>
      <c r="Q278" s="31" t="s">
        <v>722</v>
      </c>
      <c r="R278" s="32" t="s">
        <v>785</v>
      </c>
      <c r="S278" s="32"/>
      <c r="T278" s="32"/>
      <c r="U278" s="29"/>
      <c r="V278" s="32" t="s">
        <v>708</v>
      </c>
    </row>
    <row r="279" spans="2:22" ht="16" x14ac:dyDescent="0.2">
      <c r="B279" s="29">
        <v>116</v>
      </c>
      <c r="C279" s="29" t="s">
        <v>36</v>
      </c>
      <c r="D279" s="29" t="s">
        <v>188</v>
      </c>
      <c r="E279" s="29" t="s">
        <v>398</v>
      </c>
      <c r="F279" s="29" t="s">
        <v>538</v>
      </c>
      <c r="G279" s="29">
        <v>1</v>
      </c>
      <c r="H279" s="29"/>
      <c r="I279" s="29" t="s">
        <v>662</v>
      </c>
      <c r="J279" s="30">
        <v>400000</v>
      </c>
      <c r="K279" s="30"/>
      <c r="L279" s="30"/>
      <c r="M279" s="30">
        <v>400000</v>
      </c>
      <c r="N279" s="29"/>
      <c r="O279" s="31" t="s">
        <v>37</v>
      </c>
      <c r="P279" s="31"/>
      <c r="Q279" s="31" t="s">
        <v>37</v>
      </c>
      <c r="R279" s="32" t="s">
        <v>785</v>
      </c>
      <c r="S279" s="32"/>
      <c r="T279" s="32"/>
      <c r="U279" s="29"/>
      <c r="V279" s="32" t="s">
        <v>708</v>
      </c>
    </row>
    <row r="280" spans="2:22" ht="16" x14ac:dyDescent="0.2">
      <c r="B280" s="29">
        <v>117</v>
      </c>
      <c r="C280" s="29" t="s">
        <v>36</v>
      </c>
      <c r="D280" s="29" t="s">
        <v>188</v>
      </c>
      <c r="E280" s="29" t="s">
        <v>398</v>
      </c>
      <c r="F280" s="29" t="s">
        <v>543</v>
      </c>
      <c r="G280" s="29">
        <v>1</v>
      </c>
      <c r="H280" s="29"/>
      <c r="I280" s="29" t="s">
        <v>663</v>
      </c>
      <c r="J280" s="30">
        <v>400000</v>
      </c>
      <c r="K280" s="30"/>
      <c r="L280" s="30"/>
      <c r="M280" s="30">
        <v>400000</v>
      </c>
      <c r="N280" s="29"/>
      <c r="O280" s="31" t="s">
        <v>727</v>
      </c>
      <c r="P280" s="31"/>
      <c r="Q280" s="31" t="s">
        <v>727</v>
      </c>
      <c r="R280" s="32" t="s">
        <v>785</v>
      </c>
      <c r="S280" s="32"/>
      <c r="T280" s="32"/>
      <c r="U280" s="29"/>
      <c r="V280" s="32" t="s">
        <v>708</v>
      </c>
    </row>
    <row r="281" spans="2:22" ht="16" x14ac:dyDescent="0.2">
      <c r="B281" s="29">
        <v>118</v>
      </c>
      <c r="C281" s="29" t="s">
        <v>36</v>
      </c>
      <c r="D281" s="29" t="s">
        <v>188</v>
      </c>
      <c r="E281" s="29" t="s">
        <v>398</v>
      </c>
      <c r="F281" s="29" t="s">
        <v>561</v>
      </c>
      <c r="G281" s="29">
        <v>1</v>
      </c>
      <c r="H281" s="29"/>
      <c r="I281" s="29" t="s">
        <v>667</v>
      </c>
      <c r="J281" s="30">
        <v>400000</v>
      </c>
      <c r="K281" s="30"/>
      <c r="L281" s="30"/>
      <c r="M281" s="30">
        <v>400000</v>
      </c>
      <c r="N281" s="29"/>
      <c r="O281" s="31" t="s">
        <v>722</v>
      </c>
      <c r="P281" s="31"/>
      <c r="Q281" s="31" t="s">
        <v>722</v>
      </c>
      <c r="R281" s="32" t="s">
        <v>785</v>
      </c>
      <c r="S281" s="32"/>
      <c r="T281" s="32"/>
      <c r="U281" s="29"/>
      <c r="V281" s="32" t="s">
        <v>708</v>
      </c>
    </row>
    <row r="282" spans="2:22" ht="240" x14ac:dyDescent="0.2">
      <c r="B282" s="29">
        <v>119</v>
      </c>
      <c r="C282" s="29" t="s">
        <v>36</v>
      </c>
      <c r="D282" s="29" t="s">
        <v>188</v>
      </c>
      <c r="E282" s="29" t="s">
        <v>398</v>
      </c>
      <c r="F282" s="29" t="s">
        <v>575</v>
      </c>
      <c r="G282" s="29">
        <v>1</v>
      </c>
      <c r="H282" s="29"/>
      <c r="I282" s="29" t="s">
        <v>464</v>
      </c>
      <c r="J282" s="30">
        <v>400000</v>
      </c>
      <c r="K282" s="30"/>
      <c r="L282" s="30"/>
      <c r="M282" s="30">
        <v>400000</v>
      </c>
      <c r="N282" s="29"/>
      <c r="O282" s="31" t="s">
        <v>726</v>
      </c>
      <c r="P282" s="31"/>
      <c r="Q282" s="31" t="s">
        <v>726</v>
      </c>
      <c r="R282" s="32" t="s">
        <v>873</v>
      </c>
      <c r="S282" s="32" t="s">
        <v>874</v>
      </c>
      <c r="T282" s="32"/>
      <c r="U282" s="29" t="s">
        <v>875</v>
      </c>
      <c r="V282" s="32" t="s">
        <v>711</v>
      </c>
    </row>
    <row r="283" spans="2:22" ht="32" x14ac:dyDescent="0.2">
      <c r="B283" s="29">
        <v>120</v>
      </c>
      <c r="C283" s="29" t="s">
        <v>36</v>
      </c>
      <c r="D283" s="29" t="s">
        <v>188</v>
      </c>
      <c r="E283" s="29" t="s">
        <v>398</v>
      </c>
      <c r="F283" s="29" t="s">
        <v>581</v>
      </c>
      <c r="G283" s="29">
        <v>1</v>
      </c>
      <c r="H283" s="29"/>
      <c r="I283" s="29" t="s">
        <v>464</v>
      </c>
      <c r="J283" s="30">
        <v>400000</v>
      </c>
      <c r="K283" s="30"/>
      <c r="L283" s="30"/>
      <c r="M283" s="30">
        <v>400000</v>
      </c>
      <c r="N283" s="29"/>
      <c r="O283" s="31" t="s">
        <v>724</v>
      </c>
      <c r="P283" s="31"/>
      <c r="Q283" s="31" t="s">
        <v>724</v>
      </c>
      <c r="R283" s="32"/>
      <c r="S283" s="32"/>
      <c r="T283" s="32"/>
      <c r="U283" s="29"/>
      <c r="V283" s="32" t="s">
        <v>711</v>
      </c>
    </row>
    <row r="284" spans="2:22" ht="16" x14ac:dyDescent="0.2">
      <c r="B284" s="29">
        <v>121</v>
      </c>
      <c r="C284" s="29" t="s">
        <v>36</v>
      </c>
      <c r="D284" s="29" t="s">
        <v>188</v>
      </c>
      <c r="E284" s="29" t="s">
        <v>398</v>
      </c>
      <c r="F284" s="29" t="s">
        <v>536</v>
      </c>
      <c r="G284" s="29">
        <v>1</v>
      </c>
      <c r="H284" s="29"/>
      <c r="I284" s="29" t="s">
        <v>672</v>
      </c>
      <c r="J284" s="30">
        <v>400000</v>
      </c>
      <c r="K284" s="30"/>
      <c r="L284" s="30"/>
      <c r="M284" s="30">
        <v>400000</v>
      </c>
      <c r="N284" s="29"/>
      <c r="O284" s="31" t="s">
        <v>726</v>
      </c>
      <c r="P284" s="31"/>
      <c r="Q284" s="31" t="s">
        <v>726</v>
      </c>
      <c r="R284" s="32" t="s">
        <v>713</v>
      </c>
      <c r="S284" s="32"/>
      <c r="T284" s="32"/>
      <c r="U284" s="29"/>
      <c r="V284" s="32" t="s">
        <v>713</v>
      </c>
    </row>
    <row r="285" spans="2:22" ht="32" x14ac:dyDescent="0.2">
      <c r="B285" s="29">
        <v>122</v>
      </c>
      <c r="C285" s="29" t="s">
        <v>36</v>
      </c>
      <c r="D285" s="29" t="s">
        <v>188</v>
      </c>
      <c r="E285" s="29" t="s">
        <v>398</v>
      </c>
      <c r="F285" s="29" t="s">
        <v>536</v>
      </c>
      <c r="G285" s="29">
        <v>1</v>
      </c>
      <c r="H285" s="29"/>
      <c r="I285" s="29" t="s">
        <v>676</v>
      </c>
      <c r="J285" s="30">
        <v>400000</v>
      </c>
      <c r="K285" s="30"/>
      <c r="L285" s="30"/>
      <c r="M285" s="30">
        <v>400000</v>
      </c>
      <c r="N285" s="29"/>
      <c r="O285" s="31" t="s">
        <v>726</v>
      </c>
      <c r="P285" s="31"/>
      <c r="Q285" s="31" t="s">
        <v>726</v>
      </c>
      <c r="R285" s="32" t="s">
        <v>785</v>
      </c>
      <c r="S285" s="32"/>
      <c r="T285" s="32"/>
      <c r="U285" s="29"/>
      <c r="V285" s="32" t="s">
        <v>715</v>
      </c>
    </row>
    <row r="286" spans="2:22" ht="32" x14ac:dyDescent="0.2">
      <c r="B286" s="29">
        <v>123</v>
      </c>
      <c r="C286" s="29" t="s">
        <v>36</v>
      </c>
      <c r="D286" s="29" t="s">
        <v>188</v>
      </c>
      <c r="E286" s="29" t="s">
        <v>398</v>
      </c>
      <c r="F286" s="29" t="s">
        <v>536</v>
      </c>
      <c r="G286" s="29">
        <v>1</v>
      </c>
      <c r="H286" s="29"/>
      <c r="I286" s="29" t="s">
        <v>680</v>
      </c>
      <c r="J286" s="30">
        <v>400000</v>
      </c>
      <c r="K286" s="30"/>
      <c r="L286" s="30"/>
      <c r="M286" s="30">
        <v>400000</v>
      </c>
      <c r="N286" s="29"/>
      <c r="O286" s="31" t="s">
        <v>731</v>
      </c>
      <c r="P286" s="31"/>
      <c r="Q286" s="31" t="s">
        <v>731</v>
      </c>
      <c r="R286" s="32" t="s">
        <v>785</v>
      </c>
      <c r="S286" s="32"/>
      <c r="T286" s="32"/>
      <c r="U286" s="29"/>
      <c r="V286" s="32" t="s">
        <v>715</v>
      </c>
    </row>
    <row r="287" spans="2:22" ht="16" x14ac:dyDescent="0.2">
      <c r="B287" s="29">
        <v>124</v>
      </c>
      <c r="C287" s="29" t="s">
        <v>36</v>
      </c>
      <c r="D287" s="29" t="s">
        <v>188</v>
      </c>
      <c r="E287" s="29" t="s">
        <v>398</v>
      </c>
      <c r="F287" s="29" t="s">
        <v>614</v>
      </c>
      <c r="G287" s="29">
        <v>2</v>
      </c>
      <c r="H287" s="29"/>
      <c r="I287" s="29" t="s">
        <v>687</v>
      </c>
      <c r="J287" s="30">
        <v>200000</v>
      </c>
      <c r="K287" s="30"/>
      <c r="L287" s="30"/>
      <c r="M287" s="30">
        <v>400000</v>
      </c>
      <c r="N287" s="29"/>
      <c r="O287" s="31" t="s">
        <v>721</v>
      </c>
      <c r="P287" s="31"/>
      <c r="Q287" s="31" t="s">
        <v>721</v>
      </c>
      <c r="R287" s="32" t="s">
        <v>780</v>
      </c>
      <c r="S287" s="32"/>
      <c r="T287" s="32"/>
      <c r="U287" s="29"/>
      <c r="V287" s="32" t="s">
        <v>709</v>
      </c>
    </row>
    <row r="288" spans="2:22" ht="32" x14ac:dyDescent="0.2">
      <c r="B288" s="29">
        <v>125</v>
      </c>
      <c r="C288" s="29" t="s">
        <v>36</v>
      </c>
      <c r="D288" s="29" t="s">
        <v>188</v>
      </c>
      <c r="E288" s="29" t="s">
        <v>398</v>
      </c>
      <c r="F288" s="29" t="s">
        <v>536</v>
      </c>
      <c r="G288" s="29">
        <v>1</v>
      </c>
      <c r="H288" s="29"/>
      <c r="I288" s="29" t="s">
        <v>695</v>
      </c>
      <c r="J288" s="30">
        <v>400000</v>
      </c>
      <c r="K288" s="30"/>
      <c r="L288" s="30"/>
      <c r="M288" s="30">
        <v>400000</v>
      </c>
      <c r="N288" s="29"/>
      <c r="O288" s="31" t="s">
        <v>721</v>
      </c>
      <c r="P288" s="31"/>
      <c r="Q288" s="31" t="s">
        <v>721</v>
      </c>
      <c r="R288" s="32" t="s">
        <v>785</v>
      </c>
      <c r="S288" s="32"/>
      <c r="T288" s="32"/>
      <c r="U288" s="29"/>
      <c r="V288" s="32" t="s">
        <v>711</v>
      </c>
    </row>
    <row r="289" spans="2:22" ht="32" x14ac:dyDescent="0.2">
      <c r="B289" s="29">
        <v>126</v>
      </c>
      <c r="C289" s="29" t="s">
        <v>36</v>
      </c>
      <c r="D289" s="29" t="s">
        <v>188</v>
      </c>
      <c r="E289" s="29" t="s">
        <v>398</v>
      </c>
      <c r="F289" s="29" t="s">
        <v>536</v>
      </c>
      <c r="G289" s="29">
        <v>1</v>
      </c>
      <c r="H289" s="29"/>
      <c r="I289" s="29" t="s">
        <v>697</v>
      </c>
      <c r="J289" s="30">
        <v>400000</v>
      </c>
      <c r="K289" s="30"/>
      <c r="L289" s="30"/>
      <c r="M289" s="30">
        <v>400000</v>
      </c>
      <c r="N289" s="29"/>
      <c r="O289" s="31" t="s">
        <v>721</v>
      </c>
      <c r="P289" s="31"/>
      <c r="Q289" s="31" t="s">
        <v>721</v>
      </c>
      <c r="R289" s="32" t="s">
        <v>785</v>
      </c>
      <c r="S289" s="32"/>
      <c r="T289" s="32"/>
      <c r="U289" s="29"/>
      <c r="V289" s="32" t="s">
        <v>711</v>
      </c>
    </row>
    <row r="290" spans="2:22" ht="32" x14ac:dyDescent="0.2">
      <c r="B290" s="29">
        <v>127</v>
      </c>
      <c r="C290" s="29" t="s">
        <v>36</v>
      </c>
      <c r="D290" s="29" t="s">
        <v>188</v>
      </c>
      <c r="E290" s="29" t="s">
        <v>398</v>
      </c>
      <c r="F290" s="29" t="s">
        <v>636</v>
      </c>
      <c r="G290" s="29">
        <v>1</v>
      </c>
      <c r="H290" s="29"/>
      <c r="I290" s="29" t="s">
        <v>33</v>
      </c>
      <c r="J290" s="30">
        <v>400000</v>
      </c>
      <c r="K290" s="30"/>
      <c r="L290" s="30"/>
      <c r="M290" s="30">
        <v>400000</v>
      </c>
      <c r="N290" s="29"/>
      <c r="O290" s="31" t="s">
        <v>722</v>
      </c>
      <c r="P290" s="31"/>
      <c r="Q290" s="31" t="s">
        <v>722</v>
      </c>
      <c r="R290" s="32" t="s">
        <v>785</v>
      </c>
      <c r="S290" s="32"/>
      <c r="T290" s="32"/>
      <c r="U290" s="29"/>
      <c r="V290" s="32" t="s">
        <v>718</v>
      </c>
    </row>
    <row r="291" spans="2:22" ht="16" x14ac:dyDescent="0.2">
      <c r="B291" s="29">
        <v>128</v>
      </c>
      <c r="C291" s="29" t="s">
        <v>36</v>
      </c>
      <c r="D291" s="29" t="s">
        <v>188</v>
      </c>
      <c r="E291" s="29" t="s">
        <v>398</v>
      </c>
      <c r="F291" s="29" t="s">
        <v>660</v>
      </c>
      <c r="G291" s="29">
        <v>1</v>
      </c>
      <c r="H291" s="29"/>
      <c r="I291" s="29" t="s">
        <v>706</v>
      </c>
      <c r="J291" s="30">
        <v>400000</v>
      </c>
      <c r="K291" s="30"/>
      <c r="L291" s="30"/>
      <c r="M291" s="30">
        <v>400000</v>
      </c>
      <c r="N291" s="29"/>
      <c r="O291" s="31" t="s">
        <v>722</v>
      </c>
      <c r="P291" s="31"/>
      <c r="Q291" s="31" t="s">
        <v>722</v>
      </c>
      <c r="R291" s="32" t="s">
        <v>709</v>
      </c>
      <c r="S291" s="32"/>
      <c r="T291" s="32"/>
      <c r="U291" s="29"/>
      <c r="V291" s="32" t="s">
        <v>709</v>
      </c>
    </row>
    <row r="292" spans="2:22" x14ac:dyDescent="0.2">
      <c r="B292" s="29">
        <v>129</v>
      </c>
      <c r="C292" s="29" t="s">
        <v>36</v>
      </c>
      <c r="D292" s="29" t="s">
        <v>188</v>
      </c>
      <c r="E292" s="29" t="s">
        <v>398</v>
      </c>
      <c r="F292" s="29" t="s">
        <v>601</v>
      </c>
      <c r="G292" s="29">
        <v>10</v>
      </c>
      <c r="H292" s="29"/>
      <c r="I292" s="29" t="s">
        <v>677</v>
      </c>
      <c r="J292" s="30">
        <v>400000</v>
      </c>
      <c r="K292" s="30"/>
      <c r="L292" s="30"/>
      <c r="M292" s="30">
        <v>400000</v>
      </c>
      <c r="N292" s="29"/>
      <c r="O292" s="31"/>
      <c r="P292" s="31"/>
      <c r="Q292" s="31" t="s">
        <v>731</v>
      </c>
      <c r="R292" s="32"/>
      <c r="S292" s="32"/>
      <c r="T292" s="32"/>
      <c r="U292" s="29"/>
      <c r="V292" s="32"/>
    </row>
    <row r="293" spans="2:22" ht="80" hidden="1" x14ac:dyDescent="0.2">
      <c r="B293" s="29">
        <v>130</v>
      </c>
      <c r="C293" s="29" t="s">
        <v>385</v>
      </c>
      <c r="D293" s="29" t="s">
        <v>188</v>
      </c>
      <c r="E293" s="29" t="s">
        <v>398</v>
      </c>
      <c r="F293" s="29" t="s">
        <v>391</v>
      </c>
      <c r="G293" s="29">
        <v>1</v>
      </c>
      <c r="H293" s="29" t="s">
        <v>203</v>
      </c>
      <c r="I293" s="29" t="s">
        <v>399</v>
      </c>
      <c r="J293" s="30">
        <v>390000</v>
      </c>
      <c r="K293" s="30"/>
      <c r="L293" s="30"/>
      <c r="M293" s="30">
        <v>390000</v>
      </c>
      <c r="N293" s="29" t="s">
        <v>401</v>
      </c>
      <c r="O293" s="31"/>
      <c r="P293" s="31"/>
      <c r="Q293" s="31" t="s">
        <v>724</v>
      </c>
      <c r="R293" s="32" t="s">
        <v>409</v>
      </c>
      <c r="S293" s="32" t="s">
        <v>421</v>
      </c>
      <c r="T293" s="32" t="s">
        <v>433</v>
      </c>
      <c r="U293" s="29"/>
      <c r="V293" s="32" t="s">
        <v>445</v>
      </c>
    </row>
    <row r="294" spans="2:22" ht="16" x14ac:dyDescent="0.2">
      <c r="B294" s="29">
        <v>131</v>
      </c>
      <c r="C294" s="29" t="s">
        <v>36</v>
      </c>
      <c r="D294" s="29" t="s">
        <v>188</v>
      </c>
      <c r="E294" s="29" t="s">
        <v>398</v>
      </c>
      <c r="F294" s="29" t="s">
        <v>562</v>
      </c>
      <c r="G294" s="29">
        <v>1</v>
      </c>
      <c r="H294" s="29"/>
      <c r="I294" s="29" t="s">
        <v>681</v>
      </c>
      <c r="J294" s="30">
        <v>350000</v>
      </c>
      <c r="K294" s="30"/>
      <c r="L294" s="30"/>
      <c r="M294" s="30">
        <v>350000</v>
      </c>
      <c r="N294" s="29"/>
      <c r="O294" s="31" t="s">
        <v>726</v>
      </c>
      <c r="P294" s="31"/>
      <c r="Q294" s="31" t="s">
        <v>726</v>
      </c>
      <c r="R294" s="32" t="s">
        <v>709</v>
      </c>
      <c r="S294" s="32"/>
      <c r="T294" s="32"/>
      <c r="U294" s="29"/>
      <c r="V294" s="32" t="s">
        <v>709</v>
      </c>
    </row>
    <row r="295" spans="2:22" ht="16" x14ac:dyDescent="0.2">
      <c r="B295" s="29">
        <v>132</v>
      </c>
      <c r="C295" s="29" t="s">
        <v>36</v>
      </c>
      <c r="D295" s="29" t="s">
        <v>188</v>
      </c>
      <c r="E295" s="29" t="s">
        <v>398</v>
      </c>
      <c r="F295" s="29" t="s">
        <v>560</v>
      </c>
      <c r="G295" s="29">
        <v>1</v>
      </c>
      <c r="H295" s="29"/>
      <c r="I295" s="29" t="s">
        <v>667</v>
      </c>
      <c r="J295" s="30">
        <v>300000</v>
      </c>
      <c r="K295" s="30"/>
      <c r="L295" s="30"/>
      <c r="M295" s="30">
        <v>300000</v>
      </c>
      <c r="N295" s="29"/>
      <c r="O295" s="31" t="s">
        <v>722</v>
      </c>
      <c r="P295" s="31"/>
      <c r="Q295" s="31" t="s">
        <v>722</v>
      </c>
      <c r="R295" s="32" t="s">
        <v>785</v>
      </c>
      <c r="S295" s="32"/>
      <c r="T295" s="32"/>
      <c r="U295" s="29"/>
      <c r="V295" s="32" t="s">
        <v>708</v>
      </c>
    </row>
    <row r="296" spans="2:22" ht="32" x14ac:dyDescent="0.2">
      <c r="B296" s="29">
        <v>133</v>
      </c>
      <c r="C296" s="29" t="s">
        <v>36</v>
      </c>
      <c r="D296" s="29" t="s">
        <v>188</v>
      </c>
      <c r="E296" s="29" t="s">
        <v>398</v>
      </c>
      <c r="F296" s="29" t="s">
        <v>573</v>
      </c>
      <c r="G296" s="29">
        <v>1</v>
      </c>
      <c r="H296" s="29"/>
      <c r="I296" s="29" t="s">
        <v>463</v>
      </c>
      <c r="J296" s="30">
        <v>300000</v>
      </c>
      <c r="K296" s="30"/>
      <c r="L296" s="30"/>
      <c r="M296" s="30">
        <v>300000</v>
      </c>
      <c r="N296" s="29"/>
      <c r="O296" s="31" t="s">
        <v>721</v>
      </c>
      <c r="P296" s="31"/>
      <c r="Q296" s="31" t="s">
        <v>721</v>
      </c>
      <c r="R296" s="32" t="s">
        <v>785</v>
      </c>
      <c r="S296" s="32"/>
      <c r="T296" s="32"/>
      <c r="U296" s="29"/>
      <c r="V296" s="32" t="s">
        <v>711</v>
      </c>
    </row>
    <row r="297" spans="2:22" ht="32" x14ac:dyDescent="0.2">
      <c r="B297" s="29">
        <v>134</v>
      </c>
      <c r="C297" s="29" t="s">
        <v>36</v>
      </c>
      <c r="D297" s="29" t="s">
        <v>188</v>
      </c>
      <c r="E297" s="29" t="s">
        <v>398</v>
      </c>
      <c r="F297" s="29" t="s">
        <v>579</v>
      </c>
      <c r="G297" s="29">
        <v>1</v>
      </c>
      <c r="H297" s="29"/>
      <c r="I297" s="29" t="s">
        <v>464</v>
      </c>
      <c r="J297" s="30">
        <v>300000</v>
      </c>
      <c r="K297" s="30"/>
      <c r="L297" s="30"/>
      <c r="M297" s="30">
        <v>300000</v>
      </c>
      <c r="N297" s="29"/>
      <c r="O297" s="31" t="s">
        <v>721</v>
      </c>
      <c r="P297" s="31"/>
      <c r="Q297" s="31" t="s">
        <v>721</v>
      </c>
      <c r="R297" s="32" t="s">
        <v>785</v>
      </c>
      <c r="S297" s="32"/>
      <c r="T297" s="32"/>
      <c r="U297" s="29"/>
      <c r="V297" s="32" t="s">
        <v>711</v>
      </c>
    </row>
    <row r="298" spans="2:22" ht="32" x14ac:dyDescent="0.2">
      <c r="B298" s="29">
        <v>135</v>
      </c>
      <c r="C298" s="29" t="s">
        <v>36</v>
      </c>
      <c r="D298" s="29" t="s">
        <v>188</v>
      </c>
      <c r="E298" s="29" t="s">
        <v>398</v>
      </c>
      <c r="F298" s="29" t="s">
        <v>580</v>
      </c>
      <c r="G298" s="29">
        <v>1</v>
      </c>
      <c r="H298" s="29"/>
      <c r="I298" s="29" t="s">
        <v>464</v>
      </c>
      <c r="J298" s="30">
        <v>300000</v>
      </c>
      <c r="K298" s="30"/>
      <c r="L298" s="30"/>
      <c r="M298" s="30">
        <v>300000</v>
      </c>
      <c r="N298" s="29"/>
      <c r="O298" s="31" t="s">
        <v>725</v>
      </c>
      <c r="P298" s="31"/>
      <c r="Q298" s="31" t="s">
        <v>725</v>
      </c>
      <c r="R298" s="32" t="s">
        <v>785</v>
      </c>
      <c r="S298" s="32"/>
      <c r="T298" s="32"/>
      <c r="U298" s="29"/>
      <c r="V298" s="32" t="s">
        <v>711</v>
      </c>
    </row>
    <row r="299" spans="2:22" ht="32" x14ac:dyDescent="0.2">
      <c r="B299" s="29">
        <v>136</v>
      </c>
      <c r="C299" s="29" t="s">
        <v>36</v>
      </c>
      <c r="D299" s="29" t="s">
        <v>188</v>
      </c>
      <c r="E299" s="29" t="s">
        <v>398</v>
      </c>
      <c r="F299" s="29" t="s">
        <v>593</v>
      </c>
      <c r="G299" s="29">
        <v>2</v>
      </c>
      <c r="H299" s="29"/>
      <c r="I299" s="29" t="s">
        <v>673</v>
      </c>
      <c r="J299" s="30">
        <v>300000</v>
      </c>
      <c r="K299" s="30"/>
      <c r="L299" s="30"/>
      <c r="M299" s="30">
        <v>300000</v>
      </c>
      <c r="N299" s="29"/>
      <c r="O299" s="31" t="s">
        <v>728</v>
      </c>
      <c r="P299" s="31"/>
      <c r="Q299" s="31" t="s">
        <v>728</v>
      </c>
      <c r="R299" s="32" t="s">
        <v>785</v>
      </c>
      <c r="S299" s="32"/>
      <c r="T299" s="32"/>
      <c r="U299" s="29"/>
      <c r="V299" s="32" t="s">
        <v>711</v>
      </c>
    </row>
    <row r="300" spans="2:22" ht="16" x14ac:dyDescent="0.2">
      <c r="B300" s="29">
        <v>137</v>
      </c>
      <c r="C300" s="29" t="s">
        <v>36</v>
      </c>
      <c r="D300" s="29" t="s">
        <v>188</v>
      </c>
      <c r="E300" s="29" t="s">
        <v>398</v>
      </c>
      <c r="F300" s="29" t="s">
        <v>600</v>
      </c>
      <c r="G300" s="29">
        <v>1</v>
      </c>
      <c r="H300" s="29"/>
      <c r="I300" s="29" t="s">
        <v>31</v>
      </c>
      <c r="J300" s="30">
        <v>300000</v>
      </c>
      <c r="K300" s="30"/>
      <c r="L300" s="30"/>
      <c r="M300" s="30">
        <v>300000</v>
      </c>
      <c r="N300" s="29"/>
      <c r="O300" s="31" t="s">
        <v>728</v>
      </c>
      <c r="P300" s="31"/>
      <c r="Q300" s="31" t="s">
        <v>728</v>
      </c>
      <c r="R300" s="32" t="s">
        <v>785</v>
      </c>
      <c r="S300" s="32"/>
      <c r="T300" s="32"/>
      <c r="U300" s="29"/>
      <c r="V300" s="32" t="s">
        <v>714</v>
      </c>
    </row>
    <row r="301" spans="2:22" ht="32" x14ac:dyDescent="0.2">
      <c r="B301" s="29">
        <v>138</v>
      </c>
      <c r="C301" s="29" t="s">
        <v>36</v>
      </c>
      <c r="D301" s="29" t="s">
        <v>188</v>
      </c>
      <c r="E301" s="29" t="s">
        <v>398</v>
      </c>
      <c r="F301" s="29" t="s">
        <v>604</v>
      </c>
      <c r="G301" s="29">
        <v>1</v>
      </c>
      <c r="H301" s="29"/>
      <c r="I301" s="29" t="s">
        <v>678</v>
      </c>
      <c r="J301" s="30">
        <v>300000</v>
      </c>
      <c r="K301" s="30"/>
      <c r="L301" s="30"/>
      <c r="M301" s="30">
        <v>300000</v>
      </c>
      <c r="N301" s="29"/>
      <c r="O301" s="31" t="s">
        <v>727</v>
      </c>
      <c r="P301" s="31"/>
      <c r="Q301" s="31" t="s">
        <v>727</v>
      </c>
      <c r="R301" s="32" t="s">
        <v>785</v>
      </c>
      <c r="S301" s="32"/>
      <c r="T301" s="32"/>
      <c r="U301" s="29"/>
      <c r="V301" s="32" t="s">
        <v>715</v>
      </c>
    </row>
    <row r="302" spans="2:22" ht="16" x14ac:dyDescent="0.2">
      <c r="B302" s="29">
        <v>139</v>
      </c>
      <c r="C302" s="29" t="s">
        <v>36</v>
      </c>
      <c r="D302" s="29" t="s">
        <v>188</v>
      </c>
      <c r="E302" s="29" t="s">
        <v>398</v>
      </c>
      <c r="F302" s="29" t="s">
        <v>655</v>
      </c>
      <c r="G302" s="29"/>
      <c r="H302" s="29"/>
      <c r="I302" s="29" t="s">
        <v>705</v>
      </c>
      <c r="J302" s="30">
        <v>300000</v>
      </c>
      <c r="K302" s="30"/>
      <c r="L302" s="30"/>
      <c r="M302" s="30">
        <v>300000</v>
      </c>
      <c r="N302" s="29"/>
      <c r="O302" s="31" t="s">
        <v>725</v>
      </c>
      <c r="P302" s="31"/>
      <c r="Q302" s="31" t="s">
        <v>725</v>
      </c>
      <c r="R302" s="32" t="s">
        <v>709</v>
      </c>
      <c r="S302" s="32"/>
      <c r="T302" s="32"/>
      <c r="U302" s="29"/>
      <c r="V302" s="32" t="s">
        <v>709</v>
      </c>
    </row>
    <row r="303" spans="2:22" ht="32" x14ac:dyDescent="0.2">
      <c r="B303" s="29">
        <v>140</v>
      </c>
      <c r="C303" s="29" t="s">
        <v>36</v>
      </c>
      <c r="D303" s="29" t="s">
        <v>188</v>
      </c>
      <c r="E303" s="29" t="s">
        <v>398</v>
      </c>
      <c r="F303" s="29" t="s">
        <v>584</v>
      </c>
      <c r="G303" s="29">
        <v>1</v>
      </c>
      <c r="H303" s="29"/>
      <c r="I303" s="29" t="s">
        <v>671</v>
      </c>
      <c r="J303" s="30">
        <v>275000</v>
      </c>
      <c r="K303" s="30"/>
      <c r="L303" s="30"/>
      <c r="M303" s="30">
        <v>275000</v>
      </c>
      <c r="N303" s="29"/>
      <c r="O303" s="31" t="s">
        <v>726</v>
      </c>
      <c r="P303" s="31"/>
      <c r="Q303" s="31" t="s">
        <v>726</v>
      </c>
      <c r="R303" s="32"/>
      <c r="S303" s="32"/>
      <c r="T303" s="32"/>
      <c r="U303" s="29"/>
      <c r="V303" s="32" t="s">
        <v>711</v>
      </c>
    </row>
    <row r="304" spans="2:22" ht="32" x14ac:dyDescent="0.2">
      <c r="B304" s="29">
        <v>141</v>
      </c>
      <c r="C304" s="29" t="s">
        <v>36</v>
      </c>
      <c r="D304" s="29" t="s">
        <v>188</v>
      </c>
      <c r="E304" s="29" t="s">
        <v>398</v>
      </c>
      <c r="F304" s="29" t="s">
        <v>570</v>
      </c>
      <c r="G304" s="29">
        <v>1</v>
      </c>
      <c r="H304" s="29"/>
      <c r="I304" s="29" t="s">
        <v>464</v>
      </c>
      <c r="J304" s="30">
        <v>250000</v>
      </c>
      <c r="K304" s="30"/>
      <c r="L304" s="30"/>
      <c r="M304" s="30">
        <v>250000</v>
      </c>
      <c r="N304" s="29"/>
      <c r="O304" s="31" t="s">
        <v>730</v>
      </c>
      <c r="P304" s="31"/>
      <c r="Q304" s="31" t="s">
        <v>730</v>
      </c>
      <c r="R304" s="32"/>
      <c r="S304" s="32"/>
      <c r="T304" s="32"/>
      <c r="U304" s="29"/>
      <c r="V304" s="32" t="s">
        <v>711</v>
      </c>
    </row>
    <row r="305" spans="2:22" ht="32" x14ac:dyDescent="0.2">
      <c r="B305" s="29">
        <v>142</v>
      </c>
      <c r="C305" s="29" t="s">
        <v>36</v>
      </c>
      <c r="D305" s="29" t="s">
        <v>188</v>
      </c>
      <c r="E305" s="29" t="s">
        <v>398</v>
      </c>
      <c r="F305" s="29" t="s">
        <v>592</v>
      </c>
      <c r="G305" s="29">
        <v>1</v>
      </c>
      <c r="H305" s="29"/>
      <c r="I305" s="29" t="s">
        <v>673</v>
      </c>
      <c r="J305" s="30">
        <v>250000</v>
      </c>
      <c r="K305" s="30"/>
      <c r="L305" s="30"/>
      <c r="M305" s="30">
        <v>250000</v>
      </c>
      <c r="N305" s="29"/>
      <c r="O305" s="31" t="s">
        <v>730</v>
      </c>
      <c r="P305" s="31"/>
      <c r="Q305" s="31" t="s">
        <v>730</v>
      </c>
      <c r="R305" s="32"/>
      <c r="S305" s="32"/>
      <c r="T305" s="32"/>
      <c r="U305" s="29"/>
      <c r="V305" s="32" t="s">
        <v>711</v>
      </c>
    </row>
    <row r="306" spans="2:22" ht="32" x14ac:dyDescent="0.2">
      <c r="B306" s="29">
        <v>143</v>
      </c>
      <c r="C306" s="29" t="s">
        <v>36</v>
      </c>
      <c r="D306" s="29" t="s">
        <v>188</v>
      </c>
      <c r="E306" s="29" t="s">
        <v>398</v>
      </c>
      <c r="F306" s="29" t="s">
        <v>601</v>
      </c>
      <c r="G306" s="29">
        <v>5</v>
      </c>
      <c r="H306" s="29"/>
      <c r="I306" s="29" t="s">
        <v>685</v>
      </c>
      <c r="J306" s="30">
        <v>40000</v>
      </c>
      <c r="K306" s="30"/>
      <c r="L306" s="30"/>
      <c r="M306" s="30">
        <v>200000</v>
      </c>
      <c r="N306" s="29"/>
      <c r="O306" s="31" t="s">
        <v>725</v>
      </c>
      <c r="P306" s="31"/>
      <c r="Q306" s="31" t="s">
        <v>725</v>
      </c>
      <c r="R306" s="32" t="s">
        <v>785</v>
      </c>
      <c r="S306" s="32"/>
      <c r="T306" s="32"/>
      <c r="U306" s="29"/>
      <c r="V306" s="32" t="s">
        <v>715</v>
      </c>
    </row>
    <row r="307" spans="2:22" ht="16" x14ac:dyDescent="0.2">
      <c r="B307" s="29">
        <v>144</v>
      </c>
      <c r="C307" s="29" t="s">
        <v>36</v>
      </c>
      <c r="D307" s="29" t="s">
        <v>188</v>
      </c>
      <c r="E307" s="29" t="s">
        <v>398</v>
      </c>
      <c r="F307" s="29" t="s">
        <v>609</v>
      </c>
      <c r="G307" s="29">
        <v>3</v>
      </c>
      <c r="H307" s="29"/>
      <c r="I307" s="29" t="s">
        <v>677</v>
      </c>
      <c r="J307" s="30">
        <v>225000</v>
      </c>
      <c r="K307" s="30"/>
      <c r="L307" s="30"/>
      <c r="M307" s="30">
        <v>225000</v>
      </c>
      <c r="N307" s="29"/>
      <c r="O307" s="31" t="s">
        <v>37</v>
      </c>
      <c r="P307" s="31"/>
      <c r="Q307" s="31" t="s">
        <v>37</v>
      </c>
      <c r="R307" s="32" t="s">
        <v>834</v>
      </c>
      <c r="S307" s="32"/>
      <c r="T307" s="32"/>
      <c r="U307" s="29"/>
      <c r="V307" s="32" t="s">
        <v>709</v>
      </c>
    </row>
    <row r="308" spans="2:22" ht="80" hidden="1" x14ac:dyDescent="0.2">
      <c r="B308" s="29">
        <v>145</v>
      </c>
      <c r="C308" s="29" t="s">
        <v>385</v>
      </c>
      <c r="D308" s="29" t="s">
        <v>188</v>
      </c>
      <c r="E308" s="29" t="s">
        <v>398</v>
      </c>
      <c r="F308" s="29" t="s">
        <v>394</v>
      </c>
      <c r="G308" s="29">
        <v>1</v>
      </c>
      <c r="H308" s="29" t="s">
        <v>203</v>
      </c>
      <c r="I308" s="29" t="s">
        <v>399</v>
      </c>
      <c r="J308" s="30">
        <v>200000</v>
      </c>
      <c r="K308" s="30"/>
      <c r="L308" s="30"/>
      <c r="M308" s="30">
        <v>200000</v>
      </c>
      <c r="N308" s="29" t="s">
        <v>400</v>
      </c>
      <c r="O308" s="31"/>
      <c r="P308" s="31"/>
      <c r="Q308" s="31" t="s">
        <v>724</v>
      </c>
      <c r="R308" s="32" t="s">
        <v>412</v>
      </c>
      <c r="S308" s="32" t="s">
        <v>424</v>
      </c>
      <c r="T308" s="32" t="s">
        <v>436</v>
      </c>
      <c r="U308" s="29"/>
      <c r="V308" s="32" t="s">
        <v>448</v>
      </c>
    </row>
    <row r="309" spans="2:22" ht="16" x14ac:dyDescent="0.2">
      <c r="B309" s="29">
        <v>146</v>
      </c>
      <c r="C309" s="29" t="s">
        <v>36</v>
      </c>
      <c r="D309" s="29" t="s">
        <v>188</v>
      </c>
      <c r="E309" s="29" t="s">
        <v>398</v>
      </c>
      <c r="F309" s="29" t="s">
        <v>556</v>
      </c>
      <c r="G309" s="29">
        <v>1</v>
      </c>
      <c r="H309" s="29"/>
      <c r="I309" s="29" t="s">
        <v>666</v>
      </c>
      <c r="J309" s="30">
        <v>200000</v>
      </c>
      <c r="K309" s="30"/>
      <c r="L309" s="30"/>
      <c r="M309" s="30">
        <v>200000</v>
      </c>
      <c r="N309" s="29"/>
      <c r="O309" s="31" t="s">
        <v>724</v>
      </c>
      <c r="P309" s="31"/>
      <c r="Q309" s="31" t="s">
        <v>724</v>
      </c>
      <c r="R309" s="32" t="s">
        <v>785</v>
      </c>
      <c r="S309" s="32"/>
      <c r="T309" s="32"/>
      <c r="U309" s="29"/>
      <c r="V309" s="32" t="s">
        <v>708</v>
      </c>
    </row>
    <row r="310" spans="2:22" ht="32" x14ac:dyDescent="0.2">
      <c r="B310" s="29">
        <v>147</v>
      </c>
      <c r="C310" s="29" t="s">
        <v>36</v>
      </c>
      <c r="D310" s="29" t="s">
        <v>188</v>
      </c>
      <c r="E310" s="29" t="s">
        <v>398</v>
      </c>
      <c r="F310" s="29" t="s">
        <v>570</v>
      </c>
      <c r="G310" s="29">
        <v>1</v>
      </c>
      <c r="H310" s="29"/>
      <c r="I310" s="29" t="s">
        <v>670</v>
      </c>
      <c r="J310" s="30">
        <v>200000</v>
      </c>
      <c r="K310" s="30"/>
      <c r="L310" s="30"/>
      <c r="M310" s="30">
        <v>200000</v>
      </c>
      <c r="N310" s="29"/>
      <c r="O310" s="31" t="s">
        <v>730</v>
      </c>
      <c r="P310" s="31"/>
      <c r="Q310" s="31" t="s">
        <v>730</v>
      </c>
      <c r="R310" s="32"/>
      <c r="S310" s="32"/>
      <c r="T310" s="32"/>
      <c r="U310" s="29"/>
      <c r="V310" s="32" t="s">
        <v>711</v>
      </c>
    </row>
    <row r="311" spans="2:22" ht="32" x14ac:dyDescent="0.2">
      <c r="B311" s="29">
        <v>148</v>
      </c>
      <c r="C311" s="29" t="s">
        <v>36</v>
      </c>
      <c r="D311" s="29" t="s">
        <v>188</v>
      </c>
      <c r="E311" s="29" t="s">
        <v>398</v>
      </c>
      <c r="F311" s="29" t="s">
        <v>574</v>
      </c>
      <c r="G311" s="29">
        <v>1</v>
      </c>
      <c r="H311" s="29"/>
      <c r="I311" s="29" t="s">
        <v>463</v>
      </c>
      <c r="J311" s="30">
        <v>200000</v>
      </c>
      <c r="K311" s="30"/>
      <c r="L311" s="30"/>
      <c r="M311" s="30">
        <v>200000</v>
      </c>
      <c r="N311" s="29"/>
      <c r="O311" s="31" t="s">
        <v>724</v>
      </c>
      <c r="P311" s="31"/>
      <c r="Q311" s="31" t="s">
        <v>724</v>
      </c>
      <c r="R311" s="32"/>
      <c r="S311" s="32"/>
      <c r="T311" s="32"/>
      <c r="U311" s="29"/>
      <c r="V311" s="32" t="s">
        <v>711</v>
      </c>
    </row>
    <row r="312" spans="2:22" ht="32" x14ac:dyDescent="0.2">
      <c r="B312" s="29">
        <v>149</v>
      </c>
      <c r="C312" s="29" t="s">
        <v>36</v>
      </c>
      <c r="D312" s="29" t="s">
        <v>188</v>
      </c>
      <c r="E312" s="29" t="s">
        <v>398</v>
      </c>
      <c r="F312" s="29" t="s">
        <v>577</v>
      </c>
      <c r="G312" s="29">
        <v>1</v>
      </c>
      <c r="H312" s="29"/>
      <c r="I312" s="29" t="s">
        <v>464</v>
      </c>
      <c r="J312" s="30">
        <v>200000</v>
      </c>
      <c r="K312" s="30"/>
      <c r="L312" s="30"/>
      <c r="M312" s="30">
        <v>200000</v>
      </c>
      <c r="N312" s="29"/>
      <c r="O312" s="31" t="s">
        <v>730</v>
      </c>
      <c r="P312" s="31"/>
      <c r="Q312" s="31" t="s">
        <v>730</v>
      </c>
      <c r="R312" s="32"/>
      <c r="S312" s="32"/>
      <c r="T312" s="32"/>
      <c r="U312" s="29"/>
      <c r="V312" s="32" t="s">
        <v>711</v>
      </c>
    </row>
    <row r="313" spans="2:22" ht="32" x14ac:dyDescent="0.2">
      <c r="B313" s="29">
        <v>150</v>
      </c>
      <c r="C313" s="29" t="s">
        <v>36</v>
      </c>
      <c r="D313" s="29" t="s">
        <v>188</v>
      </c>
      <c r="E313" s="29" t="s">
        <v>398</v>
      </c>
      <c r="F313" s="29" t="s">
        <v>570</v>
      </c>
      <c r="G313" s="29">
        <v>1</v>
      </c>
      <c r="H313" s="29"/>
      <c r="I313" s="29" t="s">
        <v>671</v>
      </c>
      <c r="J313" s="30">
        <v>200000</v>
      </c>
      <c r="K313" s="30"/>
      <c r="L313" s="30"/>
      <c r="M313" s="30">
        <v>200000</v>
      </c>
      <c r="N313" s="29"/>
      <c r="O313" s="31" t="s">
        <v>731</v>
      </c>
      <c r="P313" s="31"/>
      <c r="Q313" s="31" t="s">
        <v>731</v>
      </c>
      <c r="R313" s="32"/>
      <c r="S313" s="32"/>
      <c r="T313" s="32"/>
      <c r="U313" s="29"/>
      <c r="V313" s="32" t="s">
        <v>711</v>
      </c>
    </row>
    <row r="314" spans="2:22" ht="16" x14ac:dyDescent="0.2">
      <c r="B314" s="29">
        <v>151</v>
      </c>
      <c r="C314" s="29" t="s">
        <v>36</v>
      </c>
      <c r="D314" s="29" t="s">
        <v>188</v>
      </c>
      <c r="E314" s="29" t="s">
        <v>398</v>
      </c>
      <c r="F314" s="29" t="s">
        <v>537</v>
      </c>
      <c r="G314" s="29">
        <v>1</v>
      </c>
      <c r="H314" s="29"/>
      <c r="I314" s="29" t="s">
        <v>674</v>
      </c>
      <c r="J314" s="30">
        <v>100000</v>
      </c>
      <c r="K314" s="30"/>
      <c r="L314" s="30"/>
      <c r="M314" s="30">
        <v>100000</v>
      </c>
      <c r="N314" s="29"/>
      <c r="O314" s="31" t="s">
        <v>725</v>
      </c>
      <c r="P314" s="31"/>
      <c r="Q314" s="31" t="s">
        <v>725</v>
      </c>
      <c r="R314" s="32" t="s">
        <v>709</v>
      </c>
      <c r="S314" s="32"/>
      <c r="T314" s="32"/>
      <c r="U314" s="29"/>
      <c r="V314" s="32" t="s">
        <v>709</v>
      </c>
    </row>
    <row r="315" spans="2:22" ht="32" x14ac:dyDescent="0.2">
      <c r="B315" s="29">
        <v>152</v>
      </c>
      <c r="C315" s="29" t="s">
        <v>36</v>
      </c>
      <c r="D315" s="29" t="s">
        <v>188</v>
      </c>
      <c r="E315" s="29" t="s">
        <v>398</v>
      </c>
      <c r="F315" s="29" t="s">
        <v>537</v>
      </c>
      <c r="G315" s="29">
        <v>1</v>
      </c>
      <c r="H315" s="29"/>
      <c r="I315" s="29" t="s">
        <v>675</v>
      </c>
      <c r="J315" s="30">
        <v>100000</v>
      </c>
      <c r="K315" s="30"/>
      <c r="L315" s="30"/>
      <c r="M315" s="30">
        <v>100000</v>
      </c>
      <c r="N315" s="29"/>
      <c r="O315" s="31" t="s">
        <v>722</v>
      </c>
      <c r="P315" s="31"/>
      <c r="Q315" s="31" t="s">
        <v>722</v>
      </c>
      <c r="R315" s="32" t="s">
        <v>785</v>
      </c>
      <c r="S315" s="32"/>
      <c r="T315" s="32"/>
      <c r="U315" s="29"/>
      <c r="V315" s="32" t="s">
        <v>715</v>
      </c>
    </row>
    <row r="316" spans="2:22" ht="32" x14ac:dyDescent="0.2">
      <c r="B316" s="29">
        <v>153</v>
      </c>
      <c r="C316" s="29" t="s">
        <v>36</v>
      </c>
      <c r="D316" s="29" t="s">
        <v>188</v>
      </c>
      <c r="E316" s="29" t="s">
        <v>398</v>
      </c>
      <c r="F316" s="29" t="s">
        <v>601</v>
      </c>
      <c r="G316" s="29">
        <v>4</v>
      </c>
      <c r="H316" s="29"/>
      <c r="I316" s="29" t="s">
        <v>677</v>
      </c>
      <c r="J316" s="30">
        <v>40000</v>
      </c>
      <c r="K316" s="30"/>
      <c r="L316" s="30"/>
      <c r="M316" s="30">
        <v>160000</v>
      </c>
      <c r="N316" s="29"/>
      <c r="O316" s="31" t="s">
        <v>723</v>
      </c>
      <c r="P316" s="31"/>
      <c r="Q316" s="31" t="s">
        <v>723</v>
      </c>
      <c r="R316" s="32" t="s">
        <v>785</v>
      </c>
      <c r="S316" s="32"/>
      <c r="T316" s="32"/>
      <c r="U316" s="29"/>
      <c r="V316" s="32" t="s">
        <v>715</v>
      </c>
    </row>
    <row r="317" spans="2:22" ht="16" x14ac:dyDescent="0.2">
      <c r="B317" s="29">
        <v>154</v>
      </c>
      <c r="C317" s="29" t="s">
        <v>36</v>
      </c>
      <c r="D317" s="29" t="s">
        <v>188</v>
      </c>
      <c r="E317" s="29" t="s">
        <v>398</v>
      </c>
      <c r="F317" s="29" t="s">
        <v>537</v>
      </c>
      <c r="G317" s="29">
        <v>1</v>
      </c>
      <c r="H317" s="29"/>
      <c r="I317" s="29" t="s">
        <v>679</v>
      </c>
      <c r="J317" s="30">
        <v>100000</v>
      </c>
      <c r="K317" s="30"/>
      <c r="L317" s="30"/>
      <c r="M317" s="30">
        <v>100000</v>
      </c>
      <c r="N317" s="29"/>
      <c r="O317" s="31" t="s">
        <v>728</v>
      </c>
      <c r="P317" s="31"/>
      <c r="Q317" s="31" t="s">
        <v>728</v>
      </c>
      <c r="R317" s="32" t="s">
        <v>709</v>
      </c>
      <c r="S317" s="32"/>
      <c r="T317" s="32"/>
      <c r="U317" s="29"/>
      <c r="V317" s="32" t="s">
        <v>710</v>
      </c>
    </row>
    <row r="318" spans="2:22" ht="32" x14ac:dyDescent="0.2">
      <c r="B318" s="29">
        <v>155</v>
      </c>
      <c r="C318" s="29" t="s">
        <v>36</v>
      </c>
      <c r="D318" s="29" t="s">
        <v>188</v>
      </c>
      <c r="E318" s="29" t="s">
        <v>398</v>
      </c>
      <c r="F318" s="29" t="s">
        <v>611</v>
      </c>
      <c r="G318" s="29">
        <v>2</v>
      </c>
      <c r="H318" s="29"/>
      <c r="I318" s="29" t="s">
        <v>686</v>
      </c>
      <c r="J318" s="30">
        <v>40000</v>
      </c>
      <c r="K318" s="30"/>
      <c r="L318" s="30"/>
      <c r="M318" s="30">
        <v>80000</v>
      </c>
      <c r="N318" s="29"/>
      <c r="O318" s="31" t="s">
        <v>723</v>
      </c>
      <c r="P318" s="31"/>
      <c r="Q318" s="31" t="s">
        <v>723</v>
      </c>
      <c r="R318" s="32" t="s">
        <v>785</v>
      </c>
      <c r="S318" s="32"/>
      <c r="T318" s="32"/>
      <c r="U318" s="29"/>
      <c r="V318" s="32" t="s">
        <v>715</v>
      </c>
    </row>
    <row r="319" spans="2:22" ht="16" x14ac:dyDescent="0.2">
      <c r="B319" s="29">
        <v>156</v>
      </c>
      <c r="C319" s="29" t="s">
        <v>36</v>
      </c>
      <c r="D319" s="29" t="s">
        <v>188</v>
      </c>
      <c r="E319" s="29" t="s">
        <v>398</v>
      </c>
      <c r="F319" s="29" t="s">
        <v>615</v>
      </c>
      <c r="G319" s="29">
        <v>1</v>
      </c>
      <c r="H319" s="29"/>
      <c r="I319" s="29" t="s">
        <v>688</v>
      </c>
      <c r="J319" s="30">
        <v>200000</v>
      </c>
      <c r="K319" s="30"/>
      <c r="L319" s="30"/>
      <c r="M319" s="30">
        <v>200000</v>
      </c>
      <c r="N319" s="29"/>
      <c r="O319" s="31" t="s">
        <v>723</v>
      </c>
      <c r="P319" s="31"/>
      <c r="Q319" s="31" t="s">
        <v>723</v>
      </c>
      <c r="R319" s="32" t="s">
        <v>709</v>
      </c>
      <c r="S319" s="32"/>
      <c r="T319" s="32"/>
      <c r="U319" s="29"/>
      <c r="V319" s="32" t="s">
        <v>709</v>
      </c>
    </row>
    <row r="320" spans="2:22" ht="16" x14ac:dyDescent="0.2">
      <c r="B320" s="29">
        <v>157</v>
      </c>
      <c r="C320" s="29" t="s">
        <v>36</v>
      </c>
      <c r="D320" s="29" t="s">
        <v>188</v>
      </c>
      <c r="E320" s="29" t="s">
        <v>398</v>
      </c>
      <c r="F320" s="29" t="s">
        <v>622</v>
      </c>
      <c r="G320" s="29">
        <v>1</v>
      </c>
      <c r="H320" s="29"/>
      <c r="I320" s="29" t="s">
        <v>696</v>
      </c>
      <c r="J320" s="30">
        <v>200000</v>
      </c>
      <c r="K320" s="30"/>
      <c r="L320" s="30"/>
      <c r="M320" s="30">
        <v>200000</v>
      </c>
      <c r="N320" s="29"/>
      <c r="O320" s="31" t="s">
        <v>724</v>
      </c>
      <c r="P320" s="31"/>
      <c r="Q320" s="31" t="s">
        <v>724</v>
      </c>
      <c r="R320" s="32"/>
      <c r="S320" s="32"/>
      <c r="T320" s="32"/>
      <c r="U320" s="29"/>
      <c r="V320" s="32" t="s">
        <v>709</v>
      </c>
    </row>
    <row r="321" spans="2:22" ht="16" x14ac:dyDescent="0.2">
      <c r="B321" s="29">
        <v>158</v>
      </c>
      <c r="C321" s="29" t="s">
        <v>36</v>
      </c>
      <c r="D321" s="29" t="s">
        <v>188</v>
      </c>
      <c r="E321" s="29" t="s">
        <v>398</v>
      </c>
      <c r="F321" s="29" t="s">
        <v>625</v>
      </c>
      <c r="G321" s="29">
        <v>1</v>
      </c>
      <c r="H321" s="29"/>
      <c r="I321" s="29" t="s">
        <v>698</v>
      </c>
      <c r="J321" s="30">
        <v>200000</v>
      </c>
      <c r="K321" s="30"/>
      <c r="L321" s="30"/>
      <c r="M321" s="30">
        <v>200000</v>
      </c>
      <c r="N321" s="29"/>
      <c r="O321" s="31" t="s">
        <v>722</v>
      </c>
      <c r="P321" s="31"/>
      <c r="Q321" s="31" t="s">
        <v>722</v>
      </c>
      <c r="R321" s="32"/>
      <c r="S321" s="32"/>
      <c r="T321" s="32"/>
      <c r="U321" s="29"/>
      <c r="V321" s="32" t="s">
        <v>717</v>
      </c>
    </row>
    <row r="322" spans="2:22" ht="16" x14ac:dyDescent="0.2">
      <c r="B322" s="29">
        <v>159</v>
      </c>
      <c r="C322" s="29" t="s">
        <v>36</v>
      </c>
      <c r="D322" s="29" t="s">
        <v>188</v>
      </c>
      <c r="E322" s="29" t="s">
        <v>398</v>
      </c>
      <c r="F322" s="29" t="s">
        <v>656</v>
      </c>
      <c r="G322" s="29">
        <v>1</v>
      </c>
      <c r="H322" s="29"/>
      <c r="I322" s="29" t="s">
        <v>666</v>
      </c>
      <c r="J322" s="30">
        <v>200000</v>
      </c>
      <c r="K322" s="30"/>
      <c r="L322" s="30"/>
      <c r="M322" s="30">
        <v>200000</v>
      </c>
      <c r="N322" s="29"/>
      <c r="O322" s="31" t="s">
        <v>725</v>
      </c>
      <c r="P322" s="31"/>
      <c r="Q322" s="31" t="s">
        <v>725</v>
      </c>
      <c r="R322" s="32"/>
      <c r="S322" s="32"/>
      <c r="T322" s="32"/>
      <c r="U322" s="29"/>
      <c r="V322" s="32" t="s">
        <v>709</v>
      </c>
    </row>
    <row r="323" spans="2:22" ht="16" x14ac:dyDescent="0.2">
      <c r="B323" s="29">
        <v>160</v>
      </c>
      <c r="C323" s="29" t="s">
        <v>36</v>
      </c>
      <c r="D323" s="29" t="s">
        <v>188</v>
      </c>
      <c r="E323" s="29" t="s">
        <v>398</v>
      </c>
      <c r="F323" s="29" t="s">
        <v>606</v>
      </c>
      <c r="G323" s="29">
        <v>1</v>
      </c>
      <c r="H323" s="29"/>
      <c r="I323" s="29" t="s">
        <v>683</v>
      </c>
      <c r="J323" s="30">
        <v>180000</v>
      </c>
      <c r="K323" s="30"/>
      <c r="L323" s="30"/>
      <c r="M323" s="30">
        <v>180000</v>
      </c>
      <c r="N323" s="29"/>
      <c r="O323" s="31" t="s">
        <v>721</v>
      </c>
      <c r="P323" s="31"/>
      <c r="Q323" s="31" t="s">
        <v>721</v>
      </c>
      <c r="R323" s="32" t="s">
        <v>709</v>
      </c>
      <c r="S323" s="32"/>
      <c r="T323" s="32"/>
      <c r="U323" s="29"/>
      <c r="V323" s="32" t="s">
        <v>709</v>
      </c>
    </row>
    <row r="324" spans="2:22" ht="64" hidden="1" x14ac:dyDescent="0.2">
      <c r="B324" s="29">
        <v>161</v>
      </c>
      <c r="C324" s="29" t="s">
        <v>385</v>
      </c>
      <c r="D324" s="29" t="s">
        <v>188</v>
      </c>
      <c r="E324" s="29" t="s">
        <v>398</v>
      </c>
      <c r="F324" s="29" t="s">
        <v>395</v>
      </c>
      <c r="G324" s="29">
        <v>1</v>
      </c>
      <c r="H324" s="29" t="s">
        <v>203</v>
      </c>
      <c r="I324" s="29" t="s">
        <v>399</v>
      </c>
      <c r="J324" s="30">
        <v>175000</v>
      </c>
      <c r="K324" s="30"/>
      <c r="L324" s="30"/>
      <c r="M324" s="30">
        <v>175000</v>
      </c>
      <c r="N324" s="29" t="s">
        <v>400</v>
      </c>
      <c r="O324" s="31"/>
      <c r="P324" s="31"/>
      <c r="Q324" s="31" t="s">
        <v>724</v>
      </c>
      <c r="R324" s="32" t="s">
        <v>413</v>
      </c>
      <c r="S324" s="32" t="s">
        <v>425</v>
      </c>
      <c r="T324" s="32" t="s">
        <v>437</v>
      </c>
      <c r="U324" s="29"/>
      <c r="V324" s="32" t="s">
        <v>449</v>
      </c>
    </row>
    <row r="325" spans="2:22" ht="32" x14ac:dyDescent="0.2">
      <c r="B325" s="29">
        <v>162</v>
      </c>
      <c r="C325" s="29" t="s">
        <v>36</v>
      </c>
      <c r="D325" s="29" t="s">
        <v>188</v>
      </c>
      <c r="E325" s="29" t="s">
        <v>398</v>
      </c>
      <c r="F325" s="29" t="s">
        <v>619</v>
      </c>
      <c r="G325" s="29">
        <v>1</v>
      </c>
      <c r="H325" s="29"/>
      <c r="I325" s="29" t="s">
        <v>693</v>
      </c>
      <c r="J325" s="30">
        <v>150000</v>
      </c>
      <c r="K325" s="30"/>
      <c r="L325" s="30"/>
      <c r="M325" s="30">
        <v>150000</v>
      </c>
      <c r="N325" s="29"/>
      <c r="O325" s="31" t="s">
        <v>723</v>
      </c>
      <c r="P325" s="31"/>
      <c r="Q325" s="31" t="s">
        <v>723</v>
      </c>
      <c r="R325" s="32" t="s">
        <v>785</v>
      </c>
      <c r="S325" s="32"/>
      <c r="T325" s="32"/>
      <c r="U325" s="29"/>
      <c r="V325" s="32" t="s">
        <v>711</v>
      </c>
    </row>
    <row r="326" spans="2:22" ht="32" x14ac:dyDescent="0.2">
      <c r="B326" s="29">
        <v>163</v>
      </c>
      <c r="C326" s="29" t="s">
        <v>36</v>
      </c>
      <c r="D326" s="29" t="s">
        <v>188</v>
      </c>
      <c r="E326" s="29" t="s">
        <v>398</v>
      </c>
      <c r="F326" s="29" t="s">
        <v>613</v>
      </c>
      <c r="G326" s="29">
        <v>3</v>
      </c>
      <c r="H326" s="29"/>
      <c r="I326" s="29" t="s">
        <v>693</v>
      </c>
      <c r="J326" s="30">
        <v>150000</v>
      </c>
      <c r="K326" s="30"/>
      <c r="L326" s="30"/>
      <c r="M326" s="30">
        <v>150000</v>
      </c>
      <c r="N326" s="29"/>
      <c r="O326" s="31" t="s">
        <v>722</v>
      </c>
      <c r="P326" s="31"/>
      <c r="Q326" s="31" t="s">
        <v>722</v>
      </c>
      <c r="R326" s="32" t="s">
        <v>785</v>
      </c>
      <c r="S326" s="32"/>
      <c r="T326" s="32"/>
      <c r="U326" s="29"/>
      <c r="V326" s="32" t="s">
        <v>711</v>
      </c>
    </row>
    <row r="327" spans="2:22" ht="112" hidden="1" x14ac:dyDescent="0.2">
      <c r="B327" s="29">
        <v>164</v>
      </c>
      <c r="C327" s="29" t="s">
        <v>385</v>
      </c>
      <c r="D327" s="29" t="s">
        <v>188</v>
      </c>
      <c r="E327" s="29" t="s">
        <v>398</v>
      </c>
      <c r="F327" s="29" t="s">
        <v>390</v>
      </c>
      <c r="G327" s="29">
        <v>1</v>
      </c>
      <c r="H327" s="29" t="s">
        <v>203</v>
      </c>
      <c r="I327" s="29" t="s">
        <v>399</v>
      </c>
      <c r="J327" s="30">
        <v>145000</v>
      </c>
      <c r="K327" s="30"/>
      <c r="L327" s="30"/>
      <c r="M327" s="30">
        <v>145000</v>
      </c>
      <c r="N327" s="29" t="s">
        <v>400</v>
      </c>
      <c r="O327" s="31"/>
      <c r="P327" s="31"/>
      <c r="Q327" s="31" t="s">
        <v>724</v>
      </c>
      <c r="R327" s="32" t="s">
        <v>408</v>
      </c>
      <c r="S327" s="32" t="s">
        <v>420</v>
      </c>
      <c r="T327" s="32" t="s">
        <v>432</v>
      </c>
      <c r="U327" s="29"/>
      <c r="V327" s="32" t="s">
        <v>444</v>
      </c>
    </row>
    <row r="328" spans="2:22" ht="32" x14ac:dyDescent="0.2">
      <c r="B328" s="29">
        <v>165</v>
      </c>
      <c r="C328" s="29" t="s">
        <v>36</v>
      </c>
      <c r="D328" s="29" t="s">
        <v>188</v>
      </c>
      <c r="E328" s="29" t="s">
        <v>398</v>
      </c>
      <c r="F328" s="29" t="s">
        <v>618</v>
      </c>
      <c r="G328" s="29">
        <v>1</v>
      </c>
      <c r="H328" s="29"/>
      <c r="I328" s="29" t="s">
        <v>691</v>
      </c>
      <c r="J328" s="30">
        <v>130000</v>
      </c>
      <c r="K328" s="30"/>
      <c r="L328" s="30"/>
      <c r="M328" s="30">
        <v>130000</v>
      </c>
      <c r="N328" s="29"/>
      <c r="O328" s="31" t="s">
        <v>731</v>
      </c>
      <c r="P328" s="31"/>
      <c r="Q328" s="31" t="s">
        <v>731</v>
      </c>
      <c r="R328" s="32" t="s">
        <v>785</v>
      </c>
      <c r="S328" s="32"/>
      <c r="T328" s="32"/>
      <c r="U328" s="29"/>
      <c r="V328" s="32" t="s">
        <v>711</v>
      </c>
    </row>
    <row r="329" spans="2:22" ht="112" hidden="1" x14ac:dyDescent="0.2">
      <c r="B329" s="29">
        <v>166</v>
      </c>
      <c r="C329" s="29" t="s">
        <v>385</v>
      </c>
      <c r="D329" s="29" t="s">
        <v>188</v>
      </c>
      <c r="E329" s="29" t="s">
        <v>398</v>
      </c>
      <c r="F329" s="29" t="s">
        <v>388</v>
      </c>
      <c r="G329" s="29">
        <v>1</v>
      </c>
      <c r="H329" s="29" t="s">
        <v>203</v>
      </c>
      <c r="I329" s="29" t="s">
        <v>399</v>
      </c>
      <c r="J329" s="30">
        <v>125000</v>
      </c>
      <c r="K329" s="30"/>
      <c r="L329" s="30"/>
      <c r="M329" s="30">
        <v>125000</v>
      </c>
      <c r="N329" s="29" t="s">
        <v>400</v>
      </c>
      <c r="O329" s="31"/>
      <c r="P329" s="31"/>
      <c r="Q329" s="31" t="s">
        <v>724</v>
      </c>
      <c r="R329" s="32" t="s">
        <v>406</v>
      </c>
      <c r="S329" s="32" t="s">
        <v>418</v>
      </c>
      <c r="T329" s="32" t="s">
        <v>430</v>
      </c>
      <c r="U329" s="29"/>
      <c r="V329" s="32" t="s">
        <v>442</v>
      </c>
    </row>
    <row r="330" spans="2:22" ht="32" x14ac:dyDescent="0.2">
      <c r="B330" s="29">
        <v>167</v>
      </c>
      <c r="C330" s="29" t="s">
        <v>36</v>
      </c>
      <c r="D330" s="29" t="s">
        <v>188</v>
      </c>
      <c r="E330" s="29" t="s">
        <v>398</v>
      </c>
      <c r="F330" s="29" t="s">
        <v>610</v>
      </c>
      <c r="G330" s="29">
        <v>2</v>
      </c>
      <c r="H330" s="29"/>
      <c r="I330" s="29" t="s">
        <v>686</v>
      </c>
      <c r="J330" s="30">
        <v>60000</v>
      </c>
      <c r="K330" s="30"/>
      <c r="L330" s="30"/>
      <c r="M330" s="30">
        <v>120000</v>
      </c>
      <c r="N330" s="29"/>
      <c r="O330" s="31" t="s">
        <v>727</v>
      </c>
      <c r="P330" s="31"/>
      <c r="Q330" s="31" t="s">
        <v>727</v>
      </c>
      <c r="R330" s="32" t="s">
        <v>785</v>
      </c>
      <c r="S330" s="32"/>
      <c r="T330" s="32"/>
      <c r="U330" s="29"/>
      <c r="V330" s="32" t="s">
        <v>715</v>
      </c>
    </row>
    <row r="331" spans="2:22" ht="32" x14ac:dyDescent="0.2">
      <c r="B331" s="29">
        <v>168</v>
      </c>
      <c r="C331" s="29" t="s">
        <v>36</v>
      </c>
      <c r="D331" s="29" t="s">
        <v>188</v>
      </c>
      <c r="E331" s="29" t="s">
        <v>398</v>
      </c>
      <c r="F331" s="29" t="s">
        <v>612</v>
      </c>
      <c r="G331" s="29">
        <v>2</v>
      </c>
      <c r="H331" s="29"/>
      <c r="I331" s="29" t="s">
        <v>687</v>
      </c>
      <c r="J331" s="30">
        <v>120000</v>
      </c>
      <c r="K331" s="30"/>
      <c r="L331" s="30"/>
      <c r="M331" s="30">
        <v>120000</v>
      </c>
      <c r="N331" s="29"/>
      <c r="O331" s="31" t="s">
        <v>728</v>
      </c>
      <c r="P331" s="31"/>
      <c r="Q331" s="31" t="s">
        <v>728</v>
      </c>
      <c r="R331" s="32" t="s">
        <v>785</v>
      </c>
      <c r="S331" s="32"/>
      <c r="T331" s="32"/>
      <c r="U331" s="29"/>
      <c r="V331" s="32" t="s">
        <v>715</v>
      </c>
    </row>
    <row r="332" spans="2:22" ht="112" hidden="1" x14ac:dyDescent="0.2">
      <c r="B332" s="29">
        <v>169</v>
      </c>
      <c r="C332" s="29" t="s">
        <v>385</v>
      </c>
      <c r="D332" s="29" t="s">
        <v>188</v>
      </c>
      <c r="E332" s="29" t="s">
        <v>398</v>
      </c>
      <c r="F332" s="29" t="s">
        <v>389</v>
      </c>
      <c r="G332" s="29">
        <v>1</v>
      </c>
      <c r="H332" s="29" t="s">
        <v>203</v>
      </c>
      <c r="I332" s="29" t="s">
        <v>399</v>
      </c>
      <c r="J332" s="30">
        <v>118000</v>
      </c>
      <c r="K332" s="30"/>
      <c r="L332" s="30"/>
      <c r="M332" s="30">
        <v>118000</v>
      </c>
      <c r="N332" s="29" t="s">
        <v>400</v>
      </c>
      <c r="O332" s="31"/>
      <c r="P332" s="31"/>
      <c r="Q332" s="31" t="s">
        <v>724</v>
      </c>
      <c r="R332" s="32" t="s">
        <v>407</v>
      </c>
      <c r="S332" s="32" t="s">
        <v>419</v>
      </c>
      <c r="T332" s="32" t="s">
        <v>431</v>
      </c>
      <c r="U332" s="29"/>
      <c r="V332" s="32" t="s">
        <v>443</v>
      </c>
    </row>
    <row r="333" spans="2:22" ht="16" x14ac:dyDescent="0.2">
      <c r="B333" s="29">
        <v>170</v>
      </c>
      <c r="C333" s="29" t="s">
        <v>36</v>
      </c>
      <c r="D333" s="29" t="s">
        <v>188</v>
      </c>
      <c r="E333" s="29" t="s">
        <v>398</v>
      </c>
      <c r="F333" s="29" t="s">
        <v>537</v>
      </c>
      <c r="G333" s="29">
        <v>1</v>
      </c>
      <c r="H333" s="29"/>
      <c r="I333" s="29" t="s">
        <v>662</v>
      </c>
      <c r="J333" s="30">
        <v>100000</v>
      </c>
      <c r="K333" s="30"/>
      <c r="L333" s="30"/>
      <c r="M333" s="30">
        <v>100000</v>
      </c>
      <c r="N333" s="29"/>
      <c r="O333" s="31" t="s">
        <v>723</v>
      </c>
      <c r="P333" s="31"/>
      <c r="Q333" s="31" t="s">
        <v>723</v>
      </c>
      <c r="R333" s="32" t="s">
        <v>785</v>
      </c>
      <c r="S333" s="32"/>
      <c r="T333" s="32"/>
      <c r="U333" s="29"/>
      <c r="V333" s="32" t="s">
        <v>708</v>
      </c>
    </row>
    <row r="334" spans="2:22" ht="32" x14ac:dyDescent="0.2">
      <c r="B334" s="29">
        <v>171</v>
      </c>
      <c r="C334" s="29" t="s">
        <v>36</v>
      </c>
      <c r="D334" s="29" t="s">
        <v>188</v>
      </c>
      <c r="E334" s="29" t="s">
        <v>398</v>
      </c>
      <c r="F334" s="29" t="s">
        <v>569</v>
      </c>
      <c r="G334" s="29">
        <v>1</v>
      </c>
      <c r="H334" s="29"/>
      <c r="I334" s="29" t="s">
        <v>462</v>
      </c>
      <c r="J334" s="30">
        <v>100000</v>
      </c>
      <c r="K334" s="30"/>
      <c r="L334" s="30"/>
      <c r="M334" s="30">
        <v>100000</v>
      </c>
      <c r="N334" s="29"/>
      <c r="O334" s="31" t="s">
        <v>37</v>
      </c>
      <c r="P334" s="31"/>
      <c r="Q334" s="31" t="s">
        <v>37</v>
      </c>
      <c r="R334" s="32"/>
      <c r="S334" s="32"/>
      <c r="T334" s="32"/>
      <c r="U334" s="29"/>
      <c r="V334" s="32" t="s">
        <v>711</v>
      </c>
    </row>
    <row r="335" spans="2:22" ht="32" x14ac:dyDescent="0.2">
      <c r="B335" s="29">
        <v>172</v>
      </c>
      <c r="C335" s="29" t="s">
        <v>36</v>
      </c>
      <c r="D335" s="29" t="s">
        <v>188</v>
      </c>
      <c r="E335" s="29" t="s">
        <v>398</v>
      </c>
      <c r="F335" s="29" t="s">
        <v>578</v>
      </c>
      <c r="G335" s="29">
        <v>1</v>
      </c>
      <c r="H335" s="29"/>
      <c r="I335" s="29" t="s">
        <v>464</v>
      </c>
      <c r="J335" s="30">
        <v>100000</v>
      </c>
      <c r="K335" s="30"/>
      <c r="L335" s="30"/>
      <c r="M335" s="30">
        <v>100000</v>
      </c>
      <c r="N335" s="29"/>
      <c r="O335" s="31" t="s">
        <v>728</v>
      </c>
      <c r="P335" s="31"/>
      <c r="Q335" s="31" t="s">
        <v>728</v>
      </c>
      <c r="R335" s="32"/>
      <c r="S335" s="32"/>
      <c r="T335" s="32"/>
      <c r="U335" s="29"/>
      <c r="V335" s="32" t="s">
        <v>711</v>
      </c>
    </row>
    <row r="336" spans="2:22" ht="32" x14ac:dyDescent="0.2">
      <c r="B336" s="29">
        <v>173</v>
      </c>
      <c r="C336" s="29" t="s">
        <v>36</v>
      </c>
      <c r="D336" s="29" t="s">
        <v>188</v>
      </c>
      <c r="E336" s="29" t="s">
        <v>398</v>
      </c>
      <c r="F336" s="29" t="s">
        <v>583</v>
      </c>
      <c r="G336" s="29">
        <v>1</v>
      </c>
      <c r="H336" s="29"/>
      <c r="I336" s="29" t="s">
        <v>671</v>
      </c>
      <c r="J336" s="30">
        <v>100000</v>
      </c>
      <c r="K336" s="30"/>
      <c r="L336" s="30"/>
      <c r="M336" s="30">
        <v>100000</v>
      </c>
      <c r="N336" s="29"/>
      <c r="O336" s="31" t="s">
        <v>37</v>
      </c>
      <c r="P336" s="31"/>
      <c r="Q336" s="31" t="s">
        <v>37</v>
      </c>
      <c r="R336" s="32"/>
      <c r="S336" s="32"/>
      <c r="T336" s="32"/>
      <c r="U336" s="29"/>
      <c r="V336" s="32" t="s">
        <v>711</v>
      </c>
    </row>
    <row r="337" spans="2:22" ht="16" x14ac:dyDescent="0.2">
      <c r="B337" s="29">
        <v>174</v>
      </c>
      <c r="C337" s="29" t="s">
        <v>36</v>
      </c>
      <c r="D337" s="29" t="s">
        <v>188</v>
      </c>
      <c r="E337" s="29" t="s">
        <v>398</v>
      </c>
      <c r="F337" s="29" t="s">
        <v>598</v>
      </c>
      <c r="G337" s="29">
        <v>1</v>
      </c>
      <c r="H337" s="29"/>
      <c r="I337" s="29" t="s">
        <v>31</v>
      </c>
      <c r="J337" s="30">
        <v>100000</v>
      </c>
      <c r="K337" s="30"/>
      <c r="L337" s="30"/>
      <c r="M337" s="30">
        <v>100000</v>
      </c>
      <c r="N337" s="29"/>
      <c r="O337" s="31" t="s">
        <v>37</v>
      </c>
      <c r="P337" s="31"/>
      <c r="Q337" s="31" t="s">
        <v>37</v>
      </c>
      <c r="R337" s="32" t="s">
        <v>785</v>
      </c>
      <c r="S337" s="32"/>
      <c r="T337" s="32"/>
      <c r="U337" s="29"/>
      <c r="V337" s="32" t="s">
        <v>714</v>
      </c>
    </row>
    <row r="338" spans="2:22" ht="32" x14ac:dyDescent="0.2">
      <c r="B338" s="29">
        <v>175</v>
      </c>
      <c r="C338" s="29" t="s">
        <v>36</v>
      </c>
      <c r="D338" s="29" t="s">
        <v>188</v>
      </c>
      <c r="E338" s="29" t="s">
        <v>398</v>
      </c>
      <c r="F338" s="29" t="s">
        <v>601</v>
      </c>
      <c r="G338" s="29">
        <v>2</v>
      </c>
      <c r="H338" s="29"/>
      <c r="I338" s="29" t="s">
        <v>687</v>
      </c>
      <c r="J338" s="30">
        <v>40000</v>
      </c>
      <c r="K338" s="30"/>
      <c r="L338" s="30"/>
      <c r="M338" s="30">
        <v>80000</v>
      </c>
      <c r="N338" s="29"/>
      <c r="O338" s="31" t="s">
        <v>727</v>
      </c>
      <c r="P338" s="31"/>
      <c r="Q338" s="31" t="s">
        <v>727</v>
      </c>
      <c r="R338" s="32" t="s">
        <v>785</v>
      </c>
      <c r="S338" s="32"/>
      <c r="T338" s="32"/>
      <c r="U338" s="29"/>
      <c r="V338" s="32" t="s">
        <v>715</v>
      </c>
    </row>
    <row r="339" spans="2:22" ht="32" x14ac:dyDescent="0.2">
      <c r="B339" s="29">
        <v>176</v>
      </c>
      <c r="C339" s="29" t="s">
        <v>36</v>
      </c>
      <c r="D339" s="29" t="s">
        <v>188</v>
      </c>
      <c r="E339" s="29" t="s">
        <v>398</v>
      </c>
      <c r="F339" s="29" t="s">
        <v>620</v>
      </c>
      <c r="G339" s="29">
        <v>1</v>
      </c>
      <c r="H339" s="29"/>
      <c r="I339" s="29" t="s">
        <v>689</v>
      </c>
      <c r="J339" s="30">
        <v>100000</v>
      </c>
      <c r="K339" s="30"/>
      <c r="L339" s="30"/>
      <c r="M339" s="30">
        <v>100000</v>
      </c>
      <c r="N339" s="29"/>
      <c r="O339" s="31" t="s">
        <v>723</v>
      </c>
      <c r="P339" s="31"/>
      <c r="Q339" s="31" t="s">
        <v>723</v>
      </c>
      <c r="R339" s="32" t="s">
        <v>785</v>
      </c>
      <c r="S339" s="32"/>
      <c r="T339" s="32"/>
      <c r="U339" s="29"/>
      <c r="V339" s="32" t="s">
        <v>711</v>
      </c>
    </row>
    <row r="340" spans="2:22" ht="16" x14ac:dyDescent="0.2">
      <c r="B340" s="29">
        <v>177</v>
      </c>
      <c r="C340" s="29" t="s">
        <v>36</v>
      </c>
      <c r="D340" s="29" t="s">
        <v>188</v>
      </c>
      <c r="E340" s="29" t="s">
        <v>398</v>
      </c>
      <c r="F340" s="29" t="s">
        <v>624</v>
      </c>
      <c r="G340" s="29">
        <v>1</v>
      </c>
      <c r="H340" s="29"/>
      <c r="I340" s="29" t="s">
        <v>698</v>
      </c>
      <c r="J340" s="30">
        <v>100000</v>
      </c>
      <c r="K340" s="30"/>
      <c r="L340" s="30"/>
      <c r="M340" s="30">
        <v>100000</v>
      </c>
      <c r="N340" s="29"/>
      <c r="O340" s="31" t="s">
        <v>37</v>
      </c>
      <c r="P340" s="31"/>
      <c r="Q340" s="31" t="s">
        <v>37</v>
      </c>
      <c r="R340" s="32" t="s">
        <v>785</v>
      </c>
      <c r="S340" s="32"/>
      <c r="T340" s="32"/>
      <c r="U340" s="29"/>
      <c r="V340" s="32" t="s">
        <v>717</v>
      </c>
    </row>
    <row r="341" spans="2:22" ht="32" x14ac:dyDescent="0.2">
      <c r="B341" s="29">
        <v>178</v>
      </c>
      <c r="C341" s="29" t="s">
        <v>36</v>
      </c>
      <c r="D341" s="29" t="s">
        <v>188</v>
      </c>
      <c r="E341" s="29" t="s">
        <v>398</v>
      </c>
      <c r="F341" s="29" t="s">
        <v>644</v>
      </c>
      <c r="G341" s="29">
        <v>1</v>
      </c>
      <c r="H341" s="29"/>
      <c r="I341" s="29" t="s">
        <v>703</v>
      </c>
      <c r="J341" s="30">
        <v>100000</v>
      </c>
      <c r="K341" s="30"/>
      <c r="L341" s="30"/>
      <c r="M341" s="30">
        <v>100000</v>
      </c>
      <c r="N341" s="29"/>
      <c r="O341" s="31" t="s">
        <v>723</v>
      </c>
      <c r="P341" s="31"/>
      <c r="Q341" s="31" t="s">
        <v>723</v>
      </c>
      <c r="R341" s="32"/>
      <c r="S341" s="32"/>
      <c r="T341" s="32"/>
      <c r="U341" s="29"/>
      <c r="V341" s="32" t="s">
        <v>718</v>
      </c>
    </row>
    <row r="342" spans="2:22" ht="32" x14ac:dyDescent="0.2">
      <c r="B342" s="29">
        <v>179</v>
      </c>
      <c r="C342" s="29" t="s">
        <v>36</v>
      </c>
      <c r="D342" s="29" t="s">
        <v>188</v>
      </c>
      <c r="E342" s="29" t="s">
        <v>398</v>
      </c>
      <c r="F342" s="29" t="s">
        <v>647</v>
      </c>
      <c r="G342" s="29">
        <v>2</v>
      </c>
      <c r="H342" s="29"/>
      <c r="I342" s="29" t="s">
        <v>703</v>
      </c>
      <c r="J342" s="30">
        <v>100000</v>
      </c>
      <c r="K342" s="30"/>
      <c r="L342" s="30"/>
      <c r="M342" s="30">
        <v>100000</v>
      </c>
      <c r="N342" s="29"/>
      <c r="O342" s="31" t="s">
        <v>731</v>
      </c>
      <c r="P342" s="31"/>
      <c r="Q342" s="31" t="s">
        <v>731</v>
      </c>
      <c r="R342" s="32"/>
      <c r="S342" s="32"/>
      <c r="T342" s="32"/>
      <c r="U342" s="29"/>
      <c r="V342" s="32" t="s">
        <v>718</v>
      </c>
    </row>
    <row r="343" spans="2:22" ht="32" x14ac:dyDescent="0.2">
      <c r="B343" s="29">
        <v>180</v>
      </c>
      <c r="C343" s="29" t="s">
        <v>36</v>
      </c>
      <c r="D343" s="29" t="s">
        <v>188</v>
      </c>
      <c r="E343" s="29" t="s">
        <v>398</v>
      </c>
      <c r="F343" s="29" t="s">
        <v>621</v>
      </c>
      <c r="G343" s="29">
        <v>1</v>
      </c>
      <c r="H343" s="29"/>
      <c r="I343" s="29" t="s">
        <v>694</v>
      </c>
      <c r="J343" s="30">
        <v>85000</v>
      </c>
      <c r="K343" s="30"/>
      <c r="L343" s="30"/>
      <c r="M343" s="30">
        <v>85000</v>
      </c>
      <c r="N343" s="29"/>
      <c r="O343" s="31" t="s">
        <v>724</v>
      </c>
      <c r="P343" s="31"/>
      <c r="Q343" s="31" t="s">
        <v>724</v>
      </c>
      <c r="R343" s="32" t="s">
        <v>785</v>
      </c>
      <c r="S343" s="32"/>
      <c r="T343" s="32"/>
      <c r="U343" s="29"/>
      <c r="V343" s="32" t="s">
        <v>711</v>
      </c>
    </row>
    <row r="344" spans="2:22" ht="16" x14ac:dyDescent="0.2">
      <c r="B344" s="29">
        <v>181</v>
      </c>
      <c r="C344" s="29" t="s">
        <v>36</v>
      </c>
      <c r="D344" s="29" t="s">
        <v>188</v>
      </c>
      <c r="E344" s="29" t="s">
        <v>398</v>
      </c>
      <c r="F344" s="29" t="s">
        <v>609</v>
      </c>
      <c r="G344" s="29">
        <v>1</v>
      </c>
      <c r="H344" s="29"/>
      <c r="I344" s="29" t="s">
        <v>685</v>
      </c>
      <c r="J344" s="30">
        <v>80000</v>
      </c>
      <c r="K344" s="30"/>
      <c r="L344" s="30"/>
      <c r="M344" s="30">
        <v>80000</v>
      </c>
      <c r="N344" s="29"/>
      <c r="O344" s="31" t="s">
        <v>729</v>
      </c>
      <c r="P344" s="31"/>
      <c r="Q344" s="31" t="s">
        <v>729</v>
      </c>
      <c r="R344" s="32" t="s">
        <v>785</v>
      </c>
      <c r="S344" s="32"/>
      <c r="T344" s="32"/>
      <c r="U344" s="29"/>
      <c r="V344" s="32" t="s">
        <v>20</v>
      </c>
    </row>
    <row r="345" spans="2:22" ht="96" hidden="1" x14ac:dyDescent="0.2">
      <c r="B345" s="29">
        <v>182</v>
      </c>
      <c r="C345" s="29" t="s">
        <v>385</v>
      </c>
      <c r="D345" s="29" t="s">
        <v>188</v>
      </c>
      <c r="E345" s="29" t="s">
        <v>398</v>
      </c>
      <c r="F345" s="29" t="s">
        <v>397</v>
      </c>
      <c r="G345" s="29">
        <v>1</v>
      </c>
      <c r="H345" s="29" t="s">
        <v>203</v>
      </c>
      <c r="I345" s="29" t="s">
        <v>399</v>
      </c>
      <c r="J345" s="30">
        <v>60000</v>
      </c>
      <c r="K345" s="30"/>
      <c r="L345" s="30"/>
      <c r="M345" s="30">
        <v>60000</v>
      </c>
      <c r="N345" s="29" t="s">
        <v>403</v>
      </c>
      <c r="O345" s="31"/>
      <c r="P345" s="31"/>
      <c r="Q345" s="31" t="s">
        <v>724</v>
      </c>
      <c r="R345" s="32" t="s">
        <v>415</v>
      </c>
      <c r="S345" s="32" t="s">
        <v>427</v>
      </c>
      <c r="T345" s="32" t="s">
        <v>439</v>
      </c>
      <c r="U345" s="29"/>
      <c r="V345" s="32" t="s">
        <v>451</v>
      </c>
    </row>
    <row r="346" spans="2:22" ht="32" x14ac:dyDescent="0.2">
      <c r="B346" s="29">
        <v>183</v>
      </c>
      <c r="C346" s="29" t="s">
        <v>36</v>
      </c>
      <c r="D346" s="29" t="s">
        <v>188</v>
      </c>
      <c r="E346" s="29" t="s">
        <v>398</v>
      </c>
      <c r="F346" s="29" t="s">
        <v>610</v>
      </c>
      <c r="G346" s="29">
        <v>1</v>
      </c>
      <c r="H346" s="29"/>
      <c r="I346" s="29" t="s">
        <v>686</v>
      </c>
      <c r="J346" s="30">
        <v>60000</v>
      </c>
      <c r="K346" s="30"/>
      <c r="L346" s="30"/>
      <c r="M346" s="30">
        <v>60000</v>
      </c>
      <c r="N346" s="29"/>
      <c r="O346" s="31" t="s">
        <v>723</v>
      </c>
      <c r="P346" s="31"/>
      <c r="Q346" s="31" t="s">
        <v>723</v>
      </c>
      <c r="R346" s="32" t="s">
        <v>876</v>
      </c>
      <c r="S346" s="32" t="s">
        <v>877</v>
      </c>
      <c r="T346" s="32"/>
      <c r="U346" s="29"/>
      <c r="V346" s="32" t="s">
        <v>709</v>
      </c>
    </row>
    <row r="347" spans="2:22" ht="16" x14ac:dyDescent="0.2">
      <c r="B347" s="29">
        <v>184</v>
      </c>
      <c r="C347" s="29" t="s">
        <v>36</v>
      </c>
      <c r="D347" s="29" t="s">
        <v>188</v>
      </c>
      <c r="E347" s="29" t="s">
        <v>398</v>
      </c>
      <c r="F347" s="29" t="s">
        <v>650</v>
      </c>
      <c r="G347" s="29">
        <v>1</v>
      </c>
      <c r="H347" s="29"/>
      <c r="I347" s="29" t="s">
        <v>702</v>
      </c>
      <c r="J347" s="30">
        <v>60000</v>
      </c>
      <c r="K347" s="30"/>
      <c r="L347" s="30"/>
      <c r="M347" s="30">
        <v>60000</v>
      </c>
      <c r="N347" s="29"/>
      <c r="O347" s="31" t="s">
        <v>721</v>
      </c>
      <c r="P347" s="31"/>
      <c r="Q347" s="31" t="s">
        <v>721</v>
      </c>
      <c r="R347" s="32" t="s">
        <v>878</v>
      </c>
      <c r="S347" s="32"/>
      <c r="T347" s="32"/>
      <c r="U347" s="29"/>
      <c r="V347" s="32" t="s">
        <v>709</v>
      </c>
    </row>
    <row r="348" spans="2:22" ht="32" x14ac:dyDescent="0.2">
      <c r="B348" s="29">
        <v>185</v>
      </c>
      <c r="C348" s="29" t="s">
        <v>36</v>
      </c>
      <c r="D348" s="29" t="s">
        <v>188</v>
      </c>
      <c r="E348" s="29" t="s">
        <v>398</v>
      </c>
      <c r="F348" s="29" t="s">
        <v>601</v>
      </c>
      <c r="G348" s="29">
        <v>1</v>
      </c>
      <c r="H348" s="29"/>
      <c r="I348" s="29" t="s">
        <v>680</v>
      </c>
      <c r="J348" s="30">
        <v>40000</v>
      </c>
      <c r="K348" s="30"/>
      <c r="L348" s="30"/>
      <c r="M348" s="30">
        <v>40000</v>
      </c>
      <c r="N348" s="29"/>
      <c r="O348" s="31" t="s">
        <v>37</v>
      </c>
      <c r="P348" s="31"/>
      <c r="Q348" s="31" t="s">
        <v>37</v>
      </c>
      <c r="R348" s="32" t="s">
        <v>785</v>
      </c>
      <c r="S348" s="32"/>
      <c r="T348" s="32"/>
      <c r="U348" s="29"/>
      <c r="V348" s="32" t="s">
        <v>715</v>
      </c>
    </row>
    <row r="349" spans="2:22" ht="32" x14ac:dyDescent="0.2">
      <c r="B349" s="29">
        <v>186</v>
      </c>
      <c r="C349" s="29" t="s">
        <v>36</v>
      </c>
      <c r="D349" s="29" t="s">
        <v>188</v>
      </c>
      <c r="E349" s="29" t="s">
        <v>398</v>
      </c>
      <c r="F349" s="29" t="s">
        <v>601</v>
      </c>
      <c r="G349" s="29">
        <v>1</v>
      </c>
      <c r="H349" s="29"/>
      <c r="I349" s="29" t="s">
        <v>682</v>
      </c>
      <c r="J349" s="30">
        <v>40000</v>
      </c>
      <c r="K349" s="30"/>
      <c r="L349" s="30"/>
      <c r="M349" s="30">
        <v>40000</v>
      </c>
      <c r="N349" s="29"/>
      <c r="O349" s="31" t="s">
        <v>724</v>
      </c>
      <c r="P349" s="31"/>
      <c r="Q349" s="31" t="s">
        <v>724</v>
      </c>
      <c r="R349" s="32" t="s">
        <v>785</v>
      </c>
      <c r="S349" s="32"/>
      <c r="T349" s="32"/>
      <c r="U349" s="29"/>
      <c r="V349" s="32" t="s">
        <v>715</v>
      </c>
    </row>
    <row r="350" spans="2:22" ht="16" x14ac:dyDescent="0.2">
      <c r="B350" s="29">
        <v>187</v>
      </c>
      <c r="C350" s="29" t="s">
        <v>36</v>
      </c>
      <c r="D350" s="29" t="s">
        <v>188</v>
      </c>
      <c r="E350" s="29" t="s">
        <v>398</v>
      </c>
      <c r="F350" s="29" t="s">
        <v>626</v>
      </c>
      <c r="G350" s="29">
        <v>1</v>
      </c>
      <c r="H350" s="29"/>
      <c r="I350" s="29" t="s">
        <v>698</v>
      </c>
      <c r="J350" s="30">
        <v>50000</v>
      </c>
      <c r="K350" s="30"/>
      <c r="L350" s="30"/>
      <c r="M350" s="30">
        <v>50000</v>
      </c>
      <c r="N350" s="29"/>
      <c r="O350" s="31" t="s">
        <v>722</v>
      </c>
      <c r="P350" s="31"/>
      <c r="Q350" s="31" t="s">
        <v>722</v>
      </c>
      <c r="R350" s="32"/>
      <c r="S350" s="32"/>
      <c r="T350" s="32"/>
      <c r="U350" s="29"/>
      <c r="V350" s="32" t="s">
        <v>717</v>
      </c>
    </row>
    <row r="351" spans="2:22" ht="16" x14ac:dyDescent="0.2">
      <c r="B351" s="29">
        <v>188</v>
      </c>
      <c r="C351" s="29" t="s">
        <v>36</v>
      </c>
      <c r="D351" s="29" t="s">
        <v>188</v>
      </c>
      <c r="E351" s="29" t="s">
        <v>398</v>
      </c>
      <c r="F351" s="29" t="s">
        <v>611</v>
      </c>
      <c r="G351" s="29">
        <v>1</v>
      </c>
      <c r="H351" s="29"/>
      <c r="I351" s="29" t="s">
        <v>701</v>
      </c>
      <c r="J351" s="30">
        <v>40000</v>
      </c>
      <c r="K351" s="30"/>
      <c r="L351" s="30"/>
      <c r="M351" s="30">
        <v>40000</v>
      </c>
      <c r="N351" s="29"/>
      <c r="O351" s="31" t="s">
        <v>37</v>
      </c>
      <c r="P351" s="31"/>
      <c r="Q351" s="31" t="s">
        <v>37</v>
      </c>
      <c r="R351" s="32" t="s">
        <v>710</v>
      </c>
      <c r="S351" s="32"/>
      <c r="T351" s="32"/>
      <c r="U351" s="29"/>
      <c r="V351" s="32" t="s">
        <v>710</v>
      </c>
    </row>
    <row r="352" spans="2:22" ht="32" x14ac:dyDescent="0.2">
      <c r="B352" s="29">
        <v>189</v>
      </c>
      <c r="C352" s="29" t="s">
        <v>36</v>
      </c>
      <c r="D352" s="29" t="s">
        <v>188</v>
      </c>
      <c r="E352" s="29" t="s">
        <v>398</v>
      </c>
      <c r="F352" s="29" t="s">
        <v>646</v>
      </c>
      <c r="G352" s="29">
        <v>1</v>
      </c>
      <c r="H352" s="29"/>
      <c r="I352" s="29" t="s">
        <v>703</v>
      </c>
      <c r="J352" s="30">
        <v>20000</v>
      </c>
      <c r="K352" s="30"/>
      <c r="L352" s="30"/>
      <c r="M352" s="30">
        <v>20000</v>
      </c>
      <c r="N352" s="29"/>
      <c r="O352" s="31" t="s">
        <v>723</v>
      </c>
      <c r="P352" s="31"/>
      <c r="Q352" s="31" t="s">
        <v>723</v>
      </c>
      <c r="R352" s="32" t="s">
        <v>802</v>
      </c>
      <c r="S352" s="32"/>
      <c r="T352" s="32"/>
      <c r="U352" s="29"/>
      <c r="V352" s="32" t="s">
        <v>718</v>
      </c>
    </row>
    <row r="353" spans="2:22" ht="16" hidden="1" thickBot="1" x14ac:dyDescent="0.25">
      <c r="B353" s="16" t="s">
        <v>27</v>
      </c>
      <c r="C353" s="16" t="s">
        <v>8</v>
      </c>
      <c r="D353" s="16"/>
      <c r="E353" s="16" t="s">
        <v>8</v>
      </c>
      <c r="F353" s="16" t="s">
        <v>38</v>
      </c>
      <c r="G353" s="16" t="s">
        <v>38</v>
      </c>
      <c r="H353" s="16" t="s">
        <v>38</v>
      </c>
      <c r="I353" s="16" t="s">
        <v>38</v>
      </c>
      <c r="J353" s="17">
        <f>_xlfn.AGGREGATE(9,5,J5:J352)</f>
        <v>514520000</v>
      </c>
      <c r="K353" s="17">
        <f t="shared" ref="K353:M353" si="15">_xlfn.AGGREGATE(9,5,K5:K352)</f>
        <v>2500000</v>
      </c>
      <c r="L353" s="17">
        <f t="shared" si="15"/>
        <v>2500000</v>
      </c>
      <c r="M353" s="17">
        <f t="shared" si="15"/>
        <v>462305000</v>
      </c>
      <c r="N353" s="16" t="s">
        <v>38</v>
      </c>
      <c r="O353" s="16" t="s">
        <v>38</v>
      </c>
      <c r="P353" s="16" t="s">
        <v>38</v>
      </c>
      <c r="Q353" s="16"/>
      <c r="R353" s="16" t="s">
        <v>38</v>
      </c>
      <c r="S353" s="16" t="s">
        <v>38</v>
      </c>
      <c r="T353" s="16" t="s">
        <v>38</v>
      </c>
      <c r="U353" s="16" t="s">
        <v>38</v>
      </c>
      <c r="V353" s="16" t="s">
        <v>38</v>
      </c>
    </row>
  </sheetData>
  <autoFilter ref="B4:V353" xr:uid="{00000000-0001-0000-0000-000000000000}">
    <filterColumn colId="1">
      <filters>
        <filter val="Biomedical"/>
      </filters>
    </filterColumn>
    <sortState xmlns:xlrd2="http://schemas.microsoft.com/office/spreadsheetml/2017/richdata2" ref="B126:V161">
      <sortCondition descending="1" ref="J4:J353"/>
    </sortState>
  </autoFilter>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612D0-02D7-3C46-84FC-8687F367997A}">
  <dimension ref="A1:AC181"/>
  <sheetViews>
    <sheetView zoomScale="80" zoomScaleNormal="80" workbookViewId="0">
      <pane ySplit="1" topLeftCell="A2" activePane="bottomLeft" state="frozen"/>
      <selection activeCell="J1" sqref="J1"/>
      <selection pane="bottomLeft" activeCell="L3" sqref="L3"/>
    </sheetView>
  </sheetViews>
  <sheetFormatPr baseColWidth="10" defaultColWidth="9" defaultRowHeight="14" x14ac:dyDescent="0.2"/>
  <cols>
    <col min="1" max="1" width="5" style="69" customWidth="1"/>
    <col min="2" max="2" width="17.1640625" style="69" customWidth="1"/>
    <col min="3" max="3" width="17.83203125" style="69" customWidth="1"/>
    <col min="4" max="4" width="11.1640625" style="70" customWidth="1"/>
    <col min="5" max="5" width="14.6640625" style="70" customWidth="1"/>
    <col min="6" max="6" width="4.6640625" style="69" customWidth="1"/>
    <col min="7" max="7" width="13.83203125" style="69" hidden="1" customWidth="1"/>
    <col min="8" max="8" width="14.83203125" style="70" customWidth="1"/>
    <col min="9" max="9" width="26.83203125" style="69" customWidth="1"/>
    <col min="10" max="10" width="22.83203125" style="69" hidden="1" customWidth="1"/>
    <col min="11" max="11" width="21.1640625" style="69" customWidth="1"/>
    <col min="12" max="12" width="17.5" style="69" customWidth="1"/>
    <col min="13" max="13" width="15.5" style="69" hidden="1" customWidth="1"/>
    <col min="14" max="14" width="0" style="69" hidden="1" customWidth="1"/>
    <col min="15" max="15" width="4" style="69" hidden="1" customWidth="1"/>
    <col min="16" max="16" width="10" style="69" hidden="1" customWidth="1"/>
    <col min="17" max="17" width="15.1640625" style="69" hidden="1" customWidth="1"/>
    <col min="18" max="18" width="12.5" style="69" hidden="1" customWidth="1"/>
    <col min="19" max="19" width="14.83203125" style="69" hidden="1" customWidth="1"/>
    <col min="20" max="20" width="12.6640625" style="70" hidden="1" customWidth="1"/>
    <col min="21" max="21" width="12.33203125" style="70" hidden="1" customWidth="1"/>
    <col min="22" max="22" width="12" style="70" hidden="1" customWidth="1"/>
    <col min="23" max="23" width="10.33203125" style="70" hidden="1" customWidth="1"/>
    <col min="24" max="24" width="11.6640625" style="70" hidden="1" customWidth="1"/>
    <col min="25" max="25" width="25.83203125" style="69" hidden="1" customWidth="1"/>
    <col min="26" max="26" width="19" style="39" customWidth="1"/>
    <col min="27" max="27" width="9" style="39"/>
    <col min="28" max="28" width="12.6640625" style="39" bestFit="1" customWidth="1"/>
    <col min="29" max="29" width="23.6640625" style="56" bestFit="1" customWidth="1"/>
    <col min="30" max="16384" width="9" style="39"/>
  </cols>
  <sheetData>
    <row r="1" spans="1:29" ht="81" customHeight="1" x14ac:dyDescent="0.2">
      <c r="A1" s="36" t="s">
        <v>879</v>
      </c>
      <c r="B1" s="36" t="s">
        <v>22</v>
      </c>
      <c r="C1" s="36" t="s">
        <v>39</v>
      </c>
      <c r="D1" s="36" t="s">
        <v>185</v>
      </c>
      <c r="E1" s="36" t="s">
        <v>1</v>
      </c>
      <c r="F1" s="36" t="s">
        <v>18</v>
      </c>
      <c r="G1" s="36" t="s">
        <v>2</v>
      </c>
      <c r="H1" s="36" t="s">
        <v>3</v>
      </c>
      <c r="I1" s="36" t="s">
        <v>4</v>
      </c>
      <c r="J1" s="36" t="s">
        <v>741</v>
      </c>
      <c r="K1" s="36" t="s">
        <v>741</v>
      </c>
      <c r="L1" s="36" t="s">
        <v>745</v>
      </c>
      <c r="M1" s="36" t="s">
        <v>9</v>
      </c>
      <c r="N1" s="36" t="s">
        <v>10</v>
      </c>
      <c r="O1" s="36" t="s">
        <v>741</v>
      </c>
      <c r="P1" s="36" t="s">
        <v>732</v>
      </c>
      <c r="Q1" s="36" t="s">
        <v>13</v>
      </c>
      <c r="R1" s="36" t="s">
        <v>14</v>
      </c>
      <c r="S1" s="36" t="s">
        <v>15</v>
      </c>
      <c r="T1" s="36" t="s">
        <v>17</v>
      </c>
      <c r="U1" s="36" t="s">
        <v>880</v>
      </c>
      <c r="V1" s="36" t="s">
        <v>881</v>
      </c>
      <c r="W1" s="36" t="s">
        <v>882</v>
      </c>
      <c r="X1" s="36" t="s">
        <v>883</v>
      </c>
      <c r="Y1" s="36" t="s">
        <v>884</v>
      </c>
      <c r="Z1" s="37" t="s">
        <v>885</v>
      </c>
      <c r="AA1" s="37" t="s">
        <v>886</v>
      </c>
      <c r="AB1" s="37" t="s">
        <v>887</v>
      </c>
      <c r="AC1" s="38" t="s">
        <v>888</v>
      </c>
    </row>
    <row r="2" spans="1:29" ht="15" x14ac:dyDescent="0.2">
      <c r="A2" s="40"/>
      <c r="B2" s="40"/>
      <c r="C2" s="40"/>
      <c r="D2" s="41"/>
      <c r="E2" s="41"/>
      <c r="F2" s="40"/>
      <c r="G2" s="40"/>
      <c r="H2" s="41"/>
      <c r="I2" s="40" t="s">
        <v>5</v>
      </c>
      <c r="J2" s="40" t="s">
        <v>6</v>
      </c>
      <c r="K2" s="40" t="s">
        <v>7</v>
      </c>
      <c r="L2" s="40" t="s">
        <v>8</v>
      </c>
      <c r="M2" s="40"/>
      <c r="N2" s="41" t="s">
        <v>11</v>
      </c>
      <c r="O2" s="40" t="s">
        <v>12</v>
      </c>
      <c r="P2" s="40"/>
      <c r="Q2" s="40"/>
      <c r="R2" s="40"/>
      <c r="S2" s="40"/>
      <c r="T2" s="41"/>
      <c r="U2" s="41"/>
      <c r="V2" s="41"/>
      <c r="W2" s="41"/>
      <c r="X2" s="41"/>
      <c r="Y2" s="40"/>
      <c r="Z2" s="42"/>
      <c r="AA2" s="42"/>
      <c r="AB2" s="42"/>
      <c r="AC2" s="43"/>
    </row>
    <row r="3" spans="1:29" ht="96" customHeight="1" x14ac:dyDescent="0.2">
      <c r="A3" s="44">
        <v>1</v>
      </c>
      <c r="B3" s="44" t="s">
        <v>36</v>
      </c>
      <c r="C3" s="44" t="s">
        <v>188</v>
      </c>
      <c r="D3" s="45" t="s">
        <v>398</v>
      </c>
      <c r="E3" s="45" t="s">
        <v>566</v>
      </c>
      <c r="F3" s="44">
        <v>50</v>
      </c>
      <c r="G3" s="44"/>
      <c r="H3" s="45" t="s">
        <v>669</v>
      </c>
      <c r="I3" s="46">
        <v>150000000</v>
      </c>
      <c r="J3" s="46"/>
      <c r="K3" s="46"/>
      <c r="L3" s="46">
        <v>7500000</v>
      </c>
      <c r="M3" s="44"/>
      <c r="N3" s="47" t="s">
        <v>728</v>
      </c>
      <c r="O3" s="47"/>
      <c r="P3" s="47" t="s">
        <v>728</v>
      </c>
      <c r="Q3" s="45" t="s">
        <v>749</v>
      </c>
      <c r="R3" s="45" t="s">
        <v>750</v>
      </c>
      <c r="S3" s="45"/>
      <c r="T3" s="45"/>
      <c r="U3" s="45" t="s">
        <v>20</v>
      </c>
      <c r="V3" s="45" t="s">
        <v>889</v>
      </c>
      <c r="W3" s="45" t="s">
        <v>890</v>
      </c>
      <c r="X3" s="45"/>
      <c r="Y3" s="44" t="s">
        <v>845</v>
      </c>
      <c r="Z3" s="42"/>
      <c r="AA3" s="42"/>
      <c r="AB3" s="42"/>
      <c r="AC3" s="48" t="s">
        <v>891</v>
      </c>
    </row>
    <row r="4" spans="1:29" ht="96" customHeight="1" x14ac:dyDescent="0.2">
      <c r="A4" s="49">
        <v>2</v>
      </c>
      <c r="B4" s="49" t="s">
        <v>36</v>
      </c>
      <c r="C4" s="49" t="s">
        <v>188</v>
      </c>
      <c r="D4" s="50" t="s">
        <v>398</v>
      </c>
      <c r="E4" s="50" t="s">
        <v>632</v>
      </c>
      <c r="F4" s="49">
        <v>2</v>
      </c>
      <c r="G4" s="49"/>
      <c r="H4" s="50" t="s">
        <v>33</v>
      </c>
      <c r="I4" s="51">
        <v>20000000</v>
      </c>
      <c r="J4" s="51"/>
      <c r="K4" s="51"/>
      <c r="L4" s="51">
        <v>40000000</v>
      </c>
      <c r="M4" s="49"/>
      <c r="N4" s="52" t="s">
        <v>725</v>
      </c>
      <c r="O4" s="52"/>
      <c r="P4" s="52" t="s">
        <v>725</v>
      </c>
      <c r="Q4" s="50" t="s">
        <v>751</v>
      </c>
      <c r="R4" s="50" t="s">
        <v>752</v>
      </c>
      <c r="S4" s="50"/>
      <c r="T4" s="50" t="s">
        <v>753</v>
      </c>
      <c r="U4" s="50" t="s">
        <v>718</v>
      </c>
      <c r="V4" s="50" t="s">
        <v>892</v>
      </c>
      <c r="W4" s="50" t="s">
        <v>893</v>
      </c>
      <c r="X4" s="50" t="s">
        <v>894</v>
      </c>
      <c r="Y4" s="49" t="s">
        <v>895</v>
      </c>
      <c r="Z4" s="53">
        <v>2</v>
      </c>
      <c r="AA4" s="53">
        <v>2</v>
      </c>
      <c r="AB4" s="51">
        <v>40000000</v>
      </c>
      <c r="AC4" s="54" t="s">
        <v>896</v>
      </c>
    </row>
    <row r="5" spans="1:29" ht="96" customHeight="1" x14ac:dyDescent="0.2">
      <c r="A5" s="44">
        <v>3</v>
      </c>
      <c r="B5" s="44" t="s">
        <v>36</v>
      </c>
      <c r="C5" s="44" t="s">
        <v>188</v>
      </c>
      <c r="D5" s="45" t="s">
        <v>398</v>
      </c>
      <c r="E5" s="45" t="s">
        <v>754</v>
      </c>
      <c r="F5" s="44">
        <v>1</v>
      </c>
      <c r="G5" s="44"/>
      <c r="H5" s="45" t="s">
        <v>755</v>
      </c>
      <c r="I5" s="46">
        <v>30000000</v>
      </c>
      <c r="J5" s="46"/>
      <c r="K5" s="46"/>
      <c r="L5" s="46">
        <v>30000000</v>
      </c>
      <c r="M5" s="44"/>
      <c r="N5" s="47" t="s">
        <v>723</v>
      </c>
      <c r="O5" s="47"/>
      <c r="P5" s="47" t="s">
        <v>723</v>
      </c>
      <c r="Q5" s="45" t="s">
        <v>756</v>
      </c>
      <c r="R5" s="45" t="s">
        <v>757</v>
      </c>
      <c r="S5" s="45"/>
      <c r="T5" s="45" t="s">
        <v>753</v>
      </c>
      <c r="U5" s="45" t="s">
        <v>709</v>
      </c>
      <c r="V5" s="45" t="s">
        <v>756</v>
      </c>
      <c r="W5" s="45" t="s">
        <v>897</v>
      </c>
      <c r="X5" s="45" t="s">
        <v>898</v>
      </c>
      <c r="Y5" s="44" t="s">
        <v>845</v>
      </c>
      <c r="Z5" s="42"/>
      <c r="AA5" s="42"/>
      <c r="AB5" s="42"/>
      <c r="AC5" s="43" t="s">
        <v>899</v>
      </c>
    </row>
    <row r="6" spans="1:29" ht="96" customHeight="1" x14ac:dyDescent="0.2">
      <c r="A6" s="44">
        <v>4</v>
      </c>
      <c r="B6" s="44" t="s">
        <v>36</v>
      </c>
      <c r="C6" s="44" t="s">
        <v>188</v>
      </c>
      <c r="D6" s="50" t="s">
        <v>398</v>
      </c>
      <c r="E6" s="50" t="s">
        <v>758</v>
      </c>
      <c r="F6" s="49">
        <v>1</v>
      </c>
      <c r="G6" s="49"/>
      <c r="H6" s="50" t="s">
        <v>662</v>
      </c>
      <c r="I6" s="51">
        <v>25000000</v>
      </c>
      <c r="J6" s="51"/>
      <c r="K6" s="51"/>
      <c r="L6" s="51">
        <v>25000000</v>
      </c>
      <c r="M6" s="49"/>
      <c r="N6" s="52" t="s">
        <v>727</v>
      </c>
      <c r="O6" s="52"/>
      <c r="P6" s="52" t="s">
        <v>727</v>
      </c>
      <c r="Q6" s="50" t="s">
        <v>759</v>
      </c>
      <c r="R6" s="50" t="s">
        <v>760</v>
      </c>
      <c r="S6" s="50"/>
      <c r="T6" s="50" t="s">
        <v>753</v>
      </c>
      <c r="U6" s="50"/>
      <c r="V6" s="50" t="s">
        <v>892</v>
      </c>
      <c r="W6" s="50" t="s">
        <v>900</v>
      </c>
      <c r="X6" s="50" t="s">
        <v>901</v>
      </c>
      <c r="Y6" s="49" t="s">
        <v>845</v>
      </c>
      <c r="Z6" s="53">
        <v>1</v>
      </c>
      <c r="AA6" s="53">
        <v>1</v>
      </c>
      <c r="AB6" s="51">
        <v>25000000</v>
      </c>
      <c r="AC6" s="55" t="s">
        <v>896</v>
      </c>
    </row>
    <row r="7" spans="1:29" ht="96" customHeight="1" x14ac:dyDescent="0.2">
      <c r="A7" s="44">
        <v>5</v>
      </c>
      <c r="B7" s="44" t="s">
        <v>36</v>
      </c>
      <c r="C7" s="44" t="s">
        <v>188</v>
      </c>
      <c r="D7" s="50" t="s">
        <v>398</v>
      </c>
      <c r="E7" s="50" t="s">
        <v>761</v>
      </c>
      <c r="F7" s="49">
        <v>10</v>
      </c>
      <c r="G7" s="49"/>
      <c r="H7" s="50" t="s">
        <v>677</v>
      </c>
      <c r="I7" s="51">
        <v>2250000</v>
      </c>
      <c r="J7" s="51"/>
      <c r="K7" s="51"/>
      <c r="L7" s="51">
        <v>22500000</v>
      </c>
      <c r="M7" s="49"/>
      <c r="N7" s="52" t="s">
        <v>723</v>
      </c>
      <c r="O7" s="52"/>
      <c r="P7" s="52" t="s">
        <v>723</v>
      </c>
      <c r="Q7" s="50" t="s">
        <v>762</v>
      </c>
      <c r="R7" s="50" t="s">
        <v>763</v>
      </c>
      <c r="S7" s="50"/>
      <c r="T7" s="50" t="s">
        <v>753</v>
      </c>
      <c r="U7" s="50" t="s">
        <v>20</v>
      </c>
      <c r="V7" s="50" t="s">
        <v>892</v>
      </c>
      <c r="W7" s="50" t="s">
        <v>902</v>
      </c>
      <c r="X7" s="50" t="s">
        <v>903</v>
      </c>
      <c r="Y7" s="49" t="s">
        <v>845</v>
      </c>
      <c r="Z7" s="53" t="s">
        <v>904</v>
      </c>
      <c r="AA7" s="53">
        <v>10</v>
      </c>
      <c r="AB7" s="51">
        <v>22500000</v>
      </c>
      <c r="AC7" s="55" t="s">
        <v>896</v>
      </c>
    </row>
    <row r="8" spans="1:29" ht="96" customHeight="1" x14ac:dyDescent="0.2">
      <c r="A8" s="44">
        <v>6</v>
      </c>
      <c r="B8" s="44" t="s">
        <v>36</v>
      </c>
      <c r="C8" s="44" t="s">
        <v>188</v>
      </c>
      <c r="D8" s="45" t="s">
        <v>398</v>
      </c>
      <c r="E8" s="45" t="s">
        <v>747</v>
      </c>
      <c r="F8" s="44">
        <v>1</v>
      </c>
      <c r="G8" s="44"/>
      <c r="H8" s="45" t="s">
        <v>463</v>
      </c>
      <c r="I8" s="46">
        <v>25000000</v>
      </c>
      <c r="J8" s="46"/>
      <c r="K8" s="46"/>
      <c r="L8" s="46">
        <v>25000000</v>
      </c>
      <c r="M8" s="44"/>
      <c r="N8" s="47" t="s">
        <v>731</v>
      </c>
      <c r="O8" s="47"/>
      <c r="P8" s="47" t="s">
        <v>731</v>
      </c>
      <c r="Q8" s="45" t="s">
        <v>756</v>
      </c>
      <c r="R8" s="45" t="s">
        <v>764</v>
      </c>
      <c r="S8" s="45"/>
      <c r="T8" s="45" t="s">
        <v>753</v>
      </c>
      <c r="U8" s="45" t="s">
        <v>709</v>
      </c>
      <c r="V8" s="45" t="s">
        <v>905</v>
      </c>
      <c r="W8" s="45" t="s">
        <v>906</v>
      </c>
      <c r="X8" s="45" t="s">
        <v>907</v>
      </c>
      <c r="Y8" s="44" t="s">
        <v>845</v>
      </c>
      <c r="Z8" s="42"/>
      <c r="AA8" s="42"/>
      <c r="AB8" s="42"/>
      <c r="AC8" s="43" t="s">
        <v>908</v>
      </c>
    </row>
    <row r="9" spans="1:29" ht="96" customHeight="1" x14ac:dyDescent="0.2">
      <c r="A9" s="49">
        <v>7</v>
      </c>
      <c r="B9" s="49" t="s">
        <v>36</v>
      </c>
      <c r="C9" s="49" t="s">
        <v>188</v>
      </c>
      <c r="D9" s="50" t="s">
        <v>398</v>
      </c>
      <c r="E9" s="50" t="s">
        <v>639</v>
      </c>
      <c r="F9" s="49">
        <v>1</v>
      </c>
      <c r="G9" s="49"/>
      <c r="H9" s="50" t="s">
        <v>33</v>
      </c>
      <c r="I9" s="51">
        <v>20000000</v>
      </c>
      <c r="J9" s="51"/>
      <c r="K9" s="51"/>
      <c r="L9" s="51">
        <v>20000000</v>
      </c>
      <c r="M9" s="49"/>
      <c r="N9" s="52" t="s">
        <v>722</v>
      </c>
      <c r="O9" s="52"/>
      <c r="P9" s="52" t="s">
        <v>722</v>
      </c>
      <c r="Q9" s="50" t="s">
        <v>765</v>
      </c>
      <c r="R9" s="50" t="s">
        <v>766</v>
      </c>
      <c r="S9" s="50"/>
      <c r="T9" s="50" t="s">
        <v>753</v>
      </c>
      <c r="U9" s="50" t="s">
        <v>20</v>
      </c>
      <c r="V9" s="50" t="s">
        <v>892</v>
      </c>
      <c r="W9" s="50" t="s">
        <v>893</v>
      </c>
      <c r="X9" s="50" t="s">
        <v>909</v>
      </c>
      <c r="Y9" s="49"/>
      <c r="Z9" s="53">
        <v>1</v>
      </c>
      <c r="AA9" s="53">
        <v>1</v>
      </c>
      <c r="AB9" s="51">
        <v>20000000</v>
      </c>
      <c r="AC9" s="55" t="s">
        <v>896</v>
      </c>
    </row>
    <row r="10" spans="1:29" ht="96" customHeight="1" x14ac:dyDescent="0.2">
      <c r="A10" s="49">
        <v>8</v>
      </c>
      <c r="B10" s="49" t="s">
        <v>36</v>
      </c>
      <c r="C10" s="49" t="s">
        <v>188</v>
      </c>
      <c r="D10" s="50" t="s">
        <v>398</v>
      </c>
      <c r="E10" s="50" t="s">
        <v>629</v>
      </c>
      <c r="F10" s="49">
        <v>1</v>
      </c>
      <c r="G10" s="49"/>
      <c r="H10" s="50" t="s">
        <v>699</v>
      </c>
      <c r="I10" s="51">
        <v>18000000</v>
      </c>
      <c r="J10" s="51"/>
      <c r="K10" s="51"/>
      <c r="L10" s="51">
        <v>18000000</v>
      </c>
      <c r="M10" s="49"/>
      <c r="N10" s="52" t="s">
        <v>724</v>
      </c>
      <c r="O10" s="52"/>
      <c r="P10" s="52" t="s">
        <v>724</v>
      </c>
      <c r="Q10" s="50" t="s">
        <v>767</v>
      </c>
      <c r="R10" s="50" t="s">
        <v>768</v>
      </c>
      <c r="S10" s="50"/>
      <c r="T10" s="50" t="s">
        <v>753</v>
      </c>
      <c r="U10" s="50" t="s">
        <v>20</v>
      </c>
      <c r="V10" s="50" t="s">
        <v>892</v>
      </c>
      <c r="W10" s="50" t="s">
        <v>910</v>
      </c>
      <c r="X10" s="50" t="s">
        <v>911</v>
      </c>
      <c r="Y10" s="49" t="s">
        <v>845</v>
      </c>
      <c r="Z10" s="53">
        <v>1</v>
      </c>
      <c r="AA10" s="53">
        <v>1</v>
      </c>
      <c r="AB10" s="51">
        <v>18000000</v>
      </c>
      <c r="AC10" s="55" t="s">
        <v>896</v>
      </c>
    </row>
    <row r="11" spans="1:29" ht="96" customHeight="1" x14ac:dyDescent="0.2">
      <c r="A11" s="44">
        <v>9</v>
      </c>
      <c r="B11" s="44" t="s">
        <v>36</v>
      </c>
      <c r="C11" s="44" t="s">
        <v>188</v>
      </c>
      <c r="D11" s="45" t="s">
        <v>398</v>
      </c>
      <c r="E11" s="45" t="s">
        <v>623</v>
      </c>
      <c r="F11" s="44">
        <v>1</v>
      </c>
      <c r="G11" s="44"/>
      <c r="H11" s="45" t="s">
        <v>691</v>
      </c>
      <c r="I11" s="46">
        <v>15000000</v>
      </c>
      <c r="J11" s="46"/>
      <c r="K11" s="46"/>
      <c r="L11" s="46">
        <v>15000000</v>
      </c>
      <c r="M11" s="44"/>
      <c r="N11" s="47" t="s">
        <v>37</v>
      </c>
      <c r="O11" s="47"/>
      <c r="P11" s="47" t="s">
        <v>37</v>
      </c>
      <c r="Q11" s="45" t="s">
        <v>769</v>
      </c>
      <c r="R11" s="45" t="s">
        <v>770</v>
      </c>
      <c r="S11" s="45"/>
      <c r="T11" s="45" t="s">
        <v>753</v>
      </c>
      <c r="U11" s="45" t="s">
        <v>716</v>
      </c>
      <c r="V11" s="45" t="s">
        <v>709</v>
      </c>
      <c r="W11" s="45" t="s">
        <v>912</v>
      </c>
      <c r="X11" s="45" t="s">
        <v>913</v>
      </c>
      <c r="Y11" s="44" t="s">
        <v>914</v>
      </c>
      <c r="Z11" s="42"/>
      <c r="AA11" s="42"/>
      <c r="AB11" s="42"/>
      <c r="AC11" s="43" t="s">
        <v>915</v>
      </c>
    </row>
    <row r="12" spans="1:29" ht="96" customHeight="1" x14ac:dyDescent="0.2">
      <c r="A12" s="44">
        <v>10</v>
      </c>
      <c r="B12" s="44" t="s">
        <v>36</v>
      </c>
      <c r="C12" s="44" t="s">
        <v>188</v>
      </c>
      <c r="D12" s="50" t="s">
        <v>398</v>
      </c>
      <c r="E12" s="50" t="s">
        <v>771</v>
      </c>
      <c r="F12" s="49">
        <v>1</v>
      </c>
      <c r="G12" s="49"/>
      <c r="H12" s="50" t="s">
        <v>663</v>
      </c>
      <c r="I12" s="51">
        <v>10000000</v>
      </c>
      <c r="J12" s="51"/>
      <c r="K12" s="51"/>
      <c r="L12" s="51">
        <v>10000000</v>
      </c>
      <c r="M12" s="49"/>
      <c r="N12" s="52" t="s">
        <v>728</v>
      </c>
      <c r="O12" s="52"/>
      <c r="P12" s="52" t="s">
        <v>728</v>
      </c>
      <c r="Q12" s="50" t="s">
        <v>772</v>
      </c>
      <c r="R12" s="50" t="s">
        <v>773</v>
      </c>
      <c r="S12" s="50"/>
      <c r="T12" s="50" t="s">
        <v>753</v>
      </c>
      <c r="U12" s="50" t="s">
        <v>708</v>
      </c>
      <c r="V12" s="50" t="s">
        <v>20</v>
      </c>
      <c r="W12" s="50" t="s">
        <v>916</v>
      </c>
      <c r="X12" s="50"/>
      <c r="Y12" s="49" t="s">
        <v>845</v>
      </c>
      <c r="Z12" s="53">
        <v>1</v>
      </c>
      <c r="AA12" s="53">
        <v>1</v>
      </c>
      <c r="AB12" s="51">
        <v>10000000</v>
      </c>
      <c r="AC12" s="55" t="s">
        <v>896</v>
      </c>
    </row>
    <row r="13" spans="1:29" s="56" customFormat="1" ht="96" customHeight="1" x14ac:dyDescent="0.2">
      <c r="A13" s="44">
        <v>11</v>
      </c>
      <c r="B13" s="44" t="s">
        <v>36</v>
      </c>
      <c r="C13" s="44" t="s">
        <v>188</v>
      </c>
      <c r="D13" s="50" t="s">
        <v>398</v>
      </c>
      <c r="E13" s="50" t="s">
        <v>555</v>
      </c>
      <c r="F13" s="49">
        <v>1</v>
      </c>
      <c r="G13" s="49"/>
      <c r="H13" s="50" t="s">
        <v>665</v>
      </c>
      <c r="I13" s="51">
        <v>10000000</v>
      </c>
      <c r="J13" s="51"/>
      <c r="K13" s="51"/>
      <c r="L13" s="51">
        <v>10000000</v>
      </c>
      <c r="M13" s="49"/>
      <c r="N13" s="52" t="s">
        <v>731</v>
      </c>
      <c r="O13" s="52"/>
      <c r="P13" s="52" t="s">
        <v>731</v>
      </c>
      <c r="Q13" s="50" t="s">
        <v>774</v>
      </c>
      <c r="R13" s="50"/>
      <c r="S13" s="50"/>
      <c r="T13" s="50" t="s">
        <v>753</v>
      </c>
      <c r="U13" s="50" t="s">
        <v>20</v>
      </c>
      <c r="V13" s="50" t="s">
        <v>20</v>
      </c>
      <c r="W13" s="50" t="s">
        <v>917</v>
      </c>
      <c r="X13" s="50" t="s">
        <v>918</v>
      </c>
      <c r="Y13" s="49" t="s">
        <v>845</v>
      </c>
      <c r="Z13" s="55">
        <v>1</v>
      </c>
      <c r="AA13" s="55">
        <v>1</v>
      </c>
      <c r="AB13" s="51">
        <v>10000000</v>
      </c>
      <c r="AC13" s="55" t="s">
        <v>896</v>
      </c>
    </row>
    <row r="14" spans="1:29" ht="96" customHeight="1" x14ac:dyDescent="0.2">
      <c r="A14" s="44">
        <v>12</v>
      </c>
      <c r="B14" s="44" t="s">
        <v>36</v>
      </c>
      <c r="C14" s="44" t="s">
        <v>188</v>
      </c>
      <c r="D14" s="50" t="s">
        <v>398</v>
      </c>
      <c r="E14" s="50" t="s">
        <v>640</v>
      </c>
      <c r="F14" s="49">
        <v>1</v>
      </c>
      <c r="G14" s="49"/>
      <c r="H14" s="50" t="s">
        <v>703</v>
      </c>
      <c r="I14" s="51">
        <v>10000000</v>
      </c>
      <c r="J14" s="51"/>
      <c r="K14" s="51"/>
      <c r="L14" s="51">
        <v>10000000</v>
      </c>
      <c r="M14" s="49"/>
      <c r="N14" s="52" t="s">
        <v>722</v>
      </c>
      <c r="O14" s="52"/>
      <c r="P14" s="52" t="s">
        <v>722</v>
      </c>
      <c r="Q14" s="50" t="s">
        <v>775</v>
      </c>
      <c r="R14" s="50" t="s">
        <v>776</v>
      </c>
      <c r="S14" s="50"/>
      <c r="T14" s="50" t="s">
        <v>753</v>
      </c>
      <c r="U14" s="50" t="s">
        <v>719</v>
      </c>
      <c r="V14" s="50" t="s">
        <v>719</v>
      </c>
      <c r="W14" s="50" t="s">
        <v>919</v>
      </c>
      <c r="X14" s="50"/>
      <c r="Y14" s="49" t="s">
        <v>845</v>
      </c>
      <c r="Z14" s="53">
        <v>1</v>
      </c>
      <c r="AA14" s="53">
        <v>1</v>
      </c>
      <c r="AB14" s="51">
        <v>10000000</v>
      </c>
      <c r="AC14" s="55" t="s">
        <v>896</v>
      </c>
    </row>
    <row r="15" spans="1:29" ht="96" customHeight="1" x14ac:dyDescent="0.2">
      <c r="A15" s="44">
        <v>13</v>
      </c>
      <c r="B15" s="44" t="s">
        <v>36</v>
      </c>
      <c r="C15" s="44" t="s">
        <v>188</v>
      </c>
      <c r="D15" s="50" t="s">
        <v>398</v>
      </c>
      <c r="E15" s="50" t="s">
        <v>540</v>
      </c>
      <c r="F15" s="49">
        <v>3</v>
      </c>
      <c r="G15" s="49"/>
      <c r="H15" s="50" t="s">
        <v>663</v>
      </c>
      <c r="I15" s="51">
        <v>3000000</v>
      </c>
      <c r="J15" s="51"/>
      <c r="K15" s="51"/>
      <c r="L15" s="51">
        <v>9000000</v>
      </c>
      <c r="M15" s="49"/>
      <c r="N15" s="52" t="s">
        <v>724</v>
      </c>
      <c r="O15" s="52"/>
      <c r="P15" s="52" t="s">
        <v>724</v>
      </c>
      <c r="Q15" s="50" t="s">
        <v>765</v>
      </c>
      <c r="R15" s="50"/>
      <c r="S15" s="50"/>
      <c r="T15" s="50" t="s">
        <v>753</v>
      </c>
      <c r="U15" s="50" t="s">
        <v>708</v>
      </c>
      <c r="V15" s="50" t="s">
        <v>20</v>
      </c>
      <c r="W15" s="50" t="s">
        <v>920</v>
      </c>
      <c r="X15" s="50" t="s">
        <v>921</v>
      </c>
      <c r="Y15" s="49" t="s">
        <v>845</v>
      </c>
      <c r="Z15" s="53">
        <v>3</v>
      </c>
      <c r="AA15" s="53">
        <v>3</v>
      </c>
      <c r="AB15" s="51">
        <v>9000000</v>
      </c>
      <c r="AC15" s="55" t="s">
        <v>896</v>
      </c>
    </row>
    <row r="16" spans="1:29" ht="96" customHeight="1" x14ac:dyDescent="0.2">
      <c r="A16" s="44">
        <v>14</v>
      </c>
      <c r="B16" s="44" t="s">
        <v>36</v>
      </c>
      <c r="C16" s="44" t="s">
        <v>188</v>
      </c>
      <c r="D16" s="50" t="s">
        <v>398</v>
      </c>
      <c r="E16" s="50" t="s">
        <v>603</v>
      </c>
      <c r="F16" s="49">
        <v>40</v>
      </c>
      <c r="G16" s="49"/>
      <c r="H16" s="50" t="s">
        <v>922</v>
      </c>
      <c r="I16" s="51">
        <v>600000</v>
      </c>
      <c r="J16" s="51"/>
      <c r="K16" s="51"/>
      <c r="L16" s="51">
        <v>24000000</v>
      </c>
      <c r="M16" s="49"/>
      <c r="N16" s="52" t="s">
        <v>723</v>
      </c>
      <c r="O16" s="52"/>
      <c r="P16" s="52" t="s">
        <v>723</v>
      </c>
      <c r="Q16" s="50" t="s">
        <v>777</v>
      </c>
      <c r="R16" s="50" t="s">
        <v>778</v>
      </c>
      <c r="S16" s="50"/>
      <c r="T16" s="50"/>
      <c r="U16" s="50" t="s">
        <v>710</v>
      </c>
      <c r="V16" s="50" t="s">
        <v>709</v>
      </c>
      <c r="W16" s="50" t="s">
        <v>923</v>
      </c>
      <c r="X16" s="50" t="s">
        <v>907</v>
      </c>
      <c r="Y16" s="49" t="s">
        <v>845</v>
      </c>
      <c r="Z16" s="53">
        <v>40</v>
      </c>
      <c r="AA16" s="53">
        <v>40</v>
      </c>
      <c r="AB16" s="51">
        <v>24000000</v>
      </c>
      <c r="AC16" s="55" t="s">
        <v>896</v>
      </c>
    </row>
    <row r="17" spans="1:29" ht="96" customHeight="1" x14ac:dyDescent="0.2">
      <c r="A17" s="44">
        <v>15</v>
      </c>
      <c r="B17" s="44" t="s">
        <v>36</v>
      </c>
      <c r="C17" s="44" t="s">
        <v>188</v>
      </c>
      <c r="D17" s="50" t="s">
        <v>398</v>
      </c>
      <c r="E17" s="50" t="s">
        <v>779</v>
      </c>
      <c r="F17" s="49">
        <v>1</v>
      </c>
      <c r="G17" s="49"/>
      <c r="H17" s="50" t="s">
        <v>663</v>
      </c>
      <c r="I17" s="51">
        <v>7500000</v>
      </c>
      <c r="J17" s="51"/>
      <c r="K17" s="51"/>
      <c r="L17" s="51">
        <v>7500000</v>
      </c>
      <c r="M17" s="49"/>
      <c r="N17" s="52" t="s">
        <v>723</v>
      </c>
      <c r="O17" s="52"/>
      <c r="P17" s="52" t="s">
        <v>723</v>
      </c>
      <c r="Q17" s="50" t="s">
        <v>780</v>
      </c>
      <c r="R17" s="50" t="s">
        <v>778</v>
      </c>
      <c r="S17" s="50"/>
      <c r="T17" s="50" t="s">
        <v>753</v>
      </c>
      <c r="U17" s="50" t="s">
        <v>781</v>
      </c>
      <c r="V17" s="50" t="s">
        <v>781</v>
      </c>
      <c r="W17" s="50" t="s">
        <v>924</v>
      </c>
      <c r="X17" s="50" t="s">
        <v>925</v>
      </c>
      <c r="Y17" s="49" t="s">
        <v>845</v>
      </c>
      <c r="Z17" s="53">
        <v>1</v>
      </c>
      <c r="AA17" s="53">
        <v>1</v>
      </c>
      <c r="AB17" s="51">
        <v>7500000</v>
      </c>
      <c r="AC17" s="55" t="s">
        <v>926</v>
      </c>
    </row>
    <row r="18" spans="1:29" ht="96" customHeight="1" x14ac:dyDescent="0.2">
      <c r="A18" s="44">
        <v>16</v>
      </c>
      <c r="B18" s="44" t="s">
        <v>36</v>
      </c>
      <c r="C18" s="44" t="s">
        <v>188</v>
      </c>
      <c r="D18" s="50" t="s">
        <v>398</v>
      </c>
      <c r="E18" s="50" t="s">
        <v>602</v>
      </c>
      <c r="F18" s="49">
        <v>15</v>
      </c>
      <c r="G18" s="49"/>
      <c r="H18" s="50" t="s">
        <v>677</v>
      </c>
      <c r="I18" s="51">
        <v>500000</v>
      </c>
      <c r="J18" s="51"/>
      <c r="K18" s="51"/>
      <c r="L18" s="51">
        <v>7500000</v>
      </c>
      <c r="M18" s="49"/>
      <c r="N18" s="52" t="s">
        <v>728</v>
      </c>
      <c r="O18" s="52"/>
      <c r="P18" s="52" t="s">
        <v>728</v>
      </c>
      <c r="Q18" s="50" t="s">
        <v>782</v>
      </c>
      <c r="R18" s="50" t="s">
        <v>766</v>
      </c>
      <c r="S18" s="50"/>
      <c r="T18" s="50"/>
      <c r="U18" s="50" t="s">
        <v>709</v>
      </c>
      <c r="V18" s="50" t="s">
        <v>709</v>
      </c>
      <c r="W18" s="50" t="s">
        <v>902</v>
      </c>
      <c r="X18" s="50" t="s">
        <v>907</v>
      </c>
      <c r="Y18" s="49" t="s">
        <v>845</v>
      </c>
      <c r="Z18" s="53">
        <v>15</v>
      </c>
      <c r="AA18" s="53">
        <v>15</v>
      </c>
      <c r="AB18" s="51">
        <v>7500000</v>
      </c>
      <c r="AC18" s="55" t="s">
        <v>896</v>
      </c>
    </row>
    <row r="19" spans="1:29" ht="96" customHeight="1" x14ac:dyDescent="0.2">
      <c r="A19" s="44">
        <v>17</v>
      </c>
      <c r="B19" s="44" t="s">
        <v>36</v>
      </c>
      <c r="C19" s="44" t="s">
        <v>188</v>
      </c>
      <c r="D19" s="45" t="s">
        <v>398</v>
      </c>
      <c r="E19" s="45" t="s">
        <v>648</v>
      </c>
      <c r="F19" s="44">
        <v>2</v>
      </c>
      <c r="G19" s="44"/>
      <c r="H19" s="45" t="s">
        <v>700</v>
      </c>
      <c r="I19" s="46">
        <v>3500000</v>
      </c>
      <c r="J19" s="46"/>
      <c r="K19" s="46"/>
      <c r="L19" s="46">
        <v>7000000</v>
      </c>
      <c r="M19" s="44"/>
      <c r="N19" s="47" t="s">
        <v>731</v>
      </c>
      <c r="O19" s="47"/>
      <c r="P19" s="47" t="s">
        <v>731</v>
      </c>
      <c r="Q19" s="45" t="s">
        <v>783</v>
      </c>
      <c r="R19" s="45" t="s">
        <v>784</v>
      </c>
      <c r="S19" s="45"/>
      <c r="T19" s="45" t="s">
        <v>753</v>
      </c>
      <c r="U19" s="45" t="s">
        <v>720</v>
      </c>
      <c r="V19" s="45" t="s">
        <v>20</v>
      </c>
      <c r="W19" s="45" t="s">
        <v>927</v>
      </c>
      <c r="X19" s="45" t="s">
        <v>928</v>
      </c>
      <c r="Y19" s="44" t="s">
        <v>845</v>
      </c>
      <c r="Z19" s="42">
        <v>2</v>
      </c>
      <c r="AA19" s="42">
        <v>2</v>
      </c>
      <c r="AB19" s="46">
        <v>7000000</v>
      </c>
      <c r="AC19" s="42" t="s">
        <v>896</v>
      </c>
    </row>
    <row r="20" spans="1:29" ht="96" customHeight="1" x14ac:dyDescent="0.2">
      <c r="A20" s="44">
        <v>18</v>
      </c>
      <c r="B20" s="44" t="s">
        <v>36</v>
      </c>
      <c r="C20" s="44" t="s">
        <v>188</v>
      </c>
      <c r="D20" s="45" t="s">
        <v>398</v>
      </c>
      <c r="E20" s="45" t="s">
        <v>637</v>
      </c>
      <c r="F20" s="44">
        <v>1</v>
      </c>
      <c r="G20" s="44"/>
      <c r="H20" s="45" t="s">
        <v>33</v>
      </c>
      <c r="I20" s="46">
        <v>6000000</v>
      </c>
      <c r="J20" s="46"/>
      <c r="K20" s="46"/>
      <c r="L20" s="46">
        <v>6000000</v>
      </c>
      <c r="M20" s="44"/>
      <c r="N20" s="47" t="s">
        <v>722</v>
      </c>
      <c r="O20" s="47"/>
      <c r="P20" s="47" t="s">
        <v>722</v>
      </c>
      <c r="Q20" s="45" t="s">
        <v>785</v>
      </c>
      <c r="R20" s="45" t="s">
        <v>786</v>
      </c>
      <c r="S20" s="45"/>
      <c r="T20" s="45" t="s">
        <v>753</v>
      </c>
      <c r="U20" s="45"/>
      <c r="V20" s="45" t="s">
        <v>20</v>
      </c>
      <c r="W20" s="45" t="s">
        <v>893</v>
      </c>
      <c r="X20" s="45" t="s">
        <v>929</v>
      </c>
      <c r="Y20" s="44" t="s">
        <v>845</v>
      </c>
      <c r="Z20" s="42"/>
      <c r="AA20" s="42"/>
      <c r="AB20" s="42"/>
      <c r="AC20" s="43" t="s">
        <v>908</v>
      </c>
    </row>
    <row r="21" spans="1:29" ht="96" customHeight="1" x14ac:dyDescent="0.2">
      <c r="A21" s="49">
        <v>19</v>
      </c>
      <c r="B21" s="49" t="s">
        <v>36</v>
      </c>
      <c r="C21" s="49" t="s">
        <v>188</v>
      </c>
      <c r="D21" s="50" t="s">
        <v>398</v>
      </c>
      <c r="E21" s="50" t="s">
        <v>546</v>
      </c>
      <c r="F21" s="49">
        <v>1</v>
      </c>
      <c r="G21" s="49"/>
      <c r="H21" s="50" t="s">
        <v>663</v>
      </c>
      <c r="I21" s="51">
        <v>6000000</v>
      </c>
      <c r="J21" s="51"/>
      <c r="K21" s="51"/>
      <c r="L21" s="51">
        <v>6000000</v>
      </c>
      <c r="M21" s="49"/>
      <c r="N21" s="52" t="s">
        <v>729</v>
      </c>
      <c r="O21" s="52"/>
      <c r="P21" s="52" t="s">
        <v>729</v>
      </c>
      <c r="Q21" s="50" t="s">
        <v>787</v>
      </c>
      <c r="R21" s="50" t="s">
        <v>788</v>
      </c>
      <c r="S21" s="50"/>
      <c r="T21" s="50"/>
      <c r="U21" s="50" t="s">
        <v>20</v>
      </c>
      <c r="V21" s="50" t="s">
        <v>20</v>
      </c>
      <c r="W21" s="50" t="s">
        <v>930</v>
      </c>
      <c r="X21" s="50" t="s">
        <v>931</v>
      </c>
      <c r="Y21" s="49" t="s">
        <v>845</v>
      </c>
      <c r="Z21" s="53">
        <v>1</v>
      </c>
      <c r="AA21" s="53">
        <v>1</v>
      </c>
      <c r="AB21" s="51">
        <v>6000000</v>
      </c>
      <c r="AC21" s="55" t="s">
        <v>932</v>
      </c>
    </row>
    <row r="22" spans="1:29" ht="96" customHeight="1" x14ac:dyDescent="0.2">
      <c r="A22" s="49">
        <v>20</v>
      </c>
      <c r="B22" s="49" t="s">
        <v>36</v>
      </c>
      <c r="C22" s="49" t="s">
        <v>188</v>
      </c>
      <c r="D22" s="50" t="s">
        <v>398</v>
      </c>
      <c r="E22" s="50" t="s">
        <v>551</v>
      </c>
      <c r="F22" s="49">
        <v>1</v>
      </c>
      <c r="G22" s="49"/>
      <c r="H22" s="50" t="s">
        <v>665</v>
      </c>
      <c r="I22" s="51">
        <v>6000000</v>
      </c>
      <c r="J22" s="51"/>
      <c r="K22" s="51"/>
      <c r="L22" s="51">
        <v>6000000</v>
      </c>
      <c r="M22" s="49"/>
      <c r="N22" s="52" t="s">
        <v>724</v>
      </c>
      <c r="O22" s="52"/>
      <c r="P22" s="52" t="s">
        <v>724</v>
      </c>
      <c r="Q22" s="50" t="s">
        <v>789</v>
      </c>
      <c r="R22" s="50" t="s">
        <v>788</v>
      </c>
      <c r="S22" s="50"/>
      <c r="T22" s="50" t="s">
        <v>753</v>
      </c>
      <c r="U22" s="50" t="s">
        <v>790</v>
      </c>
      <c r="V22" s="50" t="s">
        <v>20</v>
      </c>
      <c r="W22" s="50" t="s">
        <v>933</v>
      </c>
      <c r="X22" s="50" t="s">
        <v>934</v>
      </c>
      <c r="Y22" s="49" t="s">
        <v>845</v>
      </c>
      <c r="Z22" s="53">
        <v>1</v>
      </c>
      <c r="AA22" s="53">
        <v>1</v>
      </c>
      <c r="AB22" s="51">
        <v>6000000</v>
      </c>
      <c r="AC22" s="54" t="s">
        <v>935</v>
      </c>
    </row>
    <row r="23" spans="1:29" ht="96" customHeight="1" x14ac:dyDescent="0.2">
      <c r="A23" s="49">
        <v>21</v>
      </c>
      <c r="B23" s="49" t="s">
        <v>36</v>
      </c>
      <c r="C23" s="49" t="s">
        <v>188</v>
      </c>
      <c r="D23" s="50" t="s">
        <v>398</v>
      </c>
      <c r="E23" s="50" t="s">
        <v>633</v>
      </c>
      <c r="F23" s="49">
        <v>1</v>
      </c>
      <c r="G23" s="49"/>
      <c r="H23" s="50" t="s">
        <v>33</v>
      </c>
      <c r="I23" s="51">
        <v>6000000</v>
      </c>
      <c r="J23" s="51"/>
      <c r="K23" s="51"/>
      <c r="L23" s="51">
        <v>6000000</v>
      </c>
      <c r="M23" s="49"/>
      <c r="N23" s="52" t="s">
        <v>725</v>
      </c>
      <c r="O23" s="52"/>
      <c r="P23" s="52" t="s">
        <v>725</v>
      </c>
      <c r="Q23" s="50" t="s">
        <v>791</v>
      </c>
      <c r="R23" s="50" t="s">
        <v>792</v>
      </c>
      <c r="S23" s="50"/>
      <c r="T23" s="50" t="s">
        <v>753</v>
      </c>
      <c r="U23" s="50" t="s">
        <v>718</v>
      </c>
      <c r="V23" s="50" t="s">
        <v>936</v>
      </c>
      <c r="W23" s="50" t="s">
        <v>937</v>
      </c>
      <c r="X23" s="50" t="s">
        <v>938</v>
      </c>
      <c r="Y23" s="49" t="s">
        <v>845</v>
      </c>
      <c r="Z23" s="53">
        <v>1</v>
      </c>
      <c r="AA23" s="53">
        <v>1</v>
      </c>
      <c r="AB23" s="51">
        <v>6000000</v>
      </c>
      <c r="AC23" s="55" t="s">
        <v>932</v>
      </c>
    </row>
    <row r="24" spans="1:29" ht="96" customHeight="1" x14ac:dyDescent="0.2">
      <c r="A24" s="44">
        <v>22</v>
      </c>
      <c r="B24" s="44" t="s">
        <v>36</v>
      </c>
      <c r="C24" s="44" t="s">
        <v>188</v>
      </c>
      <c r="D24" s="45" t="s">
        <v>398</v>
      </c>
      <c r="E24" s="45" t="s">
        <v>638</v>
      </c>
      <c r="F24" s="44">
        <v>1</v>
      </c>
      <c r="G24" s="44"/>
      <c r="H24" s="45" t="s">
        <v>33</v>
      </c>
      <c r="I24" s="46">
        <v>6000000</v>
      </c>
      <c r="J24" s="46"/>
      <c r="K24" s="46"/>
      <c r="L24" s="46">
        <v>6000000</v>
      </c>
      <c r="M24" s="44"/>
      <c r="N24" s="47" t="s">
        <v>722</v>
      </c>
      <c r="O24" s="47"/>
      <c r="P24" s="47" t="s">
        <v>722</v>
      </c>
      <c r="Q24" s="45" t="s">
        <v>793</v>
      </c>
      <c r="R24" s="45" t="s">
        <v>794</v>
      </c>
      <c r="S24" s="45"/>
      <c r="T24" s="45" t="s">
        <v>753</v>
      </c>
      <c r="U24" s="45" t="s">
        <v>709</v>
      </c>
      <c r="V24" s="45" t="s">
        <v>709</v>
      </c>
      <c r="W24" s="45" t="s">
        <v>939</v>
      </c>
      <c r="X24" s="45"/>
      <c r="Y24" s="44" t="s">
        <v>845</v>
      </c>
      <c r="Z24" s="42"/>
      <c r="AA24" s="42"/>
      <c r="AB24" s="46"/>
      <c r="AC24" s="43" t="s">
        <v>908</v>
      </c>
    </row>
    <row r="25" spans="1:29" ht="96" customHeight="1" x14ac:dyDescent="0.2">
      <c r="A25" s="49">
        <v>23</v>
      </c>
      <c r="B25" s="49" t="s">
        <v>36</v>
      </c>
      <c r="C25" s="49" t="s">
        <v>188</v>
      </c>
      <c r="D25" s="50" t="s">
        <v>398</v>
      </c>
      <c r="E25" s="50" t="s">
        <v>586</v>
      </c>
      <c r="F25" s="49">
        <v>6</v>
      </c>
      <c r="G25" s="49"/>
      <c r="H25" s="50" t="s">
        <v>672</v>
      </c>
      <c r="I25" s="51">
        <v>800000</v>
      </c>
      <c r="J25" s="51"/>
      <c r="K25" s="51"/>
      <c r="L25" s="51">
        <v>480000</v>
      </c>
      <c r="M25" s="49"/>
      <c r="N25" s="52" t="s">
        <v>37</v>
      </c>
      <c r="O25" s="52"/>
      <c r="P25" s="52" t="s">
        <v>37</v>
      </c>
      <c r="Q25" s="50" t="s">
        <v>785</v>
      </c>
      <c r="R25" s="50"/>
      <c r="S25" s="50"/>
      <c r="T25" s="50" t="s">
        <v>753</v>
      </c>
      <c r="U25" s="50" t="s">
        <v>711</v>
      </c>
      <c r="V25" s="50" t="s">
        <v>20</v>
      </c>
      <c r="W25" s="50" t="s">
        <v>940</v>
      </c>
      <c r="X25" s="50" t="s">
        <v>941</v>
      </c>
      <c r="Y25" s="49" t="s">
        <v>845</v>
      </c>
      <c r="Z25" s="53">
        <v>6</v>
      </c>
      <c r="AA25" s="53">
        <v>6</v>
      </c>
      <c r="AB25" s="51">
        <v>480000</v>
      </c>
      <c r="AC25" s="55" t="s">
        <v>932</v>
      </c>
    </row>
    <row r="26" spans="1:29" ht="96" customHeight="1" x14ac:dyDescent="0.2">
      <c r="A26" s="44">
        <v>24</v>
      </c>
      <c r="B26" s="44" t="s">
        <v>36</v>
      </c>
      <c r="C26" s="44" t="s">
        <v>188</v>
      </c>
      <c r="D26" s="45" t="s">
        <v>398</v>
      </c>
      <c r="E26" s="45" t="s">
        <v>564</v>
      </c>
      <c r="F26" s="44">
        <v>1</v>
      </c>
      <c r="G26" s="44"/>
      <c r="H26" s="45" t="s">
        <v>664</v>
      </c>
      <c r="I26" s="46">
        <v>5000000</v>
      </c>
      <c r="J26" s="46"/>
      <c r="K26" s="46"/>
      <c r="L26" s="46">
        <v>5000000</v>
      </c>
      <c r="M26" s="44"/>
      <c r="N26" s="47" t="s">
        <v>722</v>
      </c>
      <c r="O26" s="47"/>
      <c r="P26" s="47" t="s">
        <v>722</v>
      </c>
      <c r="Q26" s="45" t="s">
        <v>795</v>
      </c>
      <c r="R26" s="45"/>
      <c r="S26" s="45"/>
      <c r="T26" s="45"/>
      <c r="U26" s="45" t="s">
        <v>20</v>
      </c>
      <c r="V26" s="45" t="s">
        <v>20</v>
      </c>
      <c r="W26" s="45" t="s">
        <v>942</v>
      </c>
      <c r="X26" s="45"/>
      <c r="Y26" s="44" t="s">
        <v>845</v>
      </c>
      <c r="Z26" s="42"/>
      <c r="AA26" s="42"/>
      <c r="AB26" s="42"/>
      <c r="AC26" s="43" t="s">
        <v>943</v>
      </c>
    </row>
    <row r="27" spans="1:29" ht="96" customHeight="1" x14ac:dyDescent="0.2">
      <c r="A27" s="49">
        <v>25</v>
      </c>
      <c r="B27" s="49" t="s">
        <v>36</v>
      </c>
      <c r="C27" s="49" t="s">
        <v>188</v>
      </c>
      <c r="D27" s="50" t="s">
        <v>398</v>
      </c>
      <c r="E27" s="50" t="s">
        <v>630</v>
      </c>
      <c r="F27" s="49">
        <v>2</v>
      </c>
      <c r="G27" s="49"/>
      <c r="H27" s="50" t="s">
        <v>700</v>
      </c>
      <c r="I27" s="51">
        <v>250000</v>
      </c>
      <c r="J27" s="51"/>
      <c r="K27" s="51"/>
      <c r="L27" s="51">
        <v>5000000</v>
      </c>
      <c r="M27" s="49"/>
      <c r="N27" s="52" t="s">
        <v>724</v>
      </c>
      <c r="O27" s="52"/>
      <c r="P27" s="52" t="s">
        <v>724</v>
      </c>
      <c r="Q27" s="50" t="s">
        <v>783</v>
      </c>
      <c r="R27" s="50"/>
      <c r="S27" s="50"/>
      <c r="T27" s="50" t="s">
        <v>753</v>
      </c>
      <c r="U27" s="50" t="s">
        <v>718</v>
      </c>
      <c r="V27" s="50" t="s">
        <v>20</v>
      </c>
      <c r="W27" s="50" t="s">
        <v>927</v>
      </c>
      <c r="X27" s="50" t="s">
        <v>944</v>
      </c>
      <c r="Y27" s="49" t="s">
        <v>845</v>
      </c>
      <c r="Z27" s="53">
        <v>2</v>
      </c>
      <c r="AA27" s="53">
        <v>2</v>
      </c>
      <c r="AB27" s="51">
        <v>5000000</v>
      </c>
      <c r="AC27" s="55" t="s">
        <v>932</v>
      </c>
    </row>
    <row r="28" spans="1:29" ht="96" customHeight="1" x14ac:dyDescent="0.2">
      <c r="A28" s="49">
        <v>26</v>
      </c>
      <c r="B28" s="49" t="s">
        <v>36</v>
      </c>
      <c r="C28" s="49" t="s">
        <v>188</v>
      </c>
      <c r="D28" s="50" t="s">
        <v>398</v>
      </c>
      <c r="E28" s="50" t="s">
        <v>796</v>
      </c>
      <c r="F28" s="49">
        <v>1</v>
      </c>
      <c r="G28" s="49"/>
      <c r="H28" s="50" t="s">
        <v>33</v>
      </c>
      <c r="I28" s="51">
        <v>5000000</v>
      </c>
      <c r="J28" s="51"/>
      <c r="K28" s="51"/>
      <c r="L28" s="51">
        <v>5000000</v>
      </c>
      <c r="M28" s="49"/>
      <c r="N28" s="52" t="s">
        <v>724</v>
      </c>
      <c r="O28" s="52"/>
      <c r="P28" s="52" t="s">
        <v>724</v>
      </c>
      <c r="Q28" s="50" t="s">
        <v>797</v>
      </c>
      <c r="R28" s="50"/>
      <c r="S28" s="50"/>
      <c r="T28" s="50"/>
      <c r="U28" s="50" t="s">
        <v>718</v>
      </c>
      <c r="V28" s="50" t="s">
        <v>20</v>
      </c>
      <c r="W28" s="50" t="s">
        <v>945</v>
      </c>
      <c r="X28" s="50"/>
      <c r="Y28" s="49" t="s">
        <v>845</v>
      </c>
      <c r="Z28" s="53">
        <v>1</v>
      </c>
      <c r="AA28" s="53">
        <v>1</v>
      </c>
      <c r="AB28" s="51">
        <v>5000000</v>
      </c>
      <c r="AC28" s="55" t="s">
        <v>932</v>
      </c>
    </row>
    <row r="29" spans="1:29" ht="96" customHeight="1" x14ac:dyDescent="0.2">
      <c r="A29" s="57">
        <v>27</v>
      </c>
      <c r="B29" s="57" t="s">
        <v>36</v>
      </c>
      <c r="C29" s="57" t="s">
        <v>188</v>
      </c>
      <c r="D29" s="58" t="s">
        <v>398</v>
      </c>
      <c r="E29" s="58" t="s">
        <v>635</v>
      </c>
      <c r="F29" s="57">
        <v>1</v>
      </c>
      <c r="G29" s="57"/>
      <c r="H29" s="58" t="s">
        <v>33</v>
      </c>
      <c r="I29" s="59">
        <v>4500000</v>
      </c>
      <c r="J29" s="59"/>
      <c r="K29" s="59"/>
      <c r="L29" s="59">
        <v>4500000</v>
      </c>
      <c r="M29" s="57"/>
      <c r="N29" s="60" t="s">
        <v>724</v>
      </c>
      <c r="O29" s="60"/>
      <c r="P29" s="60" t="s">
        <v>724</v>
      </c>
      <c r="Q29" s="58" t="s">
        <v>798</v>
      </c>
      <c r="R29" s="58"/>
      <c r="S29" s="58"/>
      <c r="T29" s="58" t="s">
        <v>753</v>
      </c>
      <c r="U29" s="58" t="s">
        <v>718</v>
      </c>
      <c r="V29" s="58" t="s">
        <v>20</v>
      </c>
      <c r="W29" s="58" t="s">
        <v>945</v>
      </c>
      <c r="X29" s="58" t="s">
        <v>946</v>
      </c>
      <c r="Y29" s="57" t="s">
        <v>845</v>
      </c>
      <c r="Z29" s="61"/>
      <c r="AA29" s="61"/>
      <c r="AB29" s="61"/>
      <c r="AC29" s="62" t="s">
        <v>947</v>
      </c>
    </row>
    <row r="30" spans="1:29" ht="96" customHeight="1" x14ac:dyDescent="0.2">
      <c r="A30" s="49">
        <v>28</v>
      </c>
      <c r="B30" s="49" t="s">
        <v>465</v>
      </c>
      <c r="C30" s="49" t="s">
        <v>188</v>
      </c>
      <c r="D30" s="50" t="s">
        <v>398</v>
      </c>
      <c r="E30" s="50" t="s">
        <v>454</v>
      </c>
      <c r="F30" s="49">
        <v>1</v>
      </c>
      <c r="G30" s="49"/>
      <c r="H30" s="50" t="s">
        <v>670</v>
      </c>
      <c r="I30" s="51">
        <v>4000000</v>
      </c>
      <c r="J30" s="51"/>
      <c r="K30" s="51"/>
      <c r="L30" s="51">
        <v>4000000</v>
      </c>
      <c r="M30" s="49"/>
      <c r="N30" s="52"/>
      <c r="O30" s="52"/>
      <c r="P30" s="52" t="s">
        <v>721</v>
      </c>
      <c r="Q30" s="50" t="s">
        <v>799</v>
      </c>
      <c r="R30" s="50" t="s">
        <v>800</v>
      </c>
      <c r="S30" s="50"/>
      <c r="T30" s="50" t="s">
        <v>801</v>
      </c>
      <c r="U30" s="50" t="s">
        <v>468</v>
      </c>
      <c r="V30" s="50" t="s">
        <v>709</v>
      </c>
      <c r="W30" s="50" t="s">
        <v>948</v>
      </c>
      <c r="X30" s="50"/>
      <c r="Y30" s="49" t="s">
        <v>845</v>
      </c>
      <c r="Z30" s="53">
        <v>1</v>
      </c>
      <c r="AA30" s="53">
        <v>1</v>
      </c>
      <c r="AB30" s="51">
        <v>4000000</v>
      </c>
      <c r="AC30" s="55" t="s">
        <v>932</v>
      </c>
    </row>
    <row r="31" spans="1:29" ht="96" customHeight="1" x14ac:dyDescent="0.2">
      <c r="A31" s="49">
        <v>29</v>
      </c>
      <c r="B31" s="49" t="s">
        <v>36</v>
      </c>
      <c r="C31" s="49" t="s">
        <v>188</v>
      </c>
      <c r="D31" s="50" t="s">
        <v>398</v>
      </c>
      <c r="E31" s="50" t="s">
        <v>535</v>
      </c>
      <c r="F31" s="49">
        <v>1</v>
      </c>
      <c r="G31" s="49"/>
      <c r="H31" s="50" t="s">
        <v>662</v>
      </c>
      <c r="I31" s="51">
        <v>4000000</v>
      </c>
      <c r="J31" s="51"/>
      <c r="K31" s="51"/>
      <c r="L31" s="51">
        <v>4000000</v>
      </c>
      <c r="M31" s="49"/>
      <c r="N31" s="52" t="s">
        <v>721</v>
      </c>
      <c r="O31" s="52"/>
      <c r="P31" s="52" t="s">
        <v>721</v>
      </c>
      <c r="Q31" s="50" t="s">
        <v>759</v>
      </c>
      <c r="R31" s="50"/>
      <c r="S31" s="50"/>
      <c r="T31" s="50" t="s">
        <v>753</v>
      </c>
      <c r="U31" s="50" t="s">
        <v>708</v>
      </c>
      <c r="V31" s="50" t="s">
        <v>20</v>
      </c>
      <c r="W31" s="50" t="s">
        <v>949</v>
      </c>
      <c r="X31" s="50" t="s">
        <v>950</v>
      </c>
      <c r="Y31" s="49" t="s">
        <v>845</v>
      </c>
      <c r="Z31" s="53">
        <v>1</v>
      </c>
      <c r="AA31" s="53">
        <v>1</v>
      </c>
      <c r="AB31" s="51">
        <v>4000000</v>
      </c>
      <c r="AC31" s="55" t="s">
        <v>932</v>
      </c>
    </row>
    <row r="32" spans="1:29" ht="96" customHeight="1" x14ac:dyDescent="0.2">
      <c r="A32" s="49">
        <v>30</v>
      </c>
      <c r="B32" s="49" t="s">
        <v>36</v>
      </c>
      <c r="C32" s="49" t="s">
        <v>188</v>
      </c>
      <c r="D32" s="50" t="s">
        <v>398</v>
      </c>
      <c r="E32" s="50" t="s">
        <v>599</v>
      </c>
      <c r="F32" s="49">
        <v>1</v>
      </c>
      <c r="G32" s="49"/>
      <c r="H32" s="50" t="s">
        <v>31</v>
      </c>
      <c r="I32" s="51">
        <v>4000000</v>
      </c>
      <c r="J32" s="51"/>
      <c r="K32" s="51"/>
      <c r="L32" s="51">
        <v>4000000</v>
      </c>
      <c r="M32" s="49"/>
      <c r="N32" s="52" t="s">
        <v>730</v>
      </c>
      <c r="O32" s="52"/>
      <c r="P32" s="52" t="s">
        <v>730</v>
      </c>
      <c r="Q32" s="50" t="s">
        <v>802</v>
      </c>
      <c r="R32" s="50"/>
      <c r="S32" s="50"/>
      <c r="T32" s="50" t="s">
        <v>753</v>
      </c>
      <c r="U32" s="50" t="s">
        <v>714</v>
      </c>
      <c r="V32" s="50" t="s">
        <v>20</v>
      </c>
      <c r="W32" s="50" t="s">
        <v>951</v>
      </c>
      <c r="X32" s="50" t="s">
        <v>907</v>
      </c>
      <c r="Y32" s="49" t="s">
        <v>845</v>
      </c>
      <c r="Z32" s="53">
        <v>1</v>
      </c>
      <c r="AA32" s="53">
        <v>1</v>
      </c>
      <c r="AB32" s="51">
        <v>4000000</v>
      </c>
      <c r="AC32" s="55" t="s">
        <v>932</v>
      </c>
    </row>
    <row r="33" spans="1:29" ht="96" customHeight="1" x14ac:dyDescent="0.2">
      <c r="A33" s="44">
        <v>31</v>
      </c>
      <c r="B33" s="44" t="s">
        <v>36</v>
      </c>
      <c r="C33" s="44" t="s">
        <v>188</v>
      </c>
      <c r="D33" s="50" t="s">
        <v>398</v>
      </c>
      <c r="E33" s="50" t="s">
        <v>803</v>
      </c>
      <c r="F33" s="49">
        <v>4</v>
      </c>
      <c r="G33" s="49"/>
      <c r="H33" s="50" t="s">
        <v>33</v>
      </c>
      <c r="I33" s="51">
        <v>1000000</v>
      </c>
      <c r="J33" s="51"/>
      <c r="K33" s="51"/>
      <c r="L33" s="51">
        <v>4000000</v>
      </c>
      <c r="M33" s="49"/>
      <c r="N33" s="52" t="s">
        <v>722</v>
      </c>
      <c r="O33" s="52"/>
      <c r="P33" s="52" t="s">
        <v>722</v>
      </c>
      <c r="Q33" s="50" t="s">
        <v>767</v>
      </c>
      <c r="R33" s="50"/>
      <c r="S33" s="50"/>
      <c r="T33" s="50"/>
      <c r="U33" s="50" t="s">
        <v>718</v>
      </c>
      <c r="V33" s="50" t="s">
        <v>20</v>
      </c>
      <c r="W33" s="50" t="s">
        <v>893</v>
      </c>
      <c r="X33" s="50" t="s">
        <v>907</v>
      </c>
      <c r="Y33" s="49" t="s">
        <v>845</v>
      </c>
      <c r="Z33" s="53">
        <v>4</v>
      </c>
      <c r="AA33" s="53">
        <v>4</v>
      </c>
      <c r="AB33" s="51">
        <v>4000000</v>
      </c>
      <c r="AC33" s="55" t="s">
        <v>932</v>
      </c>
    </row>
    <row r="34" spans="1:29" ht="96" customHeight="1" x14ac:dyDescent="0.2">
      <c r="A34" s="44">
        <v>32</v>
      </c>
      <c r="B34" s="44" t="s">
        <v>36</v>
      </c>
      <c r="C34" s="44" t="s">
        <v>188</v>
      </c>
      <c r="D34" s="45" t="s">
        <v>398</v>
      </c>
      <c r="E34" s="45" t="s">
        <v>557</v>
      </c>
      <c r="F34" s="44">
        <v>1</v>
      </c>
      <c r="G34" s="44"/>
      <c r="H34" s="45" t="s">
        <v>666</v>
      </c>
      <c r="I34" s="46">
        <v>3500000</v>
      </c>
      <c r="J34" s="46"/>
      <c r="K34" s="46"/>
      <c r="L34" s="46">
        <v>3500000</v>
      </c>
      <c r="M34" s="44"/>
      <c r="N34" s="47" t="s">
        <v>727</v>
      </c>
      <c r="O34" s="47"/>
      <c r="P34" s="47" t="s">
        <v>727</v>
      </c>
      <c r="Q34" s="45" t="s">
        <v>804</v>
      </c>
      <c r="R34" s="45" t="s">
        <v>805</v>
      </c>
      <c r="S34" s="45"/>
      <c r="T34" s="45" t="s">
        <v>753</v>
      </c>
      <c r="U34" s="45" t="s">
        <v>709</v>
      </c>
      <c r="V34" s="45" t="s">
        <v>709</v>
      </c>
      <c r="W34" s="45" t="s">
        <v>952</v>
      </c>
      <c r="X34" s="45" t="s">
        <v>907</v>
      </c>
      <c r="Y34" s="44" t="s">
        <v>845</v>
      </c>
      <c r="Z34" s="42"/>
      <c r="AA34" s="42"/>
      <c r="AB34" s="42"/>
      <c r="AC34" s="43" t="s">
        <v>953</v>
      </c>
    </row>
    <row r="35" spans="1:29" ht="96" customHeight="1" x14ac:dyDescent="0.2">
      <c r="A35" s="49">
        <v>33</v>
      </c>
      <c r="B35" s="49" t="s">
        <v>36</v>
      </c>
      <c r="C35" s="49" t="s">
        <v>188</v>
      </c>
      <c r="D35" s="50" t="s">
        <v>398</v>
      </c>
      <c r="E35" s="50" t="s">
        <v>552</v>
      </c>
      <c r="F35" s="49">
        <v>1</v>
      </c>
      <c r="G35" s="49"/>
      <c r="H35" s="50" t="s">
        <v>665</v>
      </c>
      <c r="I35" s="51">
        <v>3200000</v>
      </c>
      <c r="J35" s="51"/>
      <c r="K35" s="51"/>
      <c r="L35" s="51">
        <v>3200000</v>
      </c>
      <c r="M35" s="49"/>
      <c r="N35" s="52" t="s">
        <v>730</v>
      </c>
      <c r="O35" s="52"/>
      <c r="P35" s="52" t="s">
        <v>730</v>
      </c>
      <c r="Q35" s="50" t="s">
        <v>806</v>
      </c>
      <c r="R35" s="50"/>
      <c r="S35" s="50"/>
      <c r="T35" s="50"/>
      <c r="U35" s="50" t="s">
        <v>20</v>
      </c>
      <c r="V35" s="50" t="s">
        <v>20</v>
      </c>
      <c r="W35" s="50" t="s">
        <v>933</v>
      </c>
      <c r="X35" s="50"/>
      <c r="Y35" s="49"/>
      <c r="Z35" s="53">
        <v>1</v>
      </c>
      <c r="AA35" s="53">
        <v>1</v>
      </c>
      <c r="AB35" s="51">
        <v>3200000</v>
      </c>
      <c r="AC35" s="55" t="s">
        <v>932</v>
      </c>
    </row>
    <row r="36" spans="1:29" ht="96" customHeight="1" x14ac:dyDescent="0.2">
      <c r="A36" s="44">
        <v>34</v>
      </c>
      <c r="B36" s="44" t="s">
        <v>36</v>
      </c>
      <c r="C36" s="44" t="s">
        <v>188</v>
      </c>
      <c r="D36" s="50" t="s">
        <v>398</v>
      </c>
      <c r="E36" s="50" t="s">
        <v>627</v>
      </c>
      <c r="F36" s="49">
        <v>1</v>
      </c>
      <c r="G36" s="49"/>
      <c r="H36" s="50" t="s">
        <v>699</v>
      </c>
      <c r="I36" s="51">
        <v>3200000</v>
      </c>
      <c r="J36" s="51"/>
      <c r="K36" s="51"/>
      <c r="L36" s="51">
        <v>3200000</v>
      </c>
      <c r="M36" s="49"/>
      <c r="N36" s="52" t="s">
        <v>722</v>
      </c>
      <c r="O36" s="52"/>
      <c r="P36" s="52" t="s">
        <v>722</v>
      </c>
      <c r="Q36" s="50" t="s">
        <v>785</v>
      </c>
      <c r="R36" s="50" t="s">
        <v>805</v>
      </c>
      <c r="S36" s="50"/>
      <c r="T36" s="50"/>
      <c r="U36" s="50" t="s">
        <v>717</v>
      </c>
      <c r="V36" s="50" t="s">
        <v>20</v>
      </c>
      <c r="W36" s="50" t="s">
        <v>910</v>
      </c>
      <c r="X36" s="50" t="s">
        <v>954</v>
      </c>
      <c r="Y36" s="49" t="s">
        <v>845</v>
      </c>
      <c r="Z36" s="53">
        <v>1</v>
      </c>
      <c r="AA36" s="53">
        <v>1</v>
      </c>
      <c r="AB36" s="51">
        <v>3200000</v>
      </c>
      <c r="AC36" s="55" t="s">
        <v>932</v>
      </c>
    </row>
    <row r="37" spans="1:29" ht="96" customHeight="1" x14ac:dyDescent="0.2">
      <c r="A37" s="44">
        <v>35</v>
      </c>
      <c r="B37" s="44" t="s">
        <v>36</v>
      </c>
      <c r="C37" s="44" t="s">
        <v>188</v>
      </c>
      <c r="D37" s="50" t="s">
        <v>398</v>
      </c>
      <c r="E37" s="50" t="s">
        <v>539</v>
      </c>
      <c r="F37" s="49">
        <v>1</v>
      </c>
      <c r="G37" s="49"/>
      <c r="H37" s="50" t="s">
        <v>663</v>
      </c>
      <c r="I37" s="51">
        <v>1500000</v>
      </c>
      <c r="J37" s="51"/>
      <c r="K37" s="51"/>
      <c r="L37" s="51">
        <v>1500000</v>
      </c>
      <c r="M37" s="49"/>
      <c r="N37" s="52" t="s">
        <v>37</v>
      </c>
      <c r="O37" s="52"/>
      <c r="P37" s="52" t="s">
        <v>37</v>
      </c>
      <c r="Q37" s="50" t="s">
        <v>802</v>
      </c>
      <c r="R37" s="50" t="s">
        <v>788</v>
      </c>
      <c r="S37" s="50"/>
      <c r="T37" s="50"/>
      <c r="U37" s="50" t="s">
        <v>708</v>
      </c>
      <c r="V37" s="50" t="s">
        <v>20</v>
      </c>
      <c r="W37" s="50" t="s">
        <v>955</v>
      </c>
      <c r="X37" s="50" t="s">
        <v>956</v>
      </c>
      <c r="Y37" s="49" t="s">
        <v>956</v>
      </c>
      <c r="Z37" s="53">
        <v>1</v>
      </c>
      <c r="AA37" s="53">
        <v>1</v>
      </c>
      <c r="AB37" s="51">
        <v>1500000</v>
      </c>
      <c r="AC37" s="55" t="s">
        <v>896</v>
      </c>
    </row>
    <row r="38" spans="1:29" ht="96" customHeight="1" x14ac:dyDescent="0.2">
      <c r="A38" s="44">
        <v>36</v>
      </c>
      <c r="B38" s="44" t="s">
        <v>36</v>
      </c>
      <c r="C38" s="44" t="s">
        <v>188</v>
      </c>
      <c r="D38" s="50" t="s">
        <v>398</v>
      </c>
      <c r="E38" s="50" t="s">
        <v>541</v>
      </c>
      <c r="F38" s="49">
        <v>1</v>
      </c>
      <c r="G38" s="49"/>
      <c r="H38" s="50" t="s">
        <v>663</v>
      </c>
      <c r="I38" s="51">
        <v>3000000</v>
      </c>
      <c r="J38" s="51"/>
      <c r="K38" s="51"/>
      <c r="L38" s="51">
        <v>3000000</v>
      </c>
      <c r="M38" s="49"/>
      <c r="N38" s="52" t="s">
        <v>724</v>
      </c>
      <c r="O38" s="52"/>
      <c r="P38" s="52" t="s">
        <v>724</v>
      </c>
      <c r="Q38" s="50" t="s">
        <v>802</v>
      </c>
      <c r="R38" s="50" t="s">
        <v>766</v>
      </c>
      <c r="S38" s="50"/>
      <c r="T38" s="50" t="s">
        <v>753</v>
      </c>
      <c r="U38" s="50" t="s">
        <v>708</v>
      </c>
      <c r="V38" s="50" t="s">
        <v>20</v>
      </c>
      <c r="W38" s="50" t="s">
        <v>920</v>
      </c>
      <c r="X38" s="50" t="s">
        <v>956</v>
      </c>
      <c r="Y38" s="49" t="s">
        <v>956</v>
      </c>
      <c r="Z38" s="53">
        <v>1</v>
      </c>
      <c r="AA38" s="53">
        <v>1</v>
      </c>
      <c r="AB38" s="51">
        <v>3000000</v>
      </c>
      <c r="AC38" s="55" t="s">
        <v>896</v>
      </c>
    </row>
    <row r="39" spans="1:29" ht="96" customHeight="1" x14ac:dyDescent="0.2">
      <c r="A39" s="44">
        <v>37</v>
      </c>
      <c r="B39" s="44" t="s">
        <v>36</v>
      </c>
      <c r="C39" s="44" t="s">
        <v>188</v>
      </c>
      <c r="D39" s="45" t="s">
        <v>398</v>
      </c>
      <c r="E39" s="45" t="s">
        <v>547</v>
      </c>
      <c r="F39" s="44">
        <v>1</v>
      </c>
      <c r="G39" s="44"/>
      <c r="H39" s="45" t="s">
        <v>663</v>
      </c>
      <c r="I39" s="46">
        <v>3000000</v>
      </c>
      <c r="J39" s="46"/>
      <c r="K39" s="46"/>
      <c r="L39" s="46">
        <v>3000000</v>
      </c>
      <c r="M39" s="44"/>
      <c r="N39" s="47" t="s">
        <v>729</v>
      </c>
      <c r="O39" s="47"/>
      <c r="P39" s="47" t="s">
        <v>729</v>
      </c>
      <c r="Q39" s="45" t="s">
        <v>795</v>
      </c>
      <c r="R39" s="45" t="s">
        <v>807</v>
      </c>
      <c r="S39" s="45"/>
      <c r="T39" s="45"/>
      <c r="U39" s="45" t="s">
        <v>709</v>
      </c>
      <c r="V39" s="45" t="s">
        <v>20</v>
      </c>
      <c r="W39" s="45" t="s">
        <v>957</v>
      </c>
      <c r="X39" s="45" t="s">
        <v>845</v>
      </c>
      <c r="Y39" s="44"/>
      <c r="Z39" s="42"/>
      <c r="AA39" s="42"/>
      <c r="AB39" s="42"/>
      <c r="AC39" s="43" t="s">
        <v>943</v>
      </c>
    </row>
    <row r="40" spans="1:29" ht="96" customHeight="1" x14ac:dyDescent="0.2">
      <c r="A40" s="49">
        <v>38</v>
      </c>
      <c r="B40" s="49" t="s">
        <v>36</v>
      </c>
      <c r="C40" s="49" t="s">
        <v>188</v>
      </c>
      <c r="D40" s="50" t="s">
        <v>398</v>
      </c>
      <c r="E40" s="50" t="s">
        <v>617</v>
      </c>
      <c r="F40" s="49">
        <v>1</v>
      </c>
      <c r="G40" s="49"/>
      <c r="H40" s="50" t="s">
        <v>690</v>
      </c>
      <c r="I40" s="51">
        <v>3000000</v>
      </c>
      <c r="J40" s="51"/>
      <c r="K40" s="51"/>
      <c r="L40" s="51">
        <v>3000000</v>
      </c>
      <c r="M40" s="49"/>
      <c r="N40" s="52" t="s">
        <v>726</v>
      </c>
      <c r="O40" s="52"/>
      <c r="P40" s="52" t="s">
        <v>726</v>
      </c>
      <c r="Q40" s="50" t="s">
        <v>809</v>
      </c>
      <c r="R40" s="50" t="s">
        <v>805</v>
      </c>
      <c r="S40" s="50"/>
      <c r="T40" s="50" t="s">
        <v>753</v>
      </c>
      <c r="U40" s="50" t="s">
        <v>711</v>
      </c>
      <c r="V40" s="50" t="s">
        <v>20</v>
      </c>
      <c r="W40" s="50" t="s">
        <v>958</v>
      </c>
      <c r="X40" s="50" t="s">
        <v>946</v>
      </c>
      <c r="Y40" s="49" t="s">
        <v>845</v>
      </c>
      <c r="Z40" s="53">
        <v>1</v>
      </c>
      <c r="AA40" s="53">
        <v>1</v>
      </c>
      <c r="AB40" s="51">
        <v>3000000</v>
      </c>
      <c r="AC40" s="55" t="s">
        <v>896</v>
      </c>
    </row>
    <row r="41" spans="1:29" ht="96" customHeight="1" x14ac:dyDescent="0.2">
      <c r="A41" s="49">
        <v>39</v>
      </c>
      <c r="B41" s="49" t="s">
        <v>36</v>
      </c>
      <c r="C41" s="49" t="s">
        <v>188</v>
      </c>
      <c r="D41" s="50" t="s">
        <v>398</v>
      </c>
      <c r="E41" s="50" t="s">
        <v>631</v>
      </c>
      <c r="F41" s="49">
        <v>1</v>
      </c>
      <c r="G41" s="49"/>
      <c r="H41" s="50" t="s">
        <v>699</v>
      </c>
      <c r="I41" s="51">
        <v>3000000</v>
      </c>
      <c r="J41" s="51"/>
      <c r="K41" s="51"/>
      <c r="L41" s="51">
        <v>3000000</v>
      </c>
      <c r="M41" s="49"/>
      <c r="N41" s="52" t="s">
        <v>721</v>
      </c>
      <c r="O41" s="52"/>
      <c r="P41" s="52" t="s">
        <v>721</v>
      </c>
      <c r="Q41" s="50" t="s">
        <v>767</v>
      </c>
      <c r="R41" s="50"/>
      <c r="S41" s="50"/>
      <c r="T41" s="50" t="s">
        <v>753</v>
      </c>
      <c r="U41" s="50" t="s">
        <v>718</v>
      </c>
      <c r="V41" s="50" t="s">
        <v>20</v>
      </c>
      <c r="W41" s="50" t="s">
        <v>959</v>
      </c>
      <c r="X41" s="50" t="s">
        <v>960</v>
      </c>
      <c r="Y41" s="49" t="s">
        <v>845</v>
      </c>
      <c r="Z41" s="53">
        <v>1</v>
      </c>
      <c r="AA41" s="53">
        <v>1</v>
      </c>
      <c r="AB41" s="51">
        <v>3000000</v>
      </c>
      <c r="AC41" s="55" t="s">
        <v>896</v>
      </c>
    </row>
    <row r="42" spans="1:29" ht="96" customHeight="1" x14ac:dyDescent="0.2">
      <c r="A42" s="44">
        <v>40</v>
      </c>
      <c r="B42" s="44" t="s">
        <v>36</v>
      </c>
      <c r="C42" s="44" t="s">
        <v>188</v>
      </c>
      <c r="D42" s="50" t="s">
        <v>398</v>
      </c>
      <c r="E42" s="50" t="s">
        <v>653</v>
      </c>
      <c r="F42" s="49"/>
      <c r="G42" s="49"/>
      <c r="H42" s="50" t="s">
        <v>36</v>
      </c>
      <c r="I42" s="51">
        <v>3000000</v>
      </c>
      <c r="J42" s="51"/>
      <c r="K42" s="51"/>
      <c r="L42" s="51">
        <v>3000000</v>
      </c>
      <c r="M42" s="49"/>
      <c r="N42" s="52" t="s">
        <v>729</v>
      </c>
      <c r="O42" s="52"/>
      <c r="P42" s="52" t="s">
        <v>729</v>
      </c>
      <c r="Q42" s="50" t="s">
        <v>810</v>
      </c>
      <c r="R42" s="50" t="s">
        <v>788</v>
      </c>
      <c r="S42" s="50"/>
      <c r="T42" s="50"/>
      <c r="U42" s="50" t="s">
        <v>709</v>
      </c>
      <c r="V42" s="50" t="s">
        <v>709</v>
      </c>
      <c r="W42" s="50" t="s">
        <v>36</v>
      </c>
      <c r="X42" s="50" t="s">
        <v>845</v>
      </c>
      <c r="Y42" s="49" t="s">
        <v>845</v>
      </c>
      <c r="Z42" s="53"/>
      <c r="AA42" s="53"/>
      <c r="AB42" s="51">
        <v>3000000</v>
      </c>
      <c r="AC42" s="55" t="s">
        <v>961</v>
      </c>
    </row>
    <row r="43" spans="1:29" ht="96" customHeight="1" x14ac:dyDescent="0.2">
      <c r="A43" s="44">
        <v>41</v>
      </c>
      <c r="B43" s="44" t="s">
        <v>36</v>
      </c>
      <c r="C43" s="44" t="s">
        <v>188</v>
      </c>
      <c r="D43" s="50" t="s">
        <v>398</v>
      </c>
      <c r="E43" s="50" t="s">
        <v>659</v>
      </c>
      <c r="F43" s="49">
        <v>1</v>
      </c>
      <c r="G43" s="49"/>
      <c r="H43" s="50" t="s">
        <v>706</v>
      </c>
      <c r="I43" s="51">
        <v>2800000</v>
      </c>
      <c r="J43" s="51"/>
      <c r="K43" s="51"/>
      <c r="L43" s="51">
        <v>2800000</v>
      </c>
      <c r="M43" s="49"/>
      <c r="N43" s="52" t="s">
        <v>722</v>
      </c>
      <c r="O43" s="52"/>
      <c r="P43" s="52" t="s">
        <v>722</v>
      </c>
      <c r="Q43" s="50" t="s">
        <v>709</v>
      </c>
      <c r="R43" s="50" t="s">
        <v>811</v>
      </c>
      <c r="S43" s="50"/>
      <c r="T43" s="50" t="s">
        <v>753</v>
      </c>
      <c r="U43" s="50" t="s">
        <v>709</v>
      </c>
      <c r="V43" s="50" t="s">
        <v>709</v>
      </c>
      <c r="W43" s="50" t="s">
        <v>962</v>
      </c>
      <c r="X43" s="50" t="s">
        <v>963</v>
      </c>
      <c r="Y43" s="49" t="s">
        <v>845</v>
      </c>
      <c r="Z43" s="53">
        <v>1</v>
      </c>
      <c r="AA43" s="53">
        <v>1</v>
      </c>
      <c r="AB43" s="51">
        <v>2800000</v>
      </c>
      <c r="AC43" s="55" t="s">
        <v>896</v>
      </c>
    </row>
    <row r="44" spans="1:29" ht="96" customHeight="1" x14ac:dyDescent="0.2">
      <c r="A44" s="44">
        <v>42</v>
      </c>
      <c r="B44" s="44" t="s">
        <v>36</v>
      </c>
      <c r="C44" s="44" t="s">
        <v>188</v>
      </c>
      <c r="D44" s="50" t="s">
        <v>398</v>
      </c>
      <c r="E44" s="50" t="s">
        <v>812</v>
      </c>
      <c r="F44" s="49">
        <v>1</v>
      </c>
      <c r="G44" s="49"/>
      <c r="H44" s="50" t="s">
        <v>699</v>
      </c>
      <c r="I44" s="51">
        <v>2800000</v>
      </c>
      <c r="J44" s="51"/>
      <c r="K44" s="51"/>
      <c r="L44" s="51">
        <v>2800000</v>
      </c>
      <c r="M44" s="49"/>
      <c r="N44" s="52" t="s">
        <v>726</v>
      </c>
      <c r="O44" s="52"/>
      <c r="P44" s="52" t="s">
        <v>726</v>
      </c>
      <c r="Q44" s="50" t="s">
        <v>785</v>
      </c>
      <c r="R44" s="50"/>
      <c r="S44" s="50"/>
      <c r="T44" s="50"/>
      <c r="U44" s="50" t="s">
        <v>718</v>
      </c>
      <c r="V44" s="50" t="s">
        <v>20</v>
      </c>
      <c r="W44" s="50" t="s">
        <v>964</v>
      </c>
      <c r="X44" s="50"/>
      <c r="Y44" s="49" t="s">
        <v>845</v>
      </c>
      <c r="Z44" s="53">
        <v>1</v>
      </c>
      <c r="AA44" s="53">
        <v>1</v>
      </c>
      <c r="AB44" s="51">
        <v>2800000</v>
      </c>
      <c r="AC44" s="55" t="s">
        <v>896</v>
      </c>
    </row>
    <row r="45" spans="1:29" ht="96" customHeight="1" x14ac:dyDescent="0.2">
      <c r="A45" s="57">
        <v>43</v>
      </c>
      <c r="B45" s="57" t="s">
        <v>36</v>
      </c>
      <c r="C45" s="57" t="s">
        <v>188</v>
      </c>
      <c r="D45" s="58" t="s">
        <v>398</v>
      </c>
      <c r="E45" s="58" t="s">
        <v>585</v>
      </c>
      <c r="F45" s="57">
        <v>1</v>
      </c>
      <c r="G45" s="57"/>
      <c r="H45" s="58" t="s">
        <v>672</v>
      </c>
      <c r="I45" s="59">
        <v>2500000</v>
      </c>
      <c r="J45" s="59"/>
      <c r="K45" s="59"/>
      <c r="L45" s="59">
        <v>2500000</v>
      </c>
      <c r="M45" s="57"/>
      <c r="N45" s="60" t="s">
        <v>721</v>
      </c>
      <c r="O45" s="60"/>
      <c r="P45" s="60" t="s">
        <v>721</v>
      </c>
      <c r="Q45" s="58" t="s">
        <v>791</v>
      </c>
      <c r="R45" s="58"/>
      <c r="S45" s="58"/>
      <c r="T45" s="58" t="s">
        <v>753</v>
      </c>
      <c r="U45" s="58" t="s">
        <v>711</v>
      </c>
      <c r="V45" s="58" t="s">
        <v>20</v>
      </c>
      <c r="W45" s="58" t="s">
        <v>940</v>
      </c>
      <c r="X45" s="58" t="s">
        <v>928</v>
      </c>
      <c r="Y45" s="57" t="s">
        <v>965</v>
      </c>
      <c r="Z45" s="61"/>
      <c r="AA45" s="61"/>
      <c r="AB45" s="61"/>
      <c r="AC45" s="62" t="s">
        <v>947</v>
      </c>
    </row>
    <row r="46" spans="1:29" ht="96" customHeight="1" x14ac:dyDescent="0.2">
      <c r="A46" s="49">
        <v>44</v>
      </c>
      <c r="B46" s="49" t="s">
        <v>36</v>
      </c>
      <c r="C46" s="49" t="s">
        <v>188</v>
      </c>
      <c r="D46" s="50" t="s">
        <v>398</v>
      </c>
      <c r="E46" s="50" t="s">
        <v>553</v>
      </c>
      <c r="F46" s="49">
        <v>1</v>
      </c>
      <c r="G46" s="49"/>
      <c r="H46" s="50" t="s">
        <v>665</v>
      </c>
      <c r="I46" s="51">
        <v>2500000</v>
      </c>
      <c r="J46" s="51"/>
      <c r="K46" s="51"/>
      <c r="L46" s="51">
        <v>2500000</v>
      </c>
      <c r="M46" s="49"/>
      <c r="N46" s="52" t="s">
        <v>722</v>
      </c>
      <c r="O46" s="52"/>
      <c r="P46" s="52" t="s">
        <v>722</v>
      </c>
      <c r="Q46" s="50" t="s">
        <v>20</v>
      </c>
      <c r="R46" s="50" t="s">
        <v>807</v>
      </c>
      <c r="S46" s="50"/>
      <c r="T46" s="50" t="s">
        <v>753</v>
      </c>
      <c r="U46" s="50" t="s">
        <v>813</v>
      </c>
      <c r="V46" s="50" t="s">
        <v>20</v>
      </c>
      <c r="W46" s="50" t="s">
        <v>933</v>
      </c>
      <c r="X46" s="50" t="s">
        <v>956</v>
      </c>
      <c r="Y46" s="49" t="s">
        <v>956</v>
      </c>
      <c r="Z46" s="53">
        <v>1</v>
      </c>
      <c r="AA46" s="53">
        <v>1</v>
      </c>
      <c r="AB46" s="51">
        <v>2500000</v>
      </c>
      <c r="AC46" s="55" t="s">
        <v>896</v>
      </c>
    </row>
    <row r="47" spans="1:29" ht="96" customHeight="1" x14ac:dyDescent="0.2">
      <c r="A47" s="57">
        <v>45</v>
      </c>
      <c r="B47" s="57" t="s">
        <v>36</v>
      </c>
      <c r="C47" s="57" t="s">
        <v>188</v>
      </c>
      <c r="D47" s="58" t="s">
        <v>398</v>
      </c>
      <c r="E47" s="58" t="s">
        <v>587</v>
      </c>
      <c r="F47" s="57">
        <v>1</v>
      </c>
      <c r="G47" s="57"/>
      <c r="H47" s="58" t="s">
        <v>672</v>
      </c>
      <c r="I47" s="59">
        <v>2500000</v>
      </c>
      <c r="J47" s="59"/>
      <c r="K47" s="59"/>
      <c r="L47" s="59">
        <v>2500000</v>
      </c>
      <c r="M47" s="57"/>
      <c r="N47" s="60" t="s">
        <v>721</v>
      </c>
      <c r="O47" s="60"/>
      <c r="P47" s="60" t="s">
        <v>721</v>
      </c>
      <c r="Q47" s="58" t="s">
        <v>709</v>
      </c>
      <c r="R47" s="58" t="s">
        <v>805</v>
      </c>
      <c r="S47" s="58"/>
      <c r="T47" s="58" t="s">
        <v>753</v>
      </c>
      <c r="U47" s="58" t="s">
        <v>713</v>
      </c>
      <c r="V47" s="58" t="s">
        <v>709</v>
      </c>
      <c r="W47" s="58" t="s">
        <v>940</v>
      </c>
      <c r="X47" s="58" t="s">
        <v>956</v>
      </c>
      <c r="Y47" s="57" t="s">
        <v>956</v>
      </c>
      <c r="Z47" s="61"/>
      <c r="AA47" s="61"/>
      <c r="AB47" s="61"/>
      <c r="AC47" s="62" t="s">
        <v>947</v>
      </c>
    </row>
    <row r="48" spans="1:29" ht="96" customHeight="1" x14ac:dyDescent="0.2">
      <c r="A48" s="57">
        <v>46</v>
      </c>
      <c r="B48" s="57" t="s">
        <v>36</v>
      </c>
      <c r="C48" s="57" t="s">
        <v>188</v>
      </c>
      <c r="D48" s="58" t="s">
        <v>398</v>
      </c>
      <c r="E48" s="58" t="s">
        <v>814</v>
      </c>
      <c r="F48" s="57">
        <v>1</v>
      </c>
      <c r="G48" s="57"/>
      <c r="H48" s="58" t="s">
        <v>683</v>
      </c>
      <c r="I48" s="59">
        <v>2500000</v>
      </c>
      <c r="J48" s="59"/>
      <c r="K48" s="59"/>
      <c r="L48" s="59">
        <v>2500000</v>
      </c>
      <c r="M48" s="57"/>
      <c r="N48" s="60" t="s">
        <v>726</v>
      </c>
      <c r="O48" s="60"/>
      <c r="P48" s="60" t="s">
        <v>726</v>
      </c>
      <c r="Q48" s="58" t="s">
        <v>815</v>
      </c>
      <c r="R48" s="58"/>
      <c r="S48" s="58"/>
      <c r="T48" s="58" t="s">
        <v>753</v>
      </c>
      <c r="U48" s="58" t="s">
        <v>715</v>
      </c>
      <c r="V48" s="58" t="s">
        <v>20</v>
      </c>
      <c r="W48" s="58" t="s">
        <v>966</v>
      </c>
      <c r="X48" s="58" t="s">
        <v>845</v>
      </c>
      <c r="Y48" s="57" t="s">
        <v>845</v>
      </c>
      <c r="Z48" s="61"/>
      <c r="AA48" s="61"/>
      <c r="AB48" s="61"/>
      <c r="AC48" s="62" t="s">
        <v>947</v>
      </c>
    </row>
    <row r="49" spans="1:29" ht="96" customHeight="1" x14ac:dyDescent="0.2">
      <c r="A49" s="44">
        <v>47</v>
      </c>
      <c r="B49" s="44" t="s">
        <v>36</v>
      </c>
      <c r="C49" s="44" t="s">
        <v>188</v>
      </c>
      <c r="D49" s="45" t="s">
        <v>398</v>
      </c>
      <c r="E49" s="45" t="s">
        <v>616</v>
      </c>
      <c r="F49" s="44">
        <v>1</v>
      </c>
      <c r="G49" s="44"/>
      <c r="H49" s="45" t="s">
        <v>689</v>
      </c>
      <c r="I49" s="46">
        <v>2500000</v>
      </c>
      <c r="J49" s="46"/>
      <c r="K49" s="46"/>
      <c r="L49" s="46">
        <v>2500000</v>
      </c>
      <c r="M49" s="44"/>
      <c r="N49" s="47" t="s">
        <v>731</v>
      </c>
      <c r="O49" s="47"/>
      <c r="P49" s="47" t="s">
        <v>731</v>
      </c>
      <c r="Q49" s="45" t="s">
        <v>709</v>
      </c>
      <c r="R49" s="45" t="s">
        <v>805</v>
      </c>
      <c r="S49" s="45"/>
      <c r="T49" s="45"/>
      <c r="U49" s="45" t="s">
        <v>716</v>
      </c>
      <c r="V49" s="45" t="s">
        <v>709</v>
      </c>
      <c r="W49" s="45" t="s">
        <v>958</v>
      </c>
      <c r="X49" s="45" t="s">
        <v>845</v>
      </c>
      <c r="Y49" s="44" t="s">
        <v>845</v>
      </c>
      <c r="Z49" s="42"/>
      <c r="AA49" s="42"/>
      <c r="AB49" s="42"/>
      <c r="AC49" s="43" t="s">
        <v>967</v>
      </c>
    </row>
    <row r="50" spans="1:29" ht="96" customHeight="1" x14ac:dyDescent="0.2">
      <c r="A50" s="49">
        <v>48</v>
      </c>
      <c r="B50" s="49" t="s">
        <v>36</v>
      </c>
      <c r="C50" s="49" t="s">
        <v>188</v>
      </c>
      <c r="D50" s="50" t="s">
        <v>398</v>
      </c>
      <c r="E50" s="50" t="s">
        <v>634</v>
      </c>
      <c r="F50" s="49">
        <v>1</v>
      </c>
      <c r="G50" s="49"/>
      <c r="H50" s="50" t="s">
        <v>33</v>
      </c>
      <c r="I50" s="51">
        <v>2500000</v>
      </c>
      <c r="J50" s="51"/>
      <c r="K50" s="51"/>
      <c r="L50" s="51">
        <v>2500000</v>
      </c>
      <c r="M50" s="49"/>
      <c r="N50" s="52" t="s">
        <v>724</v>
      </c>
      <c r="O50" s="52"/>
      <c r="P50" s="52" t="s">
        <v>724</v>
      </c>
      <c r="Q50" s="50" t="s">
        <v>816</v>
      </c>
      <c r="R50" s="50" t="s">
        <v>805</v>
      </c>
      <c r="S50" s="50"/>
      <c r="T50" s="50" t="s">
        <v>753</v>
      </c>
      <c r="U50" s="50" t="s">
        <v>709</v>
      </c>
      <c r="V50" s="50" t="s">
        <v>709</v>
      </c>
      <c r="W50" s="50" t="s">
        <v>945</v>
      </c>
      <c r="X50" s="50" t="s">
        <v>968</v>
      </c>
      <c r="Y50" s="49" t="s">
        <v>845</v>
      </c>
      <c r="Z50" s="53">
        <v>1</v>
      </c>
      <c r="AA50" s="53">
        <v>1</v>
      </c>
      <c r="AB50" s="51">
        <v>2500000</v>
      </c>
      <c r="AC50" s="55" t="s">
        <v>932</v>
      </c>
    </row>
    <row r="51" spans="1:29" ht="96" customHeight="1" x14ac:dyDescent="0.2">
      <c r="A51" s="57">
        <v>49</v>
      </c>
      <c r="B51" s="57" t="s">
        <v>36</v>
      </c>
      <c r="C51" s="57" t="s">
        <v>188</v>
      </c>
      <c r="D51" s="58" t="s">
        <v>398</v>
      </c>
      <c r="E51" s="58" t="s">
        <v>817</v>
      </c>
      <c r="F51" s="57">
        <v>1</v>
      </c>
      <c r="G51" s="57"/>
      <c r="H51" s="58" t="s">
        <v>706</v>
      </c>
      <c r="I51" s="59">
        <v>2500000</v>
      </c>
      <c r="J51" s="59">
        <v>2500000</v>
      </c>
      <c r="K51" s="59">
        <v>2500000</v>
      </c>
      <c r="L51" s="59">
        <v>2500000</v>
      </c>
      <c r="M51" s="57"/>
      <c r="N51" s="60" t="s">
        <v>722</v>
      </c>
      <c r="O51" s="60"/>
      <c r="P51" s="60" t="s">
        <v>722</v>
      </c>
      <c r="Q51" s="58" t="s">
        <v>709</v>
      </c>
      <c r="R51" s="58" t="s">
        <v>805</v>
      </c>
      <c r="S51" s="58"/>
      <c r="T51" s="58" t="s">
        <v>753</v>
      </c>
      <c r="U51" s="58" t="s">
        <v>709</v>
      </c>
      <c r="V51" s="58" t="s">
        <v>709</v>
      </c>
      <c r="W51" s="58" t="s">
        <v>962</v>
      </c>
      <c r="X51" s="58" t="s">
        <v>845</v>
      </c>
      <c r="Y51" s="57" t="s">
        <v>845</v>
      </c>
      <c r="Z51" s="61"/>
      <c r="AA51" s="61"/>
      <c r="AB51" s="61"/>
      <c r="AC51" s="62" t="s">
        <v>947</v>
      </c>
    </row>
    <row r="52" spans="1:29" ht="96" customHeight="1" x14ac:dyDescent="0.2">
      <c r="A52" s="44">
        <v>50</v>
      </c>
      <c r="B52" s="44" t="s">
        <v>36</v>
      </c>
      <c r="C52" s="44" t="s">
        <v>188</v>
      </c>
      <c r="D52" s="45" t="s">
        <v>398</v>
      </c>
      <c r="E52" s="45" t="s">
        <v>818</v>
      </c>
      <c r="F52" s="44">
        <v>1</v>
      </c>
      <c r="G52" s="44"/>
      <c r="H52" s="45" t="s">
        <v>707</v>
      </c>
      <c r="I52" s="46">
        <v>2500000</v>
      </c>
      <c r="J52" s="46"/>
      <c r="K52" s="46"/>
      <c r="L52" s="46">
        <v>2500000</v>
      </c>
      <c r="M52" s="44"/>
      <c r="N52" s="47" t="s">
        <v>724</v>
      </c>
      <c r="O52" s="47"/>
      <c r="P52" s="47" t="s">
        <v>724</v>
      </c>
      <c r="Q52" s="45" t="s">
        <v>709</v>
      </c>
      <c r="R52" s="45" t="s">
        <v>819</v>
      </c>
      <c r="S52" s="45"/>
      <c r="T52" s="45"/>
      <c r="U52" s="45" t="s">
        <v>709</v>
      </c>
      <c r="V52" s="45" t="s">
        <v>709</v>
      </c>
      <c r="W52" s="45" t="s">
        <v>969</v>
      </c>
      <c r="X52" s="45" t="s">
        <v>845</v>
      </c>
      <c r="Y52" s="44" t="s">
        <v>845</v>
      </c>
      <c r="Z52" s="42"/>
      <c r="AA52" s="42"/>
      <c r="AB52" s="42"/>
      <c r="AC52" s="43" t="s">
        <v>970</v>
      </c>
    </row>
    <row r="53" spans="1:29" ht="96" customHeight="1" x14ac:dyDescent="0.2">
      <c r="A53" s="49">
        <v>51</v>
      </c>
      <c r="B53" s="49" t="s">
        <v>36</v>
      </c>
      <c r="C53" s="49" t="s">
        <v>188</v>
      </c>
      <c r="D53" s="50" t="s">
        <v>398</v>
      </c>
      <c r="E53" s="50" t="s">
        <v>820</v>
      </c>
      <c r="F53" s="49">
        <v>1</v>
      </c>
      <c r="G53" s="49"/>
      <c r="H53" s="50" t="s">
        <v>733</v>
      </c>
      <c r="I53" s="51">
        <v>2500000</v>
      </c>
      <c r="J53" s="51"/>
      <c r="K53" s="51"/>
      <c r="L53" s="51">
        <v>2500000</v>
      </c>
      <c r="M53" s="49"/>
      <c r="N53" s="52" t="s">
        <v>724</v>
      </c>
      <c r="O53" s="52"/>
      <c r="P53" s="52" t="s">
        <v>724</v>
      </c>
      <c r="Q53" s="50" t="s">
        <v>821</v>
      </c>
      <c r="R53" s="50"/>
      <c r="S53" s="50"/>
      <c r="T53" s="50"/>
      <c r="U53" s="50" t="s">
        <v>822</v>
      </c>
      <c r="V53" s="50" t="s">
        <v>714</v>
      </c>
      <c r="W53" s="50" t="s">
        <v>971</v>
      </c>
      <c r="X53" s="50" t="s">
        <v>845</v>
      </c>
      <c r="Y53" s="49" t="s">
        <v>845</v>
      </c>
      <c r="Z53" s="53">
        <v>1</v>
      </c>
      <c r="AA53" s="53">
        <v>1</v>
      </c>
      <c r="AB53" s="51">
        <v>2500000</v>
      </c>
      <c r="AC53" s="55" t="s">
        <v>896</v>
      </c>
    </row>
    <row r="54" spans="1:29" ht="96" customHeight="1" x14ac:dyDescent="0.2">
      <c r="A54" s="49">
        <v>52</v>
      </c>
      <c r="B54" s="49" t="s">
        <v>36</v>
      </c>
      <c r="C54" s="49" t="s">
        <v>188</v>
      </c>
      <c r="D54" s="50" t="s">
        <v>398</v>
      </c>
      <c r="E54" s="50" t="s">
        <v>548</v>
      </c>
      <c r="F54" s="49">
        <v>1</v>
      </c>
      <c r="G54" s="49"/>
      <c r="H54" s="50" t="s">
        <v>664</v>
      </c>
      <c r="I54" s="51">
        <v>2000000</v>
      </c>
      <c r="J54" s="51"/>
      <c r="K54" s="51"/>
      <c r="L54" s="51">
        <v>2000000</v>
      </c>
      <c r="M54" s="49"/>
      <c r="N54" s="52" t="s">
        <v>729</v>
      </c>
      <c r="O54" s="52"/>
      <c r="P54" s="52" t="s">
        <v>729</v>
      </c>
      <c r="Q54" s="50" t="s">
        <v>823</v>
      </c>
      <c r="R54" s="50" t="s">
        <v>824</v>
      </c>
      <c r="S54" s="50"/>
      <c r="T54" s="50"/>
      <c r="U54" s="50" t="s">
        <v>709</v>
      </c>
      <c r="V54" s="50" t="s">
        <v>709</v>
      </c>
      <c r="W54" s="50" t="s">
        <v>972</v>
      </c>
      <c r="X54" s="50" t="s">
        <v>973</v>
      </c>
      <c r="Y54" s="49" t="s">
        <v>845</v>
      </c>
      <c r="Z54" s="53">
        <v>1</v>
      </c>
      <c r="AA54" s="53">
        <v>1</v>
      </c>
      <c r="AB54" s="51">
        <v>2000000</v>
      </c>
      <c r="AC54" s="55" t="s">
        <v>896</v>
      </c>
    </row>
    <row r="55" spans="1:29" ht="96" customHeight="1" x14ac:dyDescent="0.2">
      <c r="A55" s="49">
        <v>53</v>
      </c>
      <c r="B55" s="49" t="s">
        <v>36</v>
      </c>
      <c r="C55" s="49" t="s">
        <v>188</v>
      </c>
      <c r="D55" s="50" t="s">
        <v>398</v>
      </c>
      <c r="E55" s="50" t="s">
        <v>559</v>
      </c>
      <c r="F55" s="49">
        <v>1</v>
      </c>
      <c r="G55" s="49"/>
      <c r="H55" s="50" t="s">
        <v>825</v>
      </c>
      <c r="I55" s="51">
        <v>2000000</v>
      </c>
      <c r="J55" s="51"/>
      <c r="K55" s="51"/>
      <c r="L55" s="51">
        <v>2000000</v>
      </c>
      <c r="M55" s="49"/>
      <c r="N55" s="52" t="s">
        <v>724</v>
      </c>
      <c r="O55" s="52"/>
      <c r="P55" s="52" t="s">
        <v>724</v>
      </c>
      <c r="Q55" s="50" t="s">
        <v>802</v>
      </c>
      <c r="R55" s="50"/>
      <c r="S55" s="50"/>
      <c r="T55" s="50" t="s">
        <v>753</v>
      </c>
      <c r="U55" s="50" t="s">
        <v>718</v>
      </c>
      <c r="V55" s="50" t="s">
        <v>821</v>
      </c>
      <c r="W55" s="50" t="s">
        <v>974</v>
      </c>
      <c r="X55" s="50" t="s">
        <v>907</v>
      </c>
      <c r="Y55" s="49" t="s">
        <v>845</v>
      </c>
      <c r="Z55" s="53">
        <v>1</v>
      </c>
      <c r="AA55" s="53">
        <v>1</v>
      </c>
      <c r="AB55" s="51">
        <v>2000000</v>
      </c>
      <c r="AC55" s="55" t="s">
        <v>896</v>
      </c>
    </row>
    <row r="56" spans="1:29" ht="96" customHeight="1" x14ac:dyDescent="0.2">
      <c r="A56" s="49">
        <v>54</v>
      </c>
      <c r="B56" s="49" t="s">
        <v>36</v>
      </c>
      <c r="C56" s="49" t="s">
        <v>188</v>
      </c>
      <c r="D56" s="50" t="s">
        <v>398</v>
      </c>
      <c r="E56" s="50" t="s">
        <v>542</v>
      </c>
      <c r="F56" s="49">
        <v>1</v>
      </c>
      <c r="G56" s="49"/>
      <c r="H56" s="50" t="s">
        <v>663</v>
      </c>
      <c r="I56" s="51">
        <v>2000000</v>
      </c>
      <c r="J56" s="51"/>
      <c r="K56" s="51"/>
      <c r="L56" s="51">
        <v>2000000</v>
      </c>
      <c r="M56" s="49"/>
      <c r="N56" s="52" t="s">
        <v>726</v>
      </c>
      <c r="O56" s="52"/>
      <c r="P56" s="52" t="s">
        <v>726</v>
      </c>
      <c r="Q56" s="50" t="s">
        <v>802</v>
      </c>
      <c r="R56" s="50"/>
      <c r="S56" s="50"/>
      <c r="T56" s="50"/>
      <c r="U56" s="50" t="s">
        <v>708</v>
      </c>
      <c r="V56" s="50" t="s">
        <v>20</v>
      </c>
      <c r="W56" s="50" t="s">
        <v>958</v>
      </c>
      <c r="X56" s="50" t="s">
        <v>975</v>
      </c>
      <c r="Y56" s="49" t="s">
        <v>845</v>
      </c>
      <c r="Z56" s="53">
        <v>1</v>
      </c>
      <c r="AA56" s="53">
        <v>1</v>
      </c>
      <c r="AB56" s="51">
        <v>2000000</v>
      </c>
      <c r="AC56" s="55" t="s">
        <v>896</v>
      </c>
    </row>
    <row r="57" spans="1:29" ht="96" customHeight="1" x14ac:dyDescent="0.2">
      <c r="A57" s="44">
        <v>55</v>
      </c>
      <c r="B57" s="44" t="s">
        <v>36</v>
      </c>
      <c r="C57" s="44" t="s">
        <v>188</v>
      </c>
      <c r="D57" s="45" t="s">
        <v>398</v>
      </c>
      <c r="E57" s="45" t="s">
        <v>826</v>
      </c>
      <c r="F57" s="44">
        <v>1</v>
      </c>
      <c r="G57" s="44"/>
      <c r="H57" s="45" t="s">
        <v>663</v>
      </c>
      <c r="I57" s="46">
        <v>2000000</v>
      </c>
      <c r="J57" s="46"/>
      <c r="K57" s="46"/>
      <c r="L57" s="46">
        <v>2000000</v>
      </c>
      <c r="M57" s="44"/>
      <c r="N57" s="47" t="s">
        <v>722</v>
      </c>
      <c r="O57" s="47"/>
      <c r="P57" s="47" t="s">
        <v>722</v>
      </c>
      <c r="Q57" s="45" t="s">
        <v>710</v>
      </c>
      <c r="R57" s="45"/>
      <c r="S57" s="45"/>
      <c r="T57" s="45" t="s">
        <v>753</v>
      </c>
      <c r="U57" s="45" t="s">
        <v>709</v>
      </c>
      <c r="V57" s="45" t="s">
        <v>709</v>
      </c>
      <c r="W57" s="45" t="s">
        <v>976</v>
      </c>
      <c r="X57" s="45" t="s">
        <v>956</v>
      </c>
      <c r="Y57" s="44" t="s">
        <v>845</v>
      </c>
      <c r="Z57" s="42"/>
      <c r="AA57" s="42"/>
      <c r="AB57" s="42"/>
      <c r="AC57" s="43" t="s">
        <v>977</v>
      </c>
    </row>
    <row r="58" spans="1:29" ht="96" customHeight="1" x14ac:dyDescent="0.2">
      <c r="A58" s="44">
        <v>56</v>
      </c>
      <c r="B58" s="44" t="s">
        <v>36</v>
      </c>
      <c r="C58" s="44" t="s">
        <v>188</v>
      </c>
      <c r="D58" s="50" t="s">
        <v>398</v>
      </c>
      <c r="E58" s="50" t="s">
        <v>596</v>
      </c>
      <c r="F58" s="49">
        <v>2</v>
      </c>
      <c r="G58" s="49"/>
      <c r="H58" s="50" t="s">
        <v>673</v>
      </c>
      <c r="I58" s="51">
        <v>1000000</v>
      </c>
      <c r="J58" s="51"/>
      <c r="K58" s="51"/>
      <c r="L58" s="51">
        <v>2000000</v>
      </c>
      <c r="M58" s="49"/>
      <c r="N58" s="52" t="s">
        <v>730</v>
      </c>
      <c r="O58" s="52"/>
      <c r="P58" s="52" t="s">
        <v>730</v>
      </c>
      <c r="Q58" s="50" t="s">
        <v>828</v>
      </c>
      <c r="R58" s="50" t="s">
        <v>829</v>
      </c>
      <c r="S58" s="50"/>
      <c r="T58" s="50" t="s">
        <v>830</v>
      </c>
      <c r="U58" s="50" t="s">
        <v>711</v>
      </c>
      <c r="V58" s="50" t="s">
        <v>978</v>
      </c>
      <c r="W58" s="50" t="s">
        <v>979</v>
      </c>
      <c r="X58" s="50" t="s">
        <v>980</v>
      </c>
      <c r="Y58" s="49" t="s">
        <v>956</v>
      </c>
      <c r="Z58" s="53"/>
      <c r="AA58" s="53"/>
      <c r="AB58" s="53"/>
      <c r="AC58" s="55" t="s">
        <v>981</v>
      </c>
    </row>
    <row r="59" spans="1:29" ht="96" customHeight="1" x14ac:dyDescent="0.2">
      <c r="A59" s="44">
        <v>57</v>
      </c>
      <c r="B59" s="44" t="s">
        <v>36</v>
      </c>
      <c r="C59" s="44" t="s">
        <v>188</v>
      </c>
      <c r="D59" s="50" t="s">
        <v>398</v>
      </c>
      <c r="E59" s="50" t="s">
        <v>642</v>
      </c>
      <c r="F59" s="49">
        <v>2</v>
      </c>
      <c r="G59" s="49"/>
      <c r="H59" s="50" t="s">
        <v>703</v>
      </c>
      <c r="I59" s="51">
        <v>100000</v>
      </c>
      <c r="J59" s="51"/>
      <c r="K59" s="51"/>
      <c r="L59" s="51">
        <v>200000</v>
      </c>
      <c r="M59" s="49"/>
      <c r="N59" s="52" t="s">
        <v>723</v>
      </c>
      <c r="O59" s="52"/>
      <c r="P59" s="52" t="s">
        <v>723</v>
      </c>
      <c r="Q59" s="50" t="s">
        <v>832</v>
      </c>
      <c r="R59" s="50" t="s">
        <v>788</v>
      </c>
      <c r="S59" s="50"/>
      <c r="T59" s="50" t="s">
        <v>753</v>
      </c>
      <c r="U59" s="50" t="s">
        <v>718</v>
      </c>
      <c r="V59" s="50" t="s">
        <v>20</v>
      </c>
      <c r="W59" s="50" t="s">
        <v>919</v>
      </c>
      <c r="X59" s="50" t="s">
        <v>965</v>
      </c>
      <c r="Y59" s="49" t="s">
        <v>956</v>
      </c>
      <c r="Z59" s="53">
        <v>2</v>
      </c>
      <c r="AA59" s="53">
        <v>2</v>
      </c>
      <c r="AB59" s="51">
        <v>200000</v>
      </c>
      <c r="AC59" s="55" t="s">
        <v>896</v>
      </c>
    </row>
    <row r="60" spans="1:29" ht="96" customHeight="1" x14ac:dyDescent="0.2">
      <c r="A60" s="44">
        <v>58</v>
      </c>
      <c r="B60" s="44" t="s">
        <v>36</v>
      </c>
      <c r="C60" s="44" t="s">
        <v>188</v>
      </c>
      <c r="D60" s="50" t="s">
        <v>398</v>
      </c>
      <c r="E60" s="50" t="s">
        <v>550</v>
      </c>
      <c r="F60" s="49">
        <v>50</v>
      </c>
      <c r="G60" s="49"/>
      <c r="H60" s="50" t="s">
        <v>982</v>
      </c>
      <c r="I60" s="51">
        <v>40000</v>
      </c>
      <c r="J60" s="51"/>
      <c r="K60" s="51"/>
      <c r="L60" s="51">
        <v>2000000</v>
      </c>
      <c r="M60" s="49"/>
      <c r="N60" s="52" t="s">
        <v>723</v>
      </c>
      <c r="O60" s="52"/>
      <c r="P60" s="52" t="s">
        <v>723</v>
      </c>
      <c r="Q60" s="50" t="s">
        <v>834</v>
      </c>
      <c r="R60" s="50"/>
      <c r="S60" s="50"/>
      <c r="T60" s="50"/>
      <c r="U60" s="50" t="s">
        <v>709</v>
      </c>
      <c r="V60" s="50" t="s">
        <v>709</v>
      </c>
      <c r="W60" s="50" t="s">
        <v>983</v>
      </c>
      <c r="X60" s="50" t="s">
        <v>845</v>
      </c>
      <c r="Y60" s="49" t="s">
        <v>845</v>
      </c>
      <c r="Z60" s="53">
        <v>50</v>
      </c>
      <c r="AA60" s="53">
        <v>50</v>
      </c>
      <c r="AB60" s="51">
        <v>2000000</v>
      </c>
      <c r="AC60" s="55" t="s">
        <v>896</v>
      </c>
    </row>
    <row r="61" spans="1:29" ht="96" customHeight="1" x14ac:dyDescent="0.2">
      <c r="A61" s="44">
        <v>59</v>
      </c>
      <c r="B61" s="44" t="s">
        <v>461</v>
      </c>
      <c r="C61" s="44" t="s">
        <v>188</v>
      </c>
      <c r="D61" s="50" t="s">
        <v>398</v>
      </c>
      <c r="E61" s="50" t="s">
        <v>452</v>
      </c>
      <c r="F61" s="49">
        <v>1</v>
      </c>
      <c r="G61" s="49"/>
      <c r="H61" s="50" t="s">
        <v>461</v>
      </c>
      <c r="I61" s="51">
        <v>1800000</v>
      </c>
      <c r="J61" s="51"/>
      <c r="K61" s="51"/>
      <c r="L61" s="51">
        <v>1800000</v>
      </c>
      <c r="M61" s="49"/>
      <c r="N61" s="52"/>
      <c r="O61" s="52"/>
      <c r="P61" s="52" t="s">
        <v>721</v>
      </c>
      <c r="Q61" s="50" t="s">
        <v>835</v>
      </c>
      <c r="R61" s="50" t="s">
        <v>836</v>
      </c>
      <c r="S61" s="50"/>
      <c r="T61" s="50" t="s">
        <v>837</v>
      </c>
      <c r="U61" s="50" t="s">
        <v>466</v>
      </c>
      <c r="V61" s="50" t="s">
        <v>203</v>
      </c>
      <c r="W61" s="50" t="s">
        <v>984</v>
      </c>
      <c r="X61" s="50" t="s">
        <v>985</v>
      </c>
      <c r="Y61" s="49"/>
      <c r="Z61" s="53">
        <v>1</v>
      </c>
      <c r="AA61" s="53">
        <v>1</v>
      </c>
      <c r="AB61" s="51">
        <v>1800000</v>
      </c>
      <c r="AC61" s="55" t="s">
        <v>896</v>
      </c>
    </row>
    <row r="62" spans="1:29" ht="96" customHeight="1" x14ac:dyDescent="0.2">
      <c r="A62" s="44">
        <v>60</v>
      </c>
      <c r="B62" s="44" t="s">
        <v>21</v>
      </c>
      <c r="C62" s="44" t="s">
        <v>188</v>
      </c>
      <c r="D62" s="50" t="s">
        <v>398</v>
      </c>
      <c r="E62" s="50" t="s">
        <v>502</v>
      </c>
      <c r="F62" s="49">
        <v>1</v>
      </c>
      <c r="G62" s="49" t="s">
        <v>165</v>
      </c>
      <c r="H62" s="50" t="s">
        <v>21</v>
      </c>
      <c r="I62" s="51">
        <v>1600000</v>
      </c>
      <c r="J62" s="51"/>
      <c r="K62" s="51"/>
      <c r="L62" s="51">
        <v>1600000</v>
      </c>
      <c r="M62" s="49" t="s">
        <v>503</v>
      </c>
      <c r="N62" s="52">
        <v>46113</v>
      </c>
      <c r="O62" s="52">
        <v>46174</v>
      </c>
      <c r="P62" s="52" t="s">
        <v>725</v>
      </c>
      <c r="Q62" s="50" t="s">
        <v>504</v>
      </c>
      <c r="R62" s="50" t="s">
        <v>505</v>
      </c>
      <c r="S62" s="50" t="s">
        <v>506</v>
      </c>
      <c r="T62" s="50" t="s">
        <v>507</v>
      </c>
      <c r="U62" s="50" t="s">
        <v>508</v>
      </c>
      <c r="V62" s="50"/>
      <c r="W62" s="50"/>
      <c r="X62" s="50"/>
      <c r="Y62" s="49"/>
      <c r="Z62" s="53">
        <v>1</v>
      </c>
      <c r="AA62" s="53">
        <v>1</v>
      </c>
      <c r="AB62" s="51">
        <v>1600000</v>
      </c>
      <c r="AC62" s="55" t="s">
        <v>896</v>
      </c>
    </row>
    <row r="63" spans="1:29" ht="96" customHeight="1" x14ac:dyDescent="0.2">
      <c r="A63" s="44">
        <v>61</v>
      </c>
      <c r="B63" s="44" t="s">
        <v>36</v>
      </c>
      <c r="C63" s="44" t="s">
        <v>188</v>
      </c>
      <c r="D63" s="50" t="s">
        <v>398</v>
      </c>
      <c r="E63" s="50" t="s">
        <v>563</v>
      </c>
      <c r="F63" s="49">
        <v>4</v>
      </c>
      <c r="G63" s="49"/>
      <c r="H63" s="50" t="s">
        <v>663</v>
      </c>
      <c r="I63" s="51">
        <v>400000</v>
      </c>
      <c r="J63" s="51"/>
      <c r="K63" s="51"/>
      <c r="L63" s="51">
        <v>1600000</v>
      </c>
      <c r="M63" s="49"/>
      <c r="N63" s="52" t="s">
        <v>725</v>
      </c>
      <c r="O63" s="52"/>
      <c r="P63" s="52" t="s">
        <v>725</v>
      </c>
      <c r="Q63" s="50" t="s">
        <v>709</v>
      </c>
      <c r="R63" s="50"/>
      <c r="S63" s="50"/>
      <c r="T63" s="50" t="s">
        <v>753</v>
      </c>
      <c r="U63" s="50" t="s">
        <v>709</v>
      </c>
      <c r="V63" s="50" t="s">
        <v>713</v>
      </c>
      <c r="W63" s="50" t="s">
        <v>986</v>
      </c>
      <c r="X63" s="50" t="s">
        <v>845</v>
      </c>
      <c r="Y63" s="49" t="s">
        <v>845</v>
      </c>
      <c r="Z63" s="53">
        <v>4</v>
      </c>
      <c r="AA63" s="53">
        <v>1</v>
      </c>
      <c r="AB63" s="51">
        <v>400000</v>
      </c>
      <c r="AC63" s="55" t="s">
        <v>896</v>
      </c>
    </row>
    <row r="64" spans="1:29" ht="96" customHeight="1" x14ac:dyDescent="0.2">
      <c r="A64" s="44">
        <v>62</v>
      </c>
      <c r="B64" s="44" t="s">
        <v>36</v>
      </c>
      <c r="C64" s="44" t="s">
        <v>188</v>
      </c>
      <c r="D64" s="50" t="s">
        <v>398</v>
      </c>
      <c r="E64" s="50" t="s">
        <v>590</v>
      </c>
      <c r="F64" s="49">
        <v>2</v>
      </c>
      <c r="G64" s="49"/>
      <c r="H64" s="50" t="s">
        <v>673</v>
      </c>
      <c r="I64" s="51">
        <v>800000</v>
      </c>
      <c r="J64" s="51"/>
      <c r="K64" s="51"/>
      <c r="L64" s="51">
        <v>1600000</v>
      </c>
      <c r="M64" s="49"/>
      <c r="N64" s="52" t="s">
        <v>729</v>
      </c>
      <c r="O64" s="52"/>
      <c r="P64" s="52" t="s">
        <v>729</v>
      </c>
      <c r="Q64" s="50" t="s">
        <v>838</v>
      </c>
      <c r="R64" s="50" t="s">
        <v>839</v>
      </c>
      <c r="S64" s="50"/>
      <c r="T64" s="50" t="s">
        <v>753</v>
      </c>
      <c r="U64" s="50" t="s">
        <v>711</v>
      </c>
      <c r="V64" s="50" t="s">
        <v>20</v>
      </c>
      <c r="W64" s="50" t="s">
        <v>965</v>
      </c>
      <c r="X64" s="50" t="s">
        <v>845</v>
      </c>
      <c r="Y64" s="49" t="s">
        <v>845</v>
      </c>
      <c r="Z64" s="53">
        <v>2</v>
      </c>
      <c r="AA64" s="53">
        <v>2</v>
      </c>
      <c r="AB64" s="51">
        <v>1600000</v>
      </c>
      <c r="AC64" s="55" t="s">
        <v>981</v>
      </c>
    </row>
    <row r="65" spans="1:29" ht="96" customHeight="1" x14ac:dyDescent="0.2">
      <c r="A65" s="44">
        <v>63</v>
      </c>
      <c r="B65" s="44" t="s">
        <v>36</v>
      </c>
      <c r="C65" s="44" t="s">
        <v>188</v>
      </c>
      <c r="D65" s="50" t="s">
        <v>398</v>
      </c>
      <c r="E65" s="50" t="s">
        <v>641</v>
      </c>
      <c r="F65" s="49">
        <v>4</v>
      </c>
      <c r="G65" s="49"/>
      <c r="H65" s="50" t="s">
        <v>698</v>
      </c>
      <c r="I65" s="51">
        <v>400000</v>
      </c>
      <c r="J65" s="51"/>
      <c r="K65" s="51"/>
      <c r="L65" s="51">
        <v>1600000</v>
      </c>
      <c r="M65" s="49"/>
      <c r="N65" s="52" t="s">
        <v>723</v>
      </c>
      <c r="O65" s="52"/>
      <c r="P65" s="52" t="s">
        <v>723</v>
      </c>
      <c r="Q65" s="50" t="s">
        <v>785</v>
      </c>
      <c r="R65" s="50"/>
      <c r="S65" s="50"/>
      <c r="T65" s="50" t="s">
        <v>753</v>
      </c>
      <c r="U65" s="50" t="s">
        <v>720</v>
      </c>
      <c r="V65" s="50" t="s">
        <v>987</v>
      </c>
      <c r="W65" s="50" t="s">
        <v>988</v>
      </c>
      <c r="X65" s="50" t="s">
        <v>845</v>
      </c>
      <c r="Y65" s="49" t="s">
        <v>845</v>
      </c>
      <c r="Z65" s="53">
        <v>2</v>
      </c>
      <c r="AA65" s="53">
        <v>2</v>
      </c>
      <c r="AB65" s="53">
        <v>800000</v>
      </c>
      <c r="AC65" s="55" t="s">
        <v>896</v>
      </c>
    </row>
    <row r="66" spans="1:29" ht="96" customHeight="1" x14ac:dyDescent="0.2">
      <c r="A66" s="44">
        <v>64</v>
      </c>
      <c r="B66" s="44" t="s">
        <v>36</v>
      </c>
      <c r="C66" s="44" t="s">
        <v>188</v>
      </c>
      <c r="D66" s="45" t="s">
        <v>398</v>
      </c>
      <c r="E66" s="45" t="s">
        <v>554</v>
      </c>
      <c r="F66" s="44">
        <v>1</v>
      </c>
      <c r="G66" s="44"/>
      <c r="H66" s="45" t="s">
        <v>665</v>
      </c>
      <c r="I66" s="46">
        <v>1500000</v>
      </c>
      <c r="J66" s="46"/>
      <c r="K66" s="46"/>
      <c r="L66" s="46">
        <v>1500000</v>
      </c>
      <c r="M66" s="44"/>
      <c r="N66" s="47" t="s">
        <v>724</v>
      </c>
      <c r="O66" s="47"/>
      <c r="P66" s="47" t="s">
        <v>724</v>
      </c>
      <c r="Q66" s="45" t="s">
        <v>756</v>
      </c>
      <c r="R66" s="45"/>
      <c r="S66" s="45"/>
      <c r="T66" s="45"/>
      <c r="U66" s="45" t="s">
        <v>710</v>
      </c>
      <c r="V66" s="45" t="s">
        <v>713</v>
      </c>
      <c r="W66" s="45" t="s">
        <v>989</v>
      </c>
      <c r="X66" s="45" t="s">
        <v>845</v>
      </c>
      <c r="Y66" s="44" t="s">
        <v>845</v>
      </c>
      <c r="Z66" s="42"/>
      <c r="AA66" s="42"/>
      <c r="AB66" s="42"/>
      <c r="AC66" s="43" t="s">
        <v>943</v>
      </c>
    </row>
    <row r="67" spans="1:29" ht="96" customHeight="1" x14ac:dyDescent="0.2">
      <c r="A67" s="49">
        <v>65</v>
      </c>
      <c r="B67" s="49" t="s">
        <v>36</v>
      </c>
      <c r="C67" s="49" t="s">
        <v>188</v>
      </c>
      <c r="D67" s="50" t="s">
        <v>398</v>
      </c>
      <c r="E67" s="50" t="s">
        <v>567</v>
      </c>
      <c r="F67" s="49">
        <v>10</v>
      </c>
      <c r="G67" s="49"/>
      <c r="H67" s="50" t="s">
        <v>669</v>
      </c>
      <c r="I67" s="51">
        <v>125000</v>
      </c>
      <c r="J67" s="51"/>
      <c r="K67" s="51"/>
      <c r="L67" s="51">
        <v>1250000</v>
      </c>
      <c r="M67" s="49"/>
      <c r="N67" s="52" t="s">
        <v>731</v>
      </c>
      <c r="O67" s="52"/>
      <c r="P67" s="52" t="s">
        <v>731</v>
      </c>
      <c r="Q67" s="50"/>
      <c r="R67" s="50"/>
      <c r="S67" s="50"/>
      <c r="T67" s="50"/>
      <c r="U67" s="50" t="s">
        <v>709</v>
      </c>
      <c r="V67" s="50"/>
      <c r="W67" s="50"/>
      <c r="X67" s="50" t="s">
        <v>845</v>
      </c>
      <c r="Y67" s="49" t="s">
        <v>845</v>
      </c>
      <c r="Z67" s="53">
        <v>10</v>
      </c>
      <c r="AA67" s="53">
        <v>10</v>
      </c>
      <c r="AB67" s="51">
        <v>1250000</v>
      </c>
      <c r="AC67" s="55" t="s">
        <v>896</v>
      </c>
    </row>
    <row r="68" spans="1:29" ht="96" customHeight="1" x14ac:dyDescent="0.2">
      <c r="A68" s="44">
        <v>66</v>
      </c>
      <c r="B68" s="44" t="s">
        <v>29</v>
      </c>
      <c r="C68" s="44" t="s">
        <v>188</v>
      </c>
      <c r="D68" s="45" t="s">
        <v>398</v>
      </c>
      <c r="E68" s="45" t="s">
        <v>392</v>
      </c>
      <c r="F68" s="44">
        <v>1</v>
      </c>
      <c r="G68" s="44" t="s">
        <v>203</v>
      </c>
      <c r="H68" s="45" t="s">
        <v>399</v>
      </c>
      <c r="I68" s="46">
        <v>1200000</v>
      </c>
      <c r="J68" s="46"/>
      <c r="K68" s="46"/>
      <c r="L68" s="46">
        <v>1200000</v>
      </c>
      <c r="M68" s="44" t="s">
        <v>400</v>
      </c>
      <c r="N68" s="47"/>
      <c r="O68" s="47"/>
      <c r="P68" s="47" t="s">
        <v>724</v>
      </c>
      <c r="Q68" s="45" t="s">
        <v>410</v>
      </c>
      <c r="R68" s="45" t="s">
        <v>422</v>
      </c>
      <c r="S68" s="45" t="s">
        <v>434</v>
      </c>
      <c r="T68" s="45"/>
      <c r="U68" s="45" t="s">
        <v>446</v>
      </c>
      <c r="V68" s="45"/>
      <c r="W68" s="45"/>
      <c r="X68" s="45" t="s">
        <v>845</v>
      </c>
      <c r="Y68" s="44" t="s">
        <v>845</v>
      </c>
      <c r="Z68" s="42"/>
      <c r="AA68" s="42"/>
      <c r="AB68" s="42"/>
      <c r="AC68" s="43" t="s">
        <v>908</v>
      </c>
    </row>
    <row r="69" spans="1:29" ht="96" customHeight="1" x14ac:dyDescent="0.2">
      <c r="A69" s="44">
        <v>67</v>
      </c>
      <c r="B69" s="44" t="s">
        <v>36</v>
      </c>
      <c r="C69" s="44" t="s">
        <v>188</v>
      </c>
      <c r="D69" s="45" t="s">
        <v>398</v>
      </c>
      <c r="E69" s="45" t="s">
        <v>565</v>
      </c>
      <c r="F69" s="44">
        <v>1</v>
      </c>
      <c r="G69" s="44"/>
      <c r="H69" s="45" t="s">
        <v>668</v>
      </c>
      <c r="I69" s="46">
        <v>1200000</v>
      </c>
      <c r="J69" s="46"/>
      <c r="K69" s="46"/>
      <c r="L69" s="46">
        <v>1200000</v>
      </c>
      <c r="M69" s="44"/>
      <c r="N69" s="47" t="s">
        <v>724</v>
      </c>
      <c r="O69" s="47"/>
      <c r="P69" s="47" t="s">
        <v>724</v>
      </c>
      <c r="Q69" s="45" t="s">
        <v>709</v>
      </c>
      <c r="R69" s="45"/>
      <c r="S69" s="45"/>
      <c r="T69" s="45"/>
      <c r="U69" s="45" t="s">
        <v>709</v>
      </c>
      <c r="V69" s="45" t="s">
        <v>713</v>
      </c>
      <c r="W69" s="45" t="s">
        <v>990</v>
      </c>
      <c r="X69" s="45" t="s">
        <v>845</v>
      </c>
      <c r="Y69" s="44" t="s">
        <v>845</v>
      </c>
      <c r="Z69" s="42">
        <v>1</v>
      </c>
      <c r="AA69" s="42">
        <v>1</v>
      </c>
      <c r="AB69" s="46">
        <v>1200000</v>
      </c>
      <c r="AC69" s="43" t="s">
        <v>943</v>
      </c>
    </row>
    <row r="70" spans="1:29" ht="96" customHeight="1" x14ac:dyDescent="0.2">
      <c r="A70" s="49">
        <v>68</v>
      </c>
      <c r="B70" s="49" t="s">
        <v>36</v>
      </c>
      <c r="C70" s="49" t="s">
        <v>188</v>
      </c>
      <c r="D70" s="50" t="s">
        <v>398</v>
      </c>
      <c r="E70" s="50" t="s">
        <v>608</v>
      </c>
      <c r="F70" s="49">
        <v>1</v>
      </c>
      <c r="G70" s="49"/>
      <c r="H70" s="50" t="s">
        <v>685</v>
      </c>
      <c r="I70" s="51">
        <v>1200000</v>
      </c>
      <c r="J70" s="51"/>
      <c r="K70" s="51"/>
      <c r="L70" s="51">
        <v>1200000</v>
      </c>
      <c r="M70" s="49"/>
      <c r="N70" s="52" t="s">
        <v>722</v>
      </c>
      <c r="O70" s="52"/>
      <c r="P70" s="52" t="s">
        <v>722</v>
      </c>
      <c r="Q70" s="50" t="s">
        <v>710</v>
      </c>
      <c r="R70" s="50" t="s">
        <v>840</v>
      </c>
      <c r="S70" s="50"/>
      <c r="T70" s="50" t="s">
        <v>753</v>
      </c>
      <c r="U70" s="50" t="s">
        <v>709</v>
      </c>
      <c r="V70" s="50" t="s">
        <v>713</v>
      </c>
      <c r="W70" s="50" t="s">
        <v>991</v>
      </c>
      <c r="X70" s="50" t="s">
        <v>845</v>
      </c>
      <c r="Y70" s="49" t="s">
        <v>845</v>
      </c>
      <c r="Z70" s="53">
        <v>1</v>
      </c>
      <c r="AA70" s="53">
        <v>1</v>
      </c>
      <c r="AB70" s="51">
        <v>1200000</v>
      </c>
      <c r="AC70" s="55" t="s">
        <v>896</v>
      </c>
    </row>
    <row r="71" spans="1:29" ht="96" customHeight="1" x14ac:dyDescent="0.2">
      <c r="A71" s="49">
        <v>69</v>
      </c>
      <c r="B71" s="49" t="s">
        <v>36</v>
      </c>
      <c r="C71" s="49" t="s">
        <v>188</v>
      </c>
      <c r="D71" s="50" t="s">
        <v>398</v>
      </c>
      <c r="E71" s="50" t="s">
        <v>608</v>
      </c>
      <c r="F71" s="49">
        <v>1</v>
      </c>
      <c r="G71" s="49"/>
      <c r="H71" s="50" t="s">
        <v>686</v>
      </c>
      <c r="I71" s="51">
        <v>1200000</v>
      </c>
      <c r="J71" s="51"/>
      <c r="K71" s="51"/>
      <c r="L71" s="51">
        <v>1200000</v>
      </c>
      <c r="M71" s="49"/>
      <c r="N71" s="52" t="s">
        <v>723</v>
      </c>
      <c r="O71" s="52"/>
      <c r="P71" s="52" t="s">
        <v>723</v>
      </c>
      <c r="Q71" s="50" t="s">
        <v>841</v>
      </c>
      <c r="R71" s="50" t="s">
        <v>842</v>
      </c>
      <c r="S71" s="50"/>
      <c r="T71" s="50" t="s">
        <v>753</v>
      </c>
      <c r="U71" s="50" t="s">
        <v>709</v>
      </c>
      <c r="V71" s="50" t="s">
        <v>709</v>
      </c>
      <c r="W71" s="50" t="s">
        <v>992</v>
      </c>
      <c r="X71" s="50" t="s">
        <v>845</v>
      </c>
      <c r="Y71" s="49" t="s">
        <v>845</v>
      </c>
      <c r="Z71" s="53">
        <v>1</v>
      </c>
      <c r="AA71" s="53">
        <v>1</v>
      </c>
      <c r="AB71" s="51">
        <v>1200000</v>
      </c>
      <c r="AC71" s="55" t="s">
        <v>896</v>
      </c>
    </row>
    <row r="72" spans="1:29" ht="96" customHeight="1" x14ac:dyDescent="0.2">
      <c r="A72" s="49">
        <v>70</v>
      </c>
      <c r="B72" s="49" t="s">
        <v>36</v>
      </c>
      <c r="C72" s="49" t="s">
        <v>188</v>
      </c>
      <c r="D72" s="50" t="s">
        <v>398</v>
      </c>
      <c r="E72" s="50" t="s">
        <v>608</v>
      </c>
      <c r="F72" s="49">
        <v>1</v>
      </c>
      <c r="G72" s="49"/>
      <c r="H72" s="50" t="s">
        <v>687</v>
      </c>
      <c r="I72" s="51">
        <v>1200000</v>
      </c>
      <c r="J72" s="51"/>
      <c r="K72" s="51"/>
      <c r="L72" s="51">
        <v>1200000</v>
      </c>
      <c r="M72" s="49"/>
      <c r="N72" s="52" t="s">
        <v>721</v>
      </c>
      <c r="O72" s="52"/>
      <c r="P72" s="52" t="s">
        <v>721</v>
      </c>
      <c r="Q72" s="50" t="s">
        <v>843</v>
      </c>
      <c r="R72" s="50"/>
      <c r="S72" s="50"/>
      <c r="T72" s="50" t="s">
        <v>753</v>
      </c>
      <c r="U72" s="50" t="s">
        <v>715</v>
      </c>
      <c r="V72" s="50" t="s">
        <v>20</v>
      </c>
      <c r="W72" s="50" t="s">
        <v>992</v>
      </c>
      <c r="X72" s="50" t="s">
        <v>845</v>
      </c>
      <c r="Y72" s="49" t="s">
        <v>845</v>
      </c>
      <c r="Z72" s="53">
        <v>1</v>
      </c>
      <c r="AA72" s="53">
        <v>1</v>
      </c>
      <c r="AB72" s="51">
        <v>1200000</v>
      </c>
      <c r="AC72" s="55" t="s">
        <v>896</v>
      </c>
    </row>
    <row r="73" spans="1:29" ht="96" customHeight="1" x14ac:dyDescent="0.2">
      <c r="A73" s="49">
        <v>71</v>
      </c>
      <c r="B73" s="49" t="s">
        <v>36</v>
      </c>
      <c r="C73" s="49" t="s">
        <v>188</v>
      </c>
      <c r="D73" s="50" t="s">
        <v>398</v>
      </c>
      <c r="E73" s="50" t="s">
        <v>628</v>
      </c>
      <c r="F73" s="49">
        <v>4</v>
      </c>
      <c r="G73" s="49"/>
      <c r="H73" s="50" t="s">
        <v>699</v>
      </c>
      <c r="I73" s="51">
        <v>300000</v>
      </c>
      <c r="J73" s="51"/>
      <c r="K73" s="51"/>
      <c r="L73" s="51">
        <v>1200000</v>
      </c>
      <c r="M73" s="49"/>
      <c r="N73" s="52" t="s">
        <v>723</v>
      </c>
      <c r="O73" s="52"/>
      <c r="P73" s="52" t="s">
        <v>723</v>
      </c>
      <c r="Q73" s="50"/>
      <c r="R73" s="50"/>
      <c r="S73" s="50"/>
      <c r="T73" s="50"/>
      <c r="U73" s="50" t="s">
        <v>717</v>
      </c>
      <c r="V73" s="50"/>
      <c r="W73" s="50"/>
      <c r="X73" s="50" t="s">
        <v>845</v>
      </c>
      <c r="Y73" s="49" t="s">
        <v>845</v>
      </c>
      <c r="Z73" s="53">
        <v>2</v>
      </c>
      <c r="AA73" s="53">
        <v>2</v>
      </c>
      <c r="AB73" s="53">
        <v>600000</v>
      </c>
      <c r="AC73" s="55" t="s">
        <v>896</v>
      </c>
    </row>
    <row r="74" spans="1:29" ht="96" customHeight="1" x14ac:dyDescent="0.2">
      <c r="A74" s="49">
        <v>72</v>
      </c>
      <c r="B74" s="49" t="s">
        <v>36</v>
      </c>
      <c r="C74" s="49" t="s">
        <v>188</v>
      </c>
      <c r="D74" s="50" t="s">
        <v>398</v>
      </c>
      <c r="E74" s="50" t="s">
        <v>614</v>
      </c>
      <c r="F74" s="49">
        <v>6</v>
      </c>
      <c r="G74" s="49"/>
      <c r="H74" s="50" t="s">
        <v>704</v>
      </c>
      <c r="I74" s="51">
        <v>200000</v>
      </c>
      <c r="J74" s="51"/>
      <c r="K74" s="51"/>
      <c r="L74" s="51">
        <v>1200000</v>
      </c>
      <c r="M74" s="49"/>
      <c r="N74" s="52" t="s">
        <v>731</v>
      </c>
      <c r="O74" s="52"/>
      <c r="P74" s="52" t="s">
        <v>731</v>
      </c>
      <c r="Q74" s="50" t="s">
        <v>20</v>
      </c>
      <c r="R74" s="50"/>
      <c r="S74" s="50"/>
      <c r="T74" s="50"/>
      <c r="U74" s="50" t="s">
        <v>20</v>
      </c>
      <c r="V74" s="50" t="s">
        <v>20</v>
      </c>
      <c r="W74" s="50" t="s">
        <v>36</v>
      </c>
      <c r="X74" s="50" t="s">
        <v>845</v>
      </c>
      <c r="Y74" s="49" t="s">
        <v>845</v>
      </c>
      <c r="Z74" s="53">
        <v>6</v>
      </c>
      <c r="AA74" s="53">
        <v>6</v>
      </c>
      <c r="AB74" s="51">
        <v>1200000</v>
      </c>
      <c r="AC74" s="55" t="s">
        <v>896</v>
      </c>
    </row>
    <row r="75" spans="1:29" ht="96" customHeight="1" x14ac:dyDescent="0.2">
      <c r="A75" s="49">
        <v>73</v>
      </c>
      <c r="B75" s="49" t="s">
        <v>36</v>
      </c>
      <c r="C75" s="49" t="s">
        <v>188</v>
      </c>
      <c r="D75" s="50" t="s">
        <v>398</v>
      </c>
      <c r="E75" s="50" t="s">
        <v>651</v>
      </c>
      <c r="F75" s="49"/>
      <c r="G75" s="49"/>
      <c r="H75" s="50" t="s">
        <v>36</v>
      </c>
      <c r="I75" s="51">
        <v>800000</v>
      </c>
      <c r="J75" s="51"/>
      <c r="K75" s="51"/>
      <c r="L75" s="51">
        <v>800000</v>
      </c>
      <c r="M75" s="49"/>
      <c r="N75" s="52" t="s">
        <v>722</v>
      </c>
      <c r="O75" s="52"/>
      <c r="P75" s="52" t="s">
        <v>722</v>
      </c>
      <c r="Q75" s="50" t="s">
        <v>844</v>
      </c>
      <c r="R75" s="50"/>
      <c r="S75" s="50"/>
      <c r="T75" s="50"/>
      <c r="U75" s="50" t="s">
        <v>709</v>
      </c>
      <c r="V75" s="50" t="s">
        <v>993</v>
      </c>
      <c r="W75" s="50" t="s">
        <v>36</v>
      </c>
      <c r="X75" s="50" t="s">
        <v>845</v>
      </c>
      <c r="Y75" s="49" t="s">
        <v>845</v>
      </c>
      <c r="Z75" s="53"/>
      <c r="AA75" s="53"/>
      <c r="AB75" s="53"/>
      <c r="AC75" s="55" t="s">
        <v>896</v>
      </c>
    </row>
    <row r="76" spans="1:29" s="66" customFormat="1" ht="96" customHeight="1" x14ac:dyDescent="0.2">
      <c r="A76" s="44">
        <v>74</v>
      </c>
      <c r="B76" s="44" t="s">
        <v>29</v>
      </c>
      <c r="C76" s="43" t="s">
        <v>188</v>
      </c>
      <c r="D76" s="48" t="s">
        <v>398</v>
      </c>
      <c r="E76" s="48" t="s">
        <v>387</v>
      </c>
      <c r="F76" s="43">
        <v>1</v>
      </c>
      <c r="G76" s="43" t="s">
        <v>203</v>
      </c>
      <c r="H76" s="48" t="s">
        <v>399</v>
      </c>
      <c r="I76" s="63">
        <v>1000000</v>
      </c>
      <c r="J76" s="63" t="s">
        <v>845</v>
      </c>
      <c r="K76" s="63" t="s">
        <v>845</v>
      </c>
      <c r="L76" s="63">
        <v>1000000</v>
      </c>
      <c r="M76" s="43" t="s">
        <v>400</v>
      </c>
      <c r="N76" s="64"/>
      <c r="O76" s="64"/>
      <c r="P76" s="64" t="s">
        <v>724</v>
      </c>
      <c r="Q76" s="48" t="s">
        <v>405</v>
      </c>
      <c r="R76" s="48" t="s">
        <v>417</v>
      </c>
      <c r="S76" s="48" t="s">
        <v>429</v>
      </c>
      <c r="T76" s="48"/>
      <c r="U76" s="48" t="s">
        <v>441</v>
      </c>
      <c r="V76" s="48" t="s">
        <v>994</v>
      </c>
      <c r="W76" s="48" t="s">
        <v>995</v>
      </c>
      <c r="X76" s="48" t="s">
        <v>845</v>
      </c>
      <c r="Y76" s="43" t="s">
        <v>845</v>
      </c>
      <c r="Z76" s="65"/>
      <c r="AA76" s="65"/>
      <c r="AB76" s="65"/>
      <c r="AC76" s="43" t="s">
        <v>908</v>
      </c>
    </row>
    <row r="77" spans="1:29" s="66" customFormat="1" ht="124.5" customHeight="1" x14ac:dyDescent="0.2">
      <c r="A77" s="44">
        <v>75</v>
      </c>
      <c r="B77" s="44" t="s">
        <v>29</v>
      </c>
      <c r="C77" s="43" t="s">
        <v>188</v>
      </c>
      <c r="D77" s="48" t="s">
        <v>398</v>
      </c>
      <c r="E77" s="48" t="s">
        <v>396</v>
      </c>
      <c r="F77" s="43">
        <v>1</v>
      </c>
      <c r="G77" s="43" t="s">
        <v>203</v>
      </c>
      <c r="H77" s="48" t="s">
        <v>399</v>
      </c>
      <c r="I77" s="63">
        <v>1000000</v>
      </c>
      <c r="J77" s="63"/>
      <c r="K77" s="63"/>
      <c r="L77" s="63">
        <v>1000000</v>
      </c>
      <c r="M77" s="43" t="s">
        <v>402</v>
      </c>
      <c r="N77" s="64"/>
      <c r="O77" s="64"/>
      <c r="P77" s="64" t="s">
        <v>724</v>
      </c>
      <c r="Q77" s="48" t="s">
        <v>414</v>
      </c>
      <c r="R77" s="48" t="s">
        <v>426</v>
      </c>
      <c r="S77" s="48" t="s">
        <v>438</v>
      </c>
      <c r="T77" s="48"/>
      <c r="U77" s="48" t="s">
        <v>450</v>
      </c>
      <c r="V77" s="48"/>
      <c r="W77" s="48"/>
      <c r="X77" s="48" t="s">
        <v>845</v>
      </c>
      <c r="Y77" s="43" t="s">
        <v>845</v>
      </c>
      <c r="Z77" s="65"/>
      <c r="AA77" s="65"/>
      <c r="AB77" s="65"/>
      <c r="AC77" s="43" t="s">
        <v>908</v>
      </c>
    </row>
    <row r="78" spans="1:29" ht="96" customHeight="1" x14ac:dyDescent="0.2">
      <c r="A78" s="44">
        <v>76</v>
      </c>
      <c r="B78" s="44" t="s">
        <v>36</v>
      </c>
      <c r="C78" s="44" t="s">
        <v>188</v>
      </c>
      <c r="D78" s="45" t="s">
        <v>398</v>
      </c>
      <c r="E78" s="45" t="s">
        <v>571</v>
      </c>
      <c r="F78" s="44">
        <v>1</v>
      </c>
      <c r="G78" s="44"/>
      <c r="H78" s="45" t="s">
        <v>461</v>
      </c>
      <c r="I78" s="46">
        <v>1200000</v>
      </c>
      <c r="J78" s="46"/>
      <c r="K78" s="46"/>
      <c r="L78" s="46">
        <v>1200000</v>
      </c>
      <c r="M78" s="44"/>
      <c r="N78" s="47" t="s">
        <v>723</v>
      </c>
      <c r="O78" s="47"/>
      <c r="P78" s="47" t="s">
        <v>723</v>
      </c>
      <c r="Q78" s="45" t="s">
        <v>846</v>
      </c>
      <c r="R78" s="45" t="s">
        <v>847</v>
      </c>
      <c r="S78" s="45"/>
      <c r="T78" s="45" t="s">
        <v>753</v>
      </c>
      <c r="U78" s="45" t="s">
        <v>711</v>
      </c>
      <c r="V78" s="45" t="s">
        <v>20</v>
      </c>
      <c r="W78" s="45"/>
      <c r="X78" s="45" t="s">
        <v>845</v>
      </c>
      <c r="Y78" s="44" t="s">
        <v>845</v>
      </c>
      <c r="Z78" s="42"/>
      <c r="AA78" s="42"/>
      <c r="AB78" s="42"/>
      <c r="AC78" s="43" t="s">
        <v>908</v>
      </c>
    </row>
    <row r="79" spans="1:29" ht="96" customHeight="1" x14ac:dyDescent="0.2">
      <c r="A79" s="44">
        <v>77</v>
      </c>
      <c r="B79" s="44" t="s">
        <v>36</v>
      </c>
      <c r="C79" s="44" t="s">
        <v>188</v>
      </c>
      <c r="D79" s="50" t="s">
        <v>398</v>
      </c>
      <c r="E79" s="50" t="s">
        <v>654</v>
      </c>
      <c r="F79" s="49">
        <v>1</v>
      </c>
      <c r="G79" s="49"/>
      <c r="H79" s="50" t="s">
        <v>705</v>
      </c>
      <c r="I79" s="51">
        <v>1200000</v>
      </c>
      <c r="J79" s="51"/>
      <c r="K79" s="51"/>
      <c r="L79" s="51">
        <v>1200000</v>
      </c>
      <c r="M79" s="49"/>
      <c r="N79" s="52" t="s">
        <v>721</v>
      </c>
      <c r="O79" s="52"/>
      <c r="P79" s="52" t="s">
        <v>721</v>
      </c>
      <c r="Q79" s="50" t="s">
        <v>709</v>
      </c>
      <c r="R79" s="50"/>
      <c r="S79" s="50"/>
      <c r="T79" s="50"/>
      <c r="U79" s="50" t="s">
        <v>709</v>
      </c>
      <c r="V79" s="50" t="s">
        <v>709</v>
      </c>
      <c r="W79" s="50" t="s">
        <v>996</v>
      </c>
      <c r="X79" s="50" t="s">
        <v>845</v>
      </c>
      <c r="Y79" s="49" t="s">
        <v>845</v>
      </c>
      <c r="Z79" s="53">
        <v>1</v>
      </c>
      <c r="AA79" s="53">
        <v>1</v>
      </c>
      <c r="AB79" s="51">
        <v>1200000</v>
      </c>
      <c r="AC79" s="55" t="s">
        <v>896</v>
      </c>
    </row>
    <row r="80" spans="1:29" ht="96" customHeight="1" x14ac:dyDescent="0.2">
      <c r="A80" s="44">
        <v>78</v>
      </c>
      <c r="B80" s="44" t="s">
        <v>36</v>
      </c>
      <c r="C80" s="44" t="s">
        <v>188</v>
      </c>
      <c r="D80" s="50" t="s">
        <v>398</v>
      </c>
      <c r="E80" s="50" t="s">
        <v>658</v>
      </c>
      <c r="F80" s="49">
        <v>5</v>
      </c>
      <c r="G80" s="49"/>
      <c r="H80" s="50" t="s">
        <v>705</v>
      </c>
      <c r="I80" s="51">
        <v>200000</v>
      </c>
      <c r="J80" s="51"/>
      <c r="K80" s="51"/>
      <c r="L80" s="51">
        <v>1000000</v>
      </c>
      <c r="M80" s="49"/>
      <c r="N80" s="52" t="s">
        <v>722</v>
      </c>
      <c r="O80" s="52"/>
      <c r="P80" s="52" t="s">
        <v>722</v>
      </c>
      <c r="Q80" s="50"/>
      <c r="R80" s="50"/>
      <c r="S80" s="50"/>
      <c r="T80" s="50"/>
      <c r="U80" s="50" t="s">
        <v>709</v>
      </c>
      <c r="V80" s="50"/>
      <c r="W80" s="50" t="s">
        <v>996</v>
      </c>
      <c r="X80" s="50" t="s">
        <v>845</v>
      </c>
      <c r="Y80" s="49" t="s">
        <v>845</v>
      </c>
      <c r="Z80" s="53">
        <v>5</v>
      </c>
      <c r="AA80" s="53">
        <v>5</v>
      </c>
      <c r="AB80" s="51">
        <v>1000000</v>
      </c>
      <c r="AC80" s="55" t="s">
        <v>896</v>
      </c>
    </row>
    <row r="81" spans="1:29" ht="96" customHeight="1" x14ac:dyDescent="0.2">
      <c r="A81" s="57">
        <v>79</v>
      </c>
      <c r="B81" s="57" t="s">
        <v>461</v>
      </c>
      <c r="C81" s="57" t="s">
        <v>188</v>
      </c>
      <c r="D81" s="58" t="s">
        <v>398</v>
      </c>
      <c r="E81" s="58" t="s">
        <v>453</v>
      </c>
      <c r="F81" s="57">
        <v>3</v>
      </c>
      <c r="G81" s="57"/>
      <c r="H81" s="58" t="s">
        <v>461</v>
      </c>
      <c r="I81" s="59">
        <v>300000</v>
      </c>
      <c r="J81" s="59"/>
      <c r="K81" s="59"/>
      <c r="L81" s="59">
        <v>900000</v>
      </c>
      <c r="M81" s="57"/>
      <c r="N81" s="60"/>
      <c r="O81" s="60"/>
      <c r="P81" s="60" t="s">
        <v>721</v>
      </c>
      <c r="Q81" s="58" t="s">
        <v>848</v>
      </c>
      <c r="R81" s="58" t="s">
        <v>849</v>
      </c>
      <c r="S81" s="58"/>
      <c r="T81" s="58" t="s">
        <v>850</v>
      </c>
      <c r="U81" s="58" t="s">
        <v>467</v>
      </c>
      <c r="V81" s="58" t="s">
        <v>342</v>
      </c>
      <c r="W81" s="58" t="s">
        <v>984</v>
      </c>
      <c r="X81" s="58" t="s">
        <v>845</v>
      </c>
      <c r="Y81" s="57" t="s">
        <v>845</v>
      </c>
      <c r="Z81" s="61"/>
      <c r="AA81" s="61"/>
      <c r="AB81" s="61"/>
      <c r="AC81" s="62" t="s">
        <v>947</v>
      </c>
    </row>
    <row r="82" spans="1:29" ht="96" customHeight="1" x14ac:dyDescent="0.2">
      <c r="A82" s="44">
        <v>80</v>
      </c>
      <c r="B82" s="44" t="s">
        <v>463</v>
      </c>
      <c r="C82" s="44" t="s">
        <v>188</v>
      </c>
      <c r="D82" s="50" t="s">
        <v>398</v>
      </c>
      <c r="E82" s="50" t="s">
        <v>459</v>
      </c>
      <c r="F82" s="49">
        <v>1</v>
      </c>
      <c r="G82" s="49"/>
      <c r="H82" s="50" t="s">
        <v>463</v>
      </c>
      <c r="I82" s="51">
        <v>900000</v>
      </c>
      <c r="J82" s="51"/>
      <c r="K82" s="51"/>
      <c r="L82" s="51">
        <v>900000</v>
      </c>
      <c r="M82" s="49"/>
      <c r="N82" s="52"/>
      <c r="O82" s="52"/>
      <c r="P82" s="52" t="s">
        <v>721</v>
      </c>
      <c r="Q82" s="50" t="s">
        <v>851</v>
      </c>
      <c r="R82" s="50" t="s">
        <v>852</v>
      </c>
      <c r="S82" s="50"/>
      <c r="T82" s="50" t="s">
        <v>853</v>
      </c>
      <c r="U82" s="50" t="s">
        <v>472</v>
      </c>
      <c r="V82" s="50" t="s">
        <v>997</v>
      </c>
      <c r="W82" s="50" t="s">
        <v>998</v>
      </c>
      <c r="X82" s="50" t="s">
        <v>845</v>
      </c>
      <c r="Y82" s="49" t="s">
        <v>845</v>
      </c>
      <c r="Z82" s="53">
        <v>1</v>
      </c>
      <c r="AA82" s="53">
        <v>1</v>
      </c>
      <c r="AB82" s="51">
        <v>900000</v>
      </c>
      <c r="AC82" s="55" t="s">
        <v>896</v>
      </c>
    </row>
    <row r="83" spans="1:29" ht="96" customHeight="1" x14ac:dyDescent="0.2">
      <c r="A83" s="44">
        <v>81</v>
      </c>
      <c r="B83" s="44" t="s">
        <v>36</v>
      </c>
      <c r="C83" s="44" t="s">
        <v>188</v>
      </c>
      <c r="D83" s="50" t="s">
        <v>398</v>
      </c>
      <c r="E83" s="50" t="s">
        <v>854</v>
      </c>
      <c r="F83" s="49">
        <v>2</v>
      </c>
      <c r="G83" s="49"/>
      <c r="H83" s="50" t="s">
        <v>692</v>
      </c>
      <c r="I83" s="51">
        <v>900000</v>
      </c>
      <c r="J83" s="51"/>
      <c r="K83" s="51"/>
      <c r="L83" s="51">
        <v>900000</v>
      </c>
      <c r="M83" s="49"/>
      <c r="N83" s="52" t="s">
        <v>724</v>
      </c>
      <c r="O83" s="52"/>
      <c r="P83" s="52" t="s">
        <v>724</v>
      </c>
      <c r="Q83" s="50" t="s">
        <v>20</v>
      </c>
      <c r="R83" s="50"/>
      <c r="S83" s="50"/>
      <c r="T83" s="50"/>
      <c r="U83" s="50" t="s">
        <v>20</v>
      </c>
      <c r="V83" s="50" t="s">
        <v>20</v>
      </c>
      <c r="W83" s="50" t="s">
        <v>999</v>
      </c>
      <c r="X83" s="50" t="s">
        <v>1000</v>
      </c>
      <c r="Y83" s="49" t="s">
        <v>845</v>
      </c>
      <c r="Z83" s="53">
        <v>2</v>
      </c>
      <c r="AA83" s="53">
        <v>2</v>
      </c>
      <c r="AB83" s="51">
        <v>900000</v>
      </c>
      <c r="AC83" s="55" t="s">
        <v>896</v>
      </c>
    </row>
    <row r="84" spans="1:29" ht="96" customHeight="1" x14ac:dyDescent="0.2">
      <c r="A84" s="44">
        <v>82</v>
      </c>
      <c r="B84" s="44" t="s">
        <v>36</v>
      </c>
      <c r="C84" s="44" t="s">
        <v>188</v>
      </c>
      <c r="D84" s="50" t="s">
        <v>398</v>
      </c>
      <c r="E84" s="50" t="s">
        <v>544</v>
      </c>
      <c r="F84" s="49">
        <v>1</v>
      </c>
      <c r="G84" s="49"/>
      <c r="H84" s="50" t="s">
        <v>663</v>
      </c>
      <c r="I84" s="51">
        <v>500000</v>
      </c>
      <c r="J84" s="51"/>
      <c r="K84" s="51"/>
      <c r="L84" s="51">
        <v>500000</v>
      </c>
      <c r="M84" s="49"/>
      <c r="N84" s="52" t="s">
        <v>722</v>
      </c>
      <c r="O84" s="52"/>
      <c r="P84" s="52" t="s">
        <v>722</v>
      </c>
      <c r="Q84" s="50" t="s">
        <v>20</v>
      </c>
      <c r="R84" s="50"/>
      <c r="S84" s="50"/>
      <c r="T84" s="50"/>
      <c r="U84" s="50" t="s">
        <v>20</v>
      </c>
      <c r="V84" s="50" t="s">
        <v>20</v>
      </c>
      <c r="W84" s="50" t="s">
        <v>1001</v>
      </c>
      <c r="X84" s="50" t="s">
        <v>845</v>
      </c>
      <c r="Y84" s="49" t="s">
        <v>845</v>
      </c>
      <c r="Z84" s="53">
        <v>1</v>
      </c>
      <c r="AA84" s="53">
        <v>1</v>
      </c>
      <c r="AB84" s="51">
        <v>500000</v>
      </c>
      <c r="AC84" s="55" t="s">
        <v>896</v>
      </c>
    </row>
    <row r="85" spans="1:29" ht="96" customHeight="1" x14ac:dyDescent="0.2">
      <c r="A85" s="44">
        <v>83</v>
      </c>
      <c r="B85" s="44" t="s">
        <v>36</v>
      </c>
      <c r="C85" s="44" t="s">
        <v>188</v>
      </c>
      <c r="D85" s="50" t="s">
        <v>398</v>
      </c>
      <c r="E85" s="50" t="s">
        <v>572</v>
      </c>
      <c r="F85" s="49">
        <v>1</v>
      </c>
      <c r="G85" s="49"/>
      <c r="H85" s="50" t="s">
        <v>463</v>
      </c>
      <c r="I85" s="51">
        <v>800000</v>
      </c>
      <c r="J85" s="51"/>
      <c r="K85" s="51"/>
      <c r="L85" s="51">
        <v>800000</v>
      </c>
      <c r="M85" s="49"/>
      <c r="N85" s="52" t="s">
        <v>730</v>
      </c>
      <c r="O85" s="52"/>
      <c r="P85" s="52" t="s">
        <v>730</v>
      </c>
      <c r="Q85" s="50" t="s">
        <v>855</v>
      </c>
      <c r="R85" s="50" t="s">
        <v>856</v>
      </c>
      <c r="S85" s="50"/>
      <c r="T85" s="50" t="s">
        <v>857</v>
      </c>
      <c r="U85" s="50" t="s">
        <v>712</v>
      </c>
      <c r="V85" s="50" t="s">
        <v>978</v>
      </c>
      <c r="W85" s="50"/>
      <c r="X85" s="50" t="s">
        <v>845</v>
      </c>
      <c r="Y85" s="49" t="s">
        <v>845</v>
      </c>
      <c r="Z85" s="53">
        <v>1</v>
      </c>
      <c r="AA85" s="53">
        <v>1</v>
      </c>
      <c r="AB85" s="51">
        <v>800000</v>
      </c>
      <c r="AC85" s="55" t="s">
        <v>896</v>
      </c>
    </row>
    <row r="86" spans="1:29" ht="96" customHeight="1" x14ac:dyDescent="0.2">
      <c r="A86" s="49">
        <v>84</v>
      </c>
      <c r="B86" s="49" t="s">
        <v>36</v>
      </c>
      <c r="C86" s="49" t="s">
        <v>188</v>
      </c>
      <c r="D86" s="50" t="s">
        <v>398</v>
      </c>
      <c r="E86" s="50" t="s">
        <v>576</v>
      </c>
      <c r="F86" s="49">
        <v>1</v>
      </c>
      <c r="G86" s="49"/>
      <c r="H86" s="50" t="s">
        <v>464</v>
      </c>
      <c r="I86" s="51">
        <v>800000</v>
      </c>
      <c r="J86" s="51"/>
      <c r="K86" s="51"/>
      <c r="L86" s="51">
        <v>800000</v>
      </c>
      <c r="M86" s="49"/>
      <c r="N86" s="52" t="s">
        <v>723</v>
      </c>
      <c r="O86" s="52"/>
      <c r="P86" s="52" t="s">
        <v>723</v>
      </c>
      <c r="Q86" s="50" t="s">
        <v>858</v>
      </c>
      <c r="R86" s="50" t="s">
        <v>859</v>
      </c>
      <c r="S86" s="50"/>
      <c r="T86" s="50" t="s">
        <v>857</v>
      </c>
      <c r="U86" s="50" t="s">
        <v>711</v>
      </c>
      <c r="V86" s="50" t="s">
        <v>978</v>
      </c>
      <c r="W86" s="50"/>
      <c r="X86" s="50" t="s">
        <v>845</v>
      </c>
      <c r="Y86" s="49" t="s">
        <v>845</v>
      </c>
      <c r="Z86" s="53">
        <v>1</v>
      </c>
      <c r="AA86" s="53">
        <v>1</v>
      </c>
      <c r="AB86" s="51">
        <v>800000</v>
      </c>
      <c r="AC86" s="55" t="s">
        <v>981</v>
      </c>
    </row>
    <row r="87" spans="1:29" ht="96" customHeight="1" x14ac:dyDescent="0.2">
      <c r="A87" s="49">
        <v>85</v>
      </c>
      <c r="B87" s="49" t="s">
        <v>36</v>
      </c>
      <c r="C87" s="49" t="s">
        <v>188</v>
      </c>
      <c r="D87" s="50" t="s">
        <v>398</v>
      </c>
      <c r="E87" s="50" t="s">
        <v>582</v>
      </c>
      <c r="F87" s="49">
        <v>1</v>
      </c>
      <c r="G87" s="49"/>
      <c r="H87" s="50" t="s">
        <v>671</v>
      </c>
      <c r="I87" s="51">
        <v>800000</v>
      </c>
      <c r="J87" s="51"/>
      <c r="K87" s="51"/>
      <c r="L87" s="51">
        <v>800000</v>
      </c>
      <c r="M87" s="49"/>
      <c r="N87" s="52" t="s">
        <v>722</v>
      </c>
      <c r="O87" s="52"/>
      <c r="P87" s="52" t="s">
        <v>722</v>
      </c>
      <c r="Q87" s="50" t="s">
        <v>860</v>
      </c>
      <c r="R87" s="50" t="s">
        <v>861</v>
      </c>
      <c r="S87" s="50"/>
      <c r="T87" s="50" t="s">
        <v>857</v>
      </c>
      <c r="U87" s="50" t="s">
        <v>711</v>
      </c>
      <c r="V87" s="50" t="s">
        <v>978</v>
      </c>
      <c r="W87" s="50"/>
      <c r="X87" s="50" t="s">
        <v>845</v>
      </c>
      <c r="Y87" s="49" t="s">
        <v>845</v>
      </c>
      <c r="Z87" s="53">
        <v>1</v>
      </c>
      <c r="AA87" s="53">
        <v>1</v>
      </c>
      <c r="AB87" s="51">
        <v>800000</v>
      </c>
      <c r="AC87" s="55" t="s">
        <v>981</v>
      </c>
    </row>
    <row r="88" spans="1:29" ht="96" customHeight="1" x14ac:dyDescent="0.2">
      <c r="A88" s="49">
        <v>86</v>
      </c>
      <c r="B88" s="49" t="s">
        <v>36</v>
      </c>
      <c r="C88" s="49" t="s">
        <v>188</v>
      </c>
      <c r="D88" s="50" t="s">
        <v>398</v>
      </c>
      <c r="E88" s="50" t="s">
        <v>597</v>
      </c>
      <c r="F88" s="49">
        <v>1</v>
      </c>
      <c r="G88" s="49"/>
      <c r="H88" s="50" t="s">
        <v>673</v>
      </c>
      <c r="I88" s="51">
        <v>800000</v>
      </c>
      <c r="J88" s="51"/>
      <c r="K88" s="51"/>
      <c r="L88" s="51">
        <v>800000</v>
      </c>
      <c r="M88" s="49"/>
      <c r="N88" s="52" t="s">
        <v>731</v>
      </c>
      <c r="O88" s="52"/>
      <c r="P88" s="52" t="s">
        <v>731</v>
      </c>
      <c r="Q88" s="50" t="s">
        <v>862</v>
      </c>
      <c r="R88" s="50" t="s">
        <v>863</v>
      </c>
      <c r="S88" s="50"/>
      <c r="T88" s="50" t="s">
        <v>857</v>
      </c>
      <c r="U88" s="50" t="s">
        <v>711</v>
      </c>
      <c r="V88" s="50" t="s">
        <v>20</v>
      </c>
      <c r="W88" s="50" t="s">
        <v>1002</v>
      </c>
      <c r="X88" s="50" t="s">
        <v>845</v>
      </c>
      <c r="Y88" s="49" t="s">
        <v>845</v>
      </c>
      <c r="Z88" s="53">
        <v>1</v>
      </c>
      <c r="AA88" s="53">
        <v>1</v>
      </c>
      <c r="AB88" s="51">
        <v>800000</v>
      </c>
      <c r="AC88" s="55" t="s">
        <v>981</v>
      </c>
    </row>
    <row r="89" spans="1:29" ht="96" customHeight="1" x14ac:dyDescent="0.2">
      <c r="A89" s="49">
        <v>87</v>
      </c>
      <c r="B89" s="49" t="s">
        <v>36</v>
      </c>
      <c r="C89" s="49" t="s">
        <v>188</v>
      </c>
      <c r="D89" s="50" t="s">
        <v>398</v>
      </c>
      <c r="E89" s="50" t="s">
        <v>536</v>
      </c>
      <c r="F89" s="49">
        <v>1</v>
      </c>
      <c r="G89" s="49"/>
      <c r="H89" s="50" t="s">
        <v>677</v>
      </c>
      <c r="I89" s="51">
        <v>400000</v>
      </c>
      <c r="J89" s="51"/>
      <c r="K89" s="51"/>
      <c r="L89" s="51">
        <v>400000</v>
      </c>
      <c r="M89" s="49"/>
      <c r="N89" s="52" t="s">
        <v>723</v>
      </c>
      <c r="O89" s="52"/>
      <c r="P89" s="52" t="s">
        <v>723</v>
      </c>
      <c r="Q89" s="50" t="s">
        <v>709</v>
      </c>
      <c r="R89" s="50"/>
      <c r="S89" s="50"/>
      <c r="T89" s="50"/>
      <c r="U89" s="50" t="s">
        <v>709</v>
      </c>
      <c r="V89" s="50" t="s">
        <v>709</v>
      </c>
      <c r="W89" s="50" t="s">
        <v>983</v>
      </c>
      <c r="X89" s="50" t="s">
        <v>845</v>
      </c>
      <c r="Y89" s="49" t="s">
        <v>845</v>
      </c>
      <c r="Z89" s="53">
        <v>1</v>
      </c>
      <c r="AA89" s="53">
        <v>1</v>
      </c>
      <c r="AB89" s="51">
        <v>400000</v>
      </c>
      <c r="AC89" s="55" t="s">
        <v>896</v>
      </c>
    </row>
    <row r="90" spans="1:29" ht="96" customHeight="1" x14ac:dyDescent="0.2">
      <c r="A90" s="49">
        <v>88</v>
      </c>
      <c r="B90" s="49" t="s">
        <v>36</v>
      </c>
      <c r="C90" s="49" t="s">
        <v>188</v>
      </c>
      <c r="D90" s="50" t="s">
        <v>398</v>
      </c>
      <c r="E90" s="50" t="s">
        <v>645</v>
      </c>
      <c r="F90" s="49">
        <v>2</v>
      </c>
      <c r="G90" s="49"/>
      <c r="H90" s="50" t="s">
        <v>703</v>
      </c>
      <c r="I90" s="51">
        <v>400000</v>
      </c>
      <c r="J90" s="51"/>
      <c r="K90" s="51"/>
      <c r="L90" s="51">
        <v>800000</v>
      </c>
      <c r="M90" s="49"/>
      <c r="N90" s="52" t="s">
        <v>723</v>
      </c>
      <c r="O90" s="52"/>
      <c r="P90" s="52" t="s">
        <v>723</v>
      </c>
      <c r="Q90" s="50" t="s">
        <v>785</v>
      </c>
      <c r="R90" s="50"/>
      <c r="S90" s="50"/>
      <c r="T90" s="50"/>
      <c r="U90" s="50" t="s">
        <v>718</v>
      </c>
      <c r="V90" s="50" t="s">
        <v>20</v>
      </c>
      <c r="W90" s="50" t="s">
        <v>1003</v>
      </c>
      <c r="X90" s="50" t="s">
        <v>845</v>
      </c>
      <c r="Y90" s="49" t="s">
        <v>845</v>
      </c>
      <c r="Z90" s="53">
        <v>2</v>
      </c>
      <c r="AA90" s="53">
        <v>2</v>
      </c>
      <c r="AB90" s="51">
        <v>800000</v>
      </c>
      <c r="AC90" s="55" t="s">
        <v>896</v>
      </c>
    </row>
    <row r="91" spans="1:29" ht="96" customHeight="1" x14ac:dyDescent="0.2">
      <c r="A91" s="49">
        <v>89</v>
      </c>
      <c r="B91" s="49" t="s">
        <v>36</v>
      </c>
      <c r="C91" s="49" t="s">
        <v>188</v>
      </c>
      <c r="D91" s="50" t="s">
        <v>398</v>
      </c>
      <c r="E91" s="50" t="s">
        <v>652</v>
      </c>
      <c r="F91" s="49"/>
      <c r="G91" s="49"/>
      <c r="H91" s="50" t="s">
        <v>36</v>
      </c>
      <c r="I91" s="51">
        <v>800000</v>
      </c>
      <c r="J91" s="51"/>
      <c r="K91" s="51"/>
      <c r="L91" s="51">
        <v>800000</v>
      </c>
      <c r="M91" s="49"/>
      <c r="N91" s="52" t="s">
        <v>723</v>
      </c>
      <c r="O91" s="52"/>
      <c r="P91" s="52" t="s">
        <v>723</v>
      </c>
      <c r="Q91" s="67"/>
      <c r="R91" s="50"/>
      <c r="S91" s="50"/>
      <c r="T91" s="50"/>
      <c r="U91" s="50" t="s">
        <v>709</v>
      </c>
      <c r="V91" s="50"/>
      <c r="W91" s="50" t="s">
        <v>36</v>
      </c>
      <c r="X91" s="50" t="s">
        <v>845</v>
      </c>
      <c r="Y91" s="49" t="s">
        <v>845</v>
      </c>
      <c r="Z91" s="53"/>
      <c r="AA91" s="53"/>
      <c r="AB91" s="51">
        <v>800000</v>
      </c>
      <c r="AC91" s="55" t="s">
        <v>896</v>
      </c>
    </row>
    <row r="92" spans="1:29" ht="96" customHeight="1" x14ac:dyDescent="0.2">
      <c r="A92" s="49">
        <v>90</v>
      </c>
      <c r="B92" s="49" t="s">
        <v>36</v>
      </c>
      <c r="C92" s="49" t="s">
        <v>188</v>
      </c>
      <c r="D92" s="50" t="s">
        <v>398</v>
      </c>
      <c r="E92" s="50" t="s">
        <v>545</v>
      </c>
      <c r="F92" s="49">
        <v>1</v>
      </c>
      <c r="G92" s="49"/>
      <c r="H92" s="50" t="s">
        <v>663</v>
      </c>
      <c r="I92" s="51">
        <v>700000</v>
      </c>
      <c r="J92" s="51"/>
      <c r="K92" s="51"/>
      <c r="L92" s="51">
        <v>700000</v>
      </c>
      <c r="M92" s="49"/>
      <c r="N92" s="52" t="s">
        <v>722</v>
      </c>
      <c r="O92" s="52"/>
      <c r="P92" s="52" t="s">
        <v>722</v>
      </c>
      <c r="Q92" s="50" t="s">
        <v>780</v>
      </c>
      <c r="R92" s="50"/>
      <c r="S92" s="50"/>
      <c r="T92" s="50"/>
      <c r="U92" s="50" t="s">
        <v>780</v>
      </c>
      <c r="V92" s="50" t="s">
        <v>780</v>
      </c>
      <c r="W92" s="50" t="s">
        <v>1004</v>
      </c>
      <c r="X92" s="50" t="s">
        <v>845</v>
      </c>
      <c r="Y92" s="49" t="s">
        <v>845</v>
      </c>
      <c r="Z92" s="53">
        <v>1</v>
      </c>
      <c r="AA92" s="53">
        <v>1</v>
      </c>
      <c r="AB92" s="51">
        <v>700000</v>
      </c>
      <c r="AC92" s="55" t="s">
        <v>896</v>
      </c>
    </row>
    <row r="93" spans="1:29" ht="96" customHeight="1" x14ac:dyDescent="0.2">
      <c r="A93" s="44">
        <v>91</v>
      </c>
      <c r="B93" s="44" t="s">
        <v>36</v>
      </c>
      <c r="C93" s="44" t="s">
        <v>188</v>
      </c>
      <c r="D93" s="45" t="s">
        <v>398</v>
      </c>
      <c r="E93" s="45" t="s">
        <v>558</v>
      </c>
      <c r="F93" s="44">
        <v>1</v>
      </c>
      <c r="G93" s="44"/>
      <c r="H93" s="45" t="s">
        <v>330</v>
      </c>
      <c r="I93" s="46">
        <v>700000</v>
      </c>
      <c r="J93" s="46"/>
      <c r="K93" s="46"/>
      <c r="L93" s="46">
        <v>700000</v>
      </c>
      <c r="M93" s="44"/>
      <c r="N93" s="47" t="s">
        <v>723</v>
      </c>
      <c r="O93" s="47"/>
      <c r="P93" s="47" t="s">
        <v>723</v>
      </c>
      <c r="Q93" s="45" t="s">
        <v>710</v>
      </c>
      <c r="R93" s="45"/>
      <c r="S93" s="45"/>
      <c r="T93" s="45"/>
      <c r="U93" s="45" t="s">
        <v>710</v>
      </c>
      <c r="V93" s="45" t="s">
        <v>710</v>
      </c>
      <c r="W93" s="45" t="s">
        <v>1005</v>
      </c>
      <c r="X93" s="45" t="s">
        <v>845</v>
      </c>
      <c r="Y93" s="44" t="s">
        <v>845</v>
      </c>
      <c r="Z93" s="42"/>
      <c r="AA93" s="42"/>
      <c r="AB93" s="42"/>
      <c r="AC93" s="43" t="s">
        <v>908</v>
      </c>
    </row>
    <row r="94" spans="1:29" ht="96" customHeight="1" x14ac:dyDescent="0.2">
      <c r="A94" s="44">
        <v>92</v>
      </c>
      <c r="B94" s="44" t="s">
        <v>36</v>
      </c>
      <c r="C94" s="44" t="s">
        <v>188</v>
      </c>
      <c r="D94" s="50" t="s">
        <v>398</v>
      </c>
      <c r="E94" s="50" t="s">
        <v>588</v>
      </c>
      <c r="F94" s="49">
        <v>1</v>
      </c>
      <c r="G94" s="49"/>
      <c r="H94" s="50" t="s">
        <v>673</v>
      </c>
      <c r="I94" s="51">
        <v>600000</v>
      </c>
      <c r="J94" s="51"/>
      <c r="K94" s="51"/>
      <c r="L94" s="51">
        <v>600000</v>
      </c>
      <c r="M94" s="49"/>
      <c r="N94" s="52" t="s">
        <v>724</v>
      </c>
      <c r="O94" s="52"/>
      <c r="P94" s="52" t="s">
        <v>724</v>
      </c>
      <c r="Q94" s="50" t="s">
        <v>785</v>
      </c>
      <c r="R94" s="50"/>
      <c r="S94" s="50"/>
      <c r="T94" s="50"/>
      <c r="U94" s="50" t="s">
        <v>711</v>
      </c>
      <c r="V94" s="50" t="s">
        <v>20</v>
      </c>
      <c r="W94" s="50" t="s">
        <v>1006</v>
      </c>
      <c r="X94" s="50" t="s">
        <v>845</v>
      </c>
      <c r="Y94" s="49" t="s">
        <v>845</v>
      </c>
      <c r="Z94" s="53">
        <v>1</v>
      </c>
      <c r="AA94" s="53">
        <v>1</v>
      </c>
      <c r="AB94" s="51">
        <v>600000</v>
      </c>
      <c r="AC94" s="55" t="s">
        <v>981</v>
      </c>
    </row>
    <row r="95" spans="1:29" ht="96" customHeight="1" x14ac:dyDescent="0.2">
      <c r="A95" s="44">
        <v>93</v>
      </c>
      <c r="B95" s="44" t="s">
        <v>36</v>
      </c>
      <c r="C95" s="44" t="s">
        <v>188</v>
      </c>
      <c r="D95" s="50" t="s">
        <v>398</v>
      </c>
      <c r="E95" s="50" t="s">
        <v>594</v>
      </c>
      <c r="F95" s="49">
        <v>1</v>
      </c>
      <c r="G95" s="49"/>
      <c r="H95" s="50" t="s">
        <v>673</v>
      </c>
      <c r="I95" s="51">
        <v>700000</v>
      </c>
      <c r="J95" s="51"/>
      <c r="K95" s="51"/>
      <c r="L95" s="51">
        <v>700000</v>
      </c>
      <c r="M95" s="49"/>
      <c r="N95" s="52" t="s">
        <v>729</v>
      </c>
      <c r="O95" s="52"/>
      <c r="P95" s="52" t="s">
        <v>729</v>
      </c>
      <c r="Q95" s="50"/>
      <c r="R95" s="50"/>
      <c r="S95" s="50"/>
      <c r="T95" s="50"/>
      <c r="U95" s="50" t="s">
        <v>711</v>
      </c>
      <c r="V95" s="50"/>
      <c r="W95" s="50"/>
      <c r="X95" s="50" t="s">
        <v>845</v>
      </c>
      <c r="Y95" s="49" t="s">
        <v>845</v>
      </c>
      <c r="Z95" s="53">
        <v>1</v>
      </c>
      <c r="AA95" s="53">
        <v>1</v>
      </c>
      <c r="AB95" s="53">
        <v>700000</v>
      </c>
      <c r="AC95" s="55" t="s">
        <v>981</v>
      </c>
    </row>
    <row r="96" spans="1:29" ht="96" customHeight="1" x14ac:dyDescent="0.2">
      <c r="A96" s="44">
        <v>94</v>
      </c>
      <c r="B96" s="44" t="s">
        <v>36</v>
      </c>
      <c r="C96" s="44" t="s">
        <v>188</v>
      </c>
      <c r="D96" s="50" t="s">
        <v>398</v>
      </c>
      <c r="E96" s="50" t="s">
        <v>568</v>
      </c>
      <c r="F96" s="49">
        <v>8</v>
      </c>
      <c r="G96" s="49"/>
      <c r="H96" s="50" t="s">
        <v>33</v>
      </c>
      <c r="I96" s="51">
        <v>680000</v>
      </c>
      <c r="J96" s="51"/>
      <c r="K96" s="51"/>
      <c r="L96" s="51">
        <v>680000</v>
      </c>
      <c r="M96" s="49"/>
      <c r="N96" s="52" t="s">
        <v>722</v>
      </c>
      <c r="O96" s="52"/>
      <c r="P96" s="52" t="s">
        <v>722</v>
      </c>
      <c r="Q96" s="50" t="s">
        <v>710</v>
      </c>
      <c r="R96" s="50"/>
      <c r="S96" s="50"/>
      <c r="T96" s="50"/>
      <c r="U96" s="50" t="s">
        <v>710</v>
      </c>
      <c r="V96" s="50" t="s">
        <v>710</v>
      </c>
      <c r="W96" s="50" t="s">
        <v>1007</v>
      </c>
      <c r="X96" s="50" t="s">
        <v>845</v>
      </c>
      <c r="Y96" s="49" t="s">
        <v>845</v>
      </c>
      <c r="Z96" s="53">
        <v>8</v>
      </c>
      <c r="AA96" s="53">
        <v>8</v>
      </c>
      <c r="AB96" s="51">
        <v>680000</v>
      </c>
      <c r="AC96" s="55" t="s">
        <v>896</v>
      </c>
    </row>
    <row r="97" spans="1:29" ht="96" customHeight="1" x14ac:dyDescent="0.2">
      <c r="A97" s="44">
        <v>95</v>
      </c>
      <c r="B97" s="44" t="s">
        <v>36</v>
      </c>
      <c r="C97" s="44" t="s">
        <v>188</v>
      </c>
      <c r="D97" s="50" t="s">
        <v>398</v>
      </c>
      <c r="E97" s="50" t="s">
        <v>661</v>
      </c>
      <c r="F97" s="49">
        <v>1</v>
      </c>
      <c r="G97" s="49"/>
      <c r="H97" s="50" t="s">
        <v>707</v>
      </c>
      <c r="I97" s="51">
        <v>650000</v>
      </c>
      <c r="J97" s="51"/>
      <c r="K97" s="51"/>
      <c r="L97" s="51">
        <v>650000</v>
      </c>
      <c r="M97" s="49"/>
      <c r="N97" s="52" t="s">
        <v>722</v>
      </c>
      <c r="O97" s="52"/>
      <c r="P97" s="52" t="s">
        <v>722</v>
      </c>
      <c r="Q97" s="50" t="s">
        <v>710</v>
      </c>
      <c r="R97" s="50"/>
      <c r="S97" s="50"/>
      <c r="T97" s="50"/>
      <c r="U97" s="50" t="s">
        <v>709</v>
      </c>
      <c r="V97" s="50" t="s">
        <v>710</v>
      </c>
      <c r="W97" s="50" t="s">
        <v>1008</v>
      </c>
      <c r="X97" s="50" t="s">
        <v>845</v>
      </c>
      <c r="Y97" s="49" t="s">
        <v>845</v>
      </c>
      <c r="Z97" s="53">
        <v>1</v>
      </c>
      <c r="AA97" s="53">
        <v>1</v>
      </c>
      <c r="AB97" s="51">
        <v>650000</v>
      </c>
      <c r="AC97" s="55" t="s">
        <v>896</v>
      </c>
    </row>
    <row r="98" spans="1:29" ht="96" customHeight="1" x14ac:dyDescent="0.2">
      <c r="A98" s="44">
        <v>96</v>
      </c>
      <c r="B98" s="44" t="s">
        <v>36</v>
      </c>
      <c r="C98" s="44" t="s">
        <v>188</v>
      </c>
      <c r="D98" s="50" t="s">
        <v>398</v>
      </c>
      <c r="E98" s="50" t="s">
        <v>595</v>
      </c>
      <c r="F98" s="49">
        <v>1</v>
      </c>
      <c r="G98" s="49"/>
      <c r="H98" s="50" t="s">
        <v>673</v>
      </c>
      <c r="I98" s="51">
        <v>400000</v>
      </c>
      <c r="J98" s="51"/>
      <c r="K98" s="51"/>
      <c r="L98" s="51">
        <v>400000</v>
      </c>
      <c r="M98" s="49"/>
      <c r="N98" s="52" t="s">
        <v>727</v>
      </c>
      <c r="O98" s="52"/>
      <c r="P98" s="52" t="s">
        <v>727</v>
      </c>
      <c r="Q98" s="50" t="s">
        <v>864</v>
      </c>
      <c r="R98" s="50" t="s">
        <v>865</v>
      </c>
      <c r="S98" s="50"/>
      <c r="T98" s="50" t="s">
        <v>866</v>
      </c>
      <c r="U98" s="50" t="s">
        <v>711</v>
      </c>
      <c r="V98" s="50" t="s">
        <v>20</v>
      </c>
      <c r="W98" s="50" t="s">
        <v>1006</v>
      </c>
      <c r="X98" s="50" t="s">
        <v>845</v>
      </c>
      <c r="Y98" s="49" t="s">
        <v>845</v>
      </c>
      <c r="Z98" s="53">
        <v>1</v>
      </c>
      <c r="AA98" s="53">
        <v>1</v>
      </c>
      <c r="AB98" s="51">
        <v>400000</v>
      </c>
      <c r="AC98" s="55" t="s">
        <v>981</v>
      </c>
    </row>
    <row r="99" spans="1:29" ht="96" customHeight="1" x14ac:dyDescent="0.2">
      <c r="A99" s="44">
        <v>97</v>
      </c>
      <c r="B99" s="44" t="s">
        <v>36</v>
      </c>
      <c r="C99" s="44" t="s">
        <v>188</v>
      </c>
      <c r="D99" s="50" t="s">
        <v>398</v>
      </c>
      <c r="E99" s="50" t="s">
        <v>643</v>
      </c>
      <c r="F99" s="49">
        <v>2</v>
      </c>
      <c r="G99" s="49"/>
      <c r="H99" s="50" t="s">
        <v>703</v>
      </c>
      <c r="I99" s="51">
        <v>300000</v>
      </c>
      <c r="J99" s="51"/>
      <c r="K99" s="51"/>
      <c r="L99" s="51">
        <v>600000</v>
      </c>
      <c r="M99" s="49"/>
      <c r="N99" s="52" t="s">
        <v>723</v>
      </c>
      <c r="O99" s="52"/>
      <c r="P99" s="52" t="s">
        <v>723</v>
      </c>
      <c r="Q99" s="50"/>
      <c r="R99" s="50"/>
      <c r="S99" s="50"/>
      <c r="T99" s="50"/>
      <c r="U99" s="50" t="s">
        <v>718</v>
      </c>
      <c r="V99" s="50"/>
      <c r="W99" s="50"/>
      <c r="X99" s="50" t="s">
        <v>845</v>
      </c>
      <c r="Y99" s="49" t="s">
        <v>845</v>
      </c>
      <c r="Z99" s="53">
        <v>1</v>
      </c>
      <c r="AA99" s="53">
        <v>1</v>
      </c>
      <c r="AB99" s="51">
        <v>600000</v>
      </c>
      <c r="AC99" s="55" t="s">
        <v>896</v>
      </c>
    </row>
    <row r="100" spans="1:29" ht="96" customHeight="1" x14ac:dyDescent="0.2">
      <c r="A100" s="44">
        <v>98</v>
      </c>
      <c r="B100" s="44" t="s">
        <v>29</v>
      </c>
      <c r="C100" s="44" t="s">
        <v>188</v>
      </c>
      <c r="D100" s="45" t="s">
        <v>398</v>
      </c>
      <c r="E100" s="45" t="s">
        <v>393</v>
      </c>
      <c r="F100" s="44">
        <v>1</v>
      </c>
      <c r="G100" s="44" t="s">
        <v>203</v>
      </c>
      <c r="H100" s="45" t="s">
        <v>399</v>
      </c>
      <c r="I100" s="46">
        <v>556000</v>
      </c>
      <c r="J100" s="46"/>
      <c r="K100" s="46"/>
      <c r="L100" s="46">
        <v>556000</v>
      </c>
      <c r="M100" s="44" t="s">
        <v>400</v>
      </c>
      <c r="N100" s="47"/>
      <c r="O100" s="47"/>
      <c r="P100" s="47" t="s">
        <v>724</v>
      </c>
      <c r="Q100" s="45" t="s">
        <v>411</v>
      </c>
      <c r="R100" s="45" t="s">
        <v>423</v>
      </c>
      <c r="S100" s="45" t="s">
        <v>435</v>
      </c>
      <c r="T100" s="45"/>
      <c r="U100" s="45" t="s">
        <v>447</v>
      </c>
      <c r="V100" s="45"/>
      <c r="W100" s="45"/>
      <c r="X100" s="45" t="s">
        <v>845</v>
      </c>
      <c r="Y100" s="44" t="s">
        <v>845</v>
      </c>
      <c r="Z100" s="42"/>
      <c r="AA100" s="42"/>
      <c r="AB100" s="42"/>
      <c r="AC100" s="43" t="s">
        <v>908</v>
      </c>
    </row>
    <row r="101" spans="1:29" ht="96" customHeight="1" x14ac:dyDescent="0.2">
      <c r="A101" s="44">
        <v>99</v>
      </c>
      <c r="B101" s="44" t="s">
        <v>29</v>
      </c>
      <c r="C101" s="44" t="s">
        <v>188</v>
      </c>
      <c r="D101" s="45" t="s">
        <v>398</v>
      </c>
      <c r="E101" s="45" t="s">
        <v>386</v>
      </c>
      <c r="F101" s="44">
        <v>1</v>
      </c>
      <c r="G101" s="44" t="s">
        <v>203</v>
      </c>
      <c r="H101" s="45" t="s">
        <v>399</v>
      </c>
      <c r="I101" s="46">
        <v>500000</v>
      </c>
      <c r="J101" s="46"/>
      <c r="K101" s="46"/>
      <c r="L101" s="46">
        <v>500000</v>
      </c>
      <c r="M101" s="44" t="s">
        <v>400</v>
      </c>
      <c r="N101" s="47"/>
      <c r="O101" s="47"/>
      <c r="P101" s="47" t="s">
        <v>724</v>
      </c>
      <c r="Q101" s="45" t="s">
        <v>404</v>
      </c>
      <c r="R101" s="45" t="s">
        <v>416</v>
      </c>
      <c r="S101" s="45" t="s">
        <v>428</v>
      </c>
      <c r="T101" s="45"/>
      <c r="U101" s="45" t="s">
        <v>440</v>
      </c>
      <c r="V101" s="45" t="s">
        <v>994</v>
      </c>
      <c r="W101" s="45" t="s">
        <v>995</v>
      </c>
      <c r="X101" s="45" t="s">
        <v>845</v>
      </c>
      <c r="Y101" s="44" t="s">
        <v>845</v>
      </c>
      <c r="Z101" s="42"/>
      <c r="AA101" s="42"/>
      <c r="AB101" s="42"/>
      <c r="AC101" s="43" t="s">
        <v>908</v>
      </c>
    </row>
    <row r="102" spans="1:29" ht="96" customHeight="1" x14ac:dyDescent="0.2">
      <c r="A102" s="49">
        <v>100</v>
      </c>
      <c r="B102" s="49" t="s">
        <v>36</v>
      </c>
      <c r="C102" s="49" t="s">
        <v>188</v>
      </c>
      <c r="D102" s="50" t="s">
        <v>398</v>
      </c>
      <c r="E102" s="50" t="s">
        <v>589</v>
      </c>
      <c r="F102" s="49">
        <v>1</v>
      </c>
      <c r="G102" s="49"/>
      <c r="H102" s="50" t="s">
        <v>673</v>
      </c>
      <c r="I102" s="51">
        <v>500000</v>
      </c>
      <c r="J102" s="51"/>
      <c r="K102" s="51"/>
      <c r="L102" s="51">
        <v>500000</v>
      </c>
      <c r="M102" s="49"/>
      <c r="N102" s="52" t="s">
        <v>723</v>
      </c>
      <c r="O102" s="52"/>
      <c r="P102" s="52" t="s">
        <v>723</v>
      </c>
      <c r="Q102" s="50" t="s">
        <v>867</v>
      </c>
      <c r="R102" s="50" t="s">
        <v>868</v>
      </c>
      <c r="S102" s="50"/>
      <c r="T102" s="50" t="s">
        <v>869</v>
      </c>
      <c r="U102" s="50" t="s">
        <v>711</v>
      </c>
      <c r="V102" s="50"/>
      <c r="W102" s="50"/>
      <c r="X102" s="50" t="s">
        <v>845</v>
      </c>
      <c r="Y102" s="49" t="s">
        <v>845</v>
      </c>
      <c r="Z102" s="53">
        <v>1</v>
      </c>
      <c r="AA102" s="53">
        <v>1</v>
      </c>
      <c r="AB102" s="51">
        <v>500000</v>
      </c>
      <c r="AC102" s="55" t="s">
        <v>981</v>
      </c>
    </row>
    <row r="103" spans="1:29" ht="96" customHeight="1" x14ac:dyDescent="0.2">
      <c r="A103" s="49">
        <v>101</v>
      </c>
      <c r="B103" s="49" t="s">
        <v>36</v>
      </c>
      <c r="C103" s="49" t="s">
        <v>188</v>
      </c>
      <c r="D103" s="50" t="s">
        <v>398</v>
      </c>
      <c r="E103" s="50" t="s">
        <v>649</v>
      </c>
      <c r="F103" s="49">
        <v>1</v>
      </c>
      <c r="G103" s="49"/>
      <c r="H103" s="50" t="s">
        <v>696</v>
      </c>
      <c r="I103" s="51">
        <v>500000</v>
      </c>
      <c r="J103" s="51"/>
      <c r="K103" s="51"/>
      <c r="L103" s="51">
        <v>500000</v>
      </c>
      <c r="M103" s="49"/>
      <c r="N103" s="52" t="s">
        <v>37</v>
      </c>
      <c r="O103" s="52"/>
      <c r="P103" s="52" t="s">
        <v>37</v>
      </c>
      <c r="Q103" s="50" t="s">
        <v>709</v>
      </c>
      <c r="R103" s="50"/>
      <c r="S103" s="50"/>
      <c r="T103" s="50"/>
      <c r="U103" s="50" t="s">
        <v>709</v>
      </c>
      <c r="V103" s="50" t="s">
        <v>709</v>
      </c>
      <c r="W103" s="50" t="s">
        <v>1009</v>
      </c>
      <c r="X103" s="50" t="s">
        <v>845</v>
      </c>
      <c r="Y103" s="49" t="s">
        <v>845</v>
      </c>
      <c r="Z103" s="53">
        <v>1</v>
      </c>
      <c r="AA103" s="53">
        <v>1</v>
      </c>
      <c r="AB103" s="51">
        <v>500000</v>
      </c>
      <c r="AC103" s="55" t="s">
        <v>896</v>
      </c>
    </row>
    <row r="104" spans="1:29" ht="96" customHeight="1" x14ac:dyDescent="0.2">
      <c r="A104" s="49">
        <v>102</v>
      </c>
      <c r="B104" s="49" t="s">
        <v>36</v>
      </c>
      <c r="C104" s="49" t="s">
        <v>188</v>
      </c>
      <c r="D104" s="50" t="s">
        <v>398</v>
      </c>
      <c r="E104" s="50" t="s">
        <v>657</v>
      </c>
      <c r="F104" s="49">
        <v>5</v>
      </c>
      <c r="G104" s="49"/>
      <c r="H104" s="50" t="s">
        <v>705</v>
      </c>
      <c r="I104" s="51">
        <v>500000</v>
      </c>
      <c r="J104" s="51"/>
      <c r="K104" s="51"/>
      <c r="L104" s="51">
        <v>500000</v>
      </c>
      <c r="M104" s="49"/>
      <c r="N104" s="52" t="s">
        <v>724</v>
      </c>
      <c r="O104" s="52"/>
      <c r="P104" s="52" t="s">
        <v>724</v>
      </c>
      <c r="Q104" s="50" t="s">
        <v>709</v>
      </c>
      <c r="R104" s="50" t="s">
        <v>778</v>
      </c>
      <c r="S104" s="50"/>
      <c r="T104" s="50"/>
      <c r="U104" s="50" t="s">
        <v>709</v>
      </c>
      <c r="V104" s="50" t="s">
        <v>709</v>
      </c>
      <c r="W104" s="50" t="s">
        <v>1010</v>
      </c>
      <c r="X104" s="50" t="s">
        <v>845</v>
      </c>
      <c r="Y104" s="49" t="s">
        <v>845</v>
      </c>
      <c r="Z104" s="53">
        <v>5</v>
      </c>
      <c r="AA104" s="53">
        <v>5</v>
      </c>
      <c r="AB104" s="51">
        <v>500000</v>
      </c>
      <c r="AC104" s="55" t="s">
        <v>896</v>
      </c>
    </row>
    <row r="105" spans="1:29" ht="96" customHeight="1" x14ac:dyDescent="0.2">
      <c r="A105" s="49">
        <v>103</v>
      </c>
      <c r="B105" s="49" t="s">
        <v>36</v>
      </c>
      <c r="C105" s="49" t="s">
        <v>188</v>
      </c>
      <c r="D105" s="50" t="s">
        <v>398</v>
      </c>
      <c r="E105" s="50" t="s">
        <v>591</v>
      </c>
      <c r="F105" s="49">
        <v>1</v>
      </c>
      <c r="G105" s="49"/>
      <c r="H105" s="50" t="s">
        <v>673</v>
      </c>
      <c r="I105" s="51">
        <v>450000</v>
      </c>
      <c r="J105" s="51"/>
      <c r="K105" s="51"/>
      <c r="L105" s="51">
        <v>450000</v>
      </c>
      <c r="M105" s="49"/>
      <c r="N105" s="52" t="s">
        <v>727</v>
      </c>
      <c r="O105" s="52"/>
      <c r="P105" s="52" t="s">
        <v>727</v>
      </c>
      <c r="Q105" s="50" t="s">
        <v>870</v>
      </c>
      <c r="R105" s="50" t="s">
        <v>871</v>
      </c>
      <c r="S105" s="50"/>
      <c r="T105" s="50" t="s">
        <v>872</v>
      </c>
      <c r="U105" s="50" t="s">
        <v>711</v>
      </c>
      <c r="V105" s="50"/>
      <c r="W105" s="50"/>
      <c r="X105" s="50" t="s">
        <v>845</v>
      </c>
      <c r="Y105" s="49" t="s">
        <v>845</v>
      </c>
      <c r="Z105" s="53">
        <v>1</v>
      </c>
      <c r="AA105" s="53">
        <v>1</v>
      </c>
      <c r="AB105" s="51">
        <v>450000</v>
      </c>
      <c r="AC105" s="55" t="s">
        <v>896</v>
      </c>
    </row>
    <row r="106" spans="1:29" ht="96" customHeight="1" x14ac:dyDescent="0.2">
      <c r="A106" s="49">
        <v>104</v>
      </c>
      <c r="B106" s="49" t="s">
        <v>36</v>
      </c>
      <c r="C106" s="49" t="s">
        <v>188</v>
      </c>
      <c r="D106" s="50" t="s">
        <v>398</v>
      </c>
      <c r="E106" s="50" t="s">
        <v>607</v>
      </c>
      <c r="F106" s="49">
        <v>1</v>
      </c>
      <c r="G106" s="49"/>
      <c r="H106" s="50" t="s">
        <v>683</v>
      </c>
      <c r="I106" s="51">
        <v>450000</v>
      </c>
      <c r="J106" s="51"/>
      <c r="K106" s="51"/>
      <c r="L106" s="51">
        <v>450000</v>
      </c>
      <c r="M106" s="49"/>
      <c r="N106" s="52" t="s">
        <v>725</v>
      </c>
      <c r="O106" s="52"/>
      <c r="P106" s="52" t="s">
        <v>725</v>
      </c>
      <c r="Q106" s="50" t="s">
        <v>785</v>
      </c>
      <c r="R106" s="50"/>
      <c r="S106" s="50"/>
      <c r="T106" s="50"/>
      <c r="U106" s="50" t="s">
        <v>715</v>
      </c>
      <c r="V106" s="50" t="s">
        <v>20</v>
      </c>
      <c r="W106" s="50" t="s">
        <v>1011</v>
      </c>
      <c r="X106" s="50" t="s">
        <v>845</v>
      </c>
      <c r="Y106" s="49" t="s">
        <v>845</v>
      </c>
      <c r="Z106" s="53">
        <v>1</v>
      </c>
      <c r="AA106" s="53">
        <v>1</v>
      </c>
      <c r="AB106" s="51">
        <v>450000</v>
      </c>
      <c r="AC106" s="55" t="s">
        <v>896</v>
      </c>
    </row>
    <row r="107" spans="1:29" ht="96" customHeight="1" x14ac:dyDescent="0.2">
      <c r="A107" s="57">
        <v>105</v>
      </c>
      <c r="B107" s="57" t="s">
        <v>36</v>
      </c>
      <c r="C107" s="57" t="s">
        <v>188</v>
      </c>
      <c r="D107" s="58" t="s">
        <v>398</v>
      </c>
      <c r="E107" s="58" t="s">
        <v>605</v>
      </c>
      <c r="F107" s="57">
        <v>1</v>
      </c>
      <c r="G107" s="57"/>
      <c r="H107" s="58" t="s">
        <v>683</v>
      </c>
      <c r="I107" s="59">
        <v>150000</v>
      </c>
      <c r="J107" s="59"/>
      <c r="K107" s="59"/>
      <c r="L107" s="59">
        <v>150000</v>
      </c>
      <c r="M107" s="57"/>
      <c r="N107" s="60" t="s">
        <v>726</v>
      </c>
      <c r="O107" s="60"/>
      <c r="P107" s="60" t="s">
        <v>726</v>
      </c>
      <c r="Q107" s="58"/>
      <c r="R107" s="58"/>
      <c r="S107" s="58"/>
      <c r="T107" s="58"/>
      <c r="U107" s="58" t="s">
        <v>709</v>
      </c>
      <c r="V107" s="58" t="s">
        <v>20</v>
      </c>
      <c r="W107" s="58"/>
      <c r="X107" s="58" t="s">
        <v>845</v>
      </c>
      <c r="Y107" s="57" t="s">
        <v>845</v>
      </c>
      <c r="Z107" s="61"/>
      <c r="AA107" s="61"/>
      <c r="AB107" s="61"/>
      <c r="AC107" s="62" t="s">
        <v>947</v>
      </c>
    </row>
    <row r="108" spans="1:29" ht="96" customHeight="1" x14ac:dyDescent="0.2">
      <c r="A108" s="49">
        <v>106</v>
      </c>
      <c r="B108" s="49" t="s">
        <v>36</v>
      </c>
      <c r="C108" s="49" t="s">
        <v>188</v>
      </c>
      <c r="D108" s="50" t="s">
        <v>398</v>
      </c>
      <c r="E108" s="50" t="s">
        <v>537</v>
      </c>
      <c r="F108" s="49">
        <v>4</v>
      </c>
      <c r="G108" s="49"/>
      <c r="H108" s="50" t="s">
        <v>677</v>
      </c>
      <c r="I108" s="51">
        <v>100000</v>
      </c>
      <c r="J108" s="51"/>
      <c r="K108" s="51"/>
      <c r="L108" s="51">
        <v>400000</v>
      </c>
      <c r="M108" s="49"/>
      <c r="N108" s="52" t="s">
        <v>723</v>
      </c>
      <c r="O108" s="52"/>
      <c r="P108" s="52" t="s">
        <v>723</v>
      </c>
      <c r="Q108" s="50" t="s">
        <v>834</v>
      </c>
      <c r="R108" s="50"/>
      <c r="S108" s="50"/>
      <c r="T108" s="50"/>
      <c r="U108" s="50" t="s">
        <v>709</v>
      </c>
      <c r="V108" s="50" t="s">
        <v>709</v>
      </c>
      <c r="W108" s="50" t="s">
        <v>983</v>
      </c>
      <c r="X108" s="50" t="s">
        <v>845</v>
      </c>
      <c r="Y108" s="49" t="s">
        <v>845</v>
      </c>
      <c r="Z108" s="53">
        <v>4</v>
      </c>
      <c r="AA108" s="53">
        <v>4</v>
      </c>
      <c r="AB108" s="51">
        <v>400000</v>
      </c>
      <c r="AC108" s="55" t="s">
        <v>896</v>
      </c>
    </row>
    <row r="109" spans="1:29" ht="96" customHeight="1" x14ac:dyDescent="0.2">
      <c r="A109" s="49">
        <v>107</v>
      </c>
      <c r="B109" s="49" t="s">
        <v>36</v>
      </c>
      <c r="C109" s="49" t="s">
        <v>188</v>
      </c>
      <c r="D109" s="50" t="s">
        <v>398</v>
      </c>
      <c r="E109" s="50" t="s">
        <v>536</v>
      </c>
      <c r="F109" s="49">
        <v>1</v>
      </c>
      <c r="G109" s="49"/>
      <c r="H109" s="50" t="s">
        <v>662</v>
      </c>
      <c r="I109" s="51">
        <v>400000</v>
      </c>
      <c r="J109" s="51"/>
      <c r="K109" s="51"/>
      <c r="L109" s="51">
        <v>400000</v>
      </c>
      <c r="M109" s="49"/>
      <c r="N109" s="52" t="s">
        <v>722</v>
      </c>
      <c r="O109" s="52"/>
      <c r="P109" s="52" t="s">
        <v>722</v>
      </c>
      <c r="Q109" s="50" t="s">
        <v>785</v>
      </c>
      <c r="R109" s="50"/>
      <c r="S109" s="50"/>
      <c r="T109" s="50"/>
      <c r="U109" s="50" t="s">
        <v>708</v>
      </c>
      <c r="V109" s="50" t="s">
        <v>20</v>
      </c>
      <c r="W109" s="50" t="s">
        <v>1012</v>
      </c>
      <c r="X109" s="50" t="s">
        <v>845</v>
      </c>
      <c r="Y109" s="49" t="s">
        <v>845</v>
      </c>
      <c r="Z109" s="53">
        <v>1</v>
      </c>
      <c r="AA109" s="53">
        <v>1</v>
      </c>
      <c r="AB109" s="51">
        <v>400000</v>
      </c>
      <c r="AC109" s="55" t="s">
        <v>896</v>
      </c>
    </row>
    <row r="110" spans="1:29" ht="96" customHeight="1" x14ac:dyDescent="0.2">
      <c r="A110" s="49">
        <v>108</v>
      </c>
      <c r="B110" s="49" t="s">
        <v>36</v>
      </c>
      <c r="C110" s="49" t="s">
        <v>188</v>
      </c>
      <c r="D110" s="50" t="s">
        <v>398</v>
      </c>
      <c r="E110" s="50" t="s">
        <v>538</v>
      </c>
      <c r="F110" s="49">
        <v>1</v>
      </c>
      <c r="G110" s="49"/>
      <c r="H110" s="50" t="s">
        <v>662</v>
      </c>
      <c r="I110" s="51">
        <v>400000</v>
      </c>
      <c r="J110" s="51"/>
      <c r="K110" s="51"/>
      <c r="L110" s="51">
        <v>400000</v>
      </c>
      <c r="M110" s="49"/>
      <c r="N110" s="52" t="s">
        <v>37</v>
      </c>
      <c r="O110" s="52"/>
      <c r="P110" s="52" t="s">
        <v>37</v>
      </c>
      <c r="Q110" s="50" t="s">
        <v>785</v>
      </c>
      <c r="R110" s="50"/>
      <c r="S110" s="50"/>
      <c r="T110" s="50"/>
      <c r="U110" s="50" t="s">
        <v>708</v>
      </c>
      <c r="V110" s="50" t="s">
        <v>20</v>
      </c>
      <c r="W110" s="50" t="s">
        <v>1013</v>
      </c>
      <c r="X110" s="50" t="s">
        <v>845</v>
      </c>
      <c r="Y110" s="49" t="s">
        <v>845</v>
      </c>
      <c r="Z110" s="53">
        <v>1</v>
      </c>
      <c r="AA110" s="53">
        <v>1</v>
      </c>
      <c r="AB110" s="51">
        <v>400000</v>
      </c>
      <c r="AC110" s="55" t="s">
        <v>896</v>
      </c>
    </row>
    <row r="111" spans="1:29" ht="96" customHeight="1" x14ac:dyDescent="0.2">
      <c r="A111" s="49">
        <v>109</v>
      </c>
      <c r="B111" s="49" t="s">
        <v>36</v>
      </c>
      <c r="C111" s="49" t="s">
        <v>188</v>
      </c>
      <c r="D111" s="50" t="s">
        <v>398</v>
      </c>
      <c r="E111" s="50" t="s">
        <v>543</v>
      </c>
      <c r="F111" s="49">
        <v>1</v>
      </c>
      <c r="G111" s="49"/>
      <c r="H111" s="50" t="s">
        <v>663</v>
      </c>
      <c r="I111" s="51">
        <v>400000</v>
      </c>
      <c r="J111" s="51"/>
      <c r="K111" s="51"/>
      <c r="L111" s="51">
        <v>400000</v>
      </c>
      <c r="M111" s="49"/>
      <c r="N111" s="52" t="s">
        <v>727</v>
      </c>
      <c r="O111" s="52"/>
      <c r="P111" s="52" t="s">
        <v>727</v>
      </c>
      <c r="Q111" s="50" t="s">
        <v>785</v>
      </c>
      <c r="R111" s="50"/>
      <c r="S111" s="50"/>
      <c r="T111" s="50"/>
      <c r="U111" s="50" t="s">
        <v>708</v>
      </c>
      <c r="V111" s="50" t="s">
        <v>20</v>
      </c>
      <c r="W111" s="50" t="s">
        <v>1013</v>
      </c>
      <c r="X111" s="50" t="s">
        <v>845</v>
      </c>
      <c r="Y111" s="49" t="s">
        <v>845</v>
      </c>
      <c r="Z111" s="53">
        <v>1</v>
      </c>
      <c r="AA111" s="53">
        <v>1</v>
      </c>
      <c r="AB111" s="51">
        <v>400000</v>
      </c>
      <c r="AC111" s="55" t="s">
        <v>896</v>
      </c>
    </row>
    <row r="112" spans="1:29" ht="96" customHeight="1" x14ac:dyDescent="0.2">
      <c r="A112" s="49">
        <v>110</v>
      </c>
      <c r="B112" s="49" t="s">
        <v>36</v>
      </c>
      <c r="C112" s="49" t="s">
        <v>188</v>
      </c>
      <c r="D112" s="50" t="s">
        <v>398</v>
      </c>
      <c r="E112" s="50" t="s">
        <v>561</v>
      </c>
      <c r="F112" s="49">
        <v>1</v>
      </c>
      <c r="G112" s="49"/>
      <c r="H112" s="50" t="s">
        <v>667</v>
      </c>
      <c r="I112" s="51">
        <v>400000</v>
      </c>
      <c r="J112" s="51"/>
      <c r="K112" s="51"/>
      <c r="L112" s="51">
        <v>400000</v>
      </c>
      <c r="M112" s="49"/>
      <c r="N112" s="52" t="s">
        <v>722</v>
      </c>
      <c r="O112" s="52"/>
      <c r="P112" s="52" t="s">
        <v>722</v>
      </c>
      <c r="Q112" s="50" t="s">
        <v>785</v>
      </c>
      <c r="R112" s="50"/>
      <c r="S112" s="50"/>
      <c r="T112" s="50"/>
      <c r="U112" s="50" t="s">
        <v>708</v>
      </c>
      <c r="V112" s="50" t="s">
        <v>20</v>
      </c>
      <c r="W112" s="50" t="s">
        <v>1014</v>
      </c>
      <c r="X112" s="50" t="s">
        <v>845</v>
      </c>
      <c r="Y112" s="49" t="s">
        <v>845</v>
      </c>
      <c r="Z112" s="53">
        <v>1</v>
      </c>
      <c r="AA112" s="53">
        <v>1</v>
      </c>
      <c r="AB112" s="51">
        <v>400000</v>
      </c>
      <c r="AC112" s="55" t="s">
        <v>896</v>
      </c>
    </row>
    <row r="113" spans="1:29" ht="96" customHeight="1" x14ac:dyDescent="0.2">
      <c r="A113" s="49">
        <v>111</v>
      </c>
      <c r="B113" s="49" t="s">
        <v>36</v>
      </c>
      <c r="C113" s="49" t="s">
        <v>188</v>
      </c>
      <c r="D113" s="50" t="s">
        <v>398</v>
      </c>
      <c r="E113" s="50" t="s">
        <v>575</v>
      </c>
      <c r="F113" s="49">
        <v>1</v>
      </c>
      <c r="G113" s="49"/>
      <c r="H113" s="50" t="s">
        <v>464</v>
      </c>
      <c r="I113" s="51">
        <v>400000</v>
      </c>
      <c r="J113" s="51"/>
      <c r="K113" s="51"/>
      <c r="L113" s="51">
        <v>400000</v>
      </c>
      <c r="M113" s="49"/>
      <c r="N113" s="52" t="s">
        <v>726</v>
      </c>
      <c r="O113" s="52"/>
      <c r="P113" s="52" t="s">
        <v>726</v>
      </c>
      <c r="Q113" s="50" t="s">
        <v>873</v>
      </c>
      <c r="R113" s="50" t="s">
        <v>874</v>
      </c>
      <c r="S113" s="50"/>
      <c r="T113" s="50" t="s">
        <v>875</v>
      </c>
      <c r="U113" s="50" t="s">
        <v>711</v>
      </c>
      <c r="V113" s="50" t="s">
        <v>20</v>
      </c>
      <c r="W113" s="50"/>
      <c r="X113" s="50" t="s">
        <v>845</v>
      </c>
      <c r="Y113" s="49" t="s">
        <v>845</v>
      </c>
      <c r="Z113" s="53">
        <v>1</v>
      </c>
      <c r="AA113" s="53">
        <v>1</v>
      </c>
      <c r="AB113" s="51">
        <v>400000</v>
      </c>
      <c r="AC113" s="55" t="s">
        <v>981</v>
      </c>
    </row>
    <row r="114" spans="1:29" ht="96" customHeight="1" x14ac:dyDescent="0.2">
      <c r="A114" s="44">
        <v>112</v>
      </c>
      <c r="B114" s="44" t="s">
        <v>36</v>
      </c>
      <c r="C114" s="44" t="s">
        <v>188</v>
      </c>
      <c r="D114" s="45" t="s">
        <v>398</v>
      </c>
      <c r="E114" s="45" t="s">
        <v>581</v>
      </c>
      <c r="F114" s="44">
        <v>1</v>
      </c>
      <c r="G114" s="44"/>
      <c r="H114" s="45" t="s">
        <v>464</v>
      </c>
      <c r="I114" s="46">
        <v>400000</v>
      </c>
      <c r="J114" s="46"/>
      <c r="K114" s="46"/>
      <c r="L114" s="46">
        <v>400000</v>
      </c>
      <c r="M114" s="44"/>
      <c r="N114" s="47" t="s">
        <v>724</v>
      </c>
      <c r="O114" s="47"/>
      <c r="P114" s="47" t="s">
        <v>724</v>
      </c>
      <c r="Q114" s="45"/>
      <c r="R114" s="45"/>
      <c r="S114" s="45"/>
      <c r="T114" s="45"/>
      <c r="U114" s="45" t="s">
        <v>711</v>
      </c>
      <c r="V114" s="45" t="s">
        <v>20</v>
      </c>
      <c r="W114" s="45"/>
      <c r="X114" s="45" t="s">
        <v>845</v>
      </c>
      <c r="Y114" s="44" t="s">
        <v>845</v>
      </c>
      <c r="Z114" s="42"/>
      <c r="AA114" s="42"/>
      <c r="AB114" s="42"/>
      <c r="AC114" s="43" t="s">
        <v>908</v>
      </c>
    </row>
    <row r="115" spans="1:29" ht="96" customHeight="1" x14ac:dyDescent="0.2">
      <c r="A115" s="49">
        <v>113</v>
      </c>
      <c r="B115" s="49" t="s">
        <v>36</v>
      </c>
      <c r="C115" s="49" t="s">
        <v>188</v>
      </c>
      <c r="D115" s="50" t="s">
        <v>398</v>
      </c>
      <c r="E115" s="50" t="s">
        <v>536</v>
      </c>
      <c r="F115" s="49">
        <v>1</v>
      </c>
      <c r="G115" s="49"/>
      <c r="H115" s="50" t="s">
        <v>672</v>
      </c>
      <c r="I115" s="51">
        <v>400000</v>
      </c>
      <c r="J115" s="51"/>
      <c r="K115" s="51"/>
      <c r="L115" s="51">
        <v>400000</v>
      </c>
      <c r="M115" s="49"/>
      <c r="N115" s="52" t="s">
        <v>726</v>
      </c>
      <c r="O115" s="52"/>
      <c r="P115" s="52" t="s">
        <v>726</v>
      </c>
      <c r="Q115" s="50" t="s">
        <v>713</v>
      </c>
      <c r="R115" s="50"/>
      <c r="S115" s="50"/>
      <c r="T115" s="50"/>
      <c r="U115" s="50" t="s">
        <v>713</v>
      </c>
      <c r="V115" s="50" t="s">
        <v>713</v>
      </c>
      <c r="W115" s="50" t="s">
        <v>1015</v>
      </c>
      <c r="X115" s="50" t="s">
        <v>845</v>
      </c>
      <c r="Y115" s="49" t="s">
        <v>845</v>
      </c>
      <c r="Z115" s="53">
        <v>1</v>
      </c>
      <c r="AA115" s="53">
        <v>1</v>
      </c>
      <c r="AB115" s="51">
        <v>400000</v>
      </c>
      <c r="AC115" s="55" t="s">
        <v>896</v>
      </c>
    </row>
    <row r="116" spans="1:29" ht="96" customHeight="1" x14ac:dyDescent="0.2">
      <c r="A116" s="49">
        <v>114</v>
      </c>
      <c r="B116" s="49" t="s">
        <v>36</v>
      </c>
      <c r="C116" s="49" t="s">
        <v>188</v>
      </c>
      <c r="D116" s="50" t="s">
        <v>398</v>
      </c>
      <c r="E116" s="50" t="s">
        <v>536</v>
      </c>
      <c r="F116" s="49">
        <v>1</v>
      </c>
      <c r="G116" s="49"/>
      <c r="H116" s="50" t="s">
        <v>676</v>
      </c>
      <c r="I116" s="51">
        <v>400000</v>
      </c>
      <c r="J116" s="51"/>
      <c r="K116" s="51"/>
      <c r="L116" s="51">
        <v>400000</v>
      </c>
      <c r="M116" s="49"/>
      <c r="N116" s="52" t="s">
        <v>726</v>
      </c>
      <c r="O116" s="52"/>
      <c r="P116" s="52" t="s">
        <v>726</v>
      </c>
      <c r="Q116" s="50" t="s">
        <v>785</v>
      </c>
      <c r="R116" s="50"/>
      <c r="S116" s="50"/>
      <c r="T116" s="50"/>
      <c r="U116" s="50" t="s">
        <v>715</v>
      </c>
      <c r="V116" s="50" t="s">
        <v>20</v>
      </c>
      <c r="W116" s="50" t="s">
        <v>1016</v>
      </c>
      <c r="X116" s="50" t="s">
        <v>845</v>
      </c>
      <c r="Y116" s="49" t="s">
        <v>845</v>
      </c>
      <c r="Z116" s="53">
        <v>1</v>
      </c>
      <c r="AA116" s="53">
        <v>1</v>
      </c>
      <c r="AB116" s="51">
        <v>400000</v>
      </c>
      <c r="AC116" s="55" t="s">
        <v>896</v>
      </c>
    </row>
    <row r="117" spans="1:29" ht="96" customHeight="1" x14ac:dyDescent="0.2">
      <c r="A117" s="49">
        <v>115</v>
      </c>
      <c r="B117" s="49" t="s">
        <v>36</v>
      </c>
      <c r="C117" s="49" t="s">
        <v>188</v>
      </c>
      <c r="D117" s="50" t="s">
        <v>398</v>
      </c>
      <c r="E117" s="50" t="s">
        <v>536</v>
      </c>
      <c r="F117" s="49">
        <v>1</v>
      </c>
      <c r="G117" s="49"/>
      <c r="H117" s="50" t="s">
        <v>680</v>
      </c>
      <c r="I117" s="51">
        <v>400000</v>
      </c>
      <c r="J117" s="51"/>
      <c r="K117" s="51"/>
      <c r="L117" s="51">
        <v>400000</v>
      </c>
      <c r="M117" s="49"/>
      <c r="N117" s="52" t="s">
        <v>731</v>
      </c>
      <c r="O117" s="52"/>
      <c r="P117" s="52" t="s">
        <v>731</v>
      </c>
      <c r="Q117" s="50" t="s">
        <v>785</v>
      </c>
      <c r="R117" s="50"/>
      <c r="S117" s="50"/>
      <c r="T117" s="50"/>
      <c r="U117" s="50" t="s">
        <v>715</v>
      </c>
      <c r="V117" s="50" t="s">
        <v>20</v>
      </c>
      <c r="W117" s="50" t="s">
        <v>1017</v>
      </c>
      <c r="X117" s="50" t="s">
        <v>845</v>
      </c>
      <c r="Y117" s="49" t="s">
        <v>845</v>
      </c>
      <c r="Z117" s="53">
        <v>1</v>
      </c>
      <c r="AA117" s="53">
        <v>1</v>
      </c>
      <c r="AB117" s="51">
        <v>400000</v>
      </c>
      <c r="AC117" s="55" t="s">
        <v>896</v>
      </c>
    </row>
    <row r="118" spans="1:29" ht="96" customHeight="1" x14ac:dyDescent="0.2">
      <c r="A118" s="49">
        <v>116</v>
      </c>
      <c r="B118" s="49" t="s">
        <v>36</v>
      </c>
      <c r="C118" s="49" t="s">
        <v>188</v>
      </c>
      <c r="D118" s="50" t="s">
        <v>398</v>
      </c>
      <c r="E118" s="50" t="s">
        <v>614</v>
      </c>
      <c r="F118" s="49">
        <v>2</v>
      </c>
      <c r="G118" s="49"/>
      <c r="H118" s="50" t="s">
        <v>687</v>
      </c>
      <c r="I118" s="51">
        <v>200000</v>
      </c>
      <c r="J118" s="51"/>
      <c r="K118" s="51"/>
      <c r="L118" s="51">
        <v>400000</v>
      </c>
      <c r="M118" s="49"/>
      <c r="N118" s="52" t="s">
        <v>721</v>
      </c>
      <c r="O118" s="52"/>
      <c r="P118" s="52" t="s">
        <v>721</v>
      </c>
      <c r="Q118" s="50" t="s">
        <v>780</v>
      </c>
      <c r="R118" s="50"/>
      <c r="S118" s="50"/>
      <c r="T118" s="50"/>
      <c r="U118" s="50" t="s">
        <v>709</v>
      </c>
      <c r="V118" s="50" t="s">
        <v>780</v>
      </c>
      <c r="W118" s="50" t="s">
        <v>1018</v>
      </c>
      <c r="X118" s="50" t="s">
        <v>845</v>
      </c>
      <c r="Y118" s="49" t="s">
        <v>845</v>
      </c>
      <c r="Z118" s="53">
        <v>2</v>
      </c>
      <c r="AA118" s="53">
        <v>2</v>
      </c>
      <c r="AB118" s="51">
        <v>400000</v>
      </c>
      <c r="AC118" s="55" t="s">
        <v>896</v>
      </c>
    </row>
    <row r="119" spans="1:29" ht="96" customHeight="1" x14ac:dyDescent="0.2">
      <c r="A119" s="49">
        <v>117</v>
      </c>
      <c r="B119" s="49" t="s">
        <v>36</v>
      </c>
      <c r="C119" s="49" t="s">
        <v>188</v>
      </c>
      <c r="D119" s="50" t="s">
        <v>398</v>
      </c>
      <c r="E119" s="50" t="s">
        <v>536</v>
      </c>
      <c r="F119" s="49">
        <v>1</v>
      </c>
      <c r="G119" s="49"/>
      <c r="H119" s="50" t="s">
        <v>695</v>
      </c>
      <c r="I119" s="51">
        <v>400000</v>
      </c>
      <c r="J119" s="51"/>
      <c r="K119" s="51"/>
      <c r="L119" s="51">
        <v>400000</v>
      </c>
      <c r="M119" s="49"/>
      <c r="N119" s="52" t="s">
        <v>721</v>
      </c>
      <c r="O119" s="52"/>
      <c r="P119" s="52" t="s">
        <v>721</v>
      </c>
      <c r="Q119" s="50" t="s">
        <v>785</v>
      </c>
      <c r="R119" s="50"/>
      <c r="S119" s="50"/>
      <c r="T119" s="50"/>
      <c r="U119" s="50" t="s">
        <v>711</v>
      </c>
      <c r="V119" s="50" t="s">
        <v>20</v>
      </c>
      <c r="W119" s="50"/>
      <c r="X119" s="50" t="s">
        <v>845</v>
      </c>
      <c r="Y119" s="49" t="s">
        <v>845</v>
      </c>
      <c r="Z119" s="53">
        <v>1</v>
      </c>
      <c r="AA119" s="53">
        <v>1</v>
      </c>
      <c r="AB119" s="51">
        <v>400000</v>
      </c>
      <c r="AC119" s="55" t="s">
        <v>896</v>
      </c>
    </row>
    <row r="120" spans="1:29" ht="96" customHeight="1" x14ac:dyDescent="0.2">
      <c r="A120" s="49">
        <v>118</v>
      </c>
      <c r="B120" s="49" t="s">
        <v>36</v>
      </c>
      <c r="C120" s="49" t="s">
        <v>188</v>
      </c>
      <c r="D120" s="50" t="s">
        <v>398</v>
      </c>
      <c r="E120" s="50" t="s">
        <v>536</v>
      </c>
      <c r="F120" s="49">
        <v>1</v>
      </c>
      <c r="G120" s="49"/>
      <c r="H120" s="50" t="s">
        <v>697</v>
      </c>
      <c r="I120" s="51">
        <v>400000</v>
      </c>
      <c r="J120" s="51"/>
      <c r="K120" s="51"/>
      <c r="L120" s="51">
        <v>400000</v>
      </c>
      <c r="M120" s="49"/>
      <c r="N120" s="52" t="s">
        <v>721</v>
      </c>
      <c r="O120" s="52"/>
      <c r="P120" s="52" t="s">
        <v>721</v>
      </c>
      <c r="Q120" s="50" t="s">
        <v>785</v>
      </c>
      <c r="R120" s="50"/>
      <c r="S120" s="50"/>
      <c r="T120" s="50"/>
      <c r="U120" s="50" t="s">
        <v>711</v>
      </c>
      <c r="V120" s="50" t="s">
        <v>20</v>
      </c>
      <c r="W120" s="50" t="s">
        <v>1019</v>
      </c>
      <c r="X120" s="50" t="s">
        <v>845</v>
      </c>
      <c r="Y120" s="49" t="s">
        <v>845</v>
      </c>
      <c r="Z120" s="53">
        <v>1</v>
      </c>
      <c r="AA120" s="53">
        <v>1</v>
      </c>
      <c r="AB120" s="51">
        <v>400000</v>
      </c>
      <c r="AC120" s="55" t="s">
        <v>896</v>
      </c>
    </row>
    <row r="121" spans="1:29" ht="96" customHeight="1" x14ac:dyDescent="0.2">
      <c r="A121" s="49">
        <v>119</v>
      </c>
      <c r="B121" s="49" t="s">
        <v>36</v>
      </c>
      <c r="C121" s="49" t="s">
        <v>188</v>
      </c>
      <c r="D121" s="50" t="s">
        <v>398</v>
      </c>
      <c r="E121" s="50" t="s">
        <v>636</v>
      </c>
      <c r="F121" s="49">
        <v>1</v>
      </c>
      <c r="G121" s="49"/>
      <c r="H121" s="50" t="s">
        <v>33</v>
      </c>
      <c r="I121" s="51">
        <v>400000</v>
      </c>
      <c r="J121" s="51"/>
      <c r="K121" s="51"/>
      <c r="L121" s="51">
        <v>400000</v>
      </c>
      <c r="M121" s="49"/>
      <c r="N121" s="52" t="s">
        <v>722</v>
      </c>
      <c r="O121" s="52"/>
      <c r="P121" s="52" t="s">
        <v>722</v>
      </c>
      <c r="Q121" s="50" t="s">
        <v>785</v>
      </c>
      <c r="R121" s="50"/>
      <c r="S121" s="50"/>
      <c r="T121" s="50"/>
      <c r="U121" s="50" t="s">
        <v>718</v>
      </c>
      <c r="V121" s="50" t="s">
        <v>20</v>
      </c>
      <c r="W121" s="50" t="s">
        <v>1007</v>
      </c>
      <c r="X121" s="50" t="s">
        <v>845</v>
      </c>
      <c r="Y121" s="49" t="s">
        <v>845</v>
      </c>
      <c r="Z121" s="53">
        <v>1</v>
      </c>
      <c r="AA121" s="53">
        <v>1</v>
      </c>
      <c r="AB121" s="51">
        <v>400000</v>
      </c>
      <c r="AC121" s="55" t="s">
        <v>896</v>
      </c>
    </row>
    <row r="122" spans="1:29" ht="96" customHeight="1" x14ac:dyDescent="0.2">
      <c r="A122" s="49">
        <v>120</v>
      </c>
      <c r="B122" s="49" t="s">
        <v>36</v>
      </c>
      <c r="C122" s="49" t="s">
        <v>188</v>
      </c>
      <c r="D122" s="50" t="s">
        <v>398</v>
      </c>
      <c r="E122" s="50" t="s">
        <v>660</v>
      </c>
      <c r="F122" s="49">
        <v>1</v>
      </c>
      <c r="G122" s="49"/>
      <c r="H122" s="50" t="s">
        <v>706</v>
      </c>
      <c r="I122" s="51">
        <v>400000</v>
      </c>
      <c r="J122" s="51"/>
      <c r="K122" s="51"/>
      <c r="L122" s="51">
        <v>400000</v>
      </c>
      <c r="M122" s="49"/>
      <c r="N122" s="52" t="s">
        <v>722</v>
      </c>
      <c r="O122" s="52"/>
      <c r="P122" s="52" t="s">
        <v>722</v>
      </c>
      <c r="Q122" s="50" t="s">
        <v>709</v>
      </c>
      <c r="R122" s="50"/>
      <c r="S122" s="50"/>
      <c r="T122" s="50"/>
      <c r="U122" s="50" t="s">
        <v>709</v>
      </c>
      <c r="V122" s="50" t="s">
        <v>709</v>
      </c>
      <c r="W122" s="50" t="s">
        <v>1020</v>
      </c>
      <c r="X122" s="50" t="s">
        <v>845</v>
      </c>
      <c r="Y122" s="49" t="s">
        <v>845</v>
      </c>
      <c r="Z122" s="49">
        <v>1</v>
      </c>
      <c r="AA122" s="49">
        <v>1</v>
      </c>
      <c r="AB122" s="51">
        <v>400000</v>
      </c>
      <c r="AC122" s="55" t="s">
        <v>896</v>
      </c>
    </row>
    <row r="123" spans="1:29" ht="63" customHeight="1" x14ac:dyDescent="0.2">
      <c r="A123" s="49">
        <v>121</v>
      </c>
      <c r="B123" s="49" t="s">
        <v>36</v>
      </c>
      <c r="C123" s="49" t="s">
        <v>188</v>
      </c>
      <c r="D123" s="50" t="s">
        <v>398</v>
      </c>
      <c r="E123" s="50" t="s">
        <v>601</v>
      </c>
      <c r="F123" s="49">
        <v>26</v>
      </c>
      <c r="G123" s="49"/>
      <c r="H123" s="50" t="s">
        <v>1021</v>
      </c>
      <c r="I123" s="49">
        <v>400000</v>
      </c>
      <c r="J123" s="49"/>
      <c r="K123" s="49"/>
      <c r="L123" s="49">
        <v>1040000</v>
      </c>
      <c r="M123" s="49"/>
      <c r="N123" s="49"/>
      <c r="O123" s="49"/>
      <c r="P123" s="49"/>
      <c r="Q123" s="50" t="s">
        <v>1022</v>
      </c>
      <c r="R123" s="49"/>
      <c r="S123" s="49"/>
      <c r="T123" s="50"/>
      <c r="U123" s="50"/>
      <c r="V123" s="50"/>
      <c r="W123" s="50"/>
      <c r="X123" s="50" t="s">
        <v>845</v>
      </c>
      <c r="Y123" s="49" t="s">
        <v>845</v>
      </c>
      <c r="Z123" s="53">
        <v>26</v>
      </c>
      <c r="AA123" s="53">
        <v>26</v>
      </c>
      <c r="AB123" s="49">
        <v>1040000</v>
      </c>
      <c r="AC123" s="55" t="s">
        <v>896</v>
      </c>
    </row>
    <row r="124" spans="1:29" ht="150" x14ac:dyDescent="0.2">
      <c r="A124" s="44">
        <v>122</v>
      </c>
      <c r="B124" s="44" t="s">
        <v>385</v>
      </c>
      <c r="C124" s="44" t="s">
        <v>188</v>
      </c>
      <c r="D124" s="45" t="s">
        <v>398</v>
      </c>
      <c r="E124" s="45" t="s">
        <v>391</v>
      </c>
      <c r="F124" s="44">
        <v>1</v>
      </c>
      <c r="G124" s="44" t="s">
        <v>203</v>
      </c>
      <c r="H124" s="45" t="s">
        <v>399</v>
      </c>
      <c r="I124" s="46">
        <v>390000</v>
      </c>
      <c r="J124" s="46"/>
      <c r="K124" s="46"/>
      <c r="L124" s="46">
        <v>390000</v>
      </c>
      <c r="M124" s="44" t="s">
        <v>401</v>
      </c>
      <c r="N124" s="47"/>
      <c r="O124" s="47"/>
      <c r="P124" s="47" t="s">
        <v>724</v>
      </c>
      <c r="Q124" s="45" t="s">
        <v>409</v>
      </c>
      <c r="R124" s="45" t="s">
        <v>421</v>
      </c>
      <c r="S124" s="45" t="s">
        <v>433</v>
      </c>
      <c r="T124" s="45"/>
      <c r="U124" s="45" t="s">
        <v>445</v>
      </c>
      <c r="V124" s="45" t="s">
        <v>892</v>
      </c>
      <c r="W124" s="45"/>
      <c r="X124" s="45" t="s">
        <v>845</v>
      </c>
      <c r="Y124" s="44" t="s">
        <v>845</v>
      </c>
      <c r="Z124" s="42"/>
      <c r="AA124" s="42"/>
      <c r="AB124" s="42"/>
      <c r="AC124" s="43" t="s">
        <v>908</v>
      </c>
    </row>
    <row r="125" spans="1:29" ht="96" customHeight="1" x14ac:dyDescent="0.2">
      <c r="A125" s="49">
        <v>123</v>
      </c>
      <c r="B125" s="49" t="s">
        <v>36</v>
      </c>
      <c r="C125" s="49" t="s">
        <v>188</v>
      </c>
      <c r="D125" s="50" t="s">
        <v>398</v>
      </c>
      <c r="E125" s="50" t="s">
        <v>562</v>
      </c>
      <c r="F125" s="49">
        <v>1</v>
      </c>
      <c r="G125" s="49"/>
      <c r="H125" s="50" t="s">
        <v>681</v>
      </c>
      <c r="I125" s="51">
        <v>350000</v>
      </c>
      <c r="J125" s="51"/>
      <c r="K125" s="51"/>
      <c r="L125" s="51">
        <v>350000</v>
      </c>
      <c r="M125" s="49"/>
      <c r="N125" s="52" t="s">
        <v>726</v>
      </c>
      <c r="O125" s="52"/>
      <c r="P125" s="52" t="s">
        <v>726</v>
      </c>
      <c r="Q125" s="50" t="s">
        <v>709</v>
      </c>
      <c r="R125" s="50"/>
      <c r="S125" s="50"/>
      <c r="T125" s="50"/>
      <c r="U125" s="50" t="s">
        <v>709</v>
      </c>
      <c r="V125" s="50" t="s">
        <v>709</v>
      </c>
      <c r="W125" s="50" t="s">
        <v>1023</v>
      </c>
      <c r="X125" s="50" t="s">
        <v>845</v>
      </c>
      <c r="Y125" s="49" t="s">
        <v>845</v>
      </c>
      <c r="Z125" s="53">
        <v>1</v>
      </c>
      <c r="AA125" s="53">
        <v>1</v>
      </c>
      <c r="AB125" s="51">
        <v>350000</v>
      </c>
      <c r="AC125" s="55" t="s">
        <v>896</v>
      </c>
    </row>
    <row r="126" spans="1:29" ht="96" customHeight="1" x14ac:dyDescent="0.2">
      <c r="A126" s="49">
        <v>124</v>
      </c>
      <c r="B126" s="49" t="s">
        <v>36</v>
      </c>
      <c r="C126" s="49" t="s">
        <v>188</v>
      </c>
      <c r="D126" s="50" t="s">
        <v>398</v>
      </c>
      <c r="E126" s="50" t="s">
        <v>560</v>
      </c>
      <c r="F126" s="49">
        <v>1</v>
      </c>
      <c r="G126" s="49"/>
      <c r="H126" s="50" t="s">
        <v>667</v>
      </c>
      <c r="I126" s="51">
        <v>300000</v>
      </c>
      <c r="J126" s="51"/>
      <c r="K126" s="51"/>
      <c r="L126" s="51">
        <v>300000</v>
      </c>
      <c r="M126" s="49"/>
      <c r="N126" s="52" t="s">
        <v>722</v>
      </c>
      <c r="O126" s="52"/>
      <c r="P126" s="52" t="s">
        <v>722</v>
      </c>
      <c r="Q126" s="50" t="s">
        <v>785</v>
      </c>
      <c r="R126" s="50"/>
      <c r="S126" s="50"/>
      <c r="T126" s="50"/>
      <c r="U126" s="50" t="s">
        <v>708</v>
      </c>
      <c r="V126" s="50" t="s">
        <v>20</v>
      </c>
      <c r="W126" s="50" t="s">
        <v>1024</v>
      </c>
      <c r="X126" s="50" t="s">
        <v>845</v>
      </c>
      <c r="Y126" s="49" t="s">
        <v>845</v>
      </c>
      <c r="Z126" s="53">
        <v>1</v>
      </c>
      <c r="AA126" s="53">
        <v>1</v>
      </c>
      <c r="AB126" s="51">
        <v>300000</v>
      </c>
      <c r="AC126" s="55" t="s">
        <v>896</v>
      </c>
    </row>
    <row r="127" spans="1:29" ht="96" customHeight="1" x14ac:dyDescent="0.2">
      <c r="A127" s="44">
        <v>125</v>
      </c>
      <c r="B127" s="44" t="s">
        <v>36</v>
      </c>
      <c r="C127" s="44" t="s">
        <v>188</v>
      </c>
      <c r="D127" s="45" t="s">
        <v>398</v>
      </c>
      <c r="E127" s="45" t="s">
        <v>573</v>
      </c>
      <c r="F127" s="44">
        <v>1</v>
      </c>
      <c r="G127" s="44"/>
      <c r="H127" s="45" t="s">
        <v>463</v>
      </c>
      <c r="I127" s="46">
        <v>300000</v>
      </c>
      <c r="J127" s="46"/>
      <c r="K127" s="46"/>
      <c r="L127" s="46">
        <v>300000</v>
      </c>
      <c r="M127" s="44"/>
      <c r="N127" s="47" t="s">
        <v>721</v>
      </c>
      <c r="O127" s="47"/>
      <c r="P127" s="47" t="s">
        <v>721</v>
      </c>
      <c r="Q127" s="45" t="s">
        <v>785</v>
      </c>
      <c r="R127" s="45"/>
      <c r="S127" s="45"/>
      <c r="T127" s="45"/>
      <c r="U127" s="45" t="s">
        <v>711</v>
      </c>
      <c r="V127" s="45"/>
      <c r="W127" s="45"/>
      <c r="X127" s="45" t="s">
        <v>845</v>
      </c>
      <c r="Y127" s="44" t="s">
        <v>845</v>
      </c>
      <c r="Z127" s="42"/>
      <c r="AA127" s="42"/>
      <c r="AB127" s="42"/>
      <c r="AC127" s="43" t="s">
        <v>908</v>
      </c>
    </row>
    <row r="128" spans="1:29" ht="96" customHeight="1" x14ac:dyDescent="0.2">
      <c r="A128" s="49">
        <v>126</v>
      </c>
      <c r="B128" s="49" t="s">
        <v>36</v>
      </c>
      <c r="C128" s="49" t="s">
        <v>188</v>
      </c>
      <c r="D128" s="50" t="s">
        <v>398</v>
      </c>
      <c r="E128" s="50" t="s">
        <v>579</v>
      </c>
      <c r="F128" s="49">
        <v>1</v>
      </c>
      <c r="G128" s="49"/>
      <c r="H128" s="50" t="s">
        <v>464</v>
      </c>
      <c r="I128" s="51">
        <v>300000</v>
      </c>
      <c r="J128" s="51"/>
      <c r="K128" s="51"/>
      <c r="L128" s="51">
        <v>300000</v>
      </c>
      <c r="M128" s="49"/>
      <c r="N128" s="52" t="s">
        <v>721</v>
      </c>
      <c r="O128" s="52"/>
      <c r="P128" s="52" t="s">
        <v>721</v>
      </c>
      <c r="Q128" s="50" t="s">
        <v>785</v>
      </c>
      <c r="R128" s="50"/>
      <c r="S128" s="50"/>
      <c r="T128" s="50"/>
      <c r="U128" s="50" t="s">
        <v>711</v>
      </c>
      <c r="V128" s="50"/>
      <c r="W128" s="50"/>
      <c r="X128" s="50" t="s">
        <v>845</v>
      </c>
      <c r="Y128" s="49" t="s">
        <v>845</v>
      </c>
      <c r="Z128" s="53">
        <v>1</v>
      </c>
      <c r="AA128" s="53">
        <v>1</v>
      </c>
      <c r="AB128" s="51">
        <v>300000</v>
      </c>
      <c r="AC128" s="55" t="s">
        <v>981</v>
      </c>
    </row>
    <row r="129" spans="1:29" ht="96" customHeight="1" x14ac:dyDescent="0.2">
      <c r="A129" s="49">
        <v>127</v>
      </c>
      <c r="B129" s="49" t="s">
        <v>36</v>
      </c>
      <c r="C129" s="49" t="s">
        <v>188</v>
      </c>
      <c r="D129" s="50" t="s">
        <v>398</v>
      </c>
      <c r="E129" s="50" t="s">
        <v>580</v>
      </c>
      <c r="F129" s="49">
        <v>1</v>
      </c>
      <c r="G129" s="49"/>
      <c r="H129" s="50" t="s">
        <v>464</v>
      </c>
      <c r="I129" s="51">
        <v>300000</v>
      </c>
      <c r="J129" s="51"/>
      <c r="K129" s="51"/>
      <c r="L129" s="51">
        <v>300000</v>
      </c>
      <c r="M129" s="49"/>
      <c r="N129" s="52" t="s">
        <v>725</v>
      </c>
      <c r="O129" s="52"/>
      <c r="P129" s="52" t="s">
        <v>725</v>
      </c>
      <c r="Q129" s="50" t="s">
        <v>785</v>
      </c>
      <c r="R129" s="50"/>
      <c r="S129" s="50"/>
      <c r="T129" s="50"/>
      <c r="U129" s="50" t="s">
        <v>711</v>
      </c>
      <c r="V129" s="50"/>
      <c r="W129" s="50"/>
      <c r="X129" s="50" t="s">
        <v>845</v>
      </c>
      <c r="Y129" s="49" t="s">
        <v>845</v>
      </c>
      <c r="Z129" s="53">
        <v>1</v>
      </c>
      <c r="AA129" s="53">
        <v>1</v>
      </c>
      <c r="AB129" s="51">
        <v>300000</v>
      </c>
      <c r="AC129" s="55" t="s">
        <v>981</v>
      </c>
    </row>
    <row r="130" spans="1:29" ht="96" customHeight="1" x14ac:dyDescent="0.2">
      <c r="A130" s="44">
        <v>128</v>
      </c>
      <c r="B130" s="44" t="s">
        <v>36</v>
      </c>
      <c r="C130" s="44" t="s">
        <v>188</v>
      </c>
      <c r="D130" s="50" t="s">
        <v>398</v>
      </c>
      <c r="E130" s="50" t="s">
        <v>593</v>
      </c>
      <c r="F130" s="49">
        <v>2</v>
      </c>
      <c r="G130" s="49"/>
      <c r="H130" s="50" t="s">
        <v>673</v>
      </c>
      <c r="I130" s="51">
        <v>300000</v>
      </c>
      <c r="J130" s="51"/>
      <c r="K130" s="51"/>
      <c r="L130" s="51">
        <v>300000</v>
      </c>
      <c r="M130" s="49"/>
      <c r="N130" s="52" t="s">
        <v>728</v>
      </c>
      <c r="O130" s="52"/>
      <c r="P130" s="52" t="s">
        <v>728</v>
      </c>
      <c r="Q130" s="50" t="s">
        <v>785</v>
      </c>
      <c r="R130" s="50"/>
      <c r="S130" s="50"/>
      <c r="T130" s="50"/>
      <c r="U130" s="50" t="s">
        <v>711</v>
      </c>
      <c r="V130" s="50"/>
      <c r="W130" s="50"/>
      <c r="X130" s="50" t="s">
        <v>845</v>
      </c>
      <c r="Y130" s="49" t="s">
        <v>845</v>
      </c>
      <c r="Z130" s="53">
        <v>1</v>
      </c>
      <c r="AA130" s="53">
        <v>1</v>
      </c>
      <c r="AB130" s="51">
        <v>300000</v>
      </c>
      <c r="AC130" s="55" t="s">
        <v>981</v>
      </c>
    </row>
    <row r="131" spans="1:29" ht="96" customHeight="1" x14ac:dyDescent="0.2">
      <c r="A131" s="44">
        <v>129</v>
      </c>
      <c r="B131" s="44" t="s">
        <v>36</v>
      </c>
      <c r="C131" s="44" t="s">
        <v>188</v>
      </c>
      <c r="D131" s="50" t="s">
        <v>398</v>
      </c>
      <c r="E131" s="50" t="s">
        <v>600</v>
      </c>
      <c r="F131" s="49">
        <v>1</v>
      </c>
      <c r="G131" s="49"/>
      <c r="H131" s="50" t="s">
        <v>31</v>
      </c>
      <c r="I131" s="51">
        <v>300000</v>
      </c>
      <c r="J131" s="51"/>
      <c r="K131" s="51"/>
      <c r="L131" s="51">
        <v>300000</v>
      </c>
      <c r="M131" s="49"/>
      <c r="N131" s="52" t="s">
        <v>728</v>
      </c>
      <c r="O131" s="52"/>
      <c r="P131" s="52" t="s">
        <v>728</v>
      </c>
      <c r="Q131" s="50" t="s">
        <v>785</v>
      </c>
      <c r="R131" s="50"/>
      <c r="S131" s="50"/>
      <c r="T131" s="50"/>
      <c r="U131" s="50" t="s">
        <v>714</v>
      </c>
      <c r="V131" s="50" t="s">
        <v>20</v>
      </c>
      <c r="W131" s="50" t="s">
        <v>1025</v>
      </c>
      <c r="X131" s="50" t="s">
        <v>845</v>
      </c>
      <c r="Y131" s="49" t="s">
        <v>845</v>
      </c>
      <c r="Z131" s="53">
        <v>1</v>
      </c>
      <c r="AA131" s="53">
        <v>1</v>
      </c>
      <c r="AB131" s="51">
        <v>300000</v>
      </c>
      <c r="AC131" s="55" t="s">
        <v>896</v>
      </c>
    </row>
    <row r="132" spans="1:29" ht="96" customHeight="1" x14ac:dyDescent="0.2">
      <c r="A132" s="49">
        <v>130</v>
      </c>
      <c r="B132" s="49" t="s">
        <v>36</v>
      </c>
      <c r="C132" s="49" t="s">
        <v>188</v>
      </c>
      <c r="D132" s="50" t="s">
        <v>398</v>
      </c>
      <c r="E132" s="50" t="s">
        <v>604</v>
      </c>
      <c r="F132" s="49">
        <v>1</v>
      </c>
      <c r="G132" s="49"/>
      <c r="H132" s="50" t="s">
        <v>678</v>
      </c>
      <c r="I132" s="51">
        <v>300000</v>
      </c>
      <c r="J132" s="51"/>
      <c r="K132" s="51"/>
      <c r="L132" s="51">
        <v>300000</v>
      </c>
      <c r="M132" s="49"/>
      <c r="N132" s="52" t="s">
        <v>727</v>
      </c>
      <c r="O132" s="52"/>
      <c r="P132" s="52" t="s">
        <v>727</v>
      </c>
      <c r="Q132" s="50" t="s">
        <v>785</v>
      </c>
      <c r="R132" s="50"/>
      <c r="S132" s="50"/>
      <c r="T132" s="50"/>
      <c r="U132" s="50" t="s">
        <v>715</v>
      </c>
      <c r="V132" s="50" t="s">
        <v>20</v>
      </c>
      <c r="W132" s="50" t="s">
        <v>1015</v>
      </c>
      <c r="X132" s="50" t="s">
        <v>845</v>
      </c>
      <c r="Y132" s="49" t="s">
        <v>845</v>
      </c>
      <c r="Z132" s="53">
        <v>1</v>
      </c>
      <c r="AA132" s="53">
        <v>1</v>
      </c>
      <c r="AB132" s="51">
        <v>300000</v>
      </c>
      <c r="AC132" s="55" t="s">
        <v>896</v>
      </c>
    </row>
    <row r="133" spans="1:29" ht="96" customHeight="1" x14ac:dyDescent="0.2">
      <c r="A133" s="49">
        <v>131</v>
      </c>
      <c r="B133" s="49" t="s">
        <v>36</v>
      </c>
      <c r="C133" s="49" t="s">
        <v>188</v>
      </c>
      <c r="D133" s="50" t="s">
        <v>398</v>
      </c>
      <c r="E133" s="50" t="s">
        <v>655</v>
      </c>
      <c r="F133" s="49"/>
      <c r="G133" s="49"/>
      <c r="H133" s="50" t="s">
        <v>705</v>
      </c>
      <c r="I133" s="51">
        <v>300000</v>
      </c>
      <c r="J133" s="51"/>
      <c r="K133" s="51"/>
      <c r="L133" s="51">
        <v>300000</v>
      </c>
      <c r="M133" s="49"/>
      <c r="N133" s="52" t="s">
        <v>725</v>
      </c>
      <c r="O133" s="52"/>
      <c r="P133" s="52" t="s">
        <v>725</v>
      </c>
      <c r="Q133" s="50" t="s">
        <v>709</v>
      </c>
      <c r="R133" s="50"/>
      <c r="S133" s="50"/>
      <c r="T133" s="50"/>
      <c r="U133" s="50" t="s">
        <v>709</v>
      </c>
      <c r="V133" s="50" t="s">
        <v>709</v>
      </c>
      <c r="W133" s="50" t="s">
        <v>1026</v>
      </c>
      <c r="X133" s="50" t="s">
        <v>845</v>
      </c>
      <c r="Y133" s="49" t="s">
        <v>845</v>
      </c>
      <c r="Z133" s="53">
        <v>1</v>
      </c>
      <c r="AA133" s="53">
        <v>1</v>
      </c>
      <c r="AB133" s="51">
        <v>300000</v>
      </c>
      <c r="AC133" s="55" t="s">
        <v>896</v>
      </c>
    </row>
    <row r="134" spans="1:29" ht="96" customHeight="1" x14ac:dyDescent="0.2">
      <c r="A134" s="57">
        <v>132</v>
      </c>
      <c r="B134" s="57" t="s">
        <v>36</v>
      </c>
      <c r="C134" s="57" t="s">
        <v>188</v>
      </c>
      <c r="D134" s="58" t="s">
        <v>398</v>
      </c>
      <c r="E134" s="58" t="s">
        <v>584</v>
      </c>
      <c r="F134" s="57">
        <v>1</v>
      </c>
      <c r="G134" s="57"/>
      <c r="H134" s="58" t="s">
        <v>671</v>
      </c>
      <c r="I134" s="59">
        <v>275000</v>
      </c>
      <c r="J134" s="59"/>
      <c r="K134" s="59"/>
      <c r="L134" s="59">
        <v>275000</v>
      </c>
      <c r="M134" s="57"/>
      <c r="N134" s="60" t="s">
        <v>726</v>
      </c>
      <c r="O134" s="60"/>
      <c r="P134" s="60" t="s">
        <v>726</v>
      </c>
      <c r="Q134" s="58"/>
      <c r="R134" s="58"/>
      <c r="S134" s="58"/>
      <c r="T134" s="58"/>
      <c r="U134" s="58" t="s">
        <v>711</v>
      </c>
      <c r="V134" s="58"/>
      <c r="W134" s="58"/>
      <c r="X134" s="58" t="s">
        <v>845</v>
      </c>
      <c r="Y134" s="57" t="s">
        <v>845</v>
      </c>
      <c r="Z134" s="61"/>
      <c r="AA134" s="61"/>
      <c r="AB134" s="61"/>
      <c r="AC134" s="62" t="s">
        <v>947</v>
      </c>
    </row>
    <row r="135" spans="1:29" ht="96" customHeight="1" x14ac:dyDescent="0.2">
      <c r="A135" s="44">
        <v>133</v>
      </c>
      <c r="B135" s="44" t="s">
        <v>36</v>
      </c>
      <c r="C135" s="44" t="s">
        <v>188</v>
      </c>
      <c r="D135" s="45" t="s">
        <v>398</v>
      </c>
      <c r="E135" s="45" t="s">
        <v>570</v>
      </c>
      <c r="F135" s="44">
        <v>1</v>
      </c>
      <c r="G135" s="44"/>
      <c r="H135" s="45" t="s">
        <v>464</v>
      </c>
      <c r="I135" s="46">
        <v>250000</v>
      </c>
      <c r="J135" s="46"/>
      <c r="K135" s="46"/>
      <c r="L135" s="46">
        <v>250000</v>
      </c>
      <c r="M135" s="44"/>
      <c r="N135" s="47" t="s">
        <v>730</v>
      </c>
      <c r="O135" s="47"/>
      <c r="P135" s="47" t="s">
        <v>730</v>
      </c>
      <c r="Q135" s="45"/>
      <c r="R135" s="45"/>
      <c r="S135" s="45"/>
      <c r="T135" s="45"/>
      <c r="U135" s="45" t="s">
        <v>711</v>
      </c>
      <c r="V135" s="45"/>
      <c r="W135" s="45"/>
      <c r="X135" s="45" t="s">
        <v>845</v>
      </c>
      <c r="Y135" s="44" t="s">
        <v>845</v>
      </c>
      <c r="Z135" s="42"/>
      <c r="AA135" s="42"/>
      <c r="AB135" s="42"/>
      <c r="AC135" s="43" t="s">
        <v>908</v>
      </c>
    </row>
    <row r="136" spans="1:29" ht="96" customHeight="1" x14ac:dyDescent="0.2">
      <c r="A136" s="49">
        <v>134</v>
      </c>
      <c r="B136" s="49" t="s">
        <v>36</v>
      </c>
      <c r="C136" s="49" t="s">
        <v>188</v>
      </c>
      <c r="D136" s="50" t="s">
        <v>398</v>
      </c>
      <c r="E136" s="50" t="s">
        <v>592</v>
      </c>
      <c r="F136" s="49">
        <v>1</v>
      </c>
      <c r="G136" s="49"/>
      <c r="H136" s="50" t="s">
        <v>673</v>
      </c>
      <c r="I136" s="51">
        <v>250000</v>
      </c>
      <c r="J136" s="51"/>
      <c r="K136" s="51"/>
      <c r="L136" s="51">
        <v>250000</v>
      </c>
      <c r="M136" s="49"/>
      <c r="N136" s="52" t="s">
        <v>730</v>
      </c>
      <c r="O136" s="52"/>
      <c r="P136" s="52" t="s">
        <v>730</v>
      </c>
      <c r="Q136" s="50"/>
      <c r="R136" s="50"/>
      <c r="S136" s="50"/>
      <c r="T136" s="50"/>
      <c r="U136" s="50" t="s">
        <v>711</v>
      </c>
      <c r="V136" s="50"/>
      <c r="W136" s="50"/>
      <c r="X136" s="50" t="s">
        <v>845</v>
      </c>
      <c r="Y136" s="49" t="s">
        <v>845</v>
      </c>
      <c r="Z136" s="53">
        <v>1</v>
      </c>
      <c r="AA136" s="53">
        <v>1</v>
      </c>
      <c r="AB136" s="51">
        <v>250000</v>
      </c>
      <c r="AC136" s="55" t="s">
        <v>896</v>
      </c>
    </row>
    <row r="137" spans="1:29" ht="96" customHeight="1" x14ac:dyDescent="0.2">
      <c r="A137" s="49">
        <v>135</v>
      </c>
      <c r="B137" s="49" t="s">
        <v>36</v>
      </c>
      <c r="C137" s="49" t="s">
        <v>188</v>
      </c>
      <c r="D137" s="50" t="s">
        <v>398</v>
      </c>
      <c r="E137" s="50" t="s">
        <v>609</v>
      </c>
      <c r="F137" s="49">
        <v>3</v>
      </c>
      <c r="G137" s="49"/>
      <c r="H137" s="50" t="s">
        <v>677</v>
      </c>
      <c r="I137" s="51">
        <v>225000</v>
      </c>
      <c r="J137" s="51"/>
      <c r="K137" s="51"/>
      <c r="L137" s="51">
        <v>225000</v>
      </c>
      <c r="M137" s="49"/>
      <c r="N137" s="52" t="s">
        <v>37</v>
      </c>
      <c r="O137" s="52"/>
      <c r="P137" s="52" t="s">
        <v>37</v>
      </c>
      <c r="Q137" s="50" t="s">
        <v>834</v>
      </c>
      <c r="R137" s="50"/>
      <c r="S137" s="50"/>
      <c r="T137" s="50"/>
      <c r="U137" s="50" t="s">
        <v>709</v>
      </c>
      <c r="V137" s="50" t="s">
        <v>709</v>
      </c>
      <c r="W137" s="50" t="s">
        <v>902</v>
      </c>
      <c r="X137" s="50" t="s">
        <v>845</v>
      </c>
      <c r="Y137" s="49" t="s">
        <v>845</v>
      </c>
      <c r="Z137" s="53">
        <v>3</v>
      </c>
      <c r="AA137" s="53">
        <v>3</v>
      </c>
      <c r="AB137" s="51">
        <v>225000</v>
      </c>
      <c r="AC137" s="55" t="s">
        <v>896</v>
      </c>
    </row>
    <row r="138" spans="1:29" ht="96" customHeight="1" x14ac:dyDescent="0.2">
      <c r="A138" s="44">
        <v>136</v>
      </c>
      <c r="B138" s="44" t="s">
        <v>385</v>
      </c>
      <c r="C138" s="44" t="s">
        <v>188</v>
      </c>
      <c r="D138" s="45" t="s">
        <v>398</v>
      </c>
      <c r="E138" s="45" t="s">
        <v>394</v>
      </c>
      <c r="F138" s="44">
        <v>1</v>
      </c>
      <c r="G138" s="44" t="s">
        <v>203</v>
      </c>
      <c r="H138" s="45" t="s">
        <v>399</v>
      </c>
      <c r="I138" s="46">
        <v>200000</v>
      </c>
      <c r="J138" s="46"/>
      <c r="K138" s="46"/>
      <c r="L138" s="46">
        <v>200000</v>
      </c>
      <c r="M138" s="44" t="s">
        <v>400</v>
      </c>
      <c r="N138" s="47"/>
      <c r="O138" s="47"/>
      <c r="P138" s="47" t="s">
        <v>724</v>
      </c>
      <c r="Q138" s="45" t="s">
        <v>412</v>
      </c>
      <c r="R138" s="45" t="s">
        <v>424</v>
      </c>
      <c r="S138" s="45" t="s">
        <v>436</v>
      </c>
      <c r="T138" s="45"/>
      <c r="U138" s="45" t="s">
        <v>448</v>
      </c>
      <c r="V138" s="45"/>
      <c r="W138" s="45"/>
      <c r="X138" s="45" t="s">
        <v>845</v>
      </c>
      <c r="Y138" s="44" t="s">
        <v>845</v>
      </c>
      <c r="Z138" s="42"/>
      <c r="AA138" s="42"/>
      <c r="AB138" s="42"/>
      <c r="AC138" s="43" t="s">
        <v>908</v>
      </c>
    </row>
    <row r="139" spans="1:29" ht="96" customHeight="1" x14ac:dyDescent="0.2">
      <c r="A139" s="49">
        <v>137</v>
      </c>
      <c r="B139" s="49" t="s">
        <v>36</v>
      </c>
      <c r="C139" s="49" t="s">
        <v>188</v>
      </c>
      <c r="D139" s="50" t="s">
        <v>398</v>
      </c>
      <c r="E139" s="50" t="s">
        <v>556</v>
      </c>
      <c r="F139" s="49">
        <v>1</v>
      </c>
      <c r="G139" s="49"/>
      <c r="H139" s="50" t="s">
        <v>666</v>
      </c>
      <c r="I139" s="51">
        <v>200000</v>
      </c>
      <c r="J139" s="51"/>
      <c r="K139" s="51"/>
      <c r="L139" s="51">
        <v>200000</v>
      </c>
      <c r="M139" s="49"/>
      <c r="N139" s="52" t="s">
        <v>724</v>
      </c>
      <c r="O139" s="52"/>
      <c r="P139" s="52" t="s">
        <v>724</v>
      </c>
      <c r="Q139" s="50" t="s">
        <v>785</v>
      </c>
      <c r="R139" s="50"/>
      <c r="S139" s="50"/>
      <c r="T139" s="50"/>
      <c r="U139" s="50" t="s">
        <v>708</v>
      </c>
      <c r="V139" s="50" t="s">
        <v>20</v>
      </c>
      <c r="W139" s="50" t="s">
        <v>952</v>
      </c>
      <c r="X139" s="50" t="s">
        <v>845</v>
      </c>
      <c r="Y139" s="49" t="s">
        <v>845</v>
      </c>
      <c r="Z139" s="53"/>
      <c r="AA139" s="53"/>
      <c r="AB139" s="53"/>
      <c r="AC139" s="55" t="s">
        <v>981</v>
      </c>
    </row>
    <row r="140" spans="1:29" ht="96" customHeight="1" x14ac:dyDescent="0.2">
      <c r="A140" s="49">
        <v>138</v>
      </c>
      <c r="B140" s="49" t="s">
        <v>36</v>
      </c>
      <c r="C140" s="49" t="s">
        <v>188</v>
      </c>
      <c r="D140" s="50" t="s">
        <v>398</v>
      </c>
      <c r="E140" s="50" t="s">
        <v>570</v>
      </c>
      <c r="F140" s="49">
        <v>1</v>
      </c>
      <c r="G140" s="49"/>
      <c r="H140" s="50" t="s">
        <v>670</v>
      </c>
      <c r="I140" s="51">
        <v>200000</v>
      </c>
      <c r="J140" s="51"/>
      <c r="K140" s="51"/>
      <c r="L140" s="51">
        <v>200000</v>
      </c>
      <c r="M140" s="49"/>
      <c r="N140" s="52" t="s">
        <v>730</v>
      </c>
      <c r="O140" s="52"/>
      <c r="P140" s="52" t="s">
        <v>730</v>
      </c>
      <c r="Q140" s="50"/>
      <c r="R140" s="50"/>
      <c r="S140" s="50"/>
      <c r="T140" s="50"/>
      <c r="U140" s="50" t="s">
        <v>711</v>
      </c>
      <c r="V140" s="50"/>
      <c r="W140" s="50"/>
      <c r="X140" s="50" t="s">
        <v>845</v>
      </c>
      <c r="Y140" s="49" t="s">
        <v>845</v>
      </c>
      <c r="Z140" s="53"/>
      <c r="AA140" s="53"/>
      <c r="AB140" s="53"/>
      <c r="AC140" s="55" t="s">
        <v>981</v>
      </c>
    </row>
    <row r="141" spans="1:29" ht="96" customHeight="1" x14ac:dyDescent="0.2">
      <c r="A141" s="49">
        <v>139</v>
      </c>
      <c r="B141" s="49" t="s">
        <v>36</v>
      </c>
      <c r="C141" s="49" t="s">
        <v>188</v>
      </c>
      <c r="D141" s="50" t="s">
        <v>398</v>
      </c>
      <c r="E141" s="50" t="s">
        <v>574</v>
      </c>
      <c r="F141" s="49">
        <v>1</v>
      </c>
      <c r="G141" s="49"/>
      <c r="H141" s="50" t="s">
        <v>463</v>
      </c>
      <c r="I141" s="51">
        <v>200000</v>
      </c>
      <c r="J141" s="51"/>
      <c r="K141" s="51"/>
      <c r="L141" s="51">
        <v>200000</v>
      </c>
      <c r="M141" s="49"/>
      <c r="N141" s="52" t="s">
        <v>724</v>
      </c>
      <c r="O141" s="52"/>
      <c r="P141" s="52" t="s">
        <v>724</v>
      </c>
      <c r="Q141" s="50"/>
      <c r="R141" s="50"/>
      <c r="S141" s="50"/>
      <c r="T141" s="50"/>
      <c r="U141" s="50" t="s">
        <v>711</v>
      </c>
      <c r="V141" s="50"/>
      <c r="W141" s="50"/>
      <c r="X141" s="50" t="s">
        <v>845</v>
      </c>
      <c r="Y141" s="49" t="s">
        <v>845</v>
      </c>
      <c r="Z141" s="53">
        <v>1</v>
      </c>
      <c r="AA141" s="53">
        <v>1</v>
      </c>
      <c r="AB141" s="51">
        <v>200000</v>
      </c>
      <c r="AC141" s="55" t="s">
        <v>981</v>
      </c>
    </row>
    <row r="142" spans="1:29" ht="96" customHeight="1" x14ac:dyDescent="0.2">
      <c r="A142" s="49">
        <v>140</v>
      </c>
      <c r="B142" s="49" t="s">
        <v>36</v>
      </c>
      <c r="C142" s="49" t="s">
        <v>188</v>
      </c>
      <c r="D142" s="50" t="s">
        <v>398</v>
      </c>
      <c r="E142" s="50" t="s">
        <v>577</v>
      </c>
      <c r="F142" s="49">
        <v>1</v>
      </c>
      <c r="G142" s="49"/>
      <c r="H142" s="50" t="s">
        <v>464</v>
      </c>
      <c r="I142" s="51">
        <v>200000</v>
      </c>
      <c r="J142" s="51"/>
      <c r="K142" s="51"/>
      <c r="L142" s="51">
        <v>200000</v>
      </c>
      <c r="M142" s="49"/>
      <c r="N142" s="52" t="s">
        <v>730</v>
      </c>
      <c r="O142" s="52"/>
      <c r="P142" s="52" t="s">
        <v>730</v>
      </c>
      <c r="Q142" s="50"/>
      <c r="R142" s="50"/>
      <c r="S142" s="50"/>
      <c r="T142" s="50"/>
      <c r="U142" s="50" t="s">
        <v>711</v>
      </c>
      <c r="V142" s="50"/>
      <c r="W142" s="50"/>
      <c r="X142" s="50" t="s">
        <v>845</v>
      </c>
      <c r="Y142" s="49" t="s">
        <v>845</v>
      </c>
      <c r="Z142" s="53">
        <v>1</v>
      </c>
      <c r="AA142" s="53">
        <v>1</v>
      </c>
      <c r="AB142" s="51">
        <v>200000</v>
      </c>
      <c r="AC142" s="55" t="s">
        <v>981</v>
      </c>
    </row>
    <row r="143" spans="1:29" ht="96" customHeight="1" x14ac:dyDescent="0.2">
      <c r="A143" s="49">
        <v>141</v>
      </c>
      <c r="B143" s="49" t="s">
        <v>36</v>
      </c>
      <c r="C143" s="49" t="s">
        <v>188</v>
      </c>
      <c r="D143" s="50" t="s">
        <v>398</v>
      </c>
      <c r="E143" s="50" t="s">
        <v>570</v>
      </c>
      <c r="F143" s="49">
        <v>1</v>
      </c>
      <c r="G143" s="49"/>
      <c r="H143" s="50" t="s">
        <v>671</v>
      </c>
      <c r="I143" s="51">
        <v>200000</v>
      </c>
      <c r="J143" s="51"/>
      <c r="K143" s="51"/>
      <c r="L143" s="51">
        <v>200000</v>
      </c>
      <c r="M143" s="49"/>
      <c r="N143" s="52" t="s">
        <v>731</v>
      </c>
      <c r="O143" s="52"/>
      <c r="P143" s="52" t="s">
        <v>731</v>
      </c>
      <c r="Q143" s="50"/>
      <c r="R143" s="50"/>
      <c r="S143" s="50"/>
      <c r="T143" s="50"/>
      <c r="U143" s="50" t="s">
        <v>711</v>
      </c>
      <c r="V143" s="50"/>
      <c r="W143" s="50"/>
      <c r="X143" s="50" t="s">
        <v>845</v>
      </c>
      <c r="Y143" s="49" t="s">
        <v>845</v>
      </c>
      <c r="Z143" s="53">
        <v>1</v>
      </c>
      <c r="AA143" s="53">
        <v>1</v>
      </c>
      <c r="AB143" s="51">
        <v>200000</v>
      </c>
      <c r="AC143" s="55" t="s">
        <v>981</v>
      </c>
    </row>
    <row r="144" spans="1:29" ht="96" customHeight="1" x14ac:dyDescent="0.2">
      <c r="A144" s="49">
        <v>142</v>
      </c>
      <c r="B144" s="49" t="s">
        <v>36</v>
      </c>
      <c r="C144" s="49" t="s">
        <v>188</v>
      </c>
      <c r="D144" s="50" t="s">
        <v>398</v>
      </c>
      <c r="E144" s="50" t="s">
        <v>537</v>
      </c>
      <c r="F144" s="49">
        <v>1</v>
      </c>
      <c r="G144" s="49"/>
      <c r="H144" s="50" t="s">
        <v>674</v>
      </c>
      <c r="I144" s="51">
        <v>100000</v>
      </c>
      <c r="J144" s="51"/>
      <c r="K144" s="51"/>
      <c r="L144" s="51">
        <v>100000</v>
      </c>
      <c r="M144" s="49"/>
      <c r="N144" s="52" t="s">
        <v>725</v>
      </c>
      <c r="O144" s="52"/>
      <c r="P144" s="52" t="s">
        <v>725</v>
      </c>
      <c r="Q144" s="50" t="s">
        <v>709</v>
      </c>
      <c r="R144" s="50"/>
      <c r="S144" s="50"/>
      <c r="T144" s="50"/>
      <c r="U144" s="50" t="s">
        <v>709</v>
      </c>
      <c r="V144" s="50" t="s">
        <v>709</v>
      </c>
      <c r="W144" s="50" t="s">
        <v>1027</v>
      </c>
      <c r="X144" s="50" t="s">
        <v>845</v>
      </c>
      <c r="Y144" s="49" t="s">
        <v>845</v>
      </c>
      <c r="Z144" s="53">
        <v>1</v>
      </c>
      <c r="AA144" s="53">
        <v>1</v>
      </c>
      <c r="AB144" s="51">
        <v>100000</v>
      </c>
      <c r="AC144" s="55" t="s">
        <v>896</v>
      </c>
    </row>
    <row r="145" spans="1:29" ht="96" customHeight="1" x14ac:dyDescent="0.2">
      <c r="A145" s="49">
        <v>143</v>
      </c>
      <c r="B145" s="49" t="s">
        <v>36</v>
      </c>
      <c r="C145" s="49" t="s">
        <v>188</v>
      </c>
      <c r="D145" s="50" t="s">
        <v>398</v>
      </c>
      <c r="E145" s="50" t="s">
        <v>537</v>
      </c>
      <c r="F145" s="49">
        <v>1</v>
      </c>
      <c r="G145" s="49"/>
      <c r="H145" s="50" t="s">
        <v>675</v>
      </c>
      <c r="I145" s="51">
        <v>100000</v>
      </c>
      <c r="J145" s="51"/>
      <c r="K145" s="51"/>
      <c r="L145" s="51">
        <v>100000</v>
      </c>
      <c r="M145" s="49"/>
      <c r="N145" s="52" t="s">
        <v>722</v>
      </c>
      <c r="O145" s="52"/>
      <c r="P145" s="52" t="s">
        <v>722</v>
      </c>
      <c r="Q145" s="50" t="s">
        <v>785</v>
      </c>
      <c r="R145" s="50"/>
      <c r="S145" s="50"/>
      <c r="T145" s="50"/>
      <c r="U145" s="50" t="s">
        <v>715</v>
      </c>
      <c r="V145" s="50" t="s">
        <v>20</v>
      </c>
      <c r="W145" s="50" t="s">
        <v>949</v>
      </c>
      <c r="X145" s="50" t="s">
        <v>845</v>
      </c>
      <c r="Y145" s="49" t="s">
        <v>845</v>
      </c>
      <c r="Z145" s="53">
        <v>1</v>
      </c>
      <c r="AA145" s="53">
        <v>1</v>
      </c>
      <c r="AB145" s="51">
        <v>100000</v>
      </c>
      <c r="AC145" s="55" t="s">
        <v>896</v>
      </c>
    </row>
    <row r="146" spans="1:29" ht="96" customHeight="1" x14ac:dyDescent="0.2">
      <c r="A146" s="49">
        <v>144</v>
      </c>
      <c r="B146" s="49" t="s">
        <v>36</v>
      </c>
      <c r="C146" s="49" t="s">
        <v>188</v>
      </c>
      <c r="D146" s="50" t="s">
        <v>398</v>
      </c>
      <c r="E146" s="50" t="s">
        <v>537</v>
      </c>
      <c r="F146" s="49">
        <v>1</v>
      </c>
      <c r="G146" s="49"/>
      <c r="H146" s="50" t="s">
        <v>679</v>
      </c>
      <c r="I146" s="51">
        <v>100000</v>
      </c>
      <c r="J146" s="51"/>
      <c r="K146" s="51"/>
      <c r="L146" s="51">
        <v>100000</v>
      </c>
      <c r="M146" s="49"/>
      <c r="N146" s="52" t="s">
        <v>728</v>
      </c>
      <c r="O146" s="52"/>
      <c r="P146" s="52" t="s">
        <v>728</v>
      </c>
      <c r="Q146" s="50" t="s">
        <v>709</v>
      </c>
      <c r="R146" s="50"/>
      <c r="S146" s="50"/>
      <c r="T146" s="50"/>
      <c r="U146" s="50" t="s">
        <v>710</v>
      </c>
      <c r="V146" s="50" t="s">
        <v>709</v>
      </c>
      <c r="W146" s="50" t="s">
        <v>940</v>
      </c>
      <c r="X146" s="50" t="s">
        <v>845</v>
      </c>
      <c r="Y146" s="49" t="s">
        <v>845</v>
      </c>
      <c r="Z146" s="53">
        <v>1</v>
      </c>
      <c r="AA146" s="53">
        <v>1</v>
      </c>
      <c r="AB146" s="51">
        <v>100000</v>
      </c>
      <c r="AC146" s="55" t="s">
        <v>896</v>
      </c>
    </row>
    <row r="147" spans="1:29" ht="96" customHeight="1" x14ac:dyDescent="0.2">
      <c r="A147" s="49">
        <v>145</v>
      </c>
      <c r="B147" s="49" t="s">
        <v>36</v>
      </c>
      <c r="C147" s="49" t="s">
        <v>188</v>
      </c>
      <c r="D147" s="50" t="s">
        <v>398</v>
      </c>
      <c r="E147" s="50" t="s">
        <v>615</v>
      </c>
      <c r="F147" s="49">
        <v>1</v>
      </c>
      <c r="G147" s="49"/>
      <c r="H147" s="50" t="s">
        <v>688</v>
      </c>
      <c r="I147" s="51">
        <v>200000</v>
      </c>
      <c r="J147" s="51"/>
      <c r="K147" s="51"/>
      <c r="L147" s="51">
        <v>200000</v>
      </c>
      <c r="M147" s="49"/>
      <c r="N147" s="52" t="s">
        <v>723</v>
      </c>
      <c r="O147" s="52"/>
      <c r="P147" s="52" t="s">
        <v>723</v>
      </c>
      <c r="Q147" s="50" t="s">
        <v>709</v>
      </c>
      <c r="R147" s="50"/>
      <c r="S147" s="50"/>
      <c r="T147" s="50"/>
      <c r="U147" s="50" t="s">
        <v>709</v>
      </c>
      <c r="V147" s="50" t="s">
        <v>709</v>
      </c>
      <c r="W147" s="50" t="s">
        <v>924</v>
      </c>
      <c r="X147" s="50" t="s">
        <v>845</v>
      </c>
      <c r="Y147" s="49" t="s">
        <v>845</v>
      </c>
      <c r="Z147" s="53">
        <v>1</v>
      </c>
      <c r="AA147" s="53">
        <v>1</v>
      </c>
      <c r="AB147" s="51">
        <v>200000</v>
      </c>
      <c r="AC147" s="55" t="s">
        <v>896</v>
      </c>
    </row>
    <row r="148" spans="1:29" ht="96" customHeight="1" x14ac:dyDescent="0.2">
      <c r="A148" s="49">
        <v>146</v>
      </c>
      <c r="B148" s="49" t="s">
        <v>36</v>
      </c>
      <c r="C148" s="49" t="s">
        <v>188</v>
      </c>
      <c r="D148" s="50" t="s">
        <v>398</v>
      </c>
      <c r="E148" s="50" t="s">
        <v>622</v>
      </c>
      <c r="F148" s="49">
        <v>1</v>
      </c>
      <c r="G148" s="49"/>
      <c r="H148" s="50" t="s">
        <v>696</v>
      </c>
      <c r="I148" s="51">
        <v>200000</v>
      </c>
      <c r="J148" s="51"/>
      <c r="K148" s="51"/>
      <c r="L148" s="51">
        <v>200000</v>
      </c>
      <c r="M148" s="49"/>
      <c r="N148" s="52" t="s">
        <v>724</v>
      </c>
      <c r="O148" s="52"/>
      <c r="P148" s="52" t="s">
        <v>724</v>
      </c>
      <c r="Q148" s="50"/>
      <c r="R148" s="50"/>
      <c r="S148" s="50"/>
      <c r="T148" s="50"/>
      <c r="U148" s="50" t="s">
        <v>709</v>
      </c>
      <c r="V148" s="50"/>
      <c r="W148" s="50"/>
      <c r="X148" s="50" t="s">
        <v>845</v>
      </c>
      <c r="Y148" s="49" t="s">
        <v>845</v>
      </c>
      <c r="Z148" s="53">
        <v>1</v>
      </c>
      <c r="AA148" s="53">
        <v>1</v>
      </c>
      <c r="AB148" s="51">
        <v>200000</v>
      </c>
      <c r="AC148" s="55" t="s">
        <v>896</v>
      </c>
    </row>
    <row r="149" spans="1:29" ht="96" customHeight="1" x14ac:dyDescent="0.2">
      <c r="A149" s="57">
        <v>147</v>
      </c>
      <c r="B149" s="57" t="s">
        <v>36</v>
      </c>
      <c r="C149" s="57" t="s">
        <v>188</v>
      </c>
      <c r="D149" s="58" t="s">
        <v>398</v>
      </c>
      <c r="E149" s="58" t="s">
        <v>625</v>
      </c>
      <c r="F149" s="57">
        <v>1</v>
      </c>
      <c r="G149" s="57"/>
      <c r="H149" s="58" t="s">
        <v>698</v>
      </c>
      <c r="I149" s="59">
        <v>200000</v>
      </c>
      <c r="J149" s="59"/>
      <c r="K149" s="59"/>
      <c r="L149" s="59">
        <v>200000</v>
      </c>
      <c r="M149" s="57"/>
      <c r="N149" s="60" t="s">
        <v>722</v>
      </c>
      <c r="O149" s="60"/>
      <c r="P149" s="60" t="s">
        <v>722</v>
      </c>
      <c r="Q149" s="58"/>
      <c r="R149" s="58"/>
      <c r="S149" s="58"/>
      <c r="T149" s="58"/>
      <c r="U149" s="58" t="s">
        <v>717</v>
      </c>
      <c r="V149" s="58"/>
      <c r="W149" s="58"/>
      <c r="X149" s="58" t="s">
        <v>845</v>
      </c>
      <c r="Y149" s="57" t="s">
        <v>845</v>
      </c>
      <c r="Z149" s="61"/>
      <c r="AA149" s="61"/>
      <c r="AB149" s="61"/>
      <c r="AC149" s="62" t="s">
        <v>947</v>
      </c>
    </row>
    <row r="150" spans="1:29" ht="96" customHeight="1" x14ac:dyDescent="0.2">
      <c r="A150" s="49">
        <v>148</v>
      </c>
      <c r="B150" s="49" t="s">
        <v>36</v>
      </c>
      <c r="C150" s="49" t="s">
        <v>188</v>
      </c>
      <c r="D150" s="50" t="s">
        <v>398</v>
      </c>
      <c r="E150" s="50" t="s">
        <v>656</v>
      </c>
      <c r="F150" s="49">
        <v>1</v>
      </c>
      <c r="G150" s="49"/>
      <c r="H150" s="50" t="s">
        <v>666</v>
      </c>
      <c r="I150" s="51">
        <v>200000</v>
      </c>
      <c r="J150" s="51"/>
      <c r="K150" s="51"/>
      <c r="L150" s="51">
        <v>200000</v>
      </c>
      <c r="M150" s="49"/>
      <c r="N150" s="52" t="s">
        <v>725</v>
      </c>
      <c r="O150" s="52"/>
      <c r="P150" s="52" t="s">
        <v>725</v>
      </c>
      <c r="Q150" s="50"/>
      <c r="R150" s="50"/>
      <c r="S150" s="50"/>
      <c r="T150" s="50"/>
      <c r="U150" s="50" t="s">
        <v>709</v>
      </c>
      <c r="V150" s="50"/>
      <c r="W150" s="50"/>
      <c r="X150" s="50" t="s">
        <v>845</v>
      </c>
      <c r="Y150" s="49" t="s">
        <v>845</v>
      </c>
      <c r="Z150" s="53">
        <v>1</v>
      </c>
      <c r="AA150" s="53">
        <v>1</v>
      </c>
      <c r="AB150" s="51">
        <v>200000</v>
      </c>
      <c r="AC150" s="55" t="s">
        <v>896</v>
      </c>
    </row>
    <row r="151" spans="1:29" ht="96" customHeight="1" x14ac:dyDescent="0.2">
      <c r="A151" s="49">
        <v>149</v>
      </c>
      <c r="B151" s="49" t="s">
        <v>36</v>
      </c>
      <c r="C151" s="49" t="s">
        <v>188</v>
      </c>
      <c r="D151" s="50" t="s">
        <v>398</v>
      </c>
      <c r="E151" s="50" t="s">
        <v>606</v>
      </c>
      <c r="F151" s="49">
        <v>1</v>
      </c>
      <c r="G151" s="49"/>
      <c r="H151" s="50" t="s">
        <v>683</v>
      </c>
      <c r="I151" s="51">
        <v>180000</v>
      </c>
      <c r="J151" s="51"/>
      <c r="K151" s="51"/>
      <c r="L151" s="51">
        <v>180000</v>
      </c>
      <c r="M151" s="49"/>
      <c r="N151" s="52" t="s">
        <v>721</v>
      </c>
      <c r="O151" s="52"/>
      <c r="P151" s="52" t="s">
        <v>721</v>
      </c>
      <c r="Q151" s="50" t="s">
        <v>709</v>
      </c>
      <c r="R151" s="50"/>
      <c r="S151" s="50"/>
      <c r="T151" s="50"/>
      <c r="U151" s="50" t="s">
        <v>709</v>
      </c>
      <c r="V151" s="50" t="s">
        <v>713</v>
      </c>
      <c r="W151" s="50" t="s">
        <v>966</v>
      </c>
      <c r="X151" s="50" t="s">
        <v>845</v>
      </c>
      <c r="Y151" s="49" t="s">
        <v>845</v>
      </c>
      <c r="Z151" s="53">
        <v>1</v>
      </c>
      <c r="AA151" s="53">
        <v>1</v>
      </c>
      <c r="AB151" s="51">
        <v>180000</v>
      </c>
      <c r="AC151" s="55" t="s">
        <v>896</v>
      </c>
    </row>
    <row r="152" spans="1:29" ht="96" customHeight="1" x14ac:dyDescent="0.2">
      <c r="A152" s="44">
        <v>150</v>
      </c>
      <c r="B152" s="44" t="s">
        <v>385</v>
      </c>
      <c r="C152" s="44" t="s">
        <v>188</v>
      </c>
      <c r="D152" s="45" t="s">
        <v>398</v>
      </c>
      <c r="E152" s="45" t="s">
        <v>395</v>
      </c>
      <c r="F152" s="44">
        <v>1</v>
      </c>
      <c r="G152" s="44" t="s">
        <v>203</v>
      </c>
      <c r="H152" s="45" t="s">
        <v>399</v>
      </c>
      <c r="I152" s="46">
        <v>175000</v>
      </c>
      <c r="J152" s="46"/>
      <c r="K152" s="46"/>
      <c r="L152" s="46">
        <v>175000</v>
      </c>
      <c r="M152" s="44" t="s">
        <v>400</v>
      </c>
      <c r="N152" s="47"/>
      <c r="O152" s="47"/>
      <c r="P152" s="47" t="s">
        <v>724</v>
      </c>
      <c r="Q152" s="45" t="s">
        <v>413</v>
      </c>
      <c r="R152" s="45" t="s">
        <v>425</v>
      </c>
      <c r="S152" s="45" t="s">
        <v>437</v>
      </c>
      <c r="T152" s="45"/>
      <c r="U152" s="45" t="s">
        <v>449</v>
      </c>
      <c r="V152" s="45"/>
      <c r="W152" s="45"/>
      <c r="X152" s="45" t="s">
        <v>845</v>
      </c>
      <c r="Y152" s="44" t="s">
        <v>845</v>
      </c>
      <c r="Z152" s="42"/>
      <c r="AA152" s="42"/>
      <c r="AB152" s="42"/>
      <c r="AC152" s="43" t="s">
        <v>908</v>
      </c>
    </row>
    <row r="153" spans="1:29" ht="96" customHeight="1" x14ac:dyDescent="0.2">
      <c r="A153" s="49">
        <v>151</v>
      </c>
      <c r="B153" s="49" t="s">
        <v>36</v>
      </c>
      <c r="C153" s="49" t="s">
        <v>188</v>
      </c>
      <c r="D153" s="50" t="s">
        <v>398</v>
      </c>
      <c r="E153" s="50" t="s">
        <v>619</v>
      </c>
      <c r="F153" s="49">
        <v>1</v>
      </c>
      <c r="G153" s="49"/>
      <c r="H153" s="50" t="s">
        <v>693</v>
      </c>
      <c r="I153" s="68">
        <v>150000</v>
      </c>
      <c r="J153" s="51"/>
      <c r="K153" s="51"/>
      <c r="L153" s="51">
        <v>150000</v>
      </c>
      <c r="M153" s="49"/>
      <c r="N153" s="52" t="s">
        <v>723</v>
      </c>
      <c r="O153" s="52"/>
      <c r="P153" s="52" t="s">
        <v>723</v>
      </c>
      <c r="Q153" s="50" t="s">
        <v>785</v>
      </c>
      <c r="R153" s="50"/>
      <c r="S153" s="50"/>
      <c r="T153" s="50"/>
      <c r="U153" s="50" t="s">
        <v>711</v>
      </c>
      <c r="V153" s="50" t="s">
        <v>987</v>
      </c>
      <c r="W153" s="50" t="s">
        <v>1028</v>
      </c>
      <c r="X153" s="50" t="s">
        <v>845</v>
      </c>
      <c r="Y153" s="49" t="s">
        <v>845</v>
      </c>
      <c r="Z153" s="53">
        <v>1</v>
      </c>
      <c r="AA153" s="53">
        <v>1</v>
      </c>
      <c r="AB153" s="51">
        <v>150000</v>
      </c>
      <c r="AC153" s="55" t="s">
        <v>896</v>
      </c>
    </row>
    <row r="154" spans="1:29" ht="96" customHeight="1" x14ac:dyDescent="0.2">
      <c r="A154" s="49">
        <v>152</v>
      </c>
      <c r="B154" s="49" t="s">
        <v>36</v>
      </c>
      <c r="C154" s="49" t="s">
        <v>188</v>
      </c>
      <c r="D154" s="50" t="s">
        <v>398</v>
      </c>
      <c r="E154" s="50" t="s">
        <v>613</v>
      </c>
      <c r="F154" s="49">
        <v>3</v>
      </c>
      <c r="G154" s="49"/>
      <c r="H154" s="50" t="s">
        <v>693</v>
      </c>
      <c r="I154" s="51">
        <v>150000</v>
      </c>
      <c r="J154" s="51"/>
      <c r="K154" s="51"/>
      <c r="L154" s="51">
        <v>150000</v>
      </c>
      <c r="M154" s="49"/>
      <c r="N154" s="52" t="s">
        <v>722</v>
      </c>
      <c r="O154" s="52"/>
      <c r="P154" s="52" t="s">
        <v>722</v>
      </c>
      <c r="Q154" s="50" t="s">
        <v>785</v>
      </c>
      <c r="R154" s="50"/>
      <c r="S154" s="50"/>
      <c r="T154" s="50"/>
      <c r="U154" s="50" t="s">
        <v>711</v>
      </c>
      <c r="V154" s="50" t="s">
        <v>785</v>
      </c>
      <c r="W154" s="50" t="s">
        <v>1028</v>
      </c>
      <c r="X154" s="50" t="s">
        <v>845</v>
      </c>
      <c r="Y154" s="49" t="s">
        <v>845</v>
      </c>
      <c r="Z154" s="53">
        <v>1</v>
      </c>
      <c r="AA154" s="53">
        <v>1</v>
      </c>
      <c r="AB154" s="51">
        <v>150000</v>
      </c>
      <c r="AC154" s="55" t="s">
        <v>896</v>
      </c>
    </row>
    <row r="155" spans="1:29" ht="96" customHeight="1" x14ac:dyDescent="0.2">
      <c r="A155" s="44">
        <v>153</v>
      </c>
      <c r="B155" s="44" t="s">
        <v>385</v>
      </c>
      <c r="C155" s="44" t="s">
        <v>188</v>
      </c>
      <c r="D155" s="45" t="s">
        <v>398</v>
      </c>
      <c r="E155" s="45" t="s">
        <v>390</v>
      </c>
      <c r="F155" s="44">
        <v>1</v>
      </c>
      <c r="G155" s="44" t="s">
        <v>203</v>
      </c>
      <c r="H155" s="45" t="s">
        <v>399</v>
      </c>
      <c r="I155" s="46">
        <v>145000</v>
      </c>
      <c r="J155" s="46"/>
      <c r="K155" s="46"/>
      <c r="L155" s="46">
        <v>145000</v>
      </c>
      <c r="M155" s="44" t="s">
        <v>400</v>
      </c>
      <c r="N155" s="47"/>
      <c r="O155" s="47"/>
      <c r="P155" s="47" t="s">
        <v>724</v>
      </c>
      <c r="Q155" s="45" t="s">
        <v>408</v>
      </c>
      <c r="R155" s="45" t="s">
        <v>420</v>
      </c>
      <c r="S155" s="45" t="s">
        <v>432</v>
      </c>
      <c r="T155" s="45"/>
      <c r="U155" s="45" t="s">
        <v>444</v>
      </c>
      <c r="V155" s="45" t="s">
        <v>892</v>
      </c>
      <c r="W155" s="45" t="s">
        <v>995</v>
      </c>
      <c r="X155" s="45" t="s">
        <v>845</v>
      </c>
      <c r="Y155" s="44" t="s">
        <v>845</v>
      </c>
      <c r="Z155" s="42"/>
      <c r="AA155" s="42"/>
      <c r="AB155" s="42"/>
      <c r="AC155" s="43" t="s">
        <v>908</v>
      </c>
    </row>
    <row r="156" spans="1:29" ht="96" customHeight="1" x14ac:dyDescent="0.2">
      <c r="A156" s="49">
        <v>154</v>
      </c>
      <c r="B156" s="49" t="s">
        <v>36</v>
      </c>
      <c r="C156" s="49" t="s">
        <v>188</v>
      </c>
      <c r="D156" s="50" t="s">
        <v>398</v>
      </c>
      <c r="E156" s="50" t="s">
        <v>618</v>
      </c>
      <c r="F156" s="49">
        <v>1</v>
      </c>
      <c r="G156" s="49"/>
      <c r="H156" s="50" t="s">
        <v>691</v>
      </c>
      <c r="I156" s="68">
        <v>130000</v>
      </c>
      <c r="J156" s="51"/>
      <c r="K156" s="51"/>
      <c r="L156" s="51">
        <v>130000</v>
      </c>
      <c r="M156" s="49"/>
      <c r="N156" s="52" t="s">
        <v>731</v>
      </c>
      <c r="O156" s="52"/>
      <c r="P156" s="52" t="s">
        <v>731</v>
      </c>
      <c r="Q156" s="50" t="s">
        <v>785</v>
      </c>
      <c r="R156" s="50"/>
      <c r="S156" s="50"/>
      <c r="T156" s="50"/>
      <c r="U156" s="50" t="s">
        <v>711</v>
      </c>
      <c r="V156" s="50" t="s">
        <v>987</v>
      </c>
      <c r="W156" s="50" t="s">
        <v>1029</v>
      </c>
      <c r="X156" s="50" t="s">
        <v>845</v>
      </c>
      <c r="Y156" s="49" t="s">
        <v>845</v>
      </c>
      <c r="Z156" s="53">
        <v>1</v>
      </c>
      <c r="AA156" s="53">
        <v>1</v>
      </c>
      <c r="AB156" s="51">
        <v>130000</v>
      </c>
      <c r="AC156" s="55" t="s">
        <v>896</v>
      </c>
    </row>
    <row r="157" spans="1:29" ht="96" customHeight="1" x14ac:dyDescent="0.2">
      <c r="A157" s="44">
        <v>155</v>
      </c>
      <c r="B157" s="44" t="s">
        <v>385</v>
      </c>
      <c r="C157" s="44" t="s">
        <v>188</v>
      </c>
      <c r="D157" s="45" t="s">
        <v>398</v>
      </c>
      <c r="E157" s="45" t="s">
        <v>388</v>
      </c>
      <c r="F157" s="44">
        <v>1</v>
      </c>
      <c r="G157" s="44" t="s">
        <v>203</v>
      </c>
      <c r="H157" s="45" t="s">
        <v>399</v>
      </c>
      <c r="I157" s="46">
        <v>125000</v>
      </c>
      <c r="J157" s="46"/>
      <c r="K157" s="46"/>
      <c r="L157" s="46">
        <v>125000</v>
      </c>
      <c r="M157" s="44" t="s">
        <v>400</v>
      </c>
      <c r="N157" s="47"/>
      <c r="O157" s="47"/>
      <c r="P157" s="47" t="s">
        <v>724</v>
      </c>
      <c r="Q157" s="45" t="s">
        <v>406</v>
      </c>
      <c r="R157" s="45" t="s">
        <v>418</v>
      </c>
      <c r="S157" s="45" t="s">
        <v>430</v>
      </c>
      <c r="T157" s="45"/>
      <c r="U157" s="45" t="s">
        <v>442</v>
      </c>
      <c r="V157" s="45" t="s">
        <v>1030</v>
      </c>
      <c r="W157" s="45" t="s">
        <v>995</v>
      </c>
      <c r="X157" s="45" t="s">
        <v>845</v>
      </c>
      <c r="Y157" s="44" t="s">
        <v>845</v>
      </c>
      <c r="Z157" s="42"/>
      <c r="AA157" s="42"/>
      <c r="AB157" s="42"/>
      <c r="AC157" s="43" t="s">
        <v>908</v>
      </c>
    </row>
    <row r="158" spans="1:29" ht="96" customHeight="1" x14ac:dyDescent="0.2">
      <c r="A158" s="49">
        <v>156</v>
      </c>
      <c r="B158" s="49" t="s">
        <v>36</v>
      </c>
      <c r="C158" s="49" t="s">
        <v>188</v>
      </c>
      <c r="D158" s="50" t="s">
        <v>398</v>
      </c>
      <c r="E158" s="50" t="s">
        <v>610</v>
      </c>
      <c r="F158" s="49">
        <v>2</v>
      </c>
      <c r="G158" s="49"/>
      <c r="H158" s="50" t="s">
        <v>686</v>
      </c>
      <c r="I158" s="51">
        <v>60000</v>
      </c>
      <c r="J158" s="51"/>
      <c r="K158" s="51"/>
      <c r="L158" s="51">
        <v>120000</v>
      </c>
      <c r="M158" s="49"/>
      <c r="N158" s="52" t="s">
        <v>727</v>
      </c>
      <c r="O158" s="52"/>
      <c r="P158" s="52" t="s">
        <v>727</v>
      </c>
      <c r="Q158" s="50" t="s">
        <v>785</v>
      </c>
      <c r="R158" s="50"/>
      <c r="S158" s="50"/>
      <c r="T158" s="50"/>
      <c r="U158" s="50" t="s">
        <v>715</v>
      </c>
      <c r="V158" s="50" t="s">
        <v>20</v>
      </c>
      <c r="W158" s="50" t="s">
        <v>992</v>
      </c>
      <c r="X158" s="50" t="s">
        <v>845</v>
      </c>
      <c r="Y158" s="49" t="s">
        <v>845</v>
      </c>
      <c r="Z158" s="53">
        <v>2</v>
      </c>
      <c r="AA158" s="53">
        <v>2</v>
      </c>
      <c r="AB158" s="51">
        <v>120000</v>
      </c>
      <c r="AC158" s="55" t="s">
        <v>896</v>
      </c>
    </row>
    <row r="159" spans="1:29" ht="96" customHeight="1" x14ac:dyDescent="0.2">
      <c r="A159" s="49">
        <v>157</v>
      </c>
      <c r="B159" s="49" t="s">
        <v>36</v>
      </c>
      <c r="C159" s="49" t="s">
        <v>188</v>
      </c>
      <c r="D159" s="50" t="s">
        <v>398</v>
      </c>
      <c r="E159" s="50" t="s">
        <v>612</v>
      </c>
      <c r="F159" s="49">
        <v>2</v>
      </c>
      <c r="G159" s="49"/>
      <c r="H159" s="50" t="s">
        <v>687</v>
      </c>
      <c r="I159" s="51">
        <v>120000</v>
      </c>
      <c r="J159" s="51"/>
      <c r="K159" s="51"/>
      <c r="L159" s="51">
        <v>120000</v>
      </c>
      <c r="M159" s="49"/>
      <c r="N159" s="52" t="s">
        <v>728</v>
      </c>
      <c r="O159" s="52"/>
      <c r="P159" s="52" t="s">
        <v>728</v>
      </c>
      <c r="Q159" s="50" t="s">
        <v>785</v>
      </c>
      <c r="R159" s="50"/>
      <c r="S159" s="50"/>
      <c r="T159" s="50"/>
      <c r="U159" s="50" t="s">
        <v>715</v>
      </c>
      <c r="V159" s="50" t="s">
        <v>20</v>
      </c>
      <c r="W159" s="50" t="s">
        <v>992</v>
      </c>
      <c r="X159" s="50" t="s">
        <v>845</v>
      </c>
      <c r="Y159" s="49" t="s">
        <v>845</v>
      </c>
      <c r="Z159" s="53">
        <v>1</v>
      </c>
      <c r="AA159" s="53">
        <v>1</v>
      </c>
      <c r="AB159" s="53">
        <v>60000</v>
      </c>
      <c r="AC159" s="55" t="s">
        <v>896</v>
      </c>
    </row>
    <row r="160" spans="1:29" ht="96" customHeight="1" x14ac:dyDescent="0.2">
      <c r="A160" s="44">
        <v>158</v>
      </c>
      <c r="B160" s="44" t="s">
        <v>385</v>
      </c>
      <c r="C160" s="44" t="s">
        <v>188</v>
      </c>
      <c r="D160" s="45" t="s">
        <v>398</v>
      </c>
      <c r="E160" s="45" t="s">
        <v>389</v>
      </c>
      <c r="F160" s="44">
        <v>1</v>
      </c>
      <c r="G160" s="44" t="s">
        <v>203</v>
      </c>
      <c r="H160" s="45" t="s">
        <v>399</v>
      </c>
      <c r="I160" s="46">
        <v>118000</v>
      </c>
      <c r="J160" s="46"/>
      <c r="K160" s="46"/>
      <c r="L160" s="46">
        <v>118000</v>
      </c>
      <c r="M160" s="44" t="s">
        <v>400</v>
      </c>
      <c r="N160" s="47"/>
      <c r="O160" s="47"/>
      <c r="P160" s="47" t="s">
        <v>724</v>
      </c>
      <c r="Q160" s="45" t="s">
        <v>407</v>
      </c>
      <c r="R160" s="45" t="s">
        <v>419</v>
      </c>
      <c r="S160" s="45" t="s">
        <v>431</v>
      </c>
      <c r="T160" s="45"/>
      <c r="U160" s="45" t="s">
        <v>443</v>
      </c>
      <c r="V160" s="45" t="s">
        <v>994</v>
      </c>
      <c r="W160" s="45" t="s">
        <v>995</v>
      </c>
      <c r="X160" s="45" t="s">
        <v>845</v>
      </c>
      <c r="Y160" s="44" t="s">
        <v>845</v>
      </c>
      <c r="Z160" s="42"/>
      <c r="AA160" s="42"/>
      <c r="AB160" s="42"/>
      <c r="AC160" s="43" t="s">
        <v>908</v>
      </c>
    </row>
    <row r="161" spans="1:29" ht="96" customHeight="1" x14ac:dyDescent="0.2">
      <c r="A161" s="44">
        <v>159</v>
      </c>
      <c r="B161" s="44" t="s">
        <v>36</v>
      </c>
      <c r="C161" s="44" t="s">
        <v>188</v>
      </c>
      <c r="D161" s="50" t="s">
        <v>398</v>
      </c>
      <c r="E161" s="50" t="s">
        <v>537</v>
      </c>
      <c r="F161" s="49">
        <v>1</v>
      </c>
      <c r="G161" s="49"/>
      <c r="H161" s="50" t="s">
        <v>662</v>
      </c>
      <c r="I161" s="51">
        <v>100000</v>
      </c>
      <c r="J161" s="51"/>
      <c r="K161" s="51"/>
      <c r="L161" s="51">
        <v>100000</v>
      </c>
      <c r="M161" s="49"/>
      <c r="N161" s="52" t="s">
        <v>723</v>
      </c>
      <c r="O161" s="52"/>
      <c r="P161" s="52" t="s">
        <v>723</v>
      </c>
      <c r="Q161" s="50" t="s">
        <v>785</v>
      </c>
      <c r="R161" s="50"/>
      <c r="S161" s="50"/>
      <c r="T161" s="50"/>
      <c r="U161" s="50" t="s">
        <v>708</v>
      </c>
      <c r="V161" s="50" t="s">
        <v>1031</v>
      </c>
      <c r="W161" s="50" t="s">
        <v>949</v>
      </c>
      <c r="X161" s="50" t="s">
        <v>845</v>
      </c>
      <c r="Y161" s="49" t="s">
        <v>845</v>
      </c>
      <c r="Z161" s="53">
        <v>1</v>
      </c>
      <c r="AA161" s="53">
        <v>1</v>
      </c>
      <c r="AB161" s="51">
        <v>100000</v>
      </c>
      <c r="AC161" s="55" t="s">
        <v>932</v>
      </c>
    </row>
    <row r="162" spans="1:29" ht="96" customHeight="1" x14ac:dyDescent="0.2">
      <c r="A162" s="44">
        <v>160</v>
      </c>
      <c r="B162" s="44" t="s">
        <v>36</v>
      </c>
      <c r="C162" s="44" t="s">
        <v>188</v>
      </c>
      <c r="D162" s="50" t="s">
        <v>398</v>
      </c>
      <c r="E162" s="50" t="s">
        <v>569</v>
      </c>
      <c r="F162" s="49">
        <v>1</v>
      </c>
      <c r="G162" s="49"/>
      <c r="H162" s="50" t="s">
        <v>462</v>
      </c>
      <c r="I162" s="51">
        <v>100000</v>
      </c>
      <c r="J162" s="51"/>
      <c r="K162" s="51"/>
      <c r="L162" s="51">
        <v>100000</v>
      </c>
      <c r="M162" s="49"/>
      <c r="N162" s="52" t="s">
        <v>37</v>
      </c>
      <c r="O162" s="52"/>
      <c r="P162" s="52" t="s">
        <v>37</v>
      </c>
      <c r="Q162" s="50"/>
      <c r="R162" s="50"/>
      <c r="S162" s="50"/>
      <c r="T162" s="50"/>
      <c r="U162" s="50" t="s">
        <v>711</v>
      </c>
      <c r="V162" s="50"/>
      <c r="W162" s="50"/>
      <c r="X162" s="50" t="s">
        <v>845</v>
      </c>
      <c r="Y162" s="49" t="s">
        <v>845</v>
      </c>
      <c r="Z162" s="53">
        <v>1</v>
      </c>
      <c r="AA162" s="53">
        <v>1</v>
      </c>
      <c r="AB162" s="51">
        <v>100000</v>
      </c>
      <c r="AC162" s="55" t="s">
        <v>932</v>
      </c>
    </row>
    <row r="163" spans="1:29" ht="96" customHeight="1" x14ac:dyDescent="0.2">
      <c r="A163" s="44">
        <v>161</v>
      </c>
      <c r="B163" s="44" t="s">
        <v>36</v>
      </c>
      <c r="C163" s="44" t="s">
        <v>188</v>
      </c>
      <c r="D163" s="50" t="s">
        <v>398</v>
      </c>
      <c r="E163" s="50" t="s">
        <v>578</v>
      </c>
      <c r="F163" s="49">
        <v>1</v>
      </c>
      <c r="G163" s="49"/>
      <c r="H163" s="50" t="s">
        <v>464</v>
      </c>
      <c r="I163" s="51">
        <v>100000</v>
      </c>
      <c r="J163" s="51"/>
      <c r="K163" s="51"/>
      <c r="L163" s="51">
        <v>100000</v>
      </c>
      <c r="M163" s="49"/>
      <c r="N163" s="52" t="s">
        <v>728</v>
      </c>
      <c r="O163" s="52"/>
      <c r="P163" s="52" t="s">
        <v>728</v>
      </c>
      <c r="Q163" s="50"/>
      <c r="R163" s="50"/>
      <c r="S163" s="50"/>
      <c r="T163" s="50"/>
      <c r="U163" s="50" t="s">
        <v>711</v>
      </c>
      <c r="V163" s="50"/>
      <c r="W163" s="50"/>
      <c r="X163" s="50" t="s">
        <v>845</v>
      </c>
      <c r="Y163" s="49" t="s">
        <v>845</v>
      </c>
      <c r="Z163" s="53">
        <v>1</v>
      </c>
      <c r="AA163" s="53">
        <v>1</v>
      </c>
      <c r="AB163" s="51">
        <v>100000</v>
      </c>
      <c r="AC163" s="55" t="s">
        <v>981</v>
      </c>
    </row>
    <row r="164" spans="1:29" ht="96" customHeight="1" x14ac:dyDescent="0.2">
      <c r="A164" s="44">
        <v>162</v>
      </c>
      <c r="B164" s="44" t="s">
        <v>36</v>
      </c>
      <c r="C164" s="44" t="s">
        <v>188</v>
      </c>
      <c r="D164" s="50" t="s">
        <v>398</v>
      </c>
      <c r="E164" s="50" t="s">
        <v>583</v>
      </c>
      <c r="F164" s="49">
        <v>1</v>
      </c>
      <c r="G164" s="49"/>
      <c r="H164" s="50" t="s">
        <v>671</v>
      </c>
      <c r="I164" s="51">
        <v>100000</v>
      </c>
      <c r="J164" s="51"/>
      <c r="K164" s="51"/>
      <c r="L164" s="51">
        <v>100000</v>
      </c>
      <c r="M164" s="49"/>
      <c r="N164" s="52" t="s">
        <v>37</v>
      </c>
      <c r="O164" s="52"/>
      <c r="P164" s="52" t="s">
        <v>37</v>
      </c>
      <c r="Q164" s="50"/>
      <c r="R164" s="50"/>
      <c r="S164" s="50"/>
      <c r="T164" s="50"/>
      <c r="U164" s="50" t="s">
        <v>711</v>
      </c>
      <c r="V164" s="50"/>
      <c r="W164" s="50"/>
      <c r="X164" s="50" t="s">
        <v>845</v>
      </c>
      <c r="Y164" s="49" t="s">
        <v>845</v>
      </c>
      <c r="Z164" s="53">
        <v>1</v>
      </c>
      <c r="AA164" s="53">
        <v>1</v>
      </c>
      <c r="AB164" s="51">
        <v>100000</v>
      </c>
      <c r="AC164" s="55" t="s">
        <v>981</v>
      </c>
    </row>
    <row r="165" spans="1:29" ht="96" customHeight="1" x14ac:dyDescent="0.2">
      <c r="A165" s="44">
        <v>163</v>
      </c>
      <c r="B165" s="44" t="s">
        <v>36</v>
      </c>
      <c r="C165" s="44" t="s">
        <v>188</v>
      </c>
      <c r="D165" s="50" t="s">
        <v>398</v>
      </c>
      <c r="E165" s="50" t="s">
        <v>598</v>
      </c>
      <c r="F165" s="49">
        <v>1</v>
      </c>
      <c r="G165" s="49"/>
      <c r="H165" s="50" t="s">
        <v>31</v>
      </c>
      <c r="I165" s="51">
        <v>100000</v>
      </c>
      <c r="J165" s="51"/>
      <c r="K165" s="51"/>
      <c r="L165" s="51">
        <v>100000</v>
      </c>
      <c r="M165" s="49"/>
      <c r="N165" s="52" t="s">
        <v>37</v>
      </c>
      <c r="O165" s="52"/>
      <c r="P165" s="52" t="s">
        <v>37</v>
      </c>
      <c r="Q165" s="50" t="s">
        <v>785</v>
      </c>
      <c r="R165" s="50"/>
      <c r="S165" s="50"/>
      <c r="T165" s="50"/>
      <c r="U165" s="50" t="s">
        <v>714</v>
      </c>
      <c r="V165" s="50" t="s">
        <v>20</v>
      </c>
      <c r="W165" s="50" t="s">
        <v>951</v>
      </c>
      <c r="X165" s="50" t="s">
        <v>845</v>
      </c>
      <c r="Y165" s="49" t="s">
        <v>845</v>
      </c>
      <c r="Z165" s="53">
        <v>1</v>
      </c>
      <c r="AA165" s="53">
        <v>1</v>
      </c>
      <c r="AB165" s="51">
        <v>100000</v>
      </c>
      <c r="AC165" s="55" t="s">
        <v>896</v>
      </c>
    </row>
    <row r="166" spans="1:29" ht="96" customHeight="1" x14ac:dyDescent="0.2">
      <c r="A166" s="44">
        <v>164</v>
      </c>
      <c r="B166" s="44" t="s">
        <v>36</v>
      </c>
      <c r="C166" s="44" t="s">
        <v>188</v>
      </c>
      <c r="D166" s="50" t="s">
        <v>398</v>
      </c>
      <c r="E166" s="50" t="s">
        <v>620</v>
      </c>
      <c r="F166" s="49">
        <v>1</v>
      </c>
      <c r="G166" s="49"/>
      <c r="H166" s="50" t="s">
        <v>689</v>
      </c>
      <c r="I166" s="68">
        <v>100000</v>
      </c>
      <c r="J166" s="51"/>
      <c r="K166" s="51"/>
      <c r="L166" s="51">
        <v>100000</v>
      </c>
      <c r="M166" s="49"/>
      <c r="N166" s="52" t="s">
        <v>723</v>
      </c>
      <c r="O166" s="52"/>
      <c r="P166" s="52" t="s">
        <v>723</v>
      </c>
      <c r="Q166" s="50" t="s">
        <v>785</v>
      </c>
      <c r="R166" s="50"/>
      <c r="S166" s="50"/>
      <c r="T166" s="50"/>
      <c r="U166" s="50" t="s">
        <v>711</v>
      </c>
      <c r="V166" s="50" t="s">
        <v>20</v>
      </c>
      <c r="W166" s="50" t="s">
        <v>958</v>
      </c>
      <c r="X166" s="50" t="s">
        <v>845</v>
      </c>
      <c r="Y166" s="49" t="s">
        <v>845</v>
      </c>
      <c r="Z166" s="53">
        <v>1</v>
      </c>
      <c r="AA166" s="53">
        <v>1</v>
      </c>
      <c r="AB166" s="51">
        <v>100000</v>
      </c>
      <c r="AC166" s="55" t="s">
        <v>896</v>
      </c>
    </row>
    <row r="167" spans="1:29" ht="96" customHeight="1" x14ac:dyDescent="0.2">
      <c r="A167" s="44">
        <v>165</v>
      </c>
      <c r="B167" s="44" t="s">
        <v>36</v>
      </c>
      <c r="C167" s="44" t="s">
        <v>188</v>
      </c>
      <c r="D167" s="45" t="s">
        <v>398</v>
      </c>
      <c r="E167" s="45" t="s">
        <v>624</v>
      </c>
      <c r="F167" s="44">
        <v>1</v>
      </c>
      <c r="G167" s="44"/>
      <c r="H167" s="45" t="s">
        <v>698</v>
      </c>
      <c r="I167" s="46">
        <v>100000</v>
      </c>
      <c r="J167" s="46"/>
      <c r="K167" s="46"/>
      <c r="L167" s="46">
        <v>100000</v>
      </c>
      <c r="M167" s="44"/>
      <c r="N167" s="47" t="s">
        <v>37</v>
      </c>
      <c r="O167" s="47"/>
      <c r="P167" s="47" t="s">
        <v>37</v>
      </c>
      <c r="Q167" s="45" t="s">
        <v>785</v>
      </c>
      <c r="R167" s="45"/>
      <c r="S167" s="45"/>
      <c r="T167" s="45"/>
      <c r="U167" s="45" t="s">
        <v>717</v>
      </c>
      <c r="V167" s="45" t="s">
        <v>20</v>
      </c>
      <c r="W167" s="45" t="s">
        <v>1032</v>
      </c>
      <c r="X167" s="45" t="s">
        <v>845</v>
      </c>
      <c r="Y167" s="44" t="s">
        <v>845</v>
      </c>
      <c r="Z167" s="42"/>
      <c r="AA167" s="42"/>
      <c r="AB167" s="42"/>
      <c r="AC167" s="43" t="s">
        <v>908</v>
      </c>
    </row>
    <row r="168" spans="1:29" ht="96" customHeight="1" x14ac:dyDescent="0.2">
      <c r="A168" s="49">
        <v>166</v>
      </c>
      <c r="B168" s="49" t="s">
        <v>36</v>
      </c>
      <c r="C168" s="49" t="s">
        <v>188</v>
      </c>
      <c r="D168" s="50" t="s">
        <v>398</v>
      </c>
      <c r="E168" s="50" t="s">
        <v>644</v>
      </c>
      <c r="F168" s="49">
        <v>1</v>
      </c>
      <c r="G168" s="49"/>
      <c r="H168" s="50" t="s">
        <v>703</v>
      </c>
      <c r="I168" s="51">
        <v>100000</v>
      </c>
      <c r="J168" s="51"/>
      <c r="K168" s="51"/>
      <c r="L168" s="51">
        <v>100000</v>
      </c>
      <c r="M168" s="49"/>
      <c r="N168" s="52" t="s">
        <v>723</v>
      </c>
      <c r="O168" s="52"/>
      <c r="P168" s="52" t="s">
        <v>723</v>
      </c>
      <c r="Q168" s="50"/>
      <c r="R168" s="50"/>
      <c r="S168" s="50"/>
      <c r="T168" s="50"/>
      <c r="U168" s="50" t="s">
        <v>718</v>
      </c>
      <c r="V168" s="50"/>
      <c r="W168" s="50"/>
      <c r="X168" s="50" t="s">
        <v>845</v>
      </c>
      <c r="Y168" s="49" t="s">
        <v>845</v>
      </c>
      <c r="Z168" s="53">
        <v>1</v>
      </c>
      <c r="AA168" s="53">
        <v>1</v>
      </c>
      <c r="AB168" s="51">
        <v>100000</v>
      </c>
      <c r="AC168" s="55" t="s">
        <v>896</v>
      </c>
    </row>
    <row r="169" spans="1:29" ht="96" customHeight="1" x14ac:dyDescent="0.2">
      <c r="A169" s="49">
        <v>167</v>
      </c>
      <c r="B169" s="49" t="s">
        <v>36</v>
      </c>
      <c r="C169" s="49" t="s">
        <v>188</v>
      </c>
      <c r="D169" s="50" t="s">
        <v>398</v>
      </c>
      <c r="E169" s="50" t="s">
        <v>647</v>
      </c>
      <c r="F169" s="49">
        <v>2</v>
      </c>
      <c r="G169" s="49"/>
      <c r="H169" s="50" t="s">
        <v>703</v>
      </c>
      <c r="I169" s="51">
        <v>100000</v>
      </c>
      <c r="J169" s="51"/>
      <c r="K169" s="51"/>
      <c r="L169" s="51">
        <v>100000</v>
      </c>
      <c r="M169" s="49"/>
      <c r="N169" s="52" t="s">
        <v>731</v>
      </c>
      <c r="O169" s="52"/>
      <c r="P169" s="52" t="s">
        <v>731</v>
      </c>
      <c r="Q169" s="50"/>
      <c r="R169" s="50"/>
      <c r="S169" s="50"/>
      <c r="T169" s="50"/>
      <c r="U169" s="50" t="s">
        <v>718</v>
      </c>
      <c r="V169" s="50"/>
      <c r="W169" s="50"/>
      <c r="X169" s="50" t="s">
        <v>845</v>
      </c>
      <c r="Y169" s="49" t="s">
        <v>845</v>
      </c>
      <c r="Z169" s="53">
        <v>2</v>
      </c>
      <c r="AA169" s="53">
        <v>2</v>
      </c>
      <c r="AB169" s="51">
        <v>100000</v>
      </c>
      <c r="AC169" s="55" t="s">
        <v>896</v>
      </c>
    </row>
    <row r="170" spans="1:29" ht="96" customHeight="1" x14ac:dyDescent="0.2">
      <c r="A170" s="49">
        <v>168</v>
      </c>
      <c r="B170" s="49" t="s">
        <v>36</v>
      </c>
      <c r="C170" s="49" t="s">
        <v>188</v>
      </c>
      <c r="D170" s="50" t="s">
        <v>398</v>
      </c>
      <c r="E170" s="50" t="s">
        <v>621</v>
      </c>
      <c r="F170" s="49">
        <v>1</v>
      </c>
      <c r="G170" s="49"/>
      <c r="H170" s="50" t="s">
        <v>694</v>
      </c>
      <c r="I170" s="51">
        <v>85000</v>
      </c>
      <c r="J170" s="51"/>
      <c r="K170" s="51"/>
      <c r="L170" s="51">
        <v>85000</v>
      </c>
      <c r="M170" s="49"/>
      <c r="N170" s="52" t="s">
        <v>724</v>
      </c>
      <c r="O170" s="52"/>
      <c r="P170" s="52" t="s">
        <v>724</v>
      </c>
      <c r="Q170" s="50" t="s">
        <v>785</v>
      </c>
      <c r="R170" s="50"/>
      <c r="S170" s="50"/>
      <c r="T170" s="50"/>
      <c r="U170" s="50" t="s">
        <v>711</v>
      </c>
      <c r="V170" s="50" t="s">
        <v>20</v>
      </c>
      <c r="W170" s="50" t="s">
        <v>933</v>
      </c>
      <c r="X170" s="50" t="s">
        <v>845</v>
      </c>
      <c r="Y170" s="49" t="s">
        <v>845</v>
      </c>
      <c r="Z170" s="53">
        <v>1</v>
      </c>
      <c r="AA170" s="53">
        <v>1</v>
      </c>
      <c r="AB170" s="51">
        <v>85000</v>
      </c>
      <c r="AC170" s="55" t="s">
        <v>896</v>
      </c>
    </row>
    <row r="171" spans="1:29" ht="96" customHeight="1" x14ac:dyDescent="0.2">
      <c r="A171" s="49">
        <v>169</v>
      </c>
      <c r="B171" s="49" t="s">
        <v>36</v>
      </c>
      <c r="C171" s="49" t="s">
        <v>188</v>
      </c>
      <c r="D171" s="50" t="s">
        <v>398</v>
      </c>
      <c r="E171" s="50" t="s">
        <v>609</v>
      </c>
      <c r="F171" s="49">
        <v>1</v>
      </c>
      <c r="G171" s="49"/>
      <c r="H171" s="50" t="s">
        <v>685</v>
      </c>
      <c r="I171" s="51">
        <v>80000</v>
      </c>
      <c r="J171" s="51"/>
      <c r="K171" s="51"/>
      <c r="L171" s="51">
        <v>80000</v>
      </c>
      <c r="M171" s="49"/>
      <c r="N171" s="52" t="s">
        <v>729</v>
      </c>
      <c r="O171" s="52"/>
      <c r="P171" s="52" t="s">
        <v>729</v>
      </c>
      <c r="Q171" s="50" t="s">
        <v>785</v>
      </c>
      <c r="R171" s="50"/>
      <c r="S171" s="50"/>
      <c r="T171" s="50"/>
      <c r="U171" s="50" t="s">
        <v>20</v>
      </c>
      <c r="V171" s="50" t="s">
        <v>20</v>
      </c>
      <c r="W171" s="50" t="s">
        <v>991</v>
      </c>
      <c r="X171" s="50" t="s">
        <v>845</v>
      </c>
      <c r="Y171" s="49" t="s">
        <v>845</v>
      </c>
      <c r="Z171" s="53">
        <v>1</v>
      </c>
      <c r="AA171" s="53">
        <v>1</v>
      </c>
      <c r="AB171" s="51">
        <v>80000</v>
      </c>
      <c r="AC171" s="55" t="s">
        <v>896</v>
      </c>
    </row>
    <row r="172" spans="1:29" ht="96" customHeight="1" x14ac:dyDescent="0.2">
      <c r="A172" s="44">
        <v>170</v>
      </c>
      <c r="B172" s="44" t="s">
        <v>385</v>
      </c>
      <c r="C172" s="44" t="s">
        <v>188</v>
      </c>
      <c r="D172" s="45" t="s">
        <v>398</v>
      </c>
      <c r="E172" s="45" t="s">
        <v>397</v>
      </c>
      <c r="F172" s="44">
        <v>1</v>
      </c>
      <c r="G172" s="44" t="s">
        <v>203</v>
      </c>
      <c r="H172" s="45" t="s">
        <v>399</v>
      </c>
      <c r="I172" s="46">
        <v>60000</v>
      </c>
      <c r="J172" s="46"/>
      <c r="K172" s="46"/>
      <c r="L172" s="46">
        <v>60000</v>
      </c>
      <c r="M172" s="45" t="s">
        <v>403</v>
      </c>
      <c r="N172" s="47"/>
      <c r="O172" s="47"/>
      <c r="P172" s="47" t="s">
        <v>724</v>
      </c>
      <c r="Q172" s="45" t="s">
        <v>415</v>
      </c>
      <c r="R172" s="45" t="s">
        <v>427</v>
      </c>
      <c r="S172" s="45" t="s">
        <v>439</v>
      </c>
      <c r="T172" s="45"/>
      <c r="U172" s="45" t="s">
        <v>451</v>
      </c>
      <c r="V172" s="45"/>
      <c r="W172" s="45"/>
      <c r="X172" s="45" t="s">
        <v>845</v>
      </c>
      <c r="Y172" s="44" t="s">
        <v>845</v>
      </c>
      <c r="Z172" s="42"/>
      <c r="AA172" s="42"/>
      <c r="AB172" s="42"/>
      <c r="AC172" s="43" t="s">
        <v>908</v>
      </c>
    </row>
    <row r="173" spans="1:29" ht="96" customHeight="1" x14ac:dyDescent="0.2">
      <c r="A173" s="49">
        <v>171</v>
      </c>
      <c r="B173" s="49" t="s">
        <v>36</v>
      </c>
      <c r="C173" s="49" t="s">
        <v>188</v>
      </c>
      <c r="D173" s="50" t="s">
        <v>398</v>
      </c>
      <c r="E173" s="50" t="s">
        <v>610</v>
      </c>
      <c r="F173" s="49">
        <v>1</v>
      </c>
      <c r="G173" s="49"/>
      <c r="H173" s="50" t="s">
        <v>686</v>
      </c>
      <c r="I173" s="51">
        <v>60000</v>
      </c>
      <c r="J173" s="51"/>
      <c r="K173" s="51"/>
      <c r="L173" s="51">
        <v>60000</v>
      </c>
      <c r="M173" s="49"/>
      <c r="N173" s="52" t="s">
        <v>723</v>
      </c>
      <c r="O173" s="52"/>
      <c r="P173" s="52" t="s">
        <v>723</v>
      </c>
      <c r="Q173" s="50" t="s">
        <v>876</v>
      </c>
      <c r="R173" s="50" t="s">
        <v>877</v>
      </c>
      <c r="S173" s="50"/>
      <c r="T173" s="50"/>
      <c r="U173" s="50" t="s">
        <v>709</v>
      </c>
      <c r="V173" s="50" t="s">
        <v>713</v>
      </c>
      <c r="W173" s="50" t="s">
        <v>992</v>
      </c>
      <c r="X173" s="50" t="s">
        <v>845</v>
      </c>
      <c r="Y173" s="49" t="s">
        <v>845</v>
      </c>
      <c r="Z173" s="53">
        <v>1</v>
      </c>
      <c r="AA173" s="53">
        <v>1</v>
      </c>
      <c r="AB173" s="51">
        <v>60000</v>
      </c>
      <c r="AC173" s="55" t="s">
        <v>896</v>
      </c>
    </row>
    <row r="174" spans="1:29" ht="96" customHeight="1" x14ac:dyDescent="0.2">
      <c r="A174" s="49">
        <v>172</v>
      </c>
      <c r="B174" s="49" t="s">
        <v>36</v>
      </c>
      <c r="C174" s="49" t="s">
        <v>188</v>
      </c>
      <c r="D174" s="50" t="s">
        <v>398</v>
      </c>
      <c r="E174" s="50" t="s">
        <v>650</v>
      </c>
      <c r="F174" s="49">
        <v>1</v>
      </c>
      <c r="G174" s="49"/>
      <c r="H174" s="50" t="s">
        <v>702</v>
      </c>
      <c r="I174" s="51">
        <v>60000</v>
      </c>
      <c r="J174" s="51"/>
      <c r="K174" s="51"/>
      <c r="L174" s="51">
        <v>60000</v>
      </c>
      <c r="M174" s="49"/>
      <c r="N174" s="52" t="s">
        <v>721</v>
      </c>
      <c r="O174" s="52"/>
      <c r="P174" s="52" t="s">
        <v>721</v>
      </c>
      <c r="Q174" s="50" t="s">
        <v>878</v>
      </c>
      <c r="R174" s="50"/>
      <c r="S174" s="50"/>
      <c r="T174" s="50"/>
      <c r="U174" s="50" t="s">
        <v>709</v>
      </c>
      <c r="V174" s="50"/>
      <c r="W174" s="50"/>
      <c r="X174" s="50"/>
      <c r="Y174" s="49"/>
      <c r="Z174" s="53">
        <v>1</v>
      </c>
      <c r="AA174" s="53">
        <v>1</v>
      </c>
      <c r="AB174" s="51">
        <v>60000</v>
      </c>
      <c r="AC174" s="55" t="s">
        <v>896</v>
      </c>
    </row>
    <row r="175" spans="1:29" ht="96" customHeight="1" x14ac:dyDescent="0.2">
      <c r="A175" s="49">
        <v>173</v>
      </c>
      <c r="B175" s="49" t="s">
        <v>36</v>
      </c>
      <c r="C175" s="49" t="s">
        <v>188</v>
      </c>
      <c r="D175" s="50" t="s">
        <v>398</v>
      </c>
      <c r="E175" s="50" t="s">
        <v>626</v>
      </c>
      <c r="F175" s="49">
        <v>1</v>
      </c>
      <c r="G175" s="49"/>
      <c r="H175" s="50" t="s">
        <v>698</v>
      </c>
      <c r="I175" s="51">
        <v>50000</v>
      </c>
      <c r="J175" s="51"/>
      <c r="K175" s="51"/>
      <c r="L175" s="51">
        <v>50000</v>
      </c>
      <c r="M175" s="49"/>
      <c r="N175" s="52" t="s">
        <v>722</v>
      </c>
      <c r="O175" s="52"/>
      <c r="P175" s="52" t="s">
        <v>722</v>
      </c>
      <c r="Q175" s="50"/>
      <c r="R175" s="50"/>
      <c r="S175" s="50"/>
      <c r="T175" s="50"/>
      <c r="U175" s="50" t="s">
        <v>717</v>
      </c>
      <c r="V175" s="50"/>
      <c r="W175" s="50"/>
      <c r="X175" s="50"/>
      <c r="Y175" s="49"/>
      <c r="Z175" s="53">
        <v>1</v>
      </c>
      <c r="AA175" s="53">
        <v>1</v>
      </c>
      <c r="AB175" s="51">
        <v>50000</v>
      </c>
      <c r="AC175" s="55" t="s">
        <v>896</v>
      </c>
    </row>
    <row r="176" spans="1:29" ht="96" customHeight="1" x14ac:dyDescent="0.2">
      <c r="A176" s="49">
        <v>174</v>
      </c>
      <c r="B176" s="49" t="s">
        <v>36</v>
      </c>
      <c r="C176" s="49" t="s">
        <v>188</v>
      </c>
      <c r="D176" s="50" t="s">
        <v>398</v>
      </c>
      <c r="E176" s="50" t="s">
        <v>646</v>
      </c>
      <c r="F176" s="49">
        <v>1</v>
      </c>
      <c r="G176" s="49"/>
      <c r="H176" s="50" t="s">
        <v>703</v>
      </c>
      <c r="I176" s="51">
        <v>20000</v>
      </c>
      <c r="J176" s="51"/>
      <c r="K176" s="51"/>
      <c r="L176" s="51">
        <v>20000</v>
      </c>
      <c r="M176" s="49"/>
      <c r="N176" s="52" t="s">
        <v>723</v>
      </c>
      <c r="O176" s="52"/>
      <c r="P176" s="52" t="s">
        <v>723</v>
      </c>
      <c r="Q176" s="50" t="s">
        <v>802</v>
      </c>
      <c r="R176" s="50"/>
      <c r="S176" s="50"/>
      <c r="T176" s="50"/>
      <c r="U176" s="50" t="s">
        <v>718</v>
      </c>
      <c r="V176" s="50" t="s">
        <v>20</v>
      </c>
      <c r="W176" s="50" t="s">
        <v>1003</v>
      </c>
      <c r="X176" s="50" t="s">
        <v>845</v>
      </c>
      <c r="Y176" s="49" t="s">
        <v>845</v>
      </c>
      <c r="Z176" s="53">
        <v>1</v>
      </c>
      <c r="AA176" s="53">
        <v>1</v>
      </c>
      <c r="AB176" s="51">
        <v>20000</v>
      </c>
      <c r="AC176" s="55" t="s">
        <v>896</v>
      </c>
    </row>
    <row r="177" spans="1:29" ht="96" customHeight="1" x14ac:dyDescent="0.2">
      <c r="A177" s="44">
        <v>175</v>
      </c>
      <c r="B177" s="49" t="s">
        <v>36</v>
      </c>
      <c r="C177" s="44" t="s">
        <v>188</v>
      </c>
      <c r="D177" s="45" t="s">
        <v>398</v>
      </c>
      <c r="E177" s="45" t="s">
        <v>1033</v>
      </c>
      <c r="F177" s="44">
        <v>1</v>
      </c>
      <c r="G177" s="44"/>
      <c r="H177" s="45" t="s">
        <v>662</v>
      </c>
      <c r="I177" s="46">
        <v>4500000</v>
      </c>
      <c r="J177" s="46"/>
      <c r="K177" s="46"/>
      <c r="L177" s="46">
        <v>4500000</v>
      </c>
      <c r="M177" s="44"/>
      <c r="N177" s="47"/>
      <c r="O177" s="47"/>
      <c r="P177" s="47"/>
      <c r="Q177" s="45" t="s">
        <v>1034</v>
      </c>
      <c r="R177" s="45"/>
      <c r="S177" s="45"/>
      <c r="T177" s="45"/>
      <c r="U177" s="45"/>
      <c r="V177" s="45" t="s">
        <v>20</v>
      </c>
      <c r="W177" s="45" t="s">
        <v>949</v>
      </c>
      <c r="X177" s="45" t="s">
        <v>965</v>
      </c>
      <c r="Y177" s="44"/>
      <c r="Z177" s="42"/>
      <c r="AA177" s="42"/>
      <c r="AB177" s="42"/>
      <c r="AC177" s="43"/>
    </row>
    <row r="178" spans="1:29" ht="96" customHeight="1" x14ac:dyDescent="0.2">
      <c r="A178" s="44">
        <v>176</v>
      </c>
      <c r="B178" s="49" t="s">
        <v>36</v>
      </c>
      <c r="C178" s="44" t="s">
        <v>188</v>
      </c>
      <c r="D178" s="45" t="s">
        <v>398</v>
      </c>
      <c r="E178" s="45" t="s">
        <v>1035</v>
      </c>
      <c r="F178" s="44">
        <v>3</v>
      </c>
      <c r="G178" s="44"/>
      <c r="H178" s="45" t="s">
        <v>1036</v>
      </c>
      <c r="I178" s="46">
        <v>150000</v>
      </c>
      <c r="J178" s="46"/>
      <c r="K178" s="46"/>
      <c r="L178" s="46">
        <v>450000</v>
      </c>
      <c r="M178" s="44"/>
      <c r="N178" s="47"/>
      <c r="O178" s="47"/>
      <c r="P178" s="47"/>
      <c r="Q178" s="45"/>
      <c r="R178" s="45"/>
      <c r="S178" s="45"/>
      <c r="T178" s="45"/>
      <c r="U178" s="45"/>
      <c r="V178" s="45"/>
      <c r="W178" s="45"/>
      <c r="X178" s="45"/>
      <c r="Y178" s="44"/>
      <c r="Z178" s="42"/>
      <c r="AA178" s="42"/>
      <c r="AB178" s="42"/>
      <c r="AC178" s="43"/>
    </row>
    <row r="179" spans="1:29" ht="36.75" customHeight="1" x14ac:dyDescent="0.2">
      <c r="I179" s="71" t="s">
        <v>1037</v>
      </c>
      <c r="J179" s="71"/>
      <c r="K179" s="71"/>
      <c r="L179" s="72">
        <f>SUM(L3:L178)</f>
        <v>484424000</v>
      </c>
      <c r="M179" s="72">
        <f t="shared" ref="M179:AB179" si="0">SUM(M3:M178)</f>
        <v>0</v>
      </c>
      <c r="N179" s="72">
        <f t="shared" si="0"/>
        <v>46113</v>
      </c>
      <c r="O179" s="72">
        <f t="shared" si="0"/>
        <v>46174</v>
      </c>
      <c r="P179" s="72">
        <f t="shared" si="0"/>
        <v>0</v>
      </c>
      <c r="Q179" s="72">
        <f t="shared" si="0"/>
        <v>0</v>
      </c>
      <c r="R179" s="72">
        <f t="shared" si="0"/>
        <v>0</v>
      </c>
      <c r="S179" s="72">
        <f t="shared" si="0"/>
        <v>0</v>
      </c>
      <c r="T179" s="72">
        <f t="shared" si="0"/>
        <v>0</v>
      </c>
      <c r="U179" s="72">
        <f t="shared" si="0"/>
        <v>0</v>
      </c>
      <c r="V179" s="72">
        <f t="shared" si="0"/>
        <v>0</v>
      </c>
      <c r="W179" s="72">
        <f t="shared" si="0"/>
        <v>0</v>
      </c>
      <c r="X179" s="72">
        <f t="shared" si="0"/>
        <v>0</v>
      </c>
      <c r="Y179" s="72">
        <f t="shared" si="0"/>
        <v>0</v>
      </c>
      <c r="Z179" s="72">
        <f t="shared" si="0"/>
        <v>313</v>
      </c>
      <c r="AA179" s="72">
        <f t="shared" si="0"/>
        <v>320</v>
      </c>
      <c r="AB179" s="72">
        <f t="shared" si="0"/>
        <v>339670000</v>
      </c>
    </row>
    <row r="181" spans="1:29" x14ac:dyDescent="0.2">
      <c r="L181" s="84">
        <f>L179-AB179</f>
        <v>144754000</v>
      </c>
    </row>
  </sheetData>
  <pageMargins left="0.2" right="0.2" top="0.43" bottom="0.49" header="0.32" footer="0.3"/>
  <pageSetup paperSize="9" scale="80" orientation="landscape"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A0BD-2E31-4F07-8754-955E56A2A351}">
  <dimension ref="B2:P15"/>
  <sheetViews>
    <sheetView workbookViewId="0">
      <selection activeCell="B16" sqref="B16"/>
    </sheetView>
  </sheetViews>
  <sheetFormatPr baseColWidth="10" defaultColWidth="8.83203125" defaultRowHeight="15" x14ac:dyDescent="0.2"/>
  <cols>
    <col min="2" max="2" width="25.33203125" bestFit="1" customWidth="1"/>
    <col min="3" max="3" width="10" bestFit="1" customWidth="1"/>
  </cols>
  <sheetData>
    <row r="2" spans="2:16" ht="16" x14ac:dyDescent="0.2">
      <c r="B2" s="34" t="s">
        <v>46</v>
      </c>
      <c r="C2" s="34"/>
    </row>
    <row r="3" spans="2:16" x14ac:dyDescent="0.2">
      <c r="B3" s="7" t="s">
        <v>39</v>
      </c>
      <c r="C3" s="7" t="s">
        <v>101</v>
      </c>
      <c r="D3" s="7" t="s">
        <v>90</v>
      </c>
      <c r="E3" s="7" t="s">
        <v>37</v>
      </c>
      <c r="F3" s="7" t="s">
        <v>91</v>
      </c>
      <c r="G3" s="7" t="s">
        <v>93</v>
      </c>
      <c r="H3" s="7" t="s">
        <v>96</v>
      </c>
      <c r="I3" s="7" t="s">
        <v>100</v>
      </c>
      <c r="J3" s="7" t="s">
        <v>99</v>
      </c>
      <c r="K3" s="7" t="s">
        <v>97</v>
      </c>
      <c r="L3" s="7" t="s">
        <v>98</v>
      </c>
      <c r="M3" s="7" t="s">
        <v>92</v>
      </c>
      <c r="N3" s="7" t="s">
        <v>94</v>
      </c>
      <c r="O3" s="7" t="s">
        <v>95</v>
      </c>
    </row>
    <row r="4" spans="2:16" x14ac:dyDescent="0.2">
      <c r="B4" s="8" t="s">
        <v>40</v>
      </c>
      <c r="C4" s="9">
        <f>SUMIFS(Capex_Details!$M$4:$M$353,Capex_Details!$E$4:$E$353,MonthWise!B4)/10^5</f>
        <v>0</v>
      </c>
      <c r="D4" s="9">
        <f>SUMIFS(Capex_Details!$M$4:$M$353,Capex_Details!$E$4:$E$353,MonthWise!$B4,Capex_Details!$O$4:$O$353,MonthWise!D$3)/10^5</f>
        <v>0</v>
      </c>
      <c r="E4" s="9">
        <f>SUMIFS(Capex_Details!$M$4:$M$353,Capex_Details!$E$4:$E$353,MonthWise!$B4,Capex_Details!$O$4:$O$353,MonthWise!E$3)/10^5</f>
        <v>0</v>
      </c>
      <c r="F4" s="9">
        <f>SUMIFS(Capex_Details!$M$4:$M$353,Capex_Details!$E$4:$E$353,MonthWise!$B4,Capex_Details!$O$4:$O$353,MonthWise!F$3)/10^5</f>
        <v>0</v>
      </c>
      <c r="G4" s="9">
        <f>SUMIFS(Capex_Details!$M$4:$M$353,Capex_Details!$E$4:$E$353,MonthWise!$B4,Capex_Details!$O$4:$O$353,MonthWise!G$3)/10^5</f>
        <v>0</v>
      </c>
      <c r="H4" s="9">
        <f>SUMIFS(Capex_Details!$M$4:$M$353,Capex_Details!$E$4:$E$353,MonthWise!$B4,Capex_Details!$O$4:$O$353,MonthWise!H$3)/10^5</f>
        <v>0</v>
      </c>
      <c r="I4" s="9">
        <f>SUMIFS(Capex_Details!$M$4:$M$353,Capex_Details!$E$4:$E$353,MonthWise!$B4,Capex_Details!$O$4:$O$353,MonthWise!I$3)/10^5</f>
        <v>0</v>
      </c>
      <c r="J4" s="9">
        <f>SUMIFS(Capex_Details!$M$4:$M$353,Capex_Details!$E$4:$E$353,MonthWise!$B4,Capex_Details!$O$4:$O$353,MonthWise!J$3)/10^5</f>
        <v>0</v>
      </c>
      <c r="K4" s="9">
        <f>SUMIFS(Capex_Details!$M$4:$M$353,Capex_Details!$E$4:$E$353,MonthWise!$B4,Capex_Details!$O$4:$O$353,MonthWise!K$3)/10^5</f>
        <v>0</v>
      </c>
      <c r="L4" s="9">
        <f>SUMIFS(Capex_Details!$M$4:$M$353,Capex_Details!$E$4:$E$353,MonthWise!$B4,Capex_Details!$O$4:$O$353,MonthWise!L$3)/10^5</f>
        <v>0</v>
      </c>
      <c r="M4" s="9">
        <f>SUMIFS(Capex_Details!$M$4:$M$353,Capex_Details!$E$4:$E$353,MonthWise!$B4,Capex_Details!$O$4:$O$353,MonthWise!M$3)/10^5</f>
        <v>0</v>
      </c>
      <c r="N4" s="9">
        <f>SUMIFS(Capex_Details!$M$4:$M$353,Capex_Details!$E$4:$E$353,MonthWise!$B4,Capex_Details!$O$4:$O$353,MonthWise!N$3)/10^5</f>
        <v>0</v>
      </c>
      <c r="O4" s="9">
        <f>SUMIFS(Capex_Details!$M$4:$M$353,Capex_Details!$E$4:$E$353,MonthWise!$B4,Capex_Details!$O$4:$O$353,MonthWise!O$3)/10^5</f>
        <v>0</v>
      </c>
      <c r="P4" s="13">
        <f>SUM(D4:O4)-C4</f>
        <v>0</v>
      </c>
    </row>
    <row r="5" spans="2:16" x14ac:dyDescent="0.2">
      <c r="B5" s="8" t="s">
        <v>41</v>
      </c>
      <c r="C5" s="9">
        <f>SUMIFS(Capex_Details!$M$4:$M$353,Capex_Details!$E$4:$E$353,MonthWise!B5)/10^5</f>
        <v>0</v>
      </c>
      <c r="D5" s="9">
        <f>SUMIFS(Capex_Details!$M$4:$M$353,Capex_Details!$E$4:$E$353,MonthWise!$B5,Capex_Details!$O$4:$O$353,MonthWise!D$3)/10^5</f>
        <v>0</v>
      </c>
      <c r="E5" s="9">
        <f>SUMIFS(Capex_Details!$M$4:$M$353,Capex_Details!$E$4:$E$353,MonthWise!$B5,Capex_Details!$O$4:$O$353,MonthWise!E$3)/10^5</f>
        <v>0</v>
      </c>
      <c r="F5" s="9">
        <f>SUMIFS(Capex_Details!$M$4:$M$353,Capex_Details!$E$4:$E$353,MonthWise!$B5,Capex_Details!$O$4:$O$353,MonthWise!F$3)/10^5</f>
        <v>0</v>
      </c>
      <c r="G5" s="9">
        <f>SUMIFS(Capex_Details!$M$4:$M$353,Capex_Details!$E$4:$E$353,MonthWise!$B5,Capex_Details!$O$4:$O$353,MonthWise!G$3)/10^5</f>
        <v>0</v>
      </c>
      <c r="H5" s="9">
        <f>SUMIFS(Capex_Details!$M$4:$M$353,Capex_Details!$E$4:$E$353,MonthWise!$B5,Capex_Details!$O$4:$O$353,MonthWise!H$3)/10^5</f>
        <v>0</v>
      </c>
      <c r="I5" s="9">
        <f>SUMIFS(Capex_Details!$M$4:$M$353,Capex_Details!$E$4:$E$353,MonthWise!$B5,Capex_Details!$O$4:$O$353,MonthWise!I$3)/10^5</f>
        <v>0</v>
      </c>
      <c r="J5" s="9">
        <f>SUMIFS(Capex_Details!$M$4:$M$353,Capex_Details!$E$4:$E$353,MonthWise!$B5,Capex_Details!$O$4:$O$353,MonthWise!J$3)/10^5</f>
        <v>0</v>
      </c>
      <c r="K5" s="9">
        <f>SUMIFS(Capex_Details!$M$4:$M$353,Capex_Details!$E$4:$E$353,MonthWise!$B5,Capex_Details!$O$4:$O$353,MonthWise!K$3)/10^5</f>
        <v>0</v>
      </c>
      <c r="L5" s="9">
        <f>SUMIFS(Capex_Details!$M$4:$M$353,Capex_Details!$E$4:$E$353,MonthWise!$B5,Capex_Details!$O$4:$O$353,MonthWise!L$3)/10^5</f>
        <v>0</v>
      </c>
      <c r="M5" s="9">
        <f>SUMIFS(Capex_Details!$M$4:$M$353,Capex_Details!$E$4:$E$353,MonthWise!$B5,Capex_Details!$O$4:$O$353,MonthWise!M$3)/10^5</f>
        <v>0</v>
      </c>
      <c r="N5" s="9">
        <f>SUMIFS(Capex_Details!$M$4:$M$353,Capex_Details!$E$4:$E$353,MonthWise!$B5,Capex_Details!$O$4:$O$353,MonthWise!N$3)/10^5</f>
        <v>0</v>
      </c>
      <c r="O5" s="9">
        <f>SUMIFS(Capex_Details!$M$4:$M$353,Capex_Details!$E$4:$E$353,MonthWise!$B5,Capex_Details!$O$4:$O$353,MonthWise!O$3)/10^5</f>
        <v>0</v>
      </c>
      <c r="P5" s="13">
        <f t="shared" ref="P5:P14" si="0">SUM(D5:O5)-C5</f>
        <v>0</v>
      </c>
    </row>
    <row r="6" spans="2:16" x14ac:dyDescent="0.2">
      <c r="B6" s="8" t="s">
        <v>42</v>
      </c>
      <c r="C6" s="9">
        <f>SUMIFS(Capex_Details!$M$4:$M$353,Capex_Details!$E$4:$E$353,MonthWise!B6)/10^5</f>
        <v>0</v>
      </c>
      <c r="D6" s="9">
        <f>SUMIFS(Capex_Details!$M$4:$M$353,Capex_Details!$E$4:$E$353,MonthWise!$B6,Capex_Details!$O$4:$O$353,MonthWise!D$3)/10^5</f>
        <v>0</v>
      </c>
      <c r="E6" s="9">
        <f>SUMIFS(Capex_Details!$M$4:$M$353,Capex_Details!$E$4:$E$353,MonthWise!$B6,Capex_Details!$O$4:$O$353,MonthWise!E$3)/10^5</f>
        <v>0</v>
      </c>
      <c r="F6" s="9">
        <f>SUMIFS(Capex_Details!$M$4:$M$353,Capex_Details!$E$4:$E$353,MonthWise!$B6,Capex_Details!$O$4:$O$353,MonthWise!F$3)/10^5</f>
        <v>0</v>
      </c>
      <c r="G6" s="9">
        <f>SUMIFS(Capex_Details!$M$4:$M$353,Capex_Details!$E$4:$E$353,MonthWise!$B6,Capex_Details!$O$4:$O$353,MonthWise!G$3)/10^5</f>
        <v>0</v>
      </c>
      <c r="H6" s="9">
        <f>SUMIFS(Capex_Details!$M$4:$M$353,Capex_Details!$E$4:$E$353,MonthWise!$B6,Capex_Details!$O$4:$O$353,MonthWise!H$3)/10^5</f>
        <v>0</v>
      </c>
      <c r="I6" s="9">
        <f>SUMIFS(Capex_Details!$M$4:$M$353,Capex_Details!$E$4:$E$353,MonthWise!$B6,Capex_Details!$O$4:$O$353,MonthWise!I$3)/10^5</f>
        <v>0</v>
      </c>
      <c r="J6" s="9">
        <f>SUMIFS(Capex_Details!$M$4:$M$353,Capex_Details!$E$4:$E$353,MonthWise!$B6,Capex_Details!$O$4:$O$353,MonthWise!J$3)/10^5</f>
        <v>0</v>
      </c>
      <c r="K6" s="9">
        <f>SUMIFS(Capex_Details!$M$4:$M$353,Capex_Details!$E$4:$E$353,MonthWise!$B6,Capex_Details!$O$4:$O$353,MonthWise!K$3)/10^5</f>
        <v>0</v>
      </c>
      <c r="L6" s="9">
        <f>SUMIFS(Capex_Details!$M$4:$M$353,Capex_Details!$E$4:$E$353,MonthWise!$B6,Capex_Details!$O$4:$O$353,MonthWise!L$3)/10^5</f>
        <v>0</v>
      </c>
      <c r="M6" s="9">
        <f>SUMIFS(Capex_Details!$M$4:$M$353,Capex_Details!$E$4:$E$353,MonthWise!$B6,Capex_Details!$O$4:$O$353,MonthWise!M$3)/10^5</f>
        <v>0</v>
      </c>
      <c r="N6" s="9">
        <f>SUMIFS(Capex_Details!$M$4:$M$353,Capex_Details!$E$4:$E$353,MonthWise!$B6,Capex_Details!$O$4:$O$353,MonthWise!N$3)/10^5</f>
        <v>0</v>
      </c>
      <c r="O6" s="9">
        <f>SUMIFS(Capex_Details!$M$4:$M$353,Capex_Details!$E$4:$E$353,MonthWise!$B6,Capex_Details!$O$4:$O$353,MonthWise!O$3)/10^5</f>
        <v>0</v>
      </c>
      <c r="P6" s="13">
        <f t="shared" si="0"/>
        <v>0</v>
      </c>
    </row>
    <row r="7" spans="2:16" x14ac:dyDescent="0.2">
      <c r="B7" s="8" t="s">
        <v>43</v>
      </c>
      <c r="C7" s="9">
        <f>SUMIFS(Capex_Details!$M$4:$M$353,Capex_Details!$E$4:$E$353,MonthWise!B7)/10^5</f>
        <v>0</v>
      </c>
      <c r="D7" s="9">
        <f>SUMIFS(Capex_Details!$M$4:$M$353,Capex_Details!$E$4:$E$353,MonthWise!$B7,Capex_Details!$O$4:$O$353,MonthWise!D$3)/10^5</f>
        <v>0</v>
      </c>
      <c r="E7" s="9">
        <f>SUMIFS(Capex_Details!$M$4:$M$353,Capex_Details!$E$4:$E$353,MonthWise!$B7,Capex_Details!$O$4:$O$353,MonthWise!E$3)/10^5</f>
        <v>0</v>
      </c>
      <c r="F7" s="9">
        <f>SUMIFS(Capex_Details!$M$4:$M$353,Capex_Details!$E$4:$E$353,MonthWise!$B7,Capex_Details!$O$4:$O$353,MonthWise!F$3)/10^5</f>
        <v>0</v>
      </c>
      <c r="G7" s="9">
        <f>SUMIFS(Capex_Details!$M$4:$M$353,Capex_Details!$E$4:$E$353,MonthWise!$B7,Capex_Details!$O$4:$O$353,MonthWise!G$3)/10^5</f>
        <v>0</v>
      </c>
      <c r="H7" s="9">
        <f>SUMIFS(Capex_Details!$M$4:$M$353,Capex_Details!$E$4:$E$353,MonthWise!$B7,Capex_Details!$O$4:$O$353,MonthWise!H$3)/10^5</f>
        <v>0</v>
      </c>
      <c r="I7" s="9">
        <f>SUMIFS(Capex_Details!$M$4:$M$353,Capex_Details!$E$4:$E$353,MonthWise!$B7,Capex_Details!$O$4:$O$353,MonthWise!I$3)/10^5</f>
        <v>0</v>
      </c>
      <c r="J7" s="9">
        <f>SUMIFS(Capex_Details!$M$4:$M$353,Capex_Details!$E$4:$E$353,MonthWise!$B7,Capex_Details!$O$4:$O$353,MonthWise!J$3)/10^5</f>
        <v>0</v>
      </c>
      <c r="K7" s="9">
        <f>SUMIFS(Capex_Details!$M$4:$M$353,Capex_Details!$E$4:$E$353,MonthWise!$B7,Capex_Details!$O$4:$O$353,MonthWise!K$3)/10^5</f>
        <v>0</v>
      </c>
      <c r="L7" s="9">
        <f>SUMIFS(Capex_Details!$M$4:$M$353,Capex_Details!$E$4:$E$353,MonthWise!$B7,Capex_Details!$O$4:$O$353,MonthWise!L$3)/10^5</f>
        <v>0</v>
      </c>
      <c r="M7" s="9">
        <f>SUMIFS(Capex_Details!$M$4:$M$353,Capex_Details!$E$4:$E$353,MonthWise!$B7,Capex_Details!$O$4:$O$353,MonthWise!M$3)/10^5</f>
        <v>0</v>
      </c>
      <c r="N7" s="9">
        <f>SUMIFS(Capex_Details!$M$4:$M$353,Capex_Details!$E$4:$E$353,MonthWise!$B7,Capex_Details!$O$4:$O$353,MonthWise!N$3)/10^5</f>
        <v>0</v>
      </c>
      <c r="O7" s="9">
        <f>SUMIFS(Capex_Details!$M$4:$M$353,Capex_Details!$E$4:$E$353,MonthWise!$B7,Capex_Details!$O$4:$O$353,MonthWise!O$3)/10^5</f>
        <v>0</v>
      </c>
      <c r="P7" s="13">
        <f t="shared" si="0"/>
        <v>0</v>
      </c>
    </row>
    <row r="8" spans="2:16" x14ac:dyDescent="0.2">
      <c r="B8" s="8" t="s">
        <v>44</v>
      </c>
      <c r="C8" s="9">
        <f>SUMIFS(Capex_Details!$M$4:$M$353,Capex_Details!$E$4:$E$353,MonthWise!B8)/10^5</f>
        <v>0</v>
      </c>
      <c r="D8" s="9">
        <f>SUMIFS(Capex_Details!$M$4:$M$353,Capex_Details!$E$4:$E$353,MonthWise!$B8,Capex_Details!$O$4:$O$353,MonthWise!D$3)/10^5</f>
        <v>0</v>
      </c>
      <c r="E8" s="9">
        <f>SUMIFS(Capex_Details!$M$4:$M$353,Capex_Details!$E$4:$E$353,MonthWise!$B8,Capex_Details!$O$4:$O$353,MonthWise!E$3)/10^5</f>
        <v>0</v>
      </c>
      <c r="F8" s="9">
        <f>SUMIFS(Capex_Details!$M$4:$M$353,Capex_Details!$E$4:$E$353,MonthWise!$B8,Capex_Details!$O$4:$O$353,MonthWise!F$3)/10^5</f>
        <v>0</v>
      </c>
      <c r="G8" s="9">
        <f>SUMIFS(Capex_Details!$M$4:$M$353,Capex_Details!$E$4:$E$353,MonthWise!$B8,Capex_Details!$O$4:$O$353,MonthWise!G$3)/10^5</f>
        <v>0</v>
      </c>
      <c r="H8" s="9">
        <f>SUMIFS(Capex_Details!$M$4:$M$353,Capex_Details!$E$4:$E$353,MonthWise!$B8,Capex_Details!$O$4:$O$353,MonthWise!H$3)/10^5</f>
        <v>0</v>
      </c>
      <c r="I8" s="9">
        <f>SUMIFS(Capex_Details!$M$4:$M$353,Capex_Details!$E$4:$E$353,MonthWise!$B8,Capex_Details!$O$4:$O$353,MonthWise!I$3)/10^5</f>
        <v>0</v>
      </c>
      <c r="J8" s="9">
        <f>SUMIFS(Capex_Details!$M$4:$M$353,Capex_Details!$E$4:$E$353,MonthWise!$B8,Capex_Details!$O$4:$O$353,MonthWise!J$3)/10^5</f>
        <v>0</v>
      </c>
      <c r="K8" s="9">
        <f>SUMIFS(Capex_Details!$M$4:$M$353,Capex_Details!$E$4:$E$353,MonthWise!$B8,Capex_Details!$O$4:$O$353,MonthWise!K$3)/10^5</f>
        <v>0</v>
      </c>
      <c r="L8" s="9">
        <f>SUMIFS(Capex_Details!$M$4:$M$353,Capex_Details!$E$4:$E$353,MonthWise!$B8,Capex_Details!$O$4:$O$353,MonthWise!L$3)/10^5</f>
        <v>0</v>
      </c>
      <c r="M8" s="9">
        <f>SUMIFS(Capex_Details!$M$4:$M$353,Capex_Details!$E$4:$E$353,MonthWise!$B8,Capex_Details!$O$4:$O$353,MonthWise!M$3)/10^5</f>
        <v>0</v>
      </c>
      <c r="N8" s="9">
        <f>SUMIFS(Capex_Details!$M$4:$M$353,Capex_Details!$E$4:$E$353,MonthWise!$B8,Capex_Details!$O$4:$O$353,MonthWise!N$3)/10^5</f>
        <v>0</v>
      </c>
      <c r="O8" s="9">
        <f>SUMIFS(Capex_Details!$M$4:$M$353,Capex_Details!$E$4:$E$353,MonthWise!$B8,Capex_Details!$O$4:$O$353,MonthWise!O$3)/10^5</f>
        <v>0</v>
      </c>
      <c r="P8" s="13">
        <f t="shared" si="0"/>
        <v>0</v>
      </c>
    </row>
    <row r="9" spans="2:16" x14ac:dyDescent="0.2">
      <c r="B9" s="8" t="s">
        <v>45</v>
      </c>
      <c r="C9" s="9">
        <f>SUMIFS(Capex_Details!$M$4:$M$353,Capex_Details!$E$4:$E$353,MonthWise!B9)/10^5</f>
        <v>7</v>
      </c>
      <c r="D9" s="9">
        <f>SUMIFS(Capex_Details!$M$4:$M$353,Capex_Details!$E$4:$E$353,MonthWise!$B9,Capex_Details!$O$4:$O$353,MonthWise!D$3)/10^5</f>
        <v>0</v>
      </c>
      <c r="E9" s="9">
        <f>SUMIFS(Capex_Details!$M$4:$M$353,Capex_Details!$E$4:$E$353,MonthWise!$B9,Capex_Details!$O$4:$O$353,MonthWise!E$3)/10^5</f>
        <v>0</v>
      </c>
      <c r="F9" s="9">
        <f>SUMIFS(Capex_Details!$M$4:$M$353,Capex_Details!$E$4:$E$353,MonthWise!$B9,Capex_Details!$O$4:$O$353,MonthWise!F$3)/10^5</f>
        <v>0</v>
      </c>
      <c r="G9" s="9">
        <f>SUMIFS(Capex_Details!$M$4:$M$353,Capex_Details!$E$4:$E$353,MonthWise!$B9,Capex_Details!$O$4:$O$353,MonthWise!G$3)/10^5</f>
        <v>0</v>
      </c>
      <c r="H9" s="9">
        <f>SUMIFS(Capex_Details!$M$4:$M$353,Capex_Details!$E$4:$E$353,MonthWise!$B9,Capex_Details!$O$4:$O$353,MonthWise!H$3)/10^5</f>
        <v>0</v>
      </c>
      <c r="I9" s="9">
        <f>SUMIFS(Capex_Details!$M$4:$M$353,Capex_Details!$E$4:$E$353,MonthWise!$B9,Capex_Details!$O$4:$O$353,MonthWise!I$3)/10^5</f>
        <v>0</v>
      </c>
      <c r="J9" s="9">
        <f>SUMIFS(Capex_Details!$M$4:$M$353,Capex_Details!$E$4:$E$353,MonthWise!$B9,Capex_Details!$O$4:$O$353,MonthWise!J$3)/10^5</f>
        <v>0</v>
      </c>
      <c r="K9" s="9">
        <f>SUMIFS(Capex_Details!$M$4:$M$353,Capex_Details!$E$4:$E$353,MonthWise!$B9,Capex_Details!$O$4:$O$353,MonthWise!K$3)/10^5</f>
        <v>0</v>
      </c>
      <c r="L9" s="9">
        <f>SUMIFS(Capex_Details!$M$4:$M$353,Capex_Details!$E$4:$E$353,MonthWise!$B9,Capex_Details!$O$4:$O$353,MonthWise!L$3)/10^5</f>
        <v>0</v>
      </c>
      <c r="M9" s="9">
        <f>SUMIFS(Capex_Details!$M$4:$M$353,Capex_Details!$E$4:$E$353,MonthWise!$B9,Capex_Details!$O$4:$O$353,MonthWise!M$3)/10^5</f>
        <v>0</v>
      </c>
      <c r="N9" s="9">
        <f>SUMIFS(Capex_Details!$M$4:$M$353,Capex_Details!$E$4:$E$353,MonthWise!$B9,Capex_Details!$O$4:$O$353,MonthWise!N$3)/10^5</f>
        <v>0</v>
      </c>
      <c r="O9" s="9">
        <f>SUMIFS(Capex_Details!$M$4:$M$353,Capex_Details!$E$4:$E$353,MonthWise!$B9,Capex_Details!$O$4:$O$353,MonthWise!O$3)/10^5</f>
        <v>0</v>
      </c>
      <c r="P9" s="13">
        <f t="shared" si="0"/>
        <v>-7</v>
      </c>
    </row>
    <row r="10" spans="2:16" x14ac:dyDescent="0.2">
      <c r="B10" s="8" t="s">
        <v>103</v>
      </c>
      <c r="C10" s="9">
        <f>SUMIFS(Capex_Details!$M$4:$M$353,Capex_Details!$E$4:$E$353,MonthWise!B10)/10^5</f>
        <v>0</v>
      </c>
      <c r="D10" s="9">
        <f>SUMIFS(Capex_Details!$M$4:$M$353,Capex_Details!$E$4:$E$353,MonthWise!$B10,Capex_Details!$O$4:$O$353,MonthWise!D$3)/10^5</f>
        <v>0</v>
      </c>
      <c r="E10" s="9">
        <f>SUMIFS(Capex_Details!$M$4:$M$353,Capex_Details!$E$4:$E$353,MonthWise!$B10,Capex_Details!$O$4:$O$353,MonthWise!E$3)/10^5</f>
        <v>0</v>
      </c>
      <c r="F10" s="9">
        <f>SUMIFS(Capex_Details!$M$4:$M$353,Capex_Details!$E$4:$E$353,MonthWise!$B10,Capex_Details!$O$4:$O$353,MonthWise!F$3)/10^5</f>
        <v>0</v>
      </c>
      <c r="G10" s="9">
        <f>SUMIFS(Capex_Details!$M$4:$M$353,Capex_Details!$E$4:$E$353,MonthWise!$B10,Capex_Details!$O$4:$O$353,MonthWise!G$3)/10^5</f>
        <v>0</v>
      </c>
      <c r="H10" s="9">
        <f>SUMIFS(Capex_Details!$M$4:$M$353,Capex_Details!$E$4:$E$353,MonthWise!$B10,Capex_Details!$O$4:$O$353,MonthWise!H$3)/10^5</f>
        <v>0</v>
      </c>
      <c r="I10" s="9">
        <f>SUMIFS(Capex_Details!$M$4:$M$353,Capex_Details!$E$4:$E$353,MonthWise!$B10,Capex_Details!$O$4:$O$353,MonthWise!I$3)/10^5</f>
        <v>0</v>
      </c>
      <c r="J10" s="9">
        <f>SUMIFS(Capex_Details!$M$4:$M$353,Capex_Details!$E$4:$E$353,MonthWise!$B10,Capex_Details!$O$4:$O$353,MonthWise!J$3)/10^5</f>
        <v>0</v>
      </c>
      <c r="K10" s="9">
        <f>SUMIFS(Capex_Details!$M$4:$M$353,Capex_Details!$E$4:$E$353,MonthWise!$B10,Capex_Details!$O$4:$O$353,MonthWise!K$3)/10^5</f>
        <v>0</v>
      </c>
      <c r="L10" s="9">
        <f>SUMIFS(Capex_Details!$M$4:$M$353,Capex_Details!$E$4:$E$353,MonthWise!$B10,Capex_Details!$O$4:$O$353,MonthWise!L$3)/10^5</f>
        <v>0</v>
      </c>
      <c r="M10" s="9">
        <f>SUMIFS(Capex_Details!$M$4:$M$353,Capex_Details!$E$4:$E$353,MonthWise!$B10,Capex_Details!$O$4:$O$353,MonthWise!M$3)/10^5</f>
        <v>0</v>
      </c>
      <c r="N10" s="9">
        <f>SUMIFS(Capex_Details!$M$4:$M$353,Capex_Details!$E$4:$E$353,MonthWise!$B10,Capex_Details!$O$4:$O$353,MonthWise!N$3)/10^5</f>
        <v>0</v>
      </c>
      <c r="O10" s="9">
        <f>SUMIFS(Capex_Details!$M$4:$M$353,Capex_Details!$E$4:$E$353,MonthWise!$B10,Capex_Details!$O$4:$O$353,MonthWise!O$3)/10^5</f>
        <v>0</v>
      </c>
      <c r="P10" s="13">
        <f t="shared" si="0"/>
        <v>0</v>
      </c>
    </row>
    <row r="11" spans="2:16" x14ac:dyDescent="0.2">
      <c r="B11" s="8" t="s">
        <v>104</v>
      </c>
      <c r="C11" s="9">
        <f>SUMIFS(Capex_Details!$M$4:$M$353,Capex_Details!$E$4:$E$353,MonthWise!B11)/10^5</f>
        <v>0</v>
      </c>
      <c r="D11" s="9">
        <f>SUMIFS(Capex_Details!$M$4:$M$353,Capex_Details!$E$4:$E$353,MonthWise!$B11,Capex_Details!$O$4:$O$353,MonthWise!D$3)/10^5</f>
        <v>0</v>
      </c>
      <c r="E11" s="9">
        <f>SUMIFS(Capex_Details!$M$4:$M$353,Capex_Details!$E$4:$E$353,MonthWise!$B11,Capex_Details!$O$4:$O$353,MonthWise!E$3)/10^5</f>
        <v>0</v>
      </c>
      <c r="F11" s="9">
        <f>SUMIFS(Capex_Details!$M$4:$M$353,Capex_Details!$E$4:$E$353,MonthWise!$B11,Capex_Details!$O$4:$O$353,MonthWise!F$3)/10^5</f>
        <v>0</v>
      </c>
      <c r="G11" s="9">
        <f>SUMIFS(Capex_Details!$M$4:$M$353,Capex_Details!$E$4:$E$353,MonthWise!$B11,Capex_Details!$O$4:$O$353,MonthWise!G$3)/10^5</f>
        <v>0</v>
      </c>
      <c r="H11" s="9">
        <f>SUMIFS(Capex_Details!$M$4:$M$353,Capex_Details!$E$4:$E$353,MonthWise!$B11,Capex_Details!$O$4:$O$353,MonthWise!H$3)/10^5</f>
        <v>0</v>
      </c>
      <c r="I11" s="9">
        <f>SUMIFS(Capex_Details!$M$4:$M$353,Capex_Details!$E$4:$E$353,MonthWise!$B11,Capex_Details!$O$4:$O$353,MonthWise!I$3)/10^5</f>
        <v>0</v>
      </c>
      <c r="J11" s="9">
        <f>SUMIFS(Capex_Details!$M$4:$M$353,Capex_Details!$E$4:$E$353,MonthWise!$B11,Capex_Details!$O$4:$O$353,MonthWise!J$3)/10^5</f>
        <v>0</v>
      </c>
      <c r="K11" s="9">
        <f>SUMIFS(Capex_Details!$M$4:$M$353,Capex_Details!$E$4:$E$353,MonthWise!$B11,Capex_Details!$O$4:$O$353,MonthWise!K$3)/10^5</f>
        <v>0</v>
      </c>
      <c r="L11" s="9">
        <f>SUMIFS(Capex_Details!$M$4:$M$353,Capex_Details!$E$4:$E$353,MonthWise!$B11,Capex_Details!$O$4:$O$353,MonthWise!L$3)/10^5</f>
        <v>0</v>
      </c>
      <c r="M11" s="9">
        <f>SUMIFS(Capex_Details!$M$4:$M$353,Capex_Details!$E$4:$E$353,MonthWise!$B11,Capex_Details!$O$4:$O$353,MonthWise!M$3)/10^5</f>
        <v>0</v>
      </c>
      <c r="N11" s="9">
        <f>SUMIFS(Capex_Details!$M$4:$M$353,Capex_Details!$E$4:$E$353,MonthWise!$B11,Capex_Details!$O$4:$O$353,MonthWise!N$3)/10^5</f>
        <v>0</v>
      </c>
      <c r="O11" s="9">
        <f>SUMIFS(Capex_Details!$M$4:$M$353,Capex_Details!$E$4:$E$353,MonthWise!$B11,Capex_Details!$O$4:$O$353,MonthWise!O$3)/10^5</f>
        <v>0</v>
      </c>
      <c r="P11" s="13">
        <f t="shared" si="0"/>
        <v>0</v>
      </c>
    </row>
    <row r="12" spans="2:16" x14ac:dyDescent="0.2">
      <c r="B12" s="8" t="s">
        <v>105</v>
      </c>
      <c r="C12" s="9">
        <f>SUMIFS(Capex_Details!$M$4:$M$353,Capex_Details!$E$4:$E$353,MonthWise!B12)/10^5</f>
        <v>0</v>
      </c>
      <c r="D12" s="9">
        <f>SUMIFS(Capex_Details!$M$4:$M$353,Capex_Details!$E$4:$E$353,MonthWise!$B12,Capex_Details!$O$4:$O$353,MonthWise!D$3)/10^5</f>
        <v>0</v>
      </c>
      <c r="E12" s="9">
        <f>SUMIFS(Capex_Details!$M$4:$M$353,Capex_Details!$E$4:$E$353,MonthWise!$B12,Capex_Details!$O$4:$O$353,MonthWise!E$3)/10^5</f>
        <v>0</v>
      </c>
      <c r="F12" s="9">
        <f>SUMIFS(Capex_Details!$M$4:$M$353,Capex_Details!$E$4:$E$353,MonthWise!$B12,Capex_Details!$O$4:$O$353,MonthWise!F$3)/10^5</f>
        <v>0</v>
      </c>
      <c r="G12" s="9">
        <f>SUMIFS(Capex_Details!$M$4:$M$353,Capex_Details!$E$4:$E$353,MonthWise!$B12,Capex_Details!$O$4:$O$353,MonthWise!G$3)/10^5</f>
        <v>0</v>
      </c>
      <c r="H12" s="9">
        <f>SUMIFS(Capex_Details!$M$4:$M$353,Capex_Details!$E$4:$E$353,MonthWise!$B12,Capex_Details!$O$4:$O$353,MonthWise!H$3)/10^5</f>
        <v>0</v>
      </c>
      <c r="I12" s="9">
        <f>SUMIFS(Capex_Details!$M$4:$M$353,Capex_Details!$E$4:$E$353,MonthWise!$B12,Capex_Details!$O$4:$O$353,MonthWise!I$3)/10^5</f>
        <v>0</v>
      </c>
      <c r="J12" s="9">
        <f>SUMIFS(Capex_Details!$M$4:$M$353,Capex_Details!$E$4:$E$353,MonthWise!$B12,Capex_Details!$O$4:$O$353,MonthWise!J$3)/10^5</f>
        <v>0</v>
      </c>
      <c r="K12" s="9">
        <f>SUMIFS(Capex_Details!$M$4:$M$353,Capex_Details!$E$4:$E$353,MonthWise!$B12,Capex_Details!$O$4:$O$353,MonthWise!K$3)/10^5</f>
        <v>0</v>
      </c>
      <c r="L12" s="9">
        <f>SUMIFS(Capex_Details!$M$4:$M$353,Capex_Details!$E$4:$E$353,MonthWise!$B12,Capex_Details!$O$4:$O$353,MonthWise!L$3)/10^5</f>
        <v>0</v>
      </c>
      <c r="M12" s="9">
        <f>SUMIFS(Capex_Details!$M$4:$M$353,Capex_Details!$E$4:$E$353,MonthWise!$B12,Capex_Details!$O$4:$O$353,MonthWise!M$3)/10^5</f>
        <v>0</v>
      </c>
      <c r="N12" s="9">
        <f>SUMIFS(Capex_Details!$M$4:$M$353,Capex_Details!$E$4:$E$353,MonthWise!$B12,Capex_Details!$O$4:$O$353,MonthWise!N$3)/10^5</f>
        <v>0</v>
      </c>
      <c r="O12" s="9">
        <f>SUMIFS(Capex_Details!$M$4:$M$353,Capex_Details!$E$4:$E$353,MonthWise!$B12,Capex_Details!$O$4:$O$353,MonthWise!O$3)/10^5</f>
        <v>0</v>
      </c>
      <c r="P12" s="13">
        <f t="shared" si="0"/>
        <v>0</v>
      </c>
    </row>
    <row r="13" spans="2:16" x14ac:dyDescent="0.2">
      <c r="B13" s="8"/>
      <c r="C13" s="9">
        <f>SUMIFS(Capex_Details!$M$4:$M$353,Capex_Details!$E$4:$E$353,MonthWise!B13)/10^5</f>
        <v>0</v>
      </c>
      <c r="D13" s="9">
        <f>SUMIFS(Capex_Details!$M$4:$M$353,Capex_Details!$E$4:$E$353,MonthWise!$B13,Capex_Details!$O$4:$O$353,MonthWise!D$3)/10^5</f>
        <v>0</v>
      </c>
      <c r="E13" s="9">
        <f>SUMIFS(Capex_Details!$M$4:$M$353,Capex_Details!$E$4:$E$353,MonthWise!$B13,Capex_Details!$O$4:$O$353,MonthWise!E$3)/10^5</f>
        <v>0</v>
      </c>
      <c r="F13" s="9">
        <f>SUMIFS(Capex_Details!$M$4:$M$353,Capex_Details!$E$4:$E$353,MonthWise!$B13,Capex_Details!$O$4:$O$353,MonthWise!F$3)/10^5</f>
        <v>0</v>
      </c>
      <c r="G13" s="9">
        <f>SUMIFS(Capex_Details!$M$4:$M$353,Capex_Details!$E$4:$E$353,MonthWise!$B13,Capex_Details!$O$4:$O$353,MonthWise!G$3)/10^5</f>
        <v>0</v>
      </c>
      <c r="H13" s="9">
        <f>SUMIFS(Capex_Details!$M$4:$M$353,Capex_Details!$E$4:$E$353,MonthWise!$B13,Capex_Details!$O$4:$O$353,MonthWise!H$3)/10^5</f>
        <v>0</v>
      </c>
      <c r="I13" s="9">
        <f>SUMIFS(Capex_Details!$M$4:$M$353,Capex_Details!$E$4:$E$353,MonthWise!$B13,Capex_Details!$O$4:$O$353,MonthWise!I$3)/10^5</f>
        <v>0</v>
      </c>
      <c r="J13" s="9">
        <f>SUMIFS(Capex_Details!$M$4:$M$353,Capex_Details!$E$4:$E$353,MonthWise!$B13,Capex_Details!$O$4:$O$353,MonthWise!J$3)/10^5</f>
        <v>0</v>
      </c>
      <c r="K13" s="9">
        <f>SUMIFS(Capex_Details!$M$4:$M$353,Capex_Details!$E$4:$E$353,MonthWise!$B13,Capex_Details!$O$4:$O$353,MonthWise!K$3)/10^5</f>
        <v>0</v>
      </c>
      <c r="L13" s="9">
        <f>SUMIFS(Capex_Details!$M$4:$M$353,Capex_Details!$E$4:$E$353,MonthWise!$B13,Capex_Details!$O$4:$O$353,MonthWise!L$3)/10^5</f>
        <v>0</v>
      </c>
      <c r="M13" s="9">
        <f>SUMIFS(Capex_Details!$M$4:$M$353,Capex_Details!$E$4:$E$353,MonthWise!$B13,Capex_Details!$O$4:$O$353,MonthWise!M$3)/10^5</f>
        <v>0</v>
      </c>
      <c r="N13" s="9">
        <f>SUMIFS(Capex_Details!$M$4:$M$353,Capex_Details!$E$4:$E$353,MonthWise!$B13,Capex_Details!$O$4:$O$353,MonthWise!N$3)/10^5</f>
        <v>0</v>
      </c>
      <c r="O13" s="9">
        <f>SUMIFS(Capex_Details!$M$4:$M$353,Capex_Details!$E$4:$E$353,MonthWise!$B13,Capex_Details!$O$4:$O$353,MonthWise!O$3)/10^5</f>
        <v>0</v>
      </c>
      <c r="P13" s="13">
        <f t="shared" si="0"/>
        <v>0</v>
      </c>
    </row>
    <row r="14" spans="2:16" ht="16" thickBot="1" x14ac:dyDescent="0.25">
      <c r="B14" s="10" t="s">
        <v>8</v>
      </c>
      <c r="C14" s="11">
        <f>SUM(C4:C13)</f>
        <v>7</v>
      </c>
      <c r="D14" s="11">
        <f t="shared" ref="D14:O14" si="1">SUM(D4:D13)</f>
        <v>0</v>
      </c>
      <c r="E14" s="11">
        <f t="shared" si="1"/>
        <v>0</v>
      </c>
      <c r="F14" s="11">
        <f t="shared" si="1"/>
        <v>0</v>
      </c>
      <c r="G14" s="11">
        <f t="shared" si="1"/>
        <v>0</v>
      </c>
      <c r="H14" s="11">
        <f t="shared" si="1"/>
        <v>0</v>
      </c>
      <c r="I14" s="11">
        <f t="shared" si="1"/>
        <v>0</v>
      </c>
      <c r="J14" s="11">
        <f t="shared" si="1"/>
        <v>0</v>
      </c>
      <c r="K14" s="11">
        <f t="shared" si="1"/>
        <v>0</v>
      </c>
      <c r="L14" s="11">
        <f t="shared" si="1"/>
        <v>0</v>
      </c>
      <c r="M14" s="11">
        <f t="shared" si="1"/>
        <v>0</v>
      </c>
      <c r="N14" s="11">
        <f t="shared" si="1"/>
        <v>0</v>
      </c>
      <c r="O14" s="11">
        <f t="shared" si="1"/>
        <v>0</v>
      </c>
      <c r="P14" s="13">
        <f t="shared" si="0"/>
        <v>-7</v>
      </c>
    </row>
    <row r="15" spans="2:16" ht="16" thickTop="1" x14ac:dyDescent="0.2"/>
  </sheetData>
  <mergeCells count="1">
    <mergeCell ref="B2:C2"/>
  </mergeCells>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A7ECA-150C-415E-ABFB-3E7F4A5C9281}">
  <dimension ref="B2:D25"/>
  <sheetViews>
    <sheetView showGridLines="0" workbookViewId="0">
      <selection activeCell="I8" sqref="I8"/>
    </sheetView>
  </sheetViews>
  <sheetFormatPr baseColWidth="10" defaultColWidth="8.83203125" defaultRowHeight="15" x14ac:dyDescent="0.2"/>
  <cols>
    <col min="1" max="1" width="2" customWidth="1"/>
    <col min="3" max="3" width="30.33203125" customWidth="1"/>
    <col min="4" max="4" width="16" customWidth="1"/>
    <col min="5" max="5" width="2.83203125" customWidth="1"/>
  </cols>
  <sheetData>
    <row r="2" spans="2:4" x14ac:dyDescent="0.2">
      <c r="B2" s="35" t="s">
        <v>298</v>
      </c>
      <c r="C2" s="35"/>
      <c r="D2" s="35"/>
    </row>
    <row r="3" spans="2:4" ht="16" x14ac:dyDescent="0.2">
      <c r="B3" s="23" t="s">
        <v>304</v>
      </c>
      <c r="C3" s="23" t="s">
        <v>22</v>
      </c>
      <c r="D3" s="23" t="s">
        <v>297</v>
      </c>
    </row>
    <row r="4" spans="2:4" x14ac:dyDescent="0.2">
      <c r="B4" s="1">
        <v>1</v>
      </c>
      <c r="C4" s="1" t="s">
        <v>21</v>
      </c>
      <c r="D4" s="25" t="s">
        <v>300</v>
      </c>
    </row>
    <row r="5" spans="2:4" x14ac:dyDescent="0.2">
      <c r="B5" s="1">
        <v>2</v>
      </c>
      <c r="C5" s="1" t="s">
        <v>23</v>
      </c>
      <c r="D5" s="25" t="s">
        <v>300</v>
      </c>
    </row>
    <row r="6" spans="2:4" x14ac:dyDescent="0.2">
      <c r="B6" s="1">
        <v>3</v>
      </c>
      <c r="C6" s="1" t="s">
        <v>25</v>
      </c>
      <c r="D6" s="25" t="s">
        <v>300</v>
      </c>
    </row>
    <row r="7" spans="2:4" x14ac:dyDescent="0.2">
      <c r="B7" s="1">
        <v>4</v>
      </c>
      <c r="C7" s="1" t="s">
        <v>26</v>
      </c>
      <c r="D7" s="25" t="s">
        <v>300</v>
      </c>
    </row>
    <row r="8" spans="2:4" x14ac:dyDescent="0.2">
      <c r="B8" s="1">
        <v>5</v>
      </c>
      <c r="C8" s="1" t="s">
        <v>169</v>
      </c>
      <c r="D8" s="25" t="s">
        <v>300</v>
      </c>
    </row>
    <row r="9" spans="2:4" x14ac:dyDescent="0.2">
      <c r="B9" s="1">
        <v>6</v>
      </c>
      <c r="C9" s="1" t="s">
        <v>24</v>
      </c>
      <c r="D9" s="25" t="s">
        <v>300</v>
      </c>
    </row>
    <row r="10" spans="2:4" x14ac:dyDescent="0.2">
      <c r="B10" s="1">
        <v>7</v>
      </c>
      <c r="C10" s="1" t="s">
        <v>29</v>
      </c>
      <c r="D10" s="25" t="s">
        <v>300</v>
      </c>
    </row>
    <row r="11" spans="2:4" x14ac:dyDescent="0.2">
      <c r="B11" s="1">
        <v>8</v>
      </c>
      <c r="C11" s="1" t="s">
        <v>30</v>
      </c>
      <c r="D11" s="24" t="s">
        <v>299</v>
      </c>
    </row>
    <row r="12" spans="2:4" x14ac:dyDescent="0.2">
      <c r="B12" s="1">
        <v>9</v>
      </c>
      <c r="C12" s="1" t="s">
        <v>31</v>
      </c>
      <c r="D12" s="24" t="s">
        <v>299</v>
      </c>
    </row>
    <row r="13" spans="2:4" x14ac:dyDescent="0.2">
      <c r="B13" s="1">
        <v>10</v>
      </c>
      <c r="C13" s="1" t="s">
        <v>32</v>
      </c>
      <c r="D13" s="24" t="s">
        <v>299</v>
      </c>
    </row>
    <row r="14" spans="2:4" x14ac:dyDescent="0.2">
      <c r="B14" s="1">
        <v>11</v>
      </c>
      <c r="C14" s="1" t="s">
        <v>33</v>
      </c>
      <c r="D14" s="24" t="s">
        <v>299</v>
      </c>
    </row>
    <row r="15" spans="2:4" x14ac:dyDescent="0.2">
      <c r="B15" s="1">
        <v>12</v>
      </c>
      <c r="C15" s="1" t="s">
        <v>34</v>
      </c>
      <c r="D15" s="24" t="s">
        <v>299</v>
      </c>
    </row>
    <row r="16" spans="2:4" x14ac:dyDescent="0.2">
      <c r="B16" s="1">
        <v>13</v>
      </c>
      <c r="C16" s="1" t="s">
        <v>103</v>
      </c>
      <c r="D16" s="25" t="s">
        <v>300</v>
      </c>
    </row>
    <row r="17" spans="2:4" x14ac:dyDescent="0.2">
      <c r="B17" s="1">
        <v>14</v>
      </c>
      <c r="C17" s="1" t="s">
        <v>35</v>
      </c>
      <c r="D17" s="25" t="s">
        <v>300</v>
      </c>
    </row>
    <row r="18" spans="2:4" x14ac:dyDescent="0.2">
      <c r="B18" s="1">
        <v>15</v>
      </c>
      <c r="C18" s="1" t="s">
        <v>89</v>
      </c>
      <c r="D18" s="25" t="s">
        <v>300</v>
      </c>
    </row>
    <row r="19" spans="2:4" x14ac:dyDescent="0.2">
      <c r="B19" s="1">
        <v>16</v>
      </c>
      <c r="C19" s="1" t="s">
        <v>102</v>
      </c>
      <c r="D19" s="24" t="s">
        <v>299</v>
      </c>
    </row>
    <row r="20" spans="2:4" x14ac:dyDescent="0.2">
      <c r="B20" s="1">
        <v>17</v>
      </c>
      <c r="C20" s="1" t="s">
        <v>36</v>
      </c>
      <c r="D20" s="24" t="s">
        <v>299</v>
      </c>
    </row>
    <row r="21" spans="2:4" x14ac:dyDescent="0.2">
      <c r="B21" s="1">
        <v>18</v>
      </c>
      <c r="C21" s="1" t="s">
        <v>301</v>
      </c>
      <c r="D21" s="24" t="s">
        <v>299</v>
      </c>
    </row>
    <row r="22" spans="2:4" x14ac:dyDescent="0.2">
      <c r="B22" s="1">
        <v>19</v>
      </c>
      <c r="C22" s="1" t="s">
        <v>302</v>
      </c>
      <c r="D22" s="25" t="s">
        <v>300</v>
      </c>
    </row>
    <row r="23" spans="2:4" x14ac:dyDescent="0.2">
      <c r="B23" s="1">
        <v>20</v>
      </c>
      <c r="C23" s="1" t="s">
        <v>303</v>
      </c>
      <c r="D23" s="24" t="s">
        <v>299</v>
      </c>
    </row>
    <row r="24" spans="2:4" x14ac:dyDescent="0.2">
      <c r="B24" s="1">
        <v>21</v>
      </c>
      <c r="C24" s="1" t="s">
        <v>305</v>
      </c>
      <c r="D24" s="24" t="s">
        <v>299</v>
      </c>
    </row>
    <row r="25" spans="2:4" x14ac:dyDescent="0.2">
      <c r="B25" s="1">
        <v>22</v>
      </c>
      <c r="C25" s="1" t="s">
        <v>306</v>
      </c>
      <c r="D25" s="24" t="s">
        <v>299</v>
      </c>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Capex_Summary</vt:lpstr>
      <vt:lpstr>Capex_Details</vt:lpstr>
      <vt:lpstr>MIXED_new</vt:lpstr>
      <vt:lpstr>MonthWise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Dilshad V.P</dc:creator>
  <cp:lastModifiedBy>Sameeraj Ilapavuluri</cp:lastModifiedBy>
  <cp:lastPrinted>2025-01-23T06:33:40Z</cp:lastPrinted>
  <dcterms:created xsi:type="dcterms:W3CDTF">2015-06-05T18:17:20Z</dcterms:created>
  <dcterms:modified xsi:type="dcterms:W3CDTF">2026-03-14T07:26:54Z</dcterms:modified>
</cp:coreProperties>
</file>